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threadedComments/threadedComment2.xml" ContentType="application/vnd.ms-excel.threadedcomments+xml"/>
  <Override PartName="/xl/comments9.xml" ContentType="application/vnd.openxmlformats-officedocument.spreadsheetml.comments+xml"/>
  <Override PartName="/xl/threadedComments/threadedComment3.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4.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3.xml" ContentType="application/vnd.openxmlformats-officedocument.drawingml.chartshapes+xml"/>
  <Override PartName="/xl/charts/chart7.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amp;E\QQM-Dataset\latest-by-unicef\"/>
    </mc:Choice>
  </mc:AlternateContent>
  <xr:revisionPtr revIDLastSave="0" documentId="13_ncr:1_{BF691F4B-0A93-4314-B514-309C5CFE4C54}" xr6:coauthVersionLast="47" xr6:coauthVersionMax="47" xr10:uidLastSave="{00000000-0000-0000-0000-000000000000}"/>
  <bookViews>
    <workbookView xWindow="-120" yWindow="-120" windowWidth="29040" windowHeight="15720" tabRatio="535" firstSheet="16" activeTab="16" xr2:uid="{BC9E7858-0340-4BA4-8B84-99F1046C919B}"/>
  </bookViews>
  <sheets>
    <sheet name="Overview" sheetId="30" r:id="rId1"/>
    <sheet name="Indicator list" sheetId="46" r:id="rId2"/>
    <sheet name="1-SAMPLE" sheetId="47" r:id="rId3"/>
    <sheet name="2-QQM_SUMMARY_SHEET" sheetId="13" r:id="rId4"/>
    <sheet name="3-QQM_BY ROUND" sheetId="31" r:id="rId5"/>
    <sheet name="Annex 1a - Structural_PROV" sheetId="7" r:id="rId6"/>
    <sheet name="Annex1b-Structural_FAC" sheetId="19" r:id="rId7"/>
    <sheet name="Annex1c-Tracerdrugs_PROV" sheetId="35" r:id="rId8"/>
    <sheet name="QQC_SI_PROV_LONG" sheetId="20" state="hidden" r:id="rId9"/>
    <sheet name="QQC_SI_FAC_WIDE" sheetId="17" state="hidden" r:id="rId10"/>
    <sheet name="QCC_SI_PROV" sheetId="14" state="hidden" r:id="rId11"/>
    <sheet name="QCC_EXIT&amp;VIGNETTES_FACILITY" sheetId="10" state="hidden" r:id="rId12"/>
    <sheet name="QQC_EXIT&amp;VIGNETTES_PROV_LONG" sheetId="22" state="hidden" r:id="rId13"/>
    <sheet name="QQC_EXIT&amp;VIGNETTES_FAC_WIDE" sheetId="18" state="hidden" r:id="rId14"/>
    <sheet name="QQC_SUMMARY_SHEET" sheetId="12" state="hidden" r:id="rId15"/>
    <sheet name="Annex2a-QQM_EXIT&amp;VIGNETTES_PROV" sheetId="9" r:id="rId16"/>
    <sheet name="Annex 2b-QQC_EXIT&amp;VIGNETTES_FAC" sheetId="21" r:id="rId17"/>
    <sheet name="Annex 3a-HEALTHWORKFORCE - PROV" sheetId="23" r:id="rId18"/>
    <sheet name="Annex 3b-HEALTHWORKFORCE - FAC" sheetId="43" r:id="rId19"/>
    <sheet name="Annex 4a-MSS - PROV" sheetId="45" r:id="rId20"/>
    <sheet name="Annex 4b-MSS - FAC" sheetId="44" r:id="rId21"/>
    <sheet name="0 - GRAPHS " sheetId="53" r:id="rId22"/>
    <sheet name="GRAPHS -SI - ADB non ADB" sheetId="41" r:id="rId23"/>
    <sheet name="GRAPHS -Exit - ADB non ADB" sheetId="39" r:id="rId24"/>
    <sheet name="GRAPHS -Vignettes - ADB non ADB" sheetId="40" r:id="rId25"/>
    <sheet name="Significances_ADB-nonADB" sheetId="61" r:id="rId26"/>
    <sheet name="Interpretation_CI_significances" sheetId="62" r:id="rId27"/>
    <sheet name="MSS Graph" sheetId="59" r:id="rId28"/>
    <sheet name="SUMMARY_SHEET_MULTIPLEROUNDS" sheetId="16" state="hidden" r:id="rId29"/>
  </sheets>
  <externalReferences>
    <externalReference r:id="rId30"/>
    <externalReference r:id="rId31"/>
  </externalReferences>
  <definedNames>
    <definedName name="_xlnm._FilterDatabase" localSheetId="3" hidden="1">'2-QQM_SUMMARY_SHEET'!$A$2:$S$32</definedName>
    <definedName name="_xlnm._FilterDatabase" localSheetId="4" hidden="1">'3-QQM_BY ROUND'!$A$2:$BB$42</definedName>
    <definedName name="_xlnm._FilterDatabase" localSheetId="16" hidden="1">'Annex 2b-QQC_EXIT&amp;VIGNETTES_FAC'!$A$3:$W$507</definedName>
    <definedName name="_xlnm._FilterDatabase" localSheetId="17" hidden="1">'Annex 3a-HEALTHWORKFORCE - PROV'!$A$3:$AT$46</definedName>
    <definedName name="_xlnm._FilterDatabase" localSheetId="18" hidden="1">'Annex 3b-HEALTHWORKFORCE - FAC'!$A$3:$AS$419</definedName>
    <definedName name="_xlnm._FilterDatabase" localSheetId="20" hidden="1">'Annex 4b-MSS - FAC'!$J$3:$CG$192</definedName>
    <definedName name="_xlnm._FilterDatabase" localSheetId="6" hidden="1">'Annex1b-Structural_FAC'!$A$2:$FE$265</definedName>
    <definedName name="_xlnm._FilterDatabase" localSheetId="7" hidden="1">'Annex1c-Tracerdrugs_PROV'!$A$2:$CR$36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53" l="1"/>
  <c r="D54" i="53"/>
  <c r="D55" i="53"/>
  <c r="D56" i="53"/>
  <c r="D57" i="53"/>
  <c r="D58" i="53"/>
  <c r="D59" i="53"/>
  <c r="D60" i="53"/>
  <c r="D61" i="53"/>
  <c r="D62" i="53"/>
  <c r="D63" i="53"/>
  <c r="D64" i="53"/>
  <c r="D65" i="53"/>
  <c r="D66" i="53"/>
  <c r="D67" i="53"/>
  <c r="D68" i="53"/>
  <c r="D69" i="53"/>
  <c r="D70" i="53"/>
  <c r="D71" i="53"/>
  <c r="D72" i="53"/>
  <c r="D73" i="53"/>
  <c r="D74" i="53"/>
  <c r="D75" i="53"/>
  <c r="D76" i="53"/>
  <c r="D77" i="53"/>
  <c r="D78" i="53"/>
  <c r="D79" i="53"/>
  <c r="D80" i="53"/>
  <c r="D81" i="53"/>
  <c r="D82" i="53"/>
  <c r="D83" i="53"/>
  <c r="D84" i="53"/>
  <c r="D85" i="53"/>
  <c r="D52" i="53"/>
  <c r="C53" i="53"/>
  <c r="C54" i="53"/>
  <c r="C55" i="53"/>
  <c r="C56" i="53"/>
  <c r="C57" i="53"/>
  <c r="C58" i="53"/>
  <c r="C59" i="53"/>
  <c r="C60" i="53"/>
  <c r="C61" i="53"/>
  <c r="C62" i="53"/>
  <c r="C63" i="53"/>
  <c r="C64" i="53"/>
  <c r="C65" i="53"/>
  <c r="C66" i="53"/>
  <c r="C67" i="53"/>
  <c r="C68" i="53"/>
  <c r="C69" i="53"/>
  <c r="C70" i="53"/>
  <c r="C71" i="53"/>
  <c r="C72" i="53"/>
  <c r="C73" i="53"/>
  <c r="C74" i="53"/>
  <c r="C75" i="53"/>
  <c r="C76" i="53"/>
  <c r="C77" i="53"/>
  <c r="C78" i="53"/>
  <c r="C79" i="53"/>
  <c r="C80" i="53"/>
  <c r="C81" i="53"/>
  <c r="C82" i="53"/>
  <c r="C83" i="53"/>
  <c r="C84" i="53"/>
  <c r="C85" i="53"/>
  <c r="C52" i="53"/>
  <c r="B53" i="53"/>
  <c r="B54" i="53"/>
  <c r="B55" i="53"/>
  <c r="B56" i="53"/>
  <c r="B57" i="53"/>
  <c r="B58" i="53"/>
  <c r="B59" i="53"/>
  <c r="B60" i="53"/>
  <c r="B61" i="53"/>
  <c r="B62" i="53"/>
  <c r="B63" i="53"/>
  <c r="B64" i="53"/>
  <c r="B65" i="53"/>
  <c r="B66" i="53"/>
  <c r="B67" i="53"/>
  <c r="B68" i="53"/>
  <c r="B69" i="53"/>
  <c r="B70" i="53"/>
  <c r="B71" i="53"/>
  <c r="B72" i="53"/>
  <c r="B73" i="53"/>
  <c r="B74" i="53"/>
  <c r="B75" i="53"/>
  <c r="B76" i="53"/>
  <c r="B77" i="53"/>
  <c r="B78" i="53"/>
  <c r="B79" i="53"/>
  <c r="B80" i="53"/>
  <c r="B81" i="53"/>
  <c r="B82" i="53"/>
  <c r="B83" i="53"/>
  <c r="B84" i="53"/>
  <c r="B85" i="53"/>
  <c r="B52" i="53"/>
  <c r="I33" i="13" l="1"/>
  <c r="K32" i="13"/>
  <c r="F14" i="39" l="1"/>
  <c r="J10" i="59" l="1"/>
  <c r="I10" i="59"/>
  <c r="H10" i="59"/>
  <c r="U30" i="13" l="1"/>
  <c r="D143" i="46" l="1"/>
  <c r="D129" i="46"/>
  <c r="D105" i="46"/>
  <c r="D102" i="46"/>
  <c r="D89" i="46"/>
  <c r="D78" i="46"/>
  <c r="D70" i="46"/>
  <c r="D41" i="46"/>
  <c r="D17" i="46"/>
  <c r="D3" i="46"/>
  <c r="C112" i="61"/>
  <c r="C111" i="61"/>
  <c r="C110" i="61"/>
  <c r="C109" i="61"/>
  <c r="C107" i="61"/>
  <c r="C108" i="61"/>
  <c r="C106" i="61"/>
  <c r="C113" i="61"/>
  <c r="C90" i="61"/>
  <c r="C89" i="61"/>
  <c r="C88" i="61"/>
  <c r="C87" i="61"/>
  <c r="C86" i="61"/>
  <c r="C85" i="61"/>
  <c r="C84" i="61"/>
  <c r="C83" i="61"/>
  <c r="C82" i="61"/>
  <c r="C81" i="61"/>
  <c r="C80" i="61"/>
  <c r="C57" i="61"/>
  <c r="C56" i="61"/>
  <c r="C55" i="61"/>
  <c r="C54" i="61"/>
  <c r="C53" i="61"/>
  <c r="C52" i="61"/>
  <c r="C51" i="61"/>
  <c r="M5" i="41"/>
  <c r="L5" i="41"/>
  <c r="K5" i="41"/>
  <c r="J5" i="41"/>
  <c r="I5" i="41"/>
  <c r="H5" i="41"/>
  <c r="G5" i="41"/>
  <c r="F5" i="41"/>
  <c r="E5" i="41"/>
  <c r="D5" i="41"/>
  <c r="C5" i="41"/>
  <c r="D5" i="39"/>
  <c r="E5" i="39"/>
  <c r="F5" i="39"/>
  <c r="CI5" i="45" l="1"/>
  <c r="CJ5" i="45"/>
  <c r="CK5" i="45"/>
  <c r="CL5" i="45"/>
  <c r="CI6" i="45"/>
  <c r="CJ6" i="45"/>
  <c r="CK6" i="45"/>
  <c r="CL6" i="45"/>
  <c r="CI7" i="45"/>
  <c r="CJ7" i="45"/>
  <c r="CK7" i="45"/>
  <c r="CL7" i="45"/>
  <c r="CI8" i="45"/>
  <c r="CJ8" i="45"/>
  <c r="CK8" i="45"/>
  <c r="CL8" i="45"/>
  <c r="CH8" i="45"/>
  <c r="CH7" i="45"/>
  <c r="CH6" i="45"/>
  <c r="CH5" i="45"/>
  <c r="BX5" i="45"/>
  <c r="BY5" i="45"/>
  <c r="BZ5" i="45"/>
  <c r="CA5" i="45"/>
  <c r="BX6" i="45"/>
  <c r="BY6" i="45"/>
  <c r="BZ6" i="45"/>
  <c r="CA6" i="45"/>
  <c r="BX7" i="45"/>
  <c r="BY7" i="45"/>
  <c r="BZ7" i="45"/>
  <c r="CA7" i="45"/>
  <c r="BX8" i="45"/>
  <c r="BY8" i="45"/>
  <c r="BZ8" i="45"/>
  <c r="CA8" i="45"/>
  <c r="BW8" i="45"/>
  <c r="BW7" i="45"/>
  <c r="BW6" i="45"/>
  <c r="BW5" i="45"/>
  <c r="BL5" i="45"/>
  <c r="BM5" i="45"/>
  <c r="BN5" i="45"/>
  <c r="BO5" i="45"/>
  <c r="BP5" i="45"/>
  <c r="BQ5" i="45"/>
  <c r="BR5" i="45"/>
  <c r="BS5" i="45"/>
  <c r="BT5" i="45"/>
  <c r="BL6" i="45"/>
  <c r="BM6" i="45"/>
  <c r="BN6" i="45"/>
  <c r="BO6" i="45"/>
  <c r="BP6" i="45"/>
  <c r="BQ6" i="45"/>
  <c r="BR6" i="45"/>
  <c r="BS6" i="45"/>
  <c r="BT6" i="45"/>
  <c r="BL7" i="45"/>
  <c r="BM7" i="45"/>
  <c r="BN7" i="45"/>
  <c r="BO7" i="45"/>
  <c r="BP7" i="45"/>
  <c r="BQ7" i="45"/>
  <c r="BR7" i="45"/>
  <c r="BS7" i="45"/>
  <c r="BT7" i="45"/>
  <c r="BL8" i="45"/>
  <c r="BM8" i="45"/>
  <c r="BN8" i="45"/>
  <c r="BO8" i="45"/>
  <c r="BP8" i="45"/>
  <c r="BQ8" i="45"/>
  <c r="BR8" i="45"/>
  <c r="BS8" i="45"/>
  <c r="BT8" i="45"/>
  <c r="BK8" i="45"/>
  <c r="BK7" i="45"/>
  <c r="BK6" i="45"/>
  <c r="BK5" i="45"/>
  <c r="AW5" i="45"/>
  <c r="AX5" i="45"/>
  <c r="AY5" i="45"/>
  <c r="AZ5" i="45"/>
  <c r="BA5" i="45"/>
  <c r="BB5" i="45"/>
  <c r="BC5" i="45"/>
  <c r="BD5" i="45"/>
  <c r="BE5" i="45"/>
  <c r="AW6" i="45"/>
  <c r="AX6" i="45"/>
  <c r="AY6" i="45"/>
  <c r="AZ6" i="45"/>
  <c r="BA6" i="45"/>
  <c r="BB6" i="45"/>
  <c r="BC6" i="45"/>
  <c r="BD6" i="45"/>
  <c r="BE6" i="45"/>
  <c r="AW7" i="45"/>
  <c r="AX7" i="45"/>
  <c r="AY7" i="45"/>
  <c r="AZ7" i="45"/>
  <c r="BA7" i="45"/>
  <c r="BB7" i="45"/>
  <c r="BC7" i="45"/>
  <c r="BD7" i="45"/>
  <c r="BE7" i="45"/>
  <c r="AW8" i="45"/>
  <c r="AX8" i="45"/>
  <c r="AY8" i="45"/>
  <c r="AZ8" i="45"/>
  <c r="BA8" i="45"/>
  <c r="BB8" i="45"/>
  <c r="BC8" i="45"/>
  <c r="BD8" i="45"/>
  <c r="BE8" i="45"/>
  <c r="AV8" i="45"/>
  <c r="AV7" i="45"/>
  <c r="AV6" i="45"/>
  <c r="AV5" i="45"/>
  <c r="AG5" i="45"/>
  <c r="AH5" i="45"/>
  <c r="AI5" i="45"/>
  <c r="AJ5" i="45"/>
  <c r="AK5" i="45"/>
  <c r="AL5" i="45"/>
  <c r="AM5" i="45"/>
  <c r="AN5" i="45"/>
  <c r="AO5" i="45"/>
  <c r="AP5" i="45"/>
  <c r="AQ5" i="45"/>
  <c r="AG6" i="45"/>
  <c r="AH6" i="45"/>
  <c r="AI6" i="45"/>
  <c r="AJ6" i="45"/>
  <c r="AK6" i="45"/>
  <c r="AL6" i="45"/>
  <c r="AM6" i="45"/>
  <c r="AN6" i="45"/>
  <c r="AO6" i="45"/>
  <c r="AP6" i="45"/>
  <c r="AQ6" i="45"/>
  <c r="AG7" i="45"/>
  <c r="AH7" i="45"/>
  <c r="AI7" i="45"/>
  <c r="AJ7" i="45"/>
  <c r="AK7" i="45"/>
  <c r="AL7" i="45"/>
  <c r="AM7" i="45"/>
  <c r="AN7" i="45"/>
  <c r="AO7" i="45"/>
  <c r="AP7" i="45"/>
  <c r="AQ7" i="45"/>
  <c r="AG8" i="45"/>
  <c r="AH8" i="45"/>
  <c r="AI8" i="45"/>
  <c r="AJ8" i="45"/>
  <c r="AK8" i="45"/>
  <c r="AL8" i="45"/>
  <c r="AM8" i="45"/>
  <c r="AN8" i="45"/>
  <c r="AO8" i="45"/>
  <c r="AP8" i="45"/>
  <c r="AQ8" i="45"/>
  <c r="AF8" i="45"/>
  <c r="AF7" i="45"/>
  <c r="AF6" i="45"/>
  <c r="AF5" i="45"/>
  <c r="U5" i="45"/>
  <c r="V5" i="45"/>
  <c r="W5" i="45"/>
  <c r="Y5" i="45"/>
  <c r="Z5" i="45"/>
  <c r="AA5" i="45"/>
  <c r="U6" i="45"/>
  <c r="V6" i="45"/>
  <c r="W6" i="45"/>
  <c r="Y6" i="45"/>
  <c r="Z6" i="45"/>
  <c r="AA6" i="45"/>
  <c r="U7" i="45"/>
  <c r="V7" i="45"/>
  <c r="W7" i="45"/>
  <c r="Y7" i="45"/>
  <c r="Z7" i="45"/>
  <c r="AA7" i="45"/>
  <c r="U8" i="45"/>
  <c r="V8" i="45"/>
  <c r="W8" i="45"/>
  <c r="Y8" i="45"/>
  <c r="Z8" i="45"/>
  <c r="AA8" i="45"/>
  <c r="T8" i="45"/>
  <c r="T7" i="45"/>
  <c r="T6" i="45"/>
  <c r="T5" i="45"/>
  <c r="N5" i="45"/>
  <c r="N6" i="45"/>
  <c r="N7" i="45"/>
  <c r="N8" i="45"/>
  <c r="M8" i="45"/>
  <c r="M7" i="45"/>
  <c r="M6" i="45"/>
  <c r="M5" i="45"/>
  <c r="E5" i="45"/>
  <c r="F5" i="45"/>
  <c r="G5" i="45"/>
  <c r="E6" i="45"/>
  <c r="F6" i="45"/>
  <c r="G6" i="45"/>
  <c r="E7" i="45"/>
  <c r="F7" i="45"/>
  <c r="G7" i="45"/>
  <c r="E8" i="45"/>
  <c r="F8" i="45"/>
  <c r="G8" i="45"/>
  <c r="D8" i="45"/>
  <c r="D7" i="45"/>
  <c r="D6" i="45"/>
  <c r="D5" i="45"/>
  <c r="BV8" i="45"/>
  <c r="BU8" i="45"/>
  <c r="E5" i="23"/>
  <c r="F5" i="23"/>
  <c r="G5" i="23"/>
  <c r="H5" i="23"/>
  <c r="S5" i="23"/>
  <c r="T5" i="23"/>
  <c r="U5" i="23"/>
  <c r="V5" i="23"/>
  <c r="W5" i="23"/>
  <c r="X5" i="23"/>
  <c r="Y5" i="23"/>
  <c r="AE5" i="23"/>
  <c r="AF5" i="23"/>
  <c r="AG5" i="23"/>
  <c r="AH5" i="23"/>
  <c r="AN5" i="23"/>
  <c r="AO5" i="23"/>
  <c r="AP5" i="23"/>
  <c r="AQ5" i="23"/>
  <c r="AR5" i="23"/>
  <c r="AS5" i="23"/>
  <c r="AT5" i="23"/>
  <c r="AU5" i="23"/>
  <c r="E6" i="23"/>
  <c r="F6" i="23"/>
  <c r="G6" i="23"/>
  <c r="H6" i="23"/>
  <c r="S6" i="23"/>
  <c r="T6" i="23"/>
  <c r="U6" i="23"/>
  <c r="V6" i="23"/>
  <c r="W6" i="23"/>
  <c r="X6" i="23"/>
  <c r="Y6" i="23"/>
  <c r="AE6" i="23"/>
  <c r="AF6" i="23"/>
  <c r="AG6" i="23"/>
  <c r="AH6" i="23"/>
  <c r="E7" i="23"/>
  <c r="F7" i="23"/>
  <c r="G7" i="23"/>
  <c r="H7" i="23"/>
  <c r="S7" i="23"/>
  <c r="T7" i="23"/>
  <c r="U7" i="23"/>
  <c r="V7" i="23"/>
  <c r="W7" i="23"/>
  <c r="X7" i="23"/>
  <c r="Y7" i="23"/>
  <c r="AE7" i="23"/>
  <c r="AF7" i="23"/>
  <c r="AG7" i="23"/>
  <c r="AH7" i="23"/>
  <c r="E8" i="23"/>
  <c r="F8" i="23"/>
  <c r="G8" i="23"/>
  <c r="H8" i="23"/>
  <c r="S8" i="23"/>
  <c r="T8" i="23"/>
  <c r="U8" i="23"/>
  <c r="V8" i="23"/>
  <c r="W8" i="23"/>
  <c r="X8" i="23"/>
  <c r="Y8" i="23"/>
  <c r="AE8" i="23"/>
  <c r="AF8" i="23"/>
  <c r="AG8" i="23"/>
  <c r="AH8" i="23"/>
  <c r="F8" i="41"/>
  <c r="K7" i="41"/>
  <c r="M31" i="13"/>
  <c r="M32" i="13"/>
  <c r="Q31" i="13"/>
  <c r="S31" i="13"/>
  <c r="Q32" i="13"/>
  <c r="S32" i="13"/>
  <c r="C7" i="41"/>
  <c r="U4" i="13"/>
  <c r="I8" i="41"/>
  <c r="U5" i="13"/>
  <c r="U6" i="13"/>
  <c r="U7" i="13"/>
  <c r="U8" i="13"/>
  <c r="U9" i="13"/>
  <c r="U10" i="13"/>
  <c r="U11" i="13"/>
  <c r="U12" i="13"/>
  <c r="U13" i="13"/>
  <c r="U14" i="13"/>
  <c r="U15" i="13"/>
  <c r="U16" i="13"/>
  <c r="U17" i="13"/>
  <c r="U18" i="13"/>
  <c r="U19" i="13"/>
  <c r="U20" i="13"/>
  <c r="U21" i="13"/>
  <c r="U22" i="13"/>
  <c r="U23" i="13"/>
  <c r="U24" i="13"/>
  <c r="U25" i="13"/>
  <c r="U26" i="13"/>
  <c r="U27" i="13"/>
  <c r="U28" i="13"/>
  <c r="U29" i="13"/>
  <c r="E7" i="39"/>
  <c r="M7" i="41"/>
  <c r="B29" i="40"/>
  <c r="C8" i="41"/>
  <c r="P10" i="40"/>
  <c r="AE6" i="40"/>
  <c r="Q10" i="40"/>
  <c r="D4" i="39"/>
  <c r="M8" i="41"/>
  <c r="L8" i="41"/>
  <c r="K8" i="41"/>
  <c r="J8" i="41"/>
  <c r="H8" i="41"/>
  <c r="G8" i="41"/>
  <c r="E8" i="41"/>
  <c r="D8" i="41"/>
  <c r="L7" i="41"/>
  <c r="J7" i="41"/>
  <c r="I7" i="41"/>
  <c r="H7" i="41"/>
  <c r="G7" i="41"/>
  <c r="F7" i="41"/>
  <c r="E7" i="41"/>
  <c r="D7" i="41"/>
  <c r="AE14" i="40"/>
  <c r="AE13" i="40"/>
  <c r="AE12" i="40"/>
  <c r="AE11" i="40"/>
  <c r="AE10" i="40"/>
  <c r="AE9" i="40"/>
  <c r="AE8" i="40"/>
  <c r="AE7" i="40"/>
  <c r="AE5" i="40"/>
  <c r="K30" i="40"/>
  <c r="J30" i="40"/>
  <c r="I30" i="40"/>
  <c r="H30" i="40"/>
  <c r="G30" i="40"/>
  <c r="F30" i="40"/>
  <c r="E30" i="40"/>
  <c r="D30" i="40"/>
  <c r="C30" i="40"/>
  <c r="B30" i="40"/>
  <c r="K29" i="40"/>
  <c r="J29" i="40"/>
  <c r="I29" i="40"/>
  <c r="H29" i="40"/>
  <c r="G29" i="40"/>
  <c r="F29" i="40"/>
  <c r="E29" i="40"/>
  <c r="D29" i="40"/>
  <c r="C29" i="40"/>
  <c r="T11" i="40"/>
  <c r="S11" i="40"/>
  <c r="R11" i="40"/>
  <c r="Q11" i="40"/>
  <c r="P11" i="40"/>
  <c r="T10" i="40"/>
  <c r="S10" i="40"/>
  <c r="R10" i="40"/>
  <c r="E14" i="39"/>
  <c r="D14" i="39"/>
  <c r="F13" i="39"/>
  <c r="E13" i="39"/>
  <c r="D13" i="39"/>
  <c r="F12" i="39"/>
  <c r="E12" i="39"/>
  <c r="D12" i="39"/>
  <c r="F11" i="39"/>
  <c r="E11" i="39"/>
  <c r="D11" i="39"/>
  <c r="F10" i="39"/>
  <c r="E10" i="39"/>
  <c r="D10" i="39"/>
  <c r="F9" i="39"/>
  <c r="E9" i="39"/>
  <c r="D9" i="39"/>
  <c r="F8" i="39"/>
  <c r="E8" i="39"/>
  <c r="D8" i="39"/>
  <c r="F7" i="39"/>
  <c r="D7" i="39"/>
  <c r="F6" i="39"/>
  <c r="E6" i="39"/>
  <c r="D6" i="39"/>
  <c r="F4" i="39"/>
  <c r="E4" i="39"/>
  <c r="C117" i="17"/>
  <c r="C108" i="17"/>
  <c r="C92" i="17"/>
  <c r="C80" i="17"/>
  <c r="C78" i="17"/>
  <c r="C71" i="17"/>
  <c r="C52" i="17"/>
  <c r="C27" i="17"/>
  <c r="C16" i="17"/>
  <c r="C6" i="17"/>
  <c r="L9" i="41" l="1"/>
  <c r="M9" i="41"/>
  <c r="K9" i="41"/>
  <c r="D9" i="41"/>
  <c r="E9" i="41"/>
  <c r="F9" i="41"/>
  <c r="C9" i="41"/>
  <c r="I9" i="41"/>
  <c r="G9" i="41"/>
  <c r="H9" i="41"/>
  <c r="J9" i="41"/>
  <c r="U32" i="13"/>
  <c r="U3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05AD4322-30F9-4E4D-B88A-B191840AB334}">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Tjede Funk</author>
    <author xml:space="preserve"> Gari, Sara</author>
  </authors>
  <commentList>
    <comment ref="A1" authorId="0" shapeId="0" xr:uid="{B28E7CD2-F97F-4A87-B281-E5FE8D52DF71}">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A30" authorId="0" shapeId="0" xr:uid="{7278B22F-B12B-45EC-8FB2-DB212838F7CC}">
      <text>
        <r>
          <rPr>
            <b/>
            <sz val="9"/>
            <color indexed="81"/>
            <rFont val="Tahoma"/>
            <family val="2"/>
          </rPr>
          <t>Tjede Funk:</t>
        </r>
        <r>
          <rPr>
            <sz val="9"/>
            <color indexed="81"/>
            <rFont val="Tahoma"/>
            <family val="2"/>
          </rPr>
          <t xml:space="preserve">
Note that in R4 the national average is only based on 26 provinces.</t>
        </r>
      </text>
    </comment>
    <comment ref="U30" authorId="1" shapeId="0" xr:uid="{DE6AD64F-A6E6-49D1-B54F-B4BF497BC4B0}">
      <text>
        <r>
          <rPr>
            <b/>
            <sz val="9"/>
            <color indexed="81"/>
            <rFont val="Tahoma"/>
            <family val="2"/>
          </rPr>
          <t xml:space="preserve"> 40% structural + 40% Content+ 20% Quality</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1" authorId="0" shapeId="0" xr:uid="{6475128F-6B4D-49D2-B94B-C42D009A9622}">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K38" authorId="0" shapeId="0" xr:uid="{0BDF20D4-E1A1-4002-A4A6-D83BF7979AF7}">
      <text>
        <r>
          <rPr>
            <b/>
            <sz val="9"/>
            <color indexed="81"/>
            <rFont val="Tahoma"/>
            <family val="2"/>
          </rPr>
          <t>Tjede Funk:</t>
        </r>
        <r>
          <rPr>
            <sz val="9"/>
            <color indexed="81"/>
            <rFont val="Tahoma"/>
            <family val="2"/>
          </rPr>
          <t xml:space="preserve">
Note that in R4 the national average is only based on 26 provinces.</t>
        </r>
      </text>
    </comment>
    <comment ref="L38" authorId="0" shapeId="0" xr:uid="{4E0B9478-777A-4DBB-B624-72CBBD161D15}">
      <text>
        <r>
          <rPr>
            <b/>
            <sz val="9"/>
            <color indexed="81"/>
            <rFont val="Tahoma"/>
            <family val="2"/>
          </rPr>
          <t>Tjede Funk:</t>
        </r>
        <r>
          <rPr>
            <sz val="9"/>
            <color indexed="81"/>
            <rFont val="Tahoma"/>
            <family val="2"/>
          </rPr>
          <t xml:space="preserve">
Note that in R4 the national average is only based on 26 provinces.</t>
        </r>
      </text>
    </comment>
    <comment ref="R38" authorId="0" shapeId="0" xr:uid="{8B08C9EC-1DC8-465D-AF81-EDE9E438B90D}">
      <text>
        <r>
          <rPr>
            <b/>
            <sz val="9"/>
            <color indexed="81"/>
            <rFont val="Tahoma"/>
            <family val="2"/>
          </rPr>
          <t>Tjede Funk:</t>
        </r>
        <r>
          <rPr>
            <sz val="9"/>
            <color indexed="81"/>
            <rFont val="Tahoma"/>
            <family val="2"/>
          </rPr>
          <t xml:space="preserve">
Note that in R4 the national average is only based on 26 provinces.</t>
        </r>
      </text>
    </comment>
    <comment ref="AC38" authorId="0" shapeId="0" xr:uid="{4B6EF3CD-CDF2-4073-A592-E9D6FD68D914}">
      <text>
        <r>
          <rPr>
            <b/>
            <sz val="9"/>
            <color indexed="81"/>
            <rFont val="Tahoma"/>
            <family val="2"/>
          </rPr>
          <t>Tjede Funk:</t>
        </r>
        <r>
          <rPr>
            <sz val="9"/>
            <color indexed="81"/>
            <rFont val="Tahoma"/>
            <family val="2"/>
          </rPr>
          <t xml:space="preserve">
Note that in R4 the national average is only based on 26 provinces.</t>
        </r>
      </text>
    </comment>
    <comment ref="AD38" authorId="0" shapeId="0" xr:uid="{7800823A-6DFA-4E8C-A0A0-6D177CE95CFB}">
      <text>
        <r>
          <rPr>
            <b/>
            <sz val="9"/>
            <color indexed="81"/>
            <rFont val="Tahoma"/>
            <family val="2"/>
          </rPr>
          <t>Tjede Funk:</t>
        </r>
        <r>
          <rPr>
            <sz val="9"/>
            <color indexed="81"/>
            <rFont val="Tahoma"/>
            <family val="2"/>
          </rPr>
          <t xml:space="preserve">
Note that in R4 the national average is only based on 26 provinces.</t>
        </r>
      </text>
    </comment>
    <comment ref="AJ38" authorId="0" shapeId="0" xr:uid="{66793C56-B256-472A-A93A-B49B3453F0B8}">
      <text>
        <r>
          <rPr>
            <b/>
            <sz val="9"/>
            <color indexed="81"/>
            <rFont val="Tahoma"/>
            <family val="2"/>
          </rPr>
          <t>Tjede Funk:</t>
        </r>
        <r>
          <rPr>
            <sz val="9"/>
            <color indexed="81"/>
            <rFont val="Tahoma"/>
            <family val="2"/>
          </rPr>
          <t xml:space="preserve">
Note that in R4 the national average is only based on 26 provinces.</t>
        </r>
      </text>
    </comment>
    <comment ref="AU38" authorId="0" shapeId="0" xr:uid="{CD4C070F-F8DA-4A76-BD79-6E886DAB7D92}">
      <text>
        <r>
          <rPr>
            <b/>
            <sz val="9"/>
            <color indexed="81"/>
            <rFont val="Tahoma"/>
            <family val="2"/>
          </rPr>
          <t>Tjede Funk:</t>
        </r>
        <r>
          <rPr>
            <sz val="9"/>
            <color indexed="81"/>
            <rFont val="Tahoma"/>
            <family val="2"/>
          </rPr>
          <t xml:space="preserve">
Note that in R4 the national average is only based on 26 provinces.</t>
        </r>
      </text>
    </comment>
    <comment ref="AV38" authorId="0" shapeId="0" xr:uid="{5CDC8D1E-A767-4C99-B0C1-6940B980EA28}">
      <text>
        <r>
          <rPr>
            <b/>
            <sz val="9"/>
            <color indexed="81"/>
            <rFont val="Tahoma"/>
            <family val="2"/>
          </rPr>
          <t>Tjede Funk:</t>
        </r>
        <r>
          <rPr>
            <sz val="9"/>
            <color indexed="81"/>
            <rFont val="Tahoma"/>
            <family val="2"/>
          </rPr>
          <t xml:space="preserve">
Note that in R4 the national average is only based on 26 provinces.</t>
        </r>
      </text>
    </comment>
    <comment ref="BB38" authorId="0" shapeId="0" xr:uid="{CAABFC79-32EF-452E-B3FE-7C8C20FA37FA}">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C1" authorId="0" shapeId="0" xr:uid="{75276492-B121-43EE-88DB-2B516568430B}">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2" authorId="0" shapeId="0" xr:uid="{B9179D44-5C60-4E74-9677-98EF38A16564}">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2" authorId="0" shapeId="0" xr:uid="{182B6E68-0BBB-4910-9F7D-39686330DBB1}">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tc={B568D857-CB4B-4720-9ED6-7332AC70C744}</author>
  </authors>
  <commentList>
    <comment ref="C2" authorId="0" shapeId="0" xr:uid="{B568D857-CB4B-4720-9ED6-7332AC70C744}">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tc={5EB61FD6-BB44-46A4-907B-3F0F70C80F2E}</author>
  </authors>
  <commentList>
    <comment ref="C1" authorId="0" shapeId="0" xr:uid="{5EB61FD6-BB44-46A4-907B-3F0F70C80F2E}">
      <text>
        <t>[Threaded comment]
Your version of Excel allows you to read this threaded comment; however, any edits to it will get removed if the file is opened in a newer version of Excel. Learn more: https://go.microsoft.com/fwlink/?linkid=870924
Comment:
    This will only include BHC, CHC and DH</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tc={EF744DDA-AF1B-4D4D-A8EF-F1EAAA1C6143}</author>
  </authors>
  <commentList>
    <comment ref="B3" authorId="0" shapeId="0" xr:uid="{EF744DDA-AF1B-4D4D-A8EF-F1EAAA1C6143}">
      <text>
        <t>[Threaded comment]
Your version of Excel allows you to read this threaded comment; however, any edits to it will get removed if the file is opened in a newer version of Excel. Learn more: https://go.microsoft.com/fwlink/?linkid=870924
Comment:
    Includes data from all facility types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C1" authorId="0" shapeId="0" xr:uid="{A7851B14-BD22-4BE4-900C-B723A36A982D}">
      <text>
        <r>
          <rPr>
            <b/>
            <sz val="9"/>
            <color indexed="81"/>
            <rFont val="Tahoma"/>
            <family val="2"/>
          </rPr>
          <t>Tjede Funk:</t>
        </r>
        <r>
          <rPr>
            <sz val="9"/>
            <color indexed="81"/>
            <rFont val="Tahoma"/>
            <family val="2"/>
          </rPr>
          <t xml:space="preserve">
Note that in R4 the national average is only based on 26 provinces.</t>
        </r>
      </text>
    </comment>
    <comment ref="C14" authorId="0" shapeId="0" xr:uid="{824D7687-2DC8-4025-B2F1-8AA4138D5FD5}">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Tjede Funk</author>
    <author>tc={D76F5AB1-CC6E-4B3A-A556-751600068120}</author>
  </authors>
  <commentList>
    <comment ref="A3" authorId="0" shapeId="0" xr:uid="{D6C6A26F-EA87-45F1-9AE4-C038CAF661D8}">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T3" authorId="1" shapeId="0" xr:uid="{D76F5AB1-CC6E-4B3A-A556-751600068120}">
      <text>
        <t>[Threaded comment]
Your version of Excel allows you to read this threaded comment; however, any edits to it will get removed if the file is opened in a newer version of Excel. Learn more: https://go.microsoft.com/fwlink/?linkid=870924
Comment:
    Scores &lt;0 are possible for this domain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F455131F-600E-4CD4-9497-8B507098868D}">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A4" authorId="0" shapeId="0" xr:uid="{B2D3D226-7A83-434A-97D3-01959159412E}">
      <text>
        <r>
          <rPr>
            <b/>
            <sz val="9"/>
            <color indexed="81"/>
            <rFont val="Tahoma"/>
            <family val="2"/>
          </rPr>
          <t>Tjede Funk:</t>
        </r>
        <r>
          <rPr>
            <sz val="9"/>
            <color indexed="81"/>
            <rFont val="Tahoma"/>
            <family val="2"/>
          </rPr>
          <t xml:space="preserve">
Note that in R4 the national average is only based on 26 provinces.</t>
        </r>
      </text>
    </comment>
    <comment ref="J4" authorId="0" shapeId="0" xr:uid="{9549DF7B-6433-4EFE-8A66-75A197B6D26E}">
      <text>
        <r>
          <rPr>
            <b/>
            <sz val="9"/>
            <color indexed="81"/>
            <rFont val="Tahoma"/>
            <family val="2"/>
          </rPr>
          <t>Tjede Funk:</t>
        </r>
        <r>
          <rPr>
            <sz val="9"/>
            <color indexed="81"/>
            <rFont val="Tahoma"/>
            <family val="2"/>
          </rPr>
          <t xml:space="preserve">
Note that in R4 the national average is only based on 26 provinces.</t>
        </r>
      </text>
    </comment>
    <comment ref="P4" authorId="0" shapeId="0" xr:uid="{01F8FB7F-97D7-4CAE-AC60-6075D7EF5FF5}">
      <text>
        <r>
          <rPr>
            <b/>
            <sz val="9"/>
            <color indexed="81"/>
            <rFont val="Tahoma"/>
            <family val="2"/>
          </rPr>
          <t>Tjede Funk:</t>
        </r>
        <r>
          <rPr>
            <sz val="9"/>
            <color indexed="81"/>
            <rFont val="Tahoma"/>
            <family val="2"/>
          </rPr>
          <t xml:space="preserve">
Note that in R4 the national average is only based on 26 provinces.</t>
        </r>
      </text>
    </comment>
    <comment ref="AA4" authorId="0" shapeId="0" xr:uid="{F79D7E60-A7B1-407A-BA16-76A4CC9F616B}">
      <text>
        <r>
          <rPr>
            <b/>
            <sz val="9"/>
            <color indexed="81"/>
            <rFont val="Tahoma"/>
            <family val="2"/>
          </rPr>
          <t>Tjede Funk:</t>
        </r>
        <r>
          <rPr>
            <sz val="9"/>
            <color indexed="81"/>
            <rFont val="Tahoma"/>
            <family val="2"/>
          </rPr>
          <t xml:space="preserve">
Note that in R4 the national average is only based on 26 provinces.</t>
        </r>
      </text>
    </comment>
    <comment ref="AJ4" authorId="0" shapeId="0" xr:uid="{6E763ADC-FCC9-4738-9E38-2D32E2EDAB43}">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E4B081C6-C96A-4583-810B-779D358F7FA3}">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FA628540-AB3E-40DB-AE64-34EB56EF1612}">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 ref="M3" authorId="0" shapeId="0" xr:uid="{02B9E01D-7FC0-4B6E-ADCD-E90F2AA084A5}">
      <text>
        <r>
          <rPr>
            <b/>
            <sz val="12"/>
            <color indexed="81"/>
            <rFont val="Tahoma"/>
            <family val="2"/>
          </rPr>
          <t>Tjede Funk:</t>
        </r>
        <r>
          <rPr>
            <sz val="12"/>
            <color indexed="81"/>
            <rFont val="Tahoma"/>
            <family val="2"/>
          </rPr>
          <t xml:space="preserve">
Note that this variable was in R3 changed to an unweighted percentage. In previous rounds it was weighted, where 40% was equivalent to 100%. Please consider that when comparing to previous rounds. </t>
        </r>
      </text>
    </comment>
    <comment ref="A4" authorId="0" shapeId="0" xr:uid="{A5B2A798-E927-4176-8256-3930EA080A10}">
      <text>
        <r>
          <rPr>
            <b/>
            <sz val="9"/>
            <color indexed="81"/>
            <rFont val="Tahoma"/>
            <family val="2"/>
          </rPr>
          <t>Tjede Funk:</t>
        </r>
        <r>
          <rPr>
            <sz val="9"/>
            <color indexed="81"/>
            <rFont val="Tahoma"/>
            <family val="2"/>
          </rPr>
          <t xml:space="preserve">
Note that in R4 the national average is only based on 26 provinces.</t>
        </r>
      </text>
    </comment>
    <comment ref="J4" authorId="0" shapeId="0" xr:uid="{B9D6D520-C8FA-425E-AAA2-1498154890A2}">
      <text>
        <r>
          <rPr>
            <b/>
            <sz val="9"/>
            <color indexed="81"/>
            <rFont val="Tahoma"/>
            <family val="2"/>
          </rPr>
          <t>Tjede Funk:</t>
        </r>
        <r>
          <rPr>
            <sz val="9"/>
            <color indexed="81"/>
            <rFont val="Tahoma"/>
            <family val="2"/>
          </rPr>
          <t xml:space="preserve">
Note that in R4 the national average is only based on 26 provinces.</t>
        </r>
      </text>
    </comment>
    <comment ref="Q4" authorId="0" shapeId="0" xr:uid="{05D9BF73-228A-4FD0-BE3D-33A4C6D7D67A}">
      <text>
        <r>
          <rPr>
            <b/>
            <sz val="9"/>
            <color indexed="81"/>
            <rFont val="Tahoma"/>
            <family val="2"/>
          </rPr>
          <t>Tjede Funk:</t>
        </r>
        <r>
          <rPr>
            <sz val="9"/>
            <color indexed="81"/>
            <rFont val="Tahoma"/>
            <family val="2"/>
          </rPr>
          <t xml:space="preserve">
Note that in R4 the national average is only based on 26 provinces.</t>
        </r>
      </text>
    </comment>
    <comment ref="AC4" authorId="0" shapeId="0" xr:uid="{D73E17D7-31BB-4E37-AA3A-EB9D786817A1}">
      <text>
        <r>
          <rPr>
            <b/>
            <sz val="9"/>
            <color indexed="81"/>
            <rFont val="Tahoma"/>
            <family val="2"/>
          </rPr>
          <t>Tjede Funk:</t>
        </r>
        <r>
          <rPr>
            <sz val="9"/>
            <color indexed="81"/>
            <rFont val="Tahoma"/>
            <family val="2"/>
          </rPr>
          <t xml:space="preserve">
Note that in R4 the national average is only based on 26 provinces.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Tjede Funk</author>
  </authors>
  <commentList>
    <comment ref="A3" authorId="0" shapeId="0" xr:uid="{423EE6AA-5175-4ABC-9D2D-0CEDE1B483BD}">
      <text>
        <r>
          <rPr>
            <b/>
            <sz val="9"/>
            <color indexed="81"/>
            <rFont val="Tahoma"/>
            <family val="2"/>
          </rPr>
          <t>Tjede Funk:</t>
        </r>
        <r>
          <rPr>
            <sz val="9"/>
            <color indexed="81"/>
            <rFont val="Tahoma"/>
            <family val="2"/>
          </rPr>
          <t xml:space="preserve">
Note that the SP for Paktya changed in January 2025, meaning that the SP during the evaluation period and during the day of visit are not the same. </t>
        </r>
      </text>
    </comment>
  </commentList>
</comments>
</file>

<file path=xl/sharedStrings.xml><?xml version="1.0" encoding="utf-8"?>
<sst xmlns="http://schemas.openxmlformats.org/spreadsheetml/2006/main" count="28624" uniqueCount="4022">
  <si>
    <t xml:space="preserve">Worksheet </t>
  </si>
  <si>
    <t>Content</t>
  </si>
  <si>
    <t>Indicator list-QQC structural</t>
  </si>
  <si>
    <t>Definition and descripton of indicators</t>
  </si>
  <si>
    <t>1-SAMPLE</t>
  </si>
  <si>
    <t>Overview of planned and achieved sample</t>
  </si>
  <si>
    <t>2-QQM_SUMMARY_SHEET</t>
  </si>
  <si>
    <t>Summary overview of the QQM indicators, per domain and province</t>
  </si>
  <si>
    <t>3-QQM_BY ROUND</t>
  </si>
  <si>
    <t>Provincial QQM structural, outcome and content quality scores, per round and province</t>
  </si>
  <si>
    <t>Annex 1a - QQC_Structural_PROV</t>
  </si>
  <si>
    <t>Detailed overview of the scores for QQC structural quality, per province</t>
  </si>
  <si>
    <t>Annex1b-QQC_Structural_FAC</t>
  </si>
  <si>
    <t>Detailed overview of the scores for QQC structural quality, per health facility</t>
  </si>
  <si>
    <t>Annex1c-QQC_Tracerdrugs_PROV</t>
  </si>
  <si>
    <t>Detailed overview of availability of tracer drugs, per province</t>
  </si>
  <si>
    <t>Annex2a-QQM_EXIT&amp;VIGNETTES_PROV</t>
  </si>
  <si>
    <t>Detailed overview of the scores for QQM outcome quality (exit interviews) and content of care(vignettes) indicators, per province</t>
  </si>
  <si>
    <t>Annex 2b-QQC_EXIT&amp;VIGNETTES_FAC</t>
  </si>
  <si>
    <t>Detailed overview of the scores for QQM outcome quality (exit interviews) and content of care(vignettes) indicators, per health facility</t>
  </si>
  <si>
    <t>Annex 3a-HEALTH WORKERS - PROV</t>
  </si>
  <si>
    <t>Detailed overview of the scores for non-QQM indicators on Staffing (Salary payment, Health staff availability, GBV training, HW satisfaction), per province</t>
  </si>
  <si>
    <t>Annex 3b-HEALTH WORKERS - FAC</t>
  </si>
  <si>
    <t>Detailed overview of the scores for non-QQM indicators on Staffing (Salary payment, Health staff availability, GBV training, HW satisfaction), per health facility</t>
  </si>
  <si>
    <t>Annex 4a-MSS - PROV'!A1</t>
  </si>
  <si>
    <t xml:space="preserve">Detailed overview of the scores for Minimum Standard of Services for health facilities not covered by QQM ( i.e SHC, RH/PH), per province </t>
  </si>
  <si>
    <t>Annex 4b-MSS - FAC'!A1</t>
  </si>
  <si>
    <t>Detailed overview of the scores for Minimum Standard of Services for health facilities not covered by QQM ( i.e SHC, RH/PH), per health facility</t>
  </si>
  <si>
    <t>Overview of indicators by assessment</t>
  </si>
  <si>
    <t># indicator</t>
  </si>
  <si>
    <t>Indicator Name</t>
  </si>
  <si>
    <t>Sub-indicator / Description</t>
  </si>
  <si>
    <t>Max Points (YES)</t>
  </si>
  <si>
    <t>Max Points (from DO files)</t>
  </si>
  <si>
    <t>Applicable at HFs</t>
  </si>
  <si>
    <t>QQM Structural Quality - Domain 1: General Management</t>
  </si>
  <si>
    <t>SQ 1.1</t>
  </si>
  <si>
    <t xml:space="preserve">Presence of map of health facility catchment area </t>
  </si>
  <si>
    <t>A visually represented health map is displayed on the notice board of a health facility. The map includes population data, details of other health facilities in the area, villages, main roads, natural barriers, special points and distance (in kms) and a legend/key showing specific age group population adjusted yearly (&lt;1, &lt;5, WCBA).</t>
  </si>
  <si>
    <t>BHC, CHC, DH</t>
  </si>
  <si>
    <t>SQ 1.2</t>
  </si>
  <si>
    <t xml:space="preserve">Proper filing system </t>
  </si>
  <si>
    <t>1.2.1 In a filing cabinet/shelf/cupboard, in the designated service, and accessible by the officer on duty (except individual staff files)</t>
  </si>
  <si>
    <t>1.2.2 Minimum documents to be filled in the Administrative office (i) HMIS and (ii) clinic visit book</t>
  </si>
  <si>
    <t>1.2.3 (iii)Attendance sheet and (iv) monthly, quarterly and annual activity plans and (v) staff meeting notebook</t>
  </si>
  <si>
    <t>1.2.4 (vi) Financial file and (vii) community contribution register</t>
  </si>
  <si>
    <t>1.2.5 Minimum documents to be filled include CHS room: (ix) CHW supervision visit book; (x) clinic health committee meeting minutes</t>
  </si>
  <si>
    <t>SQ 1.3</t>
  </si>
  <si>
    <t>Staff duty roster</t>
  </si>
  <si>
    <t xml:space="preserve">The staff duty roster is regularly updated and prominently displayed to both staff and patients. The roster includes the schedule for the current month, the assigned duties of each staff member and the phone numbers of on-duty staff. </t>
  </si>
  <si>
    <t>SQ 1.4</t>
  </si>
  <si>
    <t>Technical meetings</t>
  </si>
  <si>
    <t>Technical Meetings (Management Committee Meetings &amp; Clinical Staff Meetings) are scheduled on a monthly basis. QI committee meetings can alternate with clinical staff meetings; with 2 weeks between meetings. Minutes are taken during each meeting and include the date of the meeting, progress updates on the implementation of previous recommendations or actions, a list of new recommendations or decisions, and the chairman's signature. Records include three complete Clinical Staff Meetings and one quarterly Management Committee Meeting with detailed minutes.</t>
  </si>
  <si>
    <t>SQ 1.5</t>
  </si>
  <si>
    <t>Standard referral sheets</t>
  </si>
  <si>
    <t>At least 10 (empty) standard referral sheets are present during the evaluation</t>
  </si>
  <si>
    <t>SQ 1.6</t>
  </si>
  <si>
    <t>Availability of dedicated mobile phone for communication between health facility and general hospital</t>
  </si>
  <si>
    <t>A functional and charged mobile phone with a minimum call credit of AFS200. At minimum, the phone must store contact details of the Medical Director of the District Hospital, health facility staff, other Health Facility in-charges within the district, district health department, and the SP contact.</t>
  </si>
  <si>
    <t>SQ 1.7</t>
  </si>
  <si>
    <t>HMIS reports (sent to SP offices and MoPH)</t>
  </si>
  <si>
    <t>The transmission of HMIS reports occurs on a monthly basis, and a signed receipt of acknowledgement, both from the SP provincial offices and the MoPH is available.</t>
  </si>
  <si>
    <t>SQ 1.8</t>
  </si>
  <si>
    <t>HMIS reports (assessed concerning priority problems)</t>
  </si>
  <si>
    <t>Each quarter, four priority health problems are monitored and the data in the report has been updated until the month preceding the supervisor's visit. Additionally, the report includes a graphical representation of the health facility's quality score (presented in an "all or nothing" format). This score is derived from a monthly summary of the health problem classifications recorded in the General register at the end of each month.</t>
  </si>
  <si>
    <t>SQ 1.9</t>
  </si>
  <si>
    <t>Health Shura meetings</t>
  </si>
  <si>
    <t>Health Shura meetings are conducted on a monthly basis and meeting minutes are available. The monthly minutes include (i) the date of the meeting; (ii) a signed list of participants; (iii) follow-up of decisions taken during the previous meeting; (iv) a list of developed recommendations or decisions made; (v) signature of the chairman.</t>
  </si>
  <si>
    <t>QQM Structural Quality - Domain 2: Hygiene</t>
  </si>
  <si>
    <t>SQ 2.1</t>
  </si>
  <si>
    <t>Fence health facility available and well-maintained</t>
  </si>
  <si>
    <t>There is fencing or a wall (at least 1.5m in height) in good condition (no cracks) around the area of the health facility that can be closed at night (except riverine areas)</t>
  </si>
  <si>
    <t>SQ 2.2</t>
  </si>
  <si>
    <t>Garbage bin</t>
  </si>
  <si>
    <t xml:space="preserve"> The courtyard has a garbage bin with a lid that is easily accessible to clients, and it is not full at the time of the evaluation.</t>
  </si>
  <si>
    <t>SQ 2.3</t>
  </si>
  <si>
    <t>Latrines/toilets</t>
  </si>
  <si>
    <t xml:space="preserve">2.3.1	At least four water closet functional latrines/toilets (either the flushable squatting closet or the sitting closet) two for staff: Male and female, two for patients: Male and female. Toilets have a written and a pictorial sign. </t>
  </si>
  <si>
    <t xml:space="preserve">2.3.2	Floor without fissures			</t>
  </si>
  <si>
    <t xml:space="preserve">2.3.3	Recently cleaned without visible fecal matter			</t>
  </si>
  <si>
    <t xml:space="preserve">2.3.4	Door lockable from the inside, ceiling and super structure with roofing, without flies and no smell			</t>
  </si>
  <si>
    <t xml:space="preserve">2.3.5	Hand hygiene/ sinks are located at the toilets AND running water is available (either sourced from a container or from piped water supply) AND soap or liquid soap, or detergent available at the sink. </t>
  </si>
  <si>
    <t>SQ 2.4</t>
  </si>
  <si>
    <t>Showers</t>
  </si>
  <si>
    <t>2.4.1	At least two bathing facilities; one for men one for women (with floor without fissures, Door lockable from the inside, super structure with roofing) (in case of BHC one bathing facility (for women only); in case of CHC at least two; one for men and one for women)</t>
  </si>
  <si>
    <t xml:space="preserve">2.4.2	Bathing facility with running water, or container with at the least 20 L of water			</t>
  </si>
  <si>
    <t xml:space="preserve">2.4.3	Evacuation of the waste water in a sanitation pit			</t>
  </si>
  <si>
    <t>SQ 2.5</t>
  </si>
  <si>
    <t>Waste pit</t>
  </si>
  <si>
    <t xml:space="preserve">2.5.1	Waste disposal pit minimum 4 meters deep, lined with clay, concrete or brick or plastic, it is fenced and has a bright flag			</t>
  </si>
  <si>
    <t xml:space="preserve">2.5.2	The waste pit is a minimum of 15 meters from the health facility, minimum of 50 meters from a household, and 100 meters from a water source except in cases where the available surface area does not allow for these distances			</t>
  </si>
  <si>
    <t xml:space="preserve">2.5.3	Health Care Waste is not visible (covered by at the least 10 cm of soil or lime)			</t>
  </si>
  <si>
    <t xml:space="preserve">2.5.4	The health facility maintains a register indicating the date of the creation of the pit(s), and the location (s)			</t>
  </si>
  <si>
    <t>SQ 2.6</t>
  </si>
  <si>
    <t>Courtyard clean</t>
  </si>
  <si>
    <t>SQ 2.7</t>
  </si>
  <si>
    <t>Sterilization</t>
  </si>
  <si>
    <t xml:space="preserve">2.7.1	Sterilizer functional (eg Autoclave)			</t>
  </si>
  <si>
    <t xml:space="preserve">2.7.2	Sterilization protocol available and followed (medical personnel present can explain the protocol or demonstrate the process). When explaining the staff should at the least cover: (i) how items are arranged/packed; (ii) explain sterilization time for packed and unpacked items, and (iii) how to unload the items from the sterilizer			</t>
  </si>
  <si>
    <t>SQ 2.8</t>
  </si>
  <si>
    <t>Hygienic conditions assured during wound dressing and injections</t>
  </si>
  <si>
    <t xml:space="preserve">2.8 1	Yellow and Red Bins for medical waste with lid and foot pedal, lined with bag and not full			</t>
  </si>
  <si>
    <t xml:space="preserve">2.8.2	Security box for needles well positioned, and used (and not full)			</t>
  </si>
  <si>
    <t xml:space="preserve">2.8.3	Needle cutter available and used			</t>
  </si>
  <si>
    <t>2.8.4	Container/bowl with lid containing disinfectant used for putting used instruments</t>
  </si>
  <si>
    <t>SQ 2.9</t>
  </si>
  <si>
    <t>Disposal of Health Care Waste</t>
  </si>
  <si>
    <t>Waste is segregated into three bin categories for proper disposal in accordance with national norms. None of the bins should be full or over-flowing. 
i) Non-contaminated waste, which includes general or municipal waste such as food items, carton boxes, wrappings, and garbage are placed in lined Black Bins equipped with lids and foot pedals and the waste bin is not full; and,
ii) Contaminated health care waste, which includes infectious hazardous materials like used medical equipment, linens, gauze, syringes, catheter, iv cannula, gloves, serum bottles, and more are placed in cellophane-lined Yellow Bins with lids and foot pedals; and,
iii) Organic health care waste including body parts, placenta, removed teeth, body fluids, suction machine secretions, expired blood, and other biohazardous materials are placed in cellophane-lined Red Bins with lids and foot pedals; and,
iv) Availability of proper protective gear, including caps, masks, gumboots or enclosed shoes, plastic aprons, and thick plastic/rubber gloves.</t>
  </si>
  <si>
    <t>COVID-19 prevention</t>
  </si>
  <si>
    <t>2.10.1 i) Masks are available and used by staff
ii) Alcohol handwashing solution is available for staff and patients in at the least (i) OPD and (ii) MCH section and (iii) EPI			
iii) COVID-19 prevention posters visible for patients in waiting room for OPD, and consultation room, and MCH section, and EPI section</t>
  </si>
  <si>
    <t>QQM Structural Quality - Domain 3: OPD/ Curative consultations</t>
  </si>
  <si>
    <t>SQ 3.1</t>
  </si>
  <si>
    <t>Good conditions in waiting area</t>
  </si>
  <si>
    <t>Separate waiting area for women and men, sufficient benches and or chairs protected against sun and rain and waiting area is not inside the consultation room.</t>
  </si>
  <si>
    <t>SQ 3.2</t>
  </si>
  <si>
    <t>Drugs which are available free of charge displayed to the public</t>
  </si>
  <si>
    <t>Up-to-date list of free-of-charge drugs and items easily visible and displayed in the waiting area of the consultation room.</t>
  </si>
  <si>
    <t>SQ 3.3</t>
  </si>
  <si>
    <t>Waiting card (or token) system with numbers</t>
  </si>
  <si>
    <t>Existence and use of waiting card (or token) system with numbers</t>
  </si>
  <si>
    <t>SQ 3.4</t>
  </si>
  <si>
    <t>Consultation room in good condition</t>
  </si>
  <si>
    <t xml:space="preserve">3.4.1	
- Walls with durable materials well painted, floor paved with cement without fissures, undamaged ceiling			
- Consultation room and waiting space separated assuring confidentiality			
- Windows with curtains			
- Functional door with functional lock			
- Running water (tap or water dispenser) with handwashing soap/liquid and clean towel available and used between patients			</t>
  </si>
  <si>
    <t xml:space="preserve">3.4.2	Separate consultation room for women and for men (AND the second consultation room has the same criteria as the consultation room for women)			</t>
  </si>
  <si>
    <t>Alcohol handwashing solution is available for staff and patients in at the least (i) OPD and (ii) MCH section and (iii) EPI</t>
  </si>
  <si>
    <t>SQ 3.5</t>
  </si>
  <si>
    <t>Consultation room 24/7 light</t>
  </si>
  <si>
    <t xml:space="preserve">Good light source (e.g Electricity,  solar light, rechargeable lamp, or functioning kerosene lamp etc.)  present			</t>
  </si>
  <si>
    <t>SQ 3.6</t>
  </si>
  <si>
    <t>Consultations done by skilled staff</t>
  </si>
  <si>
    <t>The identification of consulting staff, including their names, ranks, and signatures, is recorded in the register.</t>
  </si>
  <si>
    <t>SQ 3.7</t>
  </si>
  <si>
    <t>Consulting staff well-dressed</t>
  </si>
  <si>
    <t>3.7.1	Consulting staff clothes and shoes are clean, and staff wears clean white blouse</t>
  </si>
  <si>
    <t xml:space="preserve">3.7.2	Consulting staff wears PPE (mask) against COVID-19			</t>
  </si>
  <si>
    <t>SQ 3.8</t>
  </si>
  <si>
    <t>Correct numbering of registers</t>
  </si>
  <si>
    <t xml:space="preserve">Entries in the register are correctly numbered, and totaled at the end of each month			</t>
  </si>
  <si>
    <t>SQ 3.9</t>
  </si>
  <si>
    <t>Service availability 24/7</t>
  </si>
  <si>
    <t>Services are available round the clock for CHC and for BHC 'on-call' situations. The supervisor verifies the register entries for the previous three Fridays. BHC provide evidence of their 'on-call' system through a publicly available and accessible schedule containing the contact details of the designated person on call.</t>
  </si>
  <si>
    <t>SQ 3.10</t>
  </si>
  <si>
    <t>Malaria protocol</t>
  </si>
  <si>
    <t>i) The malaria protocol is prominently displayed on the wall for easy access by staff members. It includes the national guidelines for diagnosing and treating both simple and severe malaria cases; and,
ii)During consultations, healthcare providers can proficiently explain the protocol, including treatment details for simple malaria (prescription, dosage, and duration) and treatment recommendations for severe malaria (prescription, dosage, and duration), without having to refer to the chart.</t>
  </si>
  <si>
    <t>SQ 3.11</t>
  </si>
  <si>
    <t>ARI WHO flow diagram</t>
  </si>
  <si>
    <t>The World Health Organization (WHO) flow diagram for Acute Respiratory Infections (ARI) should be displayed prominently on the wall and easily accessible for all staff members. During consultations, healthcare workers is able to explain the ARI protocol without relying on the chart. The protocol includes the following components:
(i) Diagnosis of Lower Respiratory Tract Infection (LRTI) in a child under five years of age, based on respiratory rate.
(ii) Treatment guidelines for Upper Respiratory Tract Infection (URTI), including prescription details, dosage, and duration.
(iii) Treatment guidelines for uncomplicated Lower Respiratory Tract Infection (LRTI), specifying the prescription, dosage, and duration.
(iv) Treatment guidelines for complicated Lower Respiratory Tract Infection (LRTI), including the prescription, initial dose via intramuscular injection, and referral procedures.</t>
  </si>
  <si>
    <t>SQ 3.12</t>
  </si>
  <si>
    <t>ARI protocol applied</t>
  </si>
  <si>
    <t>Examine the latest five cases of Acute Respiratory Infection (ARI) and assess the treatment according to the established protocol. Take note of recorded temperature, respiratory rate (RR), presence of cough (yes/no), and the definitive diagnosis (all or nothing).</t>
  </si>
  <si>
    <t>SQ 3.13</t>
  </si>
  <si>
    <t>Diarrhea WHO protocol</t>
  </si>
  <si>
    <t>The WHO's Diarrhea Protocol, prominently displayed and easily accessible to staff. During consultation the health worker is able to explain the following aspects without referring to the chart: (i) Diarrhea diagnosis in children under five years, categorized as A, B, or C; (ii) Treatment details for Category A (including ORS dosage and duration); (iii) Treatment guidelines for Category B (including ORS dosage and duration); (iv) Management of severe Category C cases (involving IV therapy, specifying the type and amount, along with ORS dosage and referral instructions).</t>
  </si>
  <si>
    <t>SQ 3.14</t>
  </si>
  <si>
    <t>Diarrhea protocol applied</t>
  </si>
  <si>
    <t>Examine the latest five cases of Diarrhea and assess the treatment according to the established protocol (all or nothing).</t>
  </si>
  <si>
    <t>SQ 3.15</t>
  </si>
  <si>
    <t>Proportion of consultations treated with antibiotics &lt;30%</t>
  </si>
  <si>
    <t>Examined last 30 cases in register, check diagnosis and calculate the rate (&lt; 10 cases) ( cases selected through systematic random sampling over the past three months)
Diagnosis rate calculated using:
Numerator: Total number of prescriptions where antibiotics is prescribed by the doctor / Denominator: Total number of visits (n=30)</t>
  </si>
  <si>
    <t>SQ 3.16</t>
  </si>
  <si>
    <t>Afghanistan National Standard Treatment guidelines primary level available in consultation rooms</t>
  </si>
  <si>
    <t>Availability of 'Afghanistan National Standard Treatment Guidelines' at primary-level health facilities.</t>
  </si>
  <si>
    <t>SQ 3.17</t>
  </si>
  <si>
    <t>Knowledge of tuberculosis presumptive case screening</t>
  </si>
  <si>
    <t>Select any available qualified medical staff, and check if they can state the questions for identifying presumptive TB cases and know what to do with the patients. 
1)"Do you currently have a cough?" If the answer is YES, proceed to the next question.
2) "For how long have you been experiencing this cough?" If the duration is MORE than two weeks, proceed to the next question.
3) "Is your cough productive? Does it produce phlegm or mucus?" If the answer is YES to all three questions, 
4) Collect a sputum sample from the patient and refer them to the TB diagnostic center for further evaluation and testing.</t>
  </si>
  <si>
    <t>SQ 3.18</t>
  </si>
  <si>
    <t>Stethoscope and BP machine available and functional</t>
  </si>
  <si>
    <t>The stethoscope and BP machine are both present and in working order. The nurse is able to assess the patient's blood pressure and review the readings.</t>
  </si>
  <si>
    <t>SQ 3.19</t>
  </si>
  <si>
    <t>Thermometer available and functional</t>
  </si>
  <si>
    <t>Thermometer is available and in working condition.</t>
  </si>
  <si>
    <t>SQ 3.20</t>
  </si>
  <si>
    <t>Otoscope available and functional</t>
  </si>
  <si>
    <t>Otoscope is available and in working condition.</t>
  </si>
  <si>
    <t>SQ 3.21</t>
  </si>
  <si>
    <t xml:space="preserve">Examination table with padding available </t>
  </si>
  <si>
    <t>A padded examination table fitted with a non-torn, plastic cover is specifically available for OPD consultations.</t>
  </si>
  <si>
    <t>SQ 3.22</t>
  </si>
  <si>
    <t>Weighing scale available and functional</t>
  </si>
  <si>
    <t>Functional weighing scale is readily available. Inspect in comparison with known weight of supervisor: after weighing, the balance should reset to zero.</t>
  </si>
  <si>
    <t>SQ 3.23</t>
  </si>
  <si>
    <t>Integrated Management of Childhood Illnesses strategy is applied</t>
  </si>
  <si>
    <t xml:space="preserve">The Integrated Management of Childhood Illnesses (IMCI) protocol is accessible within the consultation room. The last five IMCI cases are traced in the register and comply with the IMCI strategy (all five).	</t>
  </si>
  <si>
    <t>SQ 3.24</t>
  </si>
  <si>
    <t>Determination of nutritional status (weight, upper arm circumference, height)</t>
  </si>
  <si>
    <t>3.24.1	Determination of nutritional status of all children under 5 who come for consultation (Method: check the Growth Monitoring chart in the MCH handbook of five Randomly selected children under five at EXIT. All children under five should be monitored)</t>
  </si>
  <si>
    <t xml:space="preserve">3.24.2	Determination of nutritional status of all women with a sick child under 6 months of age (as above)			</t>
  </si>
  <si>
    <t xml:space="preserve">3.24.3	Stock of RUSF and RUTF is available			</t>
  </si>
  <si>
    <t>QQM Structural Quality - Domain 4: Family Planning</t>
  </si>
  <si>
    <t>SQ 4.1</t>
  </si>
  <si>
    <t>Qualified staff trained in Family Planning</t>
  </si>
  <si>
    <t xml:space="preserve">At least one qualified staff trained in Family Planning
(check certificate: original or photocopy certified by the training institution)		</t>
  </si>
  <si>
    <t>SQ 4.2</t>
  </si>
  <si>
    <t>Confidentiality in consultancy room assured</t>
  </si>
  <si>
    <t>Confidentiality is maintained within the consultancy room. The room ensures privacy with closed doors and windows covered by curtains or non-transparent glass.</t>
  </si>
  <si>
    <t>SQ 4.3</t>
  </si>
  <si>
    <t>Family planning methods available and visible</t>
  </si>
  <si>
    <t>i) In a demonstration box, a range of family planning methods is readily accessible and prominently displayed for potential users. All 6 items including condoms, both oral contraceptive pills (combined and progestin-only), injectables (DMPA IM and SC), implants, intrauterine devices (IUDs), and the Emergency Contraceptive Pill must be available; and,
ii) The box contains a sufficient supply of at least 50 condoms; and,
iii) Additionally, there are up-to-date family planning counseling materials and Information, Education, and Communication (IEC) resources available, such as the WHO-MEC wheel from 2015, DMT, or BCS+ tool.</t>
  </si>
  <si>
    <t>SQ 4.4</t>
  </si>
  <si>
    <t>IUD available and staff trained to use it</t>
  </si>
  <si>
    <t>i) Ready availability of Intrauterine Devices (IUDs) and sterile instruments for their safe insertion and removal; and,
ii) A minimum stock of five IUDs at all times, and at least one staff trained to use it (check original certificate).</t>
  </si>
  <si>
    <t>SQ 4.5</t>
  </si>
  <si>
    <t>Implant method available and staff trained to use it</t>
  </si>
  <si>
    <t>i) Ready availability of implants and sterile instruments for their safe insertion and removal; and,
ii) A minimum stock of five implants at all times, and at least one staff trained to use it (check original certificate).</t>
  </si>
  <si>
    <t>SQ 4.6</t>
  </si>
  <si>
    <t>Post Partum and Post Abortion Family Planning Services available</t>
  </si>
  <si>
    <t>Family Planning Services are available for both postpartum and post-abortion situations, with staff trained to provide PPIUCD (Postpartum Intrauterine Contraceptive Device) and Implant options.</t>
  </si>
  <si>
    <t>SQ 4.7</t>
  </si>
  <si>
    <t>Family planning individual cards</t>
  </si>
  <si>
    <t>Individual cards for Family Practice (FP) are accessible and completed according to the format. Five cards will be randomly chosen and checked for (i) Blood pressure &amp; Weight, (ii) Cardiovascular disease, (iii) Hepatitis, (iv) Diabetes, and (v) Migraine. The evaluation will only be considered complete when all five cards have undergone scrutiny for all five specified elements, and a score will be provided accordingly.</t>
  </si>
  <si>
    <t>QQM Structural Quality - Domain 5: Laboratory</t>
  </si>
  <si>
    <t>SQ 5.1</t>
  </si>
  <si>
    <t>Medical Laboratory technician available</t>
  </si>
  <si>
    <t>CHC, DH</t>
  </si>
  <si>
    <t>SQ 5.2</t>
  </si>
  <si>
    <t>Laboratory is open every day of the week</t>
  </si>
  <si>
    <t>The laboratory operates seven days a week, and the supervisor verifies the laboratory register for the CHC, as well as the BHC duty schedule, covering the past three Fridays. The duty schedule must include the laboratory technician's name and contact information.</t>
  </si>
  <si>
    <t>SQ 5.3</t>
  </si>
  <si>
    <t xml:space="preserve">List of laboratory examinations visible </t>
  </si>
  <si>
    <t>List of laboratory tests explicitly specified as free of charge available and prominently displayed</t>
  </si>
  <si>
    <t>SQ 5.4</t>
  </si>
  <si>
    <t>Results recorded correctly in laboratory register and match with results in inpatient sheets or OPD examination cards</t>
  </si>
  <si>
    <t>Results recorded correctly in laboratory register and match with results in inpatient sheets or OPD examination cards. The supervisor reviews the most recent five results to verify their accuracy</t>
  </si>
  <si>
    <t>SQ 5.5</t>
  </si>
  <si>
    <t>Availability of parasited demonstrations</t>
  </si>
  <si>
    <t>Parasite demonstrations are accessible in various formats, such as plastic paper, within a color book, or suitable for display on walls. Blood smears depict the presence of Vivax and Falciparum parasites, while stool samples reveal the existence of Ascaris, Entamoeba, Ankylostoma, and Schistosoma parasites.</t>
  </si>
  <si>
    <t>SQ 5.6</t>
  </si>
  <si>
    <t>Microscope available</t>
  </si>
  <si>
    <t>Microscope readily accessible and in working condition, equipped with functional objectives, immersion oil, mirror or electricity, blades, cover glass, and GIEMSA stain. The presence of all these components is essential for obtaining a score.</t>
  </si>
  <si>
    <t>SQ 5.7</t>
  </si>
  <si>
    <t>Centrifuge available and functional</t>
  </si>
  <si>
    <t>Centrifuge available and in working condition</t>
  </si>
  <si>
    <t>SQ 5.8</t>
  </si>
  <si>
    <t>Waste evacuation correctly carried out</t>
  </si>
  <si>
    <t>Waste evacuation performed correctly. Organic waste disposed of in a lidded bin with disinfectant. A security box for sharp objects available and properly disposed of according to waste disposal guidelines.</t>
  </si>
  <si>
    <t>SQ 5.9</t>
  </si>
  <si>
    <t>Personnel adequately washes dirty pipettes in containers with disinfectant</t>
  </si>
  <si>
    <t>SQ 5.10</t>
  </si>
  <si>
    <t>Laboratory equipment for testing for Tuberculosis</t>
  </si>
  <si>
    <t xml:space="preserve">i) The laboratory is equipped with all necessary apparatus for Tuberculosis testing. Adequate supplies of reagents for Acid-Fast Bacilli (AAFB) testing are readily available, and their inventory is efficiently managed using a stock control system with detailed stock lists. The laboratory maintains a minimum of 30 non-recycled slides for testing purposes AND a binocular/LED microscope is in place, facilitating direct sputum microscopy; and,
ii) The laboratory has implemented a robust External Quality Assurance protocol for TB testing. Slides are regularly sampled and sent for external quality control as per the established protocol. The most recent quality assurance report is accessible, and shows results as per cut-off point of the protocol. AND internal quality assurance sheet is available. </t>
  </si>
  <si>
    <t>QQM Structural Quality - Domain 6: Essential Drug Management</t>
  </si>
  <si>
    <t>SQ 6.1</t>
  </si>
  <si>
    <t>Health facility has separate rooms for dispensary and main stocks</t>
  </si>
  <si>
    <t xml:space="preserve">6.1.1	
- Dispensary and main stock have double lock on doors of room or cabinet			
- Dispensary and main stock have shelves for storing medicines			</t>
  </si>
  <si>
    <t>SQ 6.2</t>
  </si>
  <si>
    <t>Health facility receives drugs ordered timely and as ordered from the SP central pharmacy</t>
  </si>
  <si>
    <t>The health facility receives drugs in a timely manner and according to the specified order from the central pharmacy of the service provider. This includes,
i) At least 80 percent of last supply request was received on time (definition: before or on the expected delivery date requested/indicated when ordering); and,
ii) At least 80 percent of items on last supply request were received in full quantity ordered</t>
  </si>
  <si>
    <t>SQ 6.3</t>
  </si>
  <si>
    <t>Supply management knowledge</t>
  </si>
  <si>
    <t xml:space="preserve">6.3.1	Stock cards quantities match phsyical stock and contain the Average Monthly Consumption for three randomly chosen medicines			</t>
  </si>
  <si>
    <t xml:space="preserve">6.3.2	The pharmacist can calculate the average monthly consumption (AMC) for each item and consdier it for drug request (cumulative usage of a drug in six months and divided by six)			</t>
  </si>
  <si>
    <t xml:space="preserve">6.3.3	The pharmacist knows how to adjust AMC for stock outs. (The adjustment is as follows: (i) count the number of days out of stock from the past six month period, (ii) subtract te number of days out of stock from 180 (number of days in 6 months) to obtain the number of day in stock, (iii) divide 180 by the number of days in stock to get the correction factor, (iv) multiply the AMC with the correction factor to obtain t e AMC corrected for stock outs.). To get the score, ALL four elements need to be mentioned. 			</t>
  </si>
  <si>
    <t xml:space="preserve">6.3.4	The pharmacist knows how to use supply frequency (monthly or quarterly) to define buffer (safety) stock  (The MAC in the EDM section requires a minimum of 2 months' average buffer stock as a standard)			</t>
  </si>
  <si>
    <t xml:space="preserve">6.3.5	The pharmacists knows how to perform a physical inspection upon arrival of the order ((i) cross check of the documents against the items, i.e. (ii) item name, (iii) strength, (iv) dosage form, (iv) quantity, (v) shelf life). [scoring: all five items mentioned to receive the score]			</t>
  </si>
  <si>
    <t xml:space="preserve">6.3.6	The pharmacist knows how to perform visual inspection of the items during receiving (leakage; damaged; crush, color changes, odor). [at the least four of the five elements mentioned to get the score]			</t>
  </si>
  <si>
    <t>SQ 6.4</t>
  </si>
  <si>
    <t>Drugs sorted correctly</t>
  </si>
  <si>
    <t>SQ 6.5</t>
  </si>
  <si>
    <t>Absence of out of date drugs or drugs with unreadable labels</t>
  </si>
  <si>
    <t>SQ 6.6</t>
  </si>
  <si>
    <t>Good Dispensing Practices</t>
  </si>
  <si>
    <t xml:space="preserve">6.6.1	Drugs to clients are uniquely dispensed through prescriptions. Prescriptions are stored and accessible			</t>
  </si>
  <si>
    <t xml:space="preserve">6.6.2	Drugs and medical consumables prescribed, are all in generic form			</t>
  </si>
  <si>
    <t>QQM Structural Quality - Domain 7: Tracer drugs</t>
  </si>
  <si>
    <t>SQ 7.1</t>
  </si>
  <si>
    <t>Availability of tracer drugs (MAC*2)</t>
  </si>
  <si>
    <t>A minimum stock vailability of tracer drugs (MAC*2)</t>
  </si>
  <si>
    <t>SQ 7.2</t>
  </si>
  <si>
    <t>MAC calculation score</t>
  </si>
  <si>
    <t>Percentage of MAC correctly calculated (out of 5 recalculations)</t>
  </si>
  <si>
    <t>QQM Structural Quality - Domain 8: Maternity</t>
  </si>
  <si>
    <t>SQ 8.1</t>
  </si>
  <si>
    <t>Sufficient water with antiseptic soap and liquid antiseptic in delivery room</t>
  </si>
  <si>
    <t>A functioning water source, capable of providing a minimum of 20 liters, along with soap AND hand cleanser available in the delivery room.</t>
  </si>
  <si>
    <t>SQ 8.2</t>
  </si>
  <si>
    <t>Light and heating in delivery room 24 hours</t>
  </si>
  <si>
    <t>The delivery room is equipped with a continuous and reliable light and heating system that operates 24 hours a day. The available options for lighting include electricity, solar-powered lights, rechargeable battery lamps, or kerosene lamp filled with kerosene. 
In situations where electricity is available, a functional electric heater is available, and/or a heating stove with an adequate exhaust system is available in the delivery room.</t>
  </si>
  <si>
    <t>SQ 8.3</t>
  </si>
  <si>
    <t>Waste from Maternity correctly handled</t>
  </si>
  <si>
    <t xml:space="preserve">A designated bin with a secure lid and lining, along with a safe needle disposal container, is available exclusively for use within the maternity room. There is a separate client washroom annexed to the delivery room, and all areas are clean and free from blood/body fluids AND there is running water OR a container min 20L filled with water with a laddle.		</t>
  </si>
  <si>
    <t>SQ 8.4</t>
  </si>
  <si>
    <t>Delivery room is well-maintained</t>
  </si>
  <si>
    <t xml:space="preserve">8.4.1	Walls with durable materials and painted			</t>
  </si>
  <si>
    <t xml:space="preserve">8.4.2	Curtain between delivery bed (s) and door			</t>
  </si>
  <si>
    <t xml:space="preserve">8.4.3	Labour/birth area has a separate space for admission, triage and initial assessment of all women attending. This space contains (i) a bed with a plastified matrass (washable material) and a clean bed cover; (ii) a pillow with a clean cover; (iii) a curtain between the bed and the door; (iv) a functioning electric heater and or a stove with a functioning exhaust, (v) chair for a birth companion			</t>
  </si>
  <si>
    <t xml:space="preserve">8.4.4	Delivery room smells of desinfectant AND OR should have proof of use of bleach as a disinfectant for cleaning (eg jik, hypo, etc)			</t>
  </si>
  <si>
    <t xml:space="preserve">8.4.5	Floor should be levelled with cement, without fissures and ceiling not damaged			</t>
  </si>
  <si>
    <t xml:space="preserve">8.4.6	Windows with curtains/screens and functional door			</t>
  </si>
  <si>
    <t>SQ 8.5</t>
  </si>
  <si>
    <t>Availability and use of the partograph</t>
  </si>
  <si>
    <t>SQ 8.6</t>
  </si>
  <si>
    <t>Deliveries performed by skilled personnel</t>
  </si>
  <si>
    <t xml:space="preserve">8.6.1	Identification of the skilled provider from names in the register			</t>
  </si>
  <si>
    <t xml:space="preserve">8.6.2	Client records correctly completed in the delivery book and contain record of labour and birth last entries verified			</t>
  </si>
  <si>
    <t>SQ 8.7</t>
  </si>
  <si>
    <t>Availability of scales for weight/length, and obstrectical stethoscope</t>
  </si>
  <si>
    <t xml:space="preserve">8.7.1	Tape to measure length			</t>
  </si>
  <si>
    <t xml:space="preserve">8.7.2	Scale to measure weight (check functionality)			</t>
  </si>
  <si>
    <t xml:space="preserve">8.7.3 Availability of (i) functional BP machine; (ii) functional stethoscope and (iii) functional thermometer			</t>
  </si>
  <si>
    <t xml:space="preserve">8.7.4	Availability of at the least 10 pairs of sterile gloves and PPE		</t>
  </si>
  <si>
    <t xml:space="preserve">8.7.5	Availability of at the least 2 sterilized obstetrical boxes (delivery kit)		</t>
  </si>
  <si>
    <t xml:space="preserve">8.7.6	Contains at the least 1 pair of scissors, 2 pairs of forceps, one cord clamp or tie, and one needle holder		</t>
  </si>
  <si>
    <t xml:space="preserve">8.7.7	For each box available (next to the box) one syringe &amp; needle with 10 iu Oxytocin or misoprostol tablets 600mcg			</t>
  </si>
  <si>
    <t>SQ 8.8</t>
  </si>
  <si>
    <t>Availability of at least one episiotomy/perineal repair box</t>
  </si>
  <si>
    <t>Availability of a minimum of one episiotomy/perineal repair box comprising of a needle holder, scissors, dissecting forceps, needles, an anatomical plier, and a surgical plier. Additionally, the box is equipped with absorbable sutures, such as Catgut and Vicryl and is stocked with  antiseptic agents, local anesthetics, and sterile swaps.</t>
  </si>
  <si>
    <t>SQ 8.9</t>
  </si>
  <si>
    <t>Delivery table in good state</t>
  </si>
  <si>
    <t xml:space="preserve">The delivery table is found to be in good condition, meeting all necessary standards for safe and efficient use. It is designed in two parts, featuring a removable non-torn plasticized mattress, and includes two functional leg supports. Also, the delivery bed mattress is clean and has no signs of blood or stains. </t>
  </si>
  <si>
    <t>SQ 8.10</t>
  </si>
  <si>
    <t>Available equipment for care of the newborn</t>
  </si>
  <si>
    <t>i)Equipment for the care of the newborn is readily accessible. This includes, a sterile tying string or clip designed for the umbilical cord, the availability of non-expired 1% tetracycline eye ointment;and,
ii) There is a designated area for newborn resuscitation/care in the delivery room. This area contains: (i) table with washable mattress with (ii) heat source for warming; (iii) neonatal ambu bag (clean) with masks sizes 0 and 1 (clean); (iv) two clean towels; (v) simple disposable and or mechanical suction devise. ALL five criteria need to be there to get the score.
iii) The delivery room is equipped with a functioning scale for weighing the baby.
iv) The delivery room is equipped with at least two non-expired vials of Vitamin K.</t>
  </si>
  <si>
    <t>SQ 8.11</t>
  </si>
  <si>
    <t>Adequate in-patient rooms</t>
  </si>
  <si>
    <t>Sufficient in-patient accommodations are available with each bed equipped with a mattress covered in impermeable plastic. Additionally, clean sheets and blankets are provided for every occupied bed, ensuring one mother and one child per bed.</t>
  </si>
  <si>
    <t>QQM Structural Quality - Domain 9: EPI</t>
  </si>
  <si>
    <t>SQ 9.1</t>
  </si>
  <si>
    <t>Personnel calculates correctly target for fully vaccinated children</t>
  </si>
  <si>
    <t>Map is available for the EPI (Expanded Program on Immunization), categorizing villages into fixed, outreach, and mobile groups. The map includes vital information such as village names, population, types of activities, number of eligible individuals, and distances of villages from the CHC/BHC. The vaccinators can state the target groups of the EPI program for fixed, outreach and mobile for different vaccines. [ two vaccines randomly selected]</t>
  </si>
  <si>
    <t>SQ 9.2</t>
  </si>
  <si>
    <t>EPI fridge</t>
  </si>
  <si>
    <t>i) The facility has a functioning fridge with a temperature log available. The fridge is filled twice daily
ii) The temperature consistently remains between 2 and 8 degrees Celsius, as recorded in the register sheet and confirmed by the tested and functional thermometer. 
iii) The EPI fridge contains only vaccine-related items, with no presence of non-vaccine materials. 
iv) The "SHAKE" test indicates that vaccines like DPT or TT have not been subjected to freezing in the fridge.</t>
  </si>
  <si>
    <t>SQ 9.3</t>
  </si>
  <si>
    <t>Chemical temperature present</t>
  </si>
  <si>
    <t>Vaccines are appropriately stored with a freezing compartment for measles vaccines and a non-freezing compartment for other vaccines and thinners. Expired vaccines are removed from the storage inventory, and the stored vaccines have clearly labelled vials and clinical temperature indicators. Additionally, an open vial policy is maintained by recording the date of opening each vial and ensuring that needles are not left in the vial after use.</t>
  </si>
  <si>
    <t>SQ 9.4</t>
  </si>
  <si>
    <t>Appropriate storage of vaccines</t>
  </si>
  <si>
    <t>Adequate vaccine inventory available including a variety of essential vaccines such as BCG, OPV, Penta, Measles, Rota, PCV, MCV, IPV, HiB, Td, and Vitamin A. The facility also maintains stock control cards for all vaccines, and regular verification is conducted to match concordance between records and physical stock.</t>
  </si>
  <si>
    <t>SQ 9.5</t>
  </si>
  <si>
    <t>Appropriate stock of vaccines</t>
  </si>
  <si>
    <t xml:space="preserve">Ongoing cold chain maintenance conducted. 
i) IF kerosene fridge: stock of at the least 14L Kerosene; 
ii) IF solar fridge: battery not damaged; 
iii) IF gas fridge: two gas cylinders present, one connected to the fridge, the other full of gas available at the facility. </t>
  </si>
  <si>
    <t>SQ 9.6</t>
  </si>
  <si>
    <t>Cold Chain maintenance</t>
  </si>
  <si>
    <t xml:space="preserve">The facility is well-equipped with at least 5 cold packs, 2 large, clean and functional cold boxes and at least 5 small, clean and functional cold boxes. </t>
  </si>
  <si>
    <t>SQ 9.7</t>
  </si>
  <si>
    <t>Cold Boxes and Cold packs</t>
  </si>
  <si>
    <t>Syringes with a minimum of 30 auto-blocking units, and for dilution purposes, a minimum of 3 units are available.</t>
  </si>
  <si>
    <t>SQ 9.8</t>
  </si>
  <si>
    <t>Syringes available</t>
  </si>
  <si>
    <t>Waste collection availability of safe disposal box</t>
  </si>
  <si>
    <t>SQ 9.9</t>
  </si>
  <si>
    <t>At least 10 U5 growth cards available</t>
  </si>
  <si>
    <t>SQ 9.10</t>
  </si>
  <si>
    <t xml:space="preserve">Stock of U5 growth cards available </t>
  </si>
  <si>
    <t>The child immunization register is well maintained and the monthly monitoring chart is consistently updated. The system is able to detect children who have dropped out of the vaccination schedule and those who have received their complete vaccinations.</t>
  </si>
  <si>
    <t>SQ 9.11</t>
  </si>
  <si>
    <t>Child immunization register well maintained &amp; Montly monitoring chart well filled and updated</t>
  </si>
  <si>
    <t>Improved conditions in the waiting area for immunization services include an ample number of benches and chairs that are well-sheltered, offering protection from both the sun and rain.</t>
  </si>
  <si>
    <t>SQ 9.12</t>
  </si>
  <si>
    <t>Adequate conditions in immunization waiting area</t>
  </si>
  <si>
    <t>Patients receive numbered waiting tokens according to their arrival</t>
  </si>
  <si>
    <t>SQ 9.15</t>
  </si>
  <si>
    <t>EPI and Vit A IEC/SBCC materials</t>
  </si>
  <si>
    <t>The scheduling and recording of appointments are efficiently organized, with individual charts being well-maintained for easy access and reference to ensure that individuals who have left the system can be reintegrated and supported.</t>
  </si>
  <si>
    <t>QQM Structural Quality - Domain 10: Antenatal care</t>
  </si>
  <si>
    <t>SQ 10.1</t>
  </si>
  <si>
    <t>Presence of a plan which contains convincing strategies to effectively conduct ANC for all pregnant women in catchment area</t>
  </si>
  <si>
    <t>Facility has a fixed strategy and (outreach) strategy to conduct ANC for distant villages in a catchment area that covers BHC/ CHC catchment population.</t>
  </si>
  <si>
    <t>SQ 10.2</t>
  </si>
  <si>
    <t>Essential equipment present</t>
  </si>
  <si>
    <t>At a minimum, the following essential equipment must be available and in proper working condition: (i) a calibrated weighing scale that starts at zero, (ii) a functional blood pressure machine, (iii) a stethoscope, (iv) a fetoscope, (v) a tape measure, and (vi) a pregnancy wheel/calendar. The six items are indispensable for obtaining the required score.</t>
  </si>
  <si>
    <t>SQ 10.3</t>
  </si>
  <si>
    <t>ANC form available and well filled in: last five forms verified</t>
  </si>
  <si>
    <t>The ANC forms are readily available and meticulously completed, with the last five forms thoroughly verified. The verifications to include,
i) All: Examinations: (i) weight; (ii)  BP (iii) Parity; (iv) LMP; (v) EDD; (vi) gestational age; (vii) Danger signs			
ii) All: Laboratory: albuminuria, glucosuria, HB, Syphilis			
iii) All: Abdominal examination done: Fetal heart rate, Fundal height, presentation, Fetal movement recorded</t>
  </si>
  <si>
    <t>SQ 10.4</t>
  </si>
  <si>
    <t xml:space="preserve">ANC form shows the administration of Ferrous Sulphate/Folic Acid (for at least 30 days) and Mebendazole (once in second trimester) (for the last five forms above). </t>
  </si>
  <si>
    <t>SQ 10.5</t>
  </si>
  <si>
    <t>MCH-HB cards available, at least thirty</t>
  </si>
  <si>
    <t>At least 30 MCH-HB cards available</t>
  </si>
  <si>
    <t>SQ 10.6</t>
  </si>
  <si>
    <t>ANC register available and well filled</t>
  </si>
  <si>
    <t>The ANC register is readily accessible and thoroughly filled. It contains essential information such as the individual's complete identity, vaccination status, date of visit, and any additional care requirements noted, such as danger signs or multiple pregnancies. All columns have been accurately filled out, and any identified issues are appropriately documented along with the corresponding actions taken, including necessary referrals.</t>
  </si>
  <si>
    <t>SQ 10.7</t>
  </si>
  <si>
    <t>ANC conducted by qualified personnel</t>
  </si>
  <si>
    <t>Details of qualified Medical Doctors (MDs), Skilled Birth Attendants (SBAs), and midwives, available on ANC cards.</t>
  </si>
  <si>
    <t>SQ 10.8</t>
  </si>
  <si>
    <t>Individual IEC/BCC</t>
  </si>
  <si>
    <t>i) Every pregnant woman (PW) is provided with an MCH (Maternal and Child Health) handbook, which serves as a valuable resource for recording important details and receiving counseling on  key topics such as recognizing mother and baby danger signs, proper breastfeeding techniques, nutrition guidance, postpartum family planning (PPFP), and other essential information throughout the entire pregnancy, childbirth, postnatal care, and the child's initial two years. 
ii) Each pregnant woman is well-informed about her planned birthing location and equipped with knowledge on how to respond in case complications arise during the pregnancy or childbirth.</t>
  </si>
  <si>
    <t>QQM Outcome Quality - Domain 1: Children under the age of 5</t>
  </si>
  <si>
    <t>OQ 1.1</t>
  </si>
  <si>
    <t>Outcome quality - children under the age of 5</t>
  </si>
  <si>
    <t xml:space="preserve">Exit interview with caregiver of a sick child under 5 	</t>
  </si>
  <si>
    <t>SHC, BHC, CHC, DH, PH, RH</t>
  </si>
  <si>
    <t>QQM Outcome Quality - Domain 2: Family planning</t>
  </si>
  <si>
    <t>OQ 2.1</t>
  </si>
  <si>
    <t>Outcome quality - family planning</t>
  </si>
  <si>
    <t>Exit interview with family planning</t>
  </si>
  <si>
    <t>OQ 2.3</t>
  </si>
  <si>
    <t>Client satisfaction - family planning</t>
  </si>
  <si>
    <t>Satisfaction with family planning services</t>
  </si>
  <si>
    <t>QQM Content Quality - Domain 1: Respiratory Infection/ Pneumonia</t>
  </si>
  <si>
    <t>CQ 1.1</t>
  </si>
  <si>
    <t>H: History section</t>
  </si>
  <si>
    <t>CQ 1.2</t>
  </si>
  <si>
    <t xml:space="preserve">P: Physical [P] and Laboratory [L] Section - EXAMINATION OF PATIENT									</t>
  </si>
  <si>
    <t>CQ 1.3</t>
  </si>
  <si>
    <t>D: Diagnosis</t>
  </si>
  <si>
    <t>CQ 1.4</t>
  </si>
  <si>
    <t>T: Treatment</t>
  </si>
  <si>
    <t>CQ 1.5</t>
  </si>
  <si>
    <t>E: Explanation and advise to the patient/care taker or companiion, Action, Counselling, Follow up advice for the client</t>
  </si>
  <si>
    <t>QQM Content Quality - Domain 2: Diarrhea with Cat B dehydration</t>
  </si>
  <si>
    <t>CQ 2.1</t>
  </si>
  <si>
    <t>CQ 2.2</t>
  </si>
  <si>
    <t>CQ 2.3</t>
  </si>
  <si>
    <t>CQ 2.4</t>
  </si>
  <si>
    <t>CQ 2.5</t>
  </si>
  <si>
    <t>QQM Content Quality - Domain 3: Growth monitoring and promotion</t>
  </si>
  <si>
    <t>CQ 3.1</t>
  </si>
  <si>
    <t>CQ 3.2</t>
  </si>
  <si>
    <t xml:space="preserve">P: Physical Examination of the Child [P]							</t>
  </si>
  <si>
    <t>CQ 3.3</t>
  </si>
  <si>
    <t xml:space="preserve">D: Classification/Interpretation  [D]	</t>
  </si>
  <si>
    <t>CQ 3.4</t>
  </si>
  <si>
    <t xml:space="preserve">E: Action (Treatment, Counselling and explanation given to caretaker) [E]										</t>
  </si>
  <si>
    <t>QQM Content Quality - Domain 4: Management of presumptive tuberculosis</t>
  </si>
  <si>
    <t>CQ 4.1</t>
  </si>
  <si>
    <t>CQ 4.2</t>
  </si>
  <si>
    <t xml:space="preserve">P: Physical [P] and Laboratory [L] Section - EXAMINATION OF PATIENT								</t>
  </si>
  <si>
    <t>CQ 4.3</t>
  </si>
  <si>
    <t xml:space="preserve">D: Diagnosis [D]								</t>
  </si>
  <si>
    <t>CQ 4.4</t>
  </si>
  <si>
    <t xml:space="preserve">E: Treatment and Explanation to the patient [E]			</t>
  </si>
  <si>
    <t>QQM Content Quality - Domain 5: Labor</t>
  </si>
  <si>
    <t>CQ 5.1</t>
  </si>
  <si>
    <t>CQ 5.2</t>
  </si>
  <si>
    <t>P: Physical [P] and Laboratory [L] Section</t>
  </si>
  <si>
    <t>CQ 5.3</t>
  </si>
  <si>
    <t>CQ 5.4</t>
  </si>
  <si>
    <t>CQ 5.5</t>
  </si>
  <si>
    <t>E: Explanation to the client/companion [E]</t>
  </si>
  <si>
    <t>QQM Content Quality - Domain 6: Postnatal care pre-discharge</t>
  </si>
  <si>
    <t>CQ 6.1</t>
  </si>
  <si>
    <t>CQ 6.2</t>
  </si>
  <si>
    <t>CQ 6.3</t>
  </si>
  <si>
    <t>CQ 6.4</t>
  </si>
  <si>
    <t>CQ 6.5</t>
  </si>
  <si>
    <t>QQM Content Quality - Domain 7: First antenatal care visit</t>
  </si>
  <si>
    <t>CQ 7.1</t>
  </si>
  <si>
    <t>CQ 7.2</t>
  </si>
  <si>
    <t>P: Physical Examination and Laboratory  Section [P]</t>
  </si>
  <si>
    <t>CQ 7.3</t>
  </si>
  <si>
    <t>CQ 7.4</t>
  </si>
  <si>
    <t>QQM Content Quality - Domain 8: FP counselling</t>
  </si>
  <si>
    <t>CQ 8.1</t>
  </si>
  <si>
    <t>CQ 8.2</t>
  </si>
  <si>
    <t xml:space="preserve">P: Physical [P] and Laboratory [L] Section - EXAMINATION OF YOUR CLIENT							</t>
  </si>
  <si>
    <t>CQ 8.3</t>
  </si>
  <si>
    <t>D: Choice of FP method [D]</t>
  </si>
  <si>
    <t>CQ 8.4</t>
  </si>
  <si>
    <t>E: Follow up advice for the client  [E]</t>
  </si>
  <si>
    <t>QQM Content Quality - Domain 9: Birth spacing; changing FP method to injectable</t>
  </si>
  <si>
    <t>CQ 9.1</t>
  </si>
  <si>
    <t>CQ 9.2</t>
  </si>
  <si>
    <t>CQ 9.3</t>
  </si>
  <si>
    <t>CQ 9.4</t>
  </si>
  <si>
    <t>QQM Content Quality - Domain 10: Post partum haemorrhage - atonic uterus</t>
  </si>
  <si>
    <t>CQ 10.1</t>
  </si>
  <si>
    <t>CQ 10.2</t>
  </si>
  <si>
    <t>CQ 10.3</t>
  </si>
  <si>
    <t>CQ 10.4</t>
  </si>
  <si>
    <t>CQ 10.5</t>
  </si>
  <si>
    <t>Health workforce assessment - Domain 1: Salary payment</t>
  </si>
  <si>
    <t>HW 1.1</t>
  </si>
  <si>
    <t>Staff salary payment</t>
  </si>
  <si>
    <t>Percentage of staff with salary payment received for [month]</t>
  </si>
  <si>
    <t>HW 1.2</t>
  </si>
  <si>
    <t>Staff salary paid timely</t>
  </si>
  <si>
    <t>Percentage of staff with salary paid timely (within 10 days) for [month]</t>
  </si>
  <si>
    <t>HW 1.3</t>
  </si>
  <si>
    <t>Methods of payment</t>
  </si>
  <si>
    <t>Percentage of health workers who were paid in cash (as opposed to bank account)</t>
  </si>
  <si>
    <t>HW 1.4</t>
  </si>
  <si>
    <t>Confirmation of bank transfer</t>
  </si>
  <si>
    <t>Stamped payroll &amp; confirmation of bank transfers in [month] from SP office</t>
  </si>
  <si>
    <t>Yes/No</t>
  </si>
  <si>
    <t>Province level</t>
  </si>
  <si>
    <t>Health workforce assessment - Domain 2: Health worker availability</t>
  </si>
  <si>
    <t>HW 2.1.1</t>
  </si>
  <si>
    <t xml:space="preserve">Retrospective availability of HF staff </t>
  </si>
  <si>
    <t>Percentage of staff available on day of survey (60% weight)</t>
  </si>
  <si>
    <t>HW 2.1.2</t>
  </si>
  <si>
    <t xml:space="preserve">Current availability of HF  staff </t>
  </si>
  <si>
    <t>Percentage of working days staff was available restrospectively [ verification period - 3 past months] (40% weight)</t>
  </si>
  <si>
    <t>HW 2.1.3</t>
  </si>
  <si>
    <t xml:space="preserve">Availability of HF staff </t>
  </si>
  <si>
    <t>Staff availability score (retrospective + current availability)</t>
  </si>
  <si>
    <t>HW 2.1.4</t>
  </si>
  <si>
    <t xml:space="preserve">Facilities achieved MSS for staffing </t>
  </si>
  <si>
    <t>MSS: Percentage of facilities with SOP staff availability score (present during visit+ past months)  of 100%(BPHS) or 95% (EPHS)</t>
  </si>
  <si>
    <t>HW 2.1.5</t>
  </si>
  <si>
    <t xml:space="preserve">Percentage of health workers female </t>
  </si>
  <si>
    <t>Percentage of health workers who are female</t>
  </si>
  <si>
    <t>HW 2.1.6</t>
  </si>
  <si>
    <t xml:space="preserve">Facilities with at least on female health worker on day of the survey </t>
  </si>
  <si>
    <t>Health facilities with at least one female healthcare worker on day of the survey</t>
  </si>
  <si>
    <t>HW 2.1.7</t>
  </si>
  <si>
    <t xml:space="preserve">Facilities with at least one female CHW per HP </t>
  </si>
  <si>
    <t>Health facilities with at least on female community health worker per health post</t>
  </si>
  <si>
    <t>Health workforce assessment - Domain 3: GBV training</t>
  </si>
  <si>
    <t>HW 3.1</t>
  </si>
  <si>
    <t>Percentage of health workers who received training on GBV more than 3 months ago</t>
  </si>
  <si>
    <t>Percentage of health workers who reported being trained on GBV in the past 3 months out of total health workers interviewed</t>
  </si>
  <si>
    <t>DH, PH, RH</t>
  </si>
  <si>
    <t>HW 3.2</t>
  </si>
  <si>
    <t xml:space="preserve">Percentage of health workers who received training on GBV in the past 3 months </t>
  </si>
  <si>
    <t>Percentage of health workers who reported being trained on GBV more than 3 months ago out of total health workers interviewed</t>
  </si>
  <si>
    <t>HW 3.3</t>
  </si>
  <si>
    <t>Percentage of health workers being trained on GBV in the past 3 months according to HF manager</t>
  </si>
  <si>
    <t>HW 3.4</t>
  </si>
  <si>
    <t>Percentage of health workers being trained on GBV more than 3 months ago according to HF manager</t>
  </si>
  <si>
    <t>Health workforce assessment - Domain 4: Health worker satisfaction</t>
  </si>
  <si>
    <t>HW 4.1</t>
  </si>
  <si>
    <t>I am often asked to do things that are not my duties</t>
  </si>
  <si>
    <t>Average level of agreement with I am often asked to do things that are not my duties</t>
  </si>
  <si>
    <t>1 (strongly disagree - 4 strongly agree)</t>
  </si>
  <si>
    <t>HW 4.2</t>
  </si>
  <si>
    <t>I can get help from my supervisor when I need it</t>
  </si>
  <si>
    <t>Average level of agreement with I can get help from my supervisor when I need it</t>
  </si>
  <si>
    <t>HW 4.3</t>
  </si>
  <si>
    <t>I have all the necessary equipment and tools to do my job well</t>
  </si>
  <si>
    <t>Average level of agreement with I have all the necessary equipment and tools to do my job well</t>
  </si>
  <si>
    <t>HW 4.4</t>
  </si>
  <si>
    <t>This facility provides adequate medicine to provide good quality of care</t>
  </si>
  <si>
    <t>Average level of agreement with This facility provides adequate medicine to provide good quality of care</t>
  </si>
  <si>
    <t>HW 4.5</t>
  </si>
  <si>
    <t>Physical condition of the building I work in is adequate</t>
  </si>
  <si>
    <t>Average level of agreement with Physical condition of the building I work in is adequate</t>
  </si>
  <si>
    <t>HW 4.6</t>
  </si>
  <si>
    <t>The rules for salary payments are fair</t>
  </si>
  <si>
    <t>Average level of agreement with The rules for salary payments are fair</t>
  </si>
  <si>
    <t>HW 4.7</t>
  </si>
  <si>
    <t>Overall, I am satisfied with this job</t>
  </si>
  <si>
    <t>Average level of agreement with Overall, I am satisfied with this job</t>
  </si>
  <si>
    <t>Health workforce assessment - Domain 0: Health worker availability</t>
  </si>
  <si>
    <t>FV 0.1.1</t>
  </si>
  <si>
    <t>FV 0.1.2</t>
  </si>
  <si>
    <t>FV 0.1.3</t>
  </si>
  <si>
    <t>FV 0.1.4</t>
  </si>
  <si>
    <t>FV 0.1.5</t>
  </si>
  <si>
    <t xml:space="preserve">Retrospective availability of keystaff </t>
  </si>
  <si>
    <t>Percentage of working days key staff was available in the province retrospectively in [verification period]</t>
  </si>
  <si>
    <t>FV 0.1.6</t>
  </si>
  <si>
    <t xml:space="preserve">Availability of key staff </t>
  </si>
  <si>
    <t>Percentage of key staff with a minimum retrospective availability of 70% of working days in [verification period]</t>
  </si>
  <si>
    <t>FV 0.1.7</t>
  </si>
  <si>
    <t xml:space="preserve">Province achieved MSS for key staff </t>
  </si>
  <si>
    <t>All key staff were available in the province for at least 70% of the time.</t>
  </si>
  <si>
    <t>Functionality verification - Domain 1: Drugs and consumables</t>
  </si>
  <si>
    <t>FV 1.1.1</t>
  </si>
  <si>
    <t>Drug score available during verification visit</t>
  </si>
  <si>
    <t>Percentage of drugs available on the day of the survey (at least 5 courses on the day of visit)</t>
  </si>
  <si>
    <t>SHC, PH, RH</t>
  </si>
  <si>
    <t>FV 1.1.2</t>
  </si>
  <si>
    <t>Dug score availability past 3 months</t>
  </si>
  <si>
    <t>Percentage of calendar days drug was available in verification period</t>
  </si>
  <si>
    <t>FV 1.1.3</t>
  </si>
  <si>
    <t>Drug availability score (during visit and past 3 months)</t>
  </si>
  <si>
    <t>Current availability + retrospective availability of drugs</t>
  </si>
  <si>
    <t>FV 1.1.4</t>
  </si>
  <si>
    <t>MSS: Facilities with a drug availability score &gt;90%</t>
  </si>
  <si>
    <t>MSS: Percentage of facilities with drug availability score &gt;90%</t>
  </si>
  <si>
    <t>FV 1.2.1</t>
  </si>
  <si>
    <t>Consumables score available during verification visit</t>
  </si>
  <si>
    <t>Percentage of consumables available on the day of the survey</t>
  </si>
  <si>
    <t>FV 1.2.2</t>
  </si>
  <si>
    <t>Consumables score availability past 3 months</t>
  </si>
  <si>
    <t>Percentage of calendar days consumables was available in verification period</t>
  </si>
  <si>
    <t>FV 1.2.3</t>
  </si>
  <si>
    <t>Consumables availability score (during visit and past 3 months)</t>
  </si>
  <si>
    <t>Current availability + retrospective availability of consumables</t>
  </si>
  <si>
    <t>Functionality verification - Domain 2: Drugs storage conditions</t>
  </si>
  <si>
    <t>FV 2.1</t>
  </si>
  <si>
    <t>There is a method in place to control temperature?</t>
  </si>
  <si>
    <t>Percentage of health facilities with a method in place to control temperature</t>
  </si>
  <si>
    <t>FV 2.2</t>
  </si>
  <si>
    <t>There are windows that can be opened or there are air vents?</t>
  </si>
  <si>
    <t>Percentage of health facilities with windows that can be opening or air vents</t>
  </si>
  <si>
    <t>FV 2.3</t>
  </si>
  <si>
    <t>Direct sunlight cannot enter the area ?</t>
  </si>
  <si>
    <t>Percentage of health facilities where sunlight cannot enter drug storage</t>
  </si>
  <si>
    <t>FV 2.4</t>
  </si>
  <si>
    <t>Area is free from moisture?</t>
  </si>
  <si>
    <t>Percentage of health facilities where drug storage is free from moisture</t>
  </si>
  <si>
    <t>FV 2.5</t>
  </si>
  <si>
    <t>There is a cold storage in the facility?</t>
  </si>
  <si>
    <t>Percentage of health facilities with cold storage</t>
  </si>
  <si>
    <t>FV 2.6</t>
  </si>
  <si>
    <t>There is a regularly filled temperature chart for the cold storage?</t>
  </si>
  <si>
    <t>Percentage of health facilities with regularly filled temperature chart for cold storage</t>
  </si>
  <si>
    <t>FV 2.7</t>
  </si>
  <si>
    <t>Medicines are not stored directly on the floor?</t>
  </si>
  <si>
    <t>Percentage of health facilities with medicines stored of the floor</t>
  </si>
  <si>
    <t>FV 2.8</t>
  </si>
  <si>
    <t>Medicines are stored in a systematic way?</t>
  </si>
  <si>
    <t>Percentage of health facilities with medicines stored in a systematic way</t>
  </si>
  <si>
    <t>FV 2.9</t>
  </si>
  <si>
    <t>Medicines are stored First-Expired-First Out ?</t>
  </si>
  <si>
    <t>Percentage of health facilities with medicines stored FIFO</t>
  </si>
  <si>
    <t>FV 2.10</t>
  </si>
  <si>
    <t>There is no evidence of pests in the area?</t>
  </si>
  <si>
    <t>Percentage of health facilities with no evidence of pest in drug storage</t>
  </si>
  <si>
    <t>FV 2.11</t>
  </si>
  <si>
    <t>Is there a chart for the Room Temperature control?</t>
  </si>
  <si>
    <t>Percentage of health facilities with chart for room temperature control</t>
  </si>
  <si>
    <t>FV 2.12</t>
  </si>
  <si>
    <t>% of storage conditions adhered to</t>
  </si>
  <si>
    <t>Percentage of drugs storage conditions adhered to</t>
  </si>
  <si>
    <t>Functionality verification - Domain 3: Equipment availability</t>
  </si>
  <si>
    <t>FV 3.1</t>
  </si>
  <si>
    <t xml:space="preserve">Laboratory Tests </t>
  </si>
  <si>
    <t>Percentage of laboratory tests available on the day of the survey</t>
  </si>
  <si>
    <t>PH, RH</t>
  </si>
  <si>
    <t>FV 3.2</t>
  </si>
  <si>
    <t xml:space="preserve">Equipment Emergency Dept. </t>
  </si>
  <si>
    <t>Percentage of equipment emergency dept available on the day of the survey</t>
  </si>
  <si>
    <t>FV 3.3</t>
  </si>
  <si>
    <t xml:space="preserve">Equipment Pediatrics </t>
  </si>
  <si>
    <t>Percentage of equipment pediatrics available on the day of the survey</t>
  </si>
  <si>
    <t>FV 3.4</t>
  </si>
  <si>
    <t xml:space="preserve">Equipment Internal </t>
  </si>
  <si>
    <t>Percentage of equipment internal available on the day of the survey</t>
  </si>
  <si>
    <t>FV 3.5</t>
  </si>
  <si>
    <t xml:space="preserve">Equipment Surgery </t>
  </si>
  <si>
    <t>Percentage of equipment surgery available on the day of the survey</t>
  </si>
  <si>
    <t>FV 3.6</t>
  </si>
  <si>
    <t xml:space="preserve">Equipment Delivery </t>
  </si>
  <si>
    <t>Percentage of equipment delivery available on the day of the survey</t>
  </si>
  <si>
    <t>FV 3.7</t>
  </si>
  <si>
    <t xml:space="preserve">Equipment Theatre and Anesthesia </t>
  </si>
  <si>
    <t>Percentage of equipment theatre and anesthesia available on the day of the survey</t>
  </si>
  <si>
    <t>FV 3.8</t>
  </si>
  <si>
    <t>Equipment OPD</t>
  </si>
  <si>
    <t>Percentage of equipment opd available on the day of the survey</t>
  </si>
  <si>
    <t>FV 3.9</t>
  </si>
  <si>
    <t xml:space="preserve">Equipment availablity score </t>
  </si>
  <si>
    <t>Percentage of equipment available on the day of the survey</t>
  </si>
  <si>
    <t>FV 3.10</t>
  </si>
  <si>
    <t xml:space="preserve">MSS: Facilities with an equipment availability score &gt;95% </t>
  </si>
  <si>
    <t>Percentage of facilities with an MSS equipment score &gt;95%</t>
  </si>
  <si>
    <t>Functionality verification - Domain 4: Other than P4P</t>
  </si>
  <si>
    <t>FV 4.1</t>
  </si>
  <si>
    <t xml:space="preserve">Emergency department </t>
  </si>
  <si>
    <t>Percentage of facilities with emergency department services</t>
  </si>
  <si>
    <t>FV 4.2</t>
  </si>
  <si>
    <t xml:space="preserve">Recovery Room service </t>
  </si>
  <si>
    <t>Percentage of facilities with recovery room service services</t>
  </si>
  <si>
    <t>FV 4.3</t>
  </si>
  <si>
    <t xml:space="preserve">Sterilization service </t>
  </si>
  <si>
    <t>Percentage of facilities with sterilization service services</t>
  </si>
  <si>
    <t>FV 4.4</t>
  </si>
  <si>
    <t xml:space="preserve">OPD ENT </t>
  </si>
  <si>
    <t>Percentage of facilities with opd ent services</t>
  </si>
  <si>
    <t>FV 4.5</t>
  </si>
  <si>
    <t xml:space="preserve">OPD mental health </t>
  </si>
  <si>
    <t>Percentage of facilities with opd mental health services</t>
  </si>
  <si>
    <t>FV 4.6</t>
  </si>
  <si>
    <t xml:space="preserve">OPD eye care </t>
  </si>
  <si>
    <t>Percentage of facilities with opd eye care services</t>
  </si>
  <si>
    <t>FV 4.7</t>
  </si>
  <si>
    <t xml:space="preserve">OPD dental services </t>
  </si>
  <si>
    <t>Percentage of facilities with opd dental services services</t>
  </si>
  <si>
    <t>FV 4.8</t>
  </si>
  <si>
    <t xml:space="preserve">Physiotherapy </t>
  </si>
  <si>
    <t>Percentage of facilities with physiotherapy services</t>
  </si>
  <si>
    <t>FV 4.9</t>
  </si>
  <si>
    <t xml:space="preserve">Blood transfusion </t>
  </si>
  <si>
    <t>Percentage of facilities with blood transfusion services</t>
  </si>
  <si>
    <t>FV 4.10</t>
  </si>
  <si>
    <t xml:space="preserve">X-ray and ultrasound </t>
  </si>
  <si>
    <t>Percentage of facilities with x-ray and ultrasound services</t>
  </si>
  <si>
    <t>FV 4.11</t>
  </si>
  <si>
    <t>Forensic medicine (RH)</t>
  </si>
  <si>
    <t>Percentage of facilities with forensic medicine services</t>
  </si>
  <si>
    <t>FV 4.12</t>
  </si>
  <si>
    <t>Endoscopy services (RH)</t>
  </si>
  <si>
    <t>Percentage of facilities with endoscopy services services</t>
  </si>
  <si>
    <t>FV 4.13</t>
  </si>
  <si>
    <t>Mental health patient identification and referral</t>
  </si>
  <si>
    <t>Percentage of facilities with mental health patient identification and referral services</t>
  </si>
  <si>
    <t>SHC</t>
  </si>
  <si>
    <t>FV 4.14</t>
  </si>
  <si>
    <t>Mental health awareness</t>
  </si>
  <si>
    <t>Percentage of facilities with mental health awareness services</t>
  </si>
  <si>
    <t>FV 4.15</t>
  </si>
  <si>
    <t>Disabilities information, education and communication</t>
  </si>
  <si>
    <t>Percentage of facilities with disabilities information, education and communication services</t>
  </si>
  <si>
    <t>FV 4.16</t>
  </si>
  <si>
    <t>Non-P4P availability score in %</t>
  </si>
  <si>
    <t>Other than P4P availability score</t>
  </si>
  <si>
    <t>FV 4.17</t>
  </si>
  <si>
    <t>MSS: Facility with Non-P4P availability score PHC:&gt;90%; PH/RH: 100% (%)</t>
  </si>
  <si>
    <t>MSS: percentage of facilities with other than P4P availability score &gt;90% (PHC); 100% (PH/RH)</t>
  </si>
  <si>
    <t>Functionality verification - Domain 5: Hospital governance</t>
  </si>
  <si>
    <t>Percentage of facilities with  services</t>
  </si>
  <si>
    <t>FV 5.1</t>
  </si>
  <si>
    <t># meetigs planned</t>
  </si>
  <si>
    <t>Number of meetings planned during verification period</t>
  </si>
  <si>
    <t>FV 5.2</t>
  </si>
  <si>
    <t>% planned meetings conducted</t>
  </si>
  <si>
    <t>Percentage of planned meetings conducted</t>
  </si>
  <si>
    <t>FV 5.3</t>
  </si>
  <si>
    <t>% of conducted meetings with minutes available</t>
  </si>
  <si>
    <t>Percentage of meetings with minutes available</t>
  </si>
  <si>
    <t>FV 5.4</t>
  </si>
  <si>
    <t>% community board members present in each meeting</t>
  </si>
  <si>
    <t>Percentage of meetings with community board members present</t>
  </si>
  <si>
    <t>FV 5.5</t>
  </si>
  <si>
    <t>% engagement community board members</t>
  </si>
  <si>
    <t>Percentage of meetings where community members were engaged</t>
  </si>
  <si>
    <t>FV 5.6</t>
  </si>
  <si>
    <t>Hospital Governance Score (%)</t>
  </si>
  <si>
    <t>Hospital governance score</t>
  </si>
  <si>
    <t>FV 5.7</t>
  </si>
  <si>
    <t>MSS: Governance score &gt;95% (%)</t>
  </si>
  <si>
    <t>MSS: Hospitals with a hospital governance score &gt;95%</t>
  </si>
  <si>
    <t>QQC</t>
  </si>
  <si>
    <t>FV</t>
  </si>
  <si>
    <t>Achieved sample</t>
  </si>
  <si>
    <t>Planned sample</t>
  </si>
  <si>
    <t>% Achieved</t>
  </si>
  <si>
    <t>Province</t>
  </si>
  <si>
    <t>SP
(October-December 2024)</t>
  </si>
  <si>
    <t>BPHS facilities</t>
  </si>
  <si>
    <t>EPHS Facilities</t>
  </si>
  <si>
    <t>Total Surveyed</t>
  </si>
  <si>
    <t>Total Sampled</t>
  </si>
  <si>
    <t>CHC</t>
  </si>
  <si>
    <t>BHC</t>
  </si>
  <si>
    <t>DH</t>
  </si>
  <si>
    <t>Total BPHS</t>
  </si>
  <si>
    <t>PH</t>
  </si>
  <si>
    <t>RH</t>
  </si>
  <si>
    <t>Total EPHS</t>
  </si>
  <si>
    <t>province</t>
  </si>
  <si>
    <t>sp_old</t>
  </si>
  <si>
    <t>sp</t>
  </si>
  <si>
    <t>n2</t>
  </si>
  <si>
    <t>n1</t>
  </si>
  <si>
    <t>n4</t>
  </si>
  <si>
    <t>total_surveyed</t>
  </si>
  <si>
    <t>blank1</t>
  </si>
  <si>
    <t>province1</t>
  </si>
  <si>
    <t>planned_bphs</t>
  </si>
  <si>
    <t>planned_ephs</t>
  </si>
  <si>
    <t>total_planned</t>
  </si>
  <si>
    <t>blank2</t>
  </si>
  <si>
    <t>province2</t>
  </si>
  <si>
    <t>achieved_bphs</t>
  </si>
  <si>
    <t>achieved_ephs</t>
  </si>
  <si>
    <t>achieved_total</t>
  </si>
  <si>
    <t>n3</t>
  </si>
  <si>
    <t>bphs_total</t>
  </si>
  <si>
    <t>n5</t>
  </si>
  <si>
    <t>n7</t>
  </si>
  <si>
    <t>ephs_total</t>
  </si>
  <si>
    <t>Overall</t>
  </si>
  <si>
    <t>Badakhshan</t>
  </si>
  <si>
    <t>AKF</t>
  </si>
  <si>
    <t>Baghlan</t>
  </si>
  <si>
    <t>Balkh</t>
  </si>
  <si>
    <t>BDN</t>
  </si>
  <si>
    <t>Bamyan</t>
  </si>
  <si>
    <t>Faryab</t>
  </si>
  <si>
    <t>SAF</t>
  </si>
  <si>
    <t>Ghazni</t>
  </si>
  <si>
    <t>JACK</t>
  </si>
  <si>
    <t>Ghor</t>
  </si>
  <si>
    <t>BARAN</t>
  </si>
  <si>
    <t>Helmand</t>
  </si>
  <si>
    <t>RI</t>
  </si>
  <si>
    <t>Herat</t>
  </si>
  <si>
    <t>AADA</t>
  </si>
  <si>
    <t>Jawzjan</t>
  </si>
  <si>
    <t>Kabul</t>
  </si>
  <si>
    <t>Kandahar</t>
  </si>
  <si>
    <t>Kunar</t>
  </si>
  <si>
    <t>HNTPO</t>
  </si>
  <si>
    <t>Kunduz</t>
  </si>
  <si>
    <t>Logar</t>
  </si>
  <si>
    <t>CAF</t>
  </si>
  <si>
    <t>Nimroz</t>
  </si>
  <si>
    <t>RI-MRCA</t>
  </si>
  <si>
    <t>Nuristan</t>
  </si>
  <si>
    <t>Paktika</t>
  </si>
  <si>
    <t>Paktya</t>
  </si>
  <si>
    <t>Panjsher</t>
  </si>
  <si>
    <t>MOVE</t>
  </si>
  <si>
    <t>Parwan</t>
  </si>
  <si>
    <t>Samangan</t>
  </si>
  <si>
    <t>MMRCA</t>
  </si>
  <si>
    <t>Sar-e-Pul</t>
  </si>
  <si>
    <t>Takhar</t>
  </si>
  <si>
    <t>Uruzgan</t>
  </si>
  <si>
    <t>AHDS</t>
  </si>
  <si>
    <t>Wardak</t>
  </si>
  <si>
    <t>Service provider</t>
  </si>
  <si>
    <t>QQM - Structural indicators - HER2 R4 - October to December 2024</t>
  </si>
  <si>
    <t>QQM - Outcome quality - HER2 R4 - October to December 2024</t>
  </si>
  <si>
    <t>QQM - Content of care - HER2 R4 - October to December 2024</t>
  </si>
  <si>
    <t>QQM Score</t>
  </si>
  <si>
    <t xml:space="preserve">Domain 1: General Management </t>
  </si>
  <si>
    <t xml:space="preserve">Domain 2: Hygiene </t>
  </si>
  <si>
    <t>Domain 3: OPD / Curative Consultations</t>
  </si>
  <si>
    <t>Domain 4: Family planning</t>
  </si>
  <si>
    <t>Domain 5: Laboratory</t>
  </si>
  <si>
    <t>Domain 6: Essential Drugs Management</t>
  </si>
  <si>
    <t>Domain 7: Tracer drugs</t>
  </si>
  <si>
    <t>Domain 8: Maternity</t>
  </si>
  <si>
    <t>Domain 9: EPI</t>
  </si>
  <si>
    <t>Domain 10: Antenatal Care</t>
  </si>
  <si>
    <t>Structural indicators score</t>
  </si>
  <si>
    <t>Exit interview with caregiver of a sick child under 5</t>
  </si>
  <si>
    <t>Exit interview Family Planning</t>
  </si>
  <si>
    <t>Outcome quality score</t>
  </si>
  <si>
    <t>province_name</t>
  </si>
  <si>
    <t>SP</t>
  </si>
  <si>
    <t>gm_score</t>
  </si>
  <si>
    <t>hy_score</t>
  </si>
  <si>
    <t>opd_score</t>
  </si>
  <si>
    <t>fp_score</t>
  </si>
  <si>
    <t>lab_score</t>
  </si>
  <si>
    <t>edm_score</t>
  </si>
  <si>
    <t>rx_score</t>
  </si>
  <si>
    <t>mat_score</t>
  </si>
  <si>
    <t>epi_score</t>
  </si>
  <si>
    <t>anc_score</t>
  </si>
  <si>
    <t>qqm_si_score</t>
  </si>
  <si>
    <t>u5_result</t>
  </si>
  <si>
    <t>fp_result</t>
  </si>
  <si>
    <t>outcome_score</t>
  </si>
  <si>
    <t>content_score</t>
  </si>
  <si>
    <t>National</t>
  </si>
  <si>
    <t>P25</t>
  </si>
  <si>
    <t>p25</t>
  </si>
  <si>
    <t>P50</t>
  </si>
  <si>
    <t>p50</t>
  </si>
  <si>
    <t>Structural Quality</t>
  </si>
  <si>
    <t>Outcome Quality</t>
  </si>
  <si>
    <t>Content Quality</t>
  </si>
  <si>
    <t>HER Round 4 [95%CI]</t>
  </si>
  <si>
    <t>HER2 Round 1  [95%CI]</t>
  </si>
  <si>
    <t>HER2 Round 2  [95%CI]</t>
  </si>
  <si>
    <t>HER2 Round 3  [95%CI]</t>
  </si>
  <si>
    <t>HER2 Round 4  [95%CI]</t>
  </si>
  <si>
    <t>HER2 Round 5  [95%CI]</t>
  </si>
  <si>
    <t>Difference HER R4 and HER2 R1</t>
  </si>
  <si>
    <t>Difference HER2 R1 and HER2 R2</t>
  </si>
  <si>
    <t>Difference HER2 R2 and HER2 R3</t>
  </si>
  <si>
    <t>Difference HER2 R3 and HER2 R4</t>
  </si>
  <si>
    <t>Difference HER2 R4 and HER2 R5</t>
  </si>
  <si>
    <t>r3_six</t>
  </si>
  <si>
    <t>si_round3</t>
  </si>
  <si>
    <t>r4_six</t>
  </si>
  <si>
    <t>si_round4</t>
  </si>
  <si>
    <t>r2_r3_si_changex</t>
  </si>
  <si>
    <t>r3_r4_si_changex</t>
  </si>
  <si>
    <t>r3_ocx</t>
  </si>
  <si>
    <t>oc_round3</t>
  </si>
  <si>
    <t>r4_ocx</t>
  </si>
  <si>
    <t>oc_round4</t>
  </si>
  <si>
    <t>r2_r3_oc_changex</t>
  </si>
  <si>
    <t>r3_r4_oc_changex</t>
  </si>
  <si>
    <t>r3_conx</t>
  </si>
  <si>
    <t>con_round3</t>
  </si>
  <si>
    <t>r4_conx</t>
  </si>
  <si>
    <t>con_round4</t>
  </si>
  <si>
    <t>r2_r3_con_changex</t>
  </si>
  <si>
    <t>r3_r4_con_changex</t>
  </si>
  <si>
    <t>[41,3% - 53,7%]</t>
  </si>
  <si>
    <t>[39.6% - 48%]</t>
  </si>
  <si>
    <t>[36.6% - 46.8%]</t>
  </si>
  <si>
    <t>[44.7% - 59.1%]</t>
  </si>
  <si>
    <t>10.2%*</t>
  </si>
  <si>
    <t>[62,9% - 70,6%]</t>
  </si>
  <si>
    <t>[52.7% - 64.3%]</t>
  </si>
  <si>
    <t>[54.9% - 63.6%]</t>
  </si>
  <si>
    <t>[52.2% - 66.1%]</t>
  </si>
  <si>
    <t>[29,2% - 40%]</t>
  </si>
  <si>
    <t>[27.5% - 40.2%]</t>
  </si>
  <si>
    <t>[25.5% - 39.4%]</t>
  </si>
  <si>
    <t>[39.9% - 53.5%]</t>
  </si>
  <si>
    <t>-1,1%**</t>
  </si>
  <si>
    <t>13.5%**</t>
  </si>
  <si>
    <t>17.3%***</t>
  </si>
  <si>
    <t>Badghis</t>
  </si>
  <si>
    <t>[24,2% - 39,8%]</t>
  </si>
  <si>
    <t>[38.6% - 63.7%]</t>
  </si>
  <si>
    <t>[37.1% - 52.3%]</t>
  </si>
  <si>
    <t>[30.4% - 45.9%]</t>
  </si>
  <si>
    <t>[53,4% - 62,6%]</t>
  </si>
  <si>
    <t>[42.6% - 62.1%]</t>
  </si>
  <si>
    <t>[39.3% - 54.3%]</t>
  </si>
  <si>
    <t>[40.7% - 51.4%]</t>
  </si>
  <si>
    <t>[21,2% - 31,1%]</t>
  </si>
  <si>
    <t>[26.4% - 53.9%]</t>
  </si>
  <si>
    <t>[27.2% - 36.3%]</t>
  </si>
  <si>
    <t>[42.1% - 51.2%]</t>
  </si>
  <si>
    <t>14.6%***</t>
  </si>
  <si>
    <t>[29,2% - 41,9%]</t>
  </si>
  <si>
    <t>[41.2% - 53.6%]</t>
  </si>
  <si>
    <t>[47.6% - 59.4%]</t>
  </si>
  <si>
    <t>[38.5% - 46.2%]</t>
  </si>
  <si>
    <t>12,2%*</t>
  </si>
  <si>
    <t>-12.8%**</t>
  </si>
  <si>
    <t>[59,8% - 66,9%]</t>
  </si>
  <si>
    <t>[56.5% - 68.7%]</t>
  </si>
  <si>
    <t>[49.8% - 60.7%]</t>
  </si>
  <si>
    <t>[48.8% - 60.9%]</t>
  </si>
  <si>
    <t>-,7%**</t>
  </si>
  <si>
    <t>9.2%*</t>
  </si>
  <si>
    <t>[16,7% - 32,6%]</t>
  </si>
  <si>
    <t>[45.8% - 60.4%]</t>
  </si>
  <si>
    <t>[53.8% - 67.1%]</t>
  </si>
  <si>
    <t>[40.6% - 64.2%]</t>
  </si>
  <si>
    <t>[42,3% - 50,4%]</t>
  </si>
  <si>
    <t>[55.8% - 68%]</t>
  </si>
  <si>
    <t>[43.2% - 59.9%]</t>
  </si>
  <si>
    <t>[48.8% - 63.1%]</t>
  </si>
  <si>
    <t>15,4%***</t>
  </si>
  <si>
    <t>[55,5% - 64,3%]</t>
  </si>
  <si>
    <t>[52.3% - 61.4%]</t>
  </si>
  <si>
    <t>[49.9% - 64.6%]</t>
  </si>
  <si>
    <t>[49.1% - 57.6%]</t>
  </si>
  <si>
    <t>[40,9% - 52,4%]</t>
  </si>
  <si>
    <t>[37.9% - 47.7%]</t>
  </si>
  <si>
    <t>[28.1% - 45.1%]</t>
  </si>
  <si>
    <t>[54.1% - 62.1%]</t>
  </si>
  <si>
    <t>-4,6%***</t>
  </si>
  <si>
    <t>21.6%***</t>
  </si>
  <si>
    <t>-12.2%***</t>
  </si>
  <si>
    <t>[36,5% - 55,6%]</t>
  </si>
  <si>
    <t>[43.6% - 57.9%]</t>
  </si>
  <si>
    <t>[42.7% - 62%]</t>
  </si>
  <si>
    <t>[45.3% - 72%]</t>
  </si>
  <si>
    <t>[64,1% - 70,1%]</t>
  </si>
  <si>
    <t>[56.9% - 68.3%]</t>
  </si>
  <si>
    <t>[52.5% - 63.8%]</t>
  </si>
  <si>
    <t>[63.5% - 72.5%]</t>
  </si>
  <si>
    <t>-4,3%*</t>
  </si>
  <si>
    <t>9.4%*</t>
  </si>
  <si>
    <t>-9.8%**</t>
  </si>
  <si>
    <t>[26,7% - 37,5%]</t>
  </si>
  <si>
    <t>[45.8% - 59.2%]</t>
  </si>
  <si>
    <t>[36.4% - 45.5%]</t>
  </si>
  <si>
    <t>[44.6% - 68.4%]</t>
  </si>
  <si>
    <t>-12.1%**</t>
  </si>
  <si>
    <t>16.4%*</t>
  </si>
  <si>
    <t>Daykundi</t>
  </si>
  <si>
    <t>[32,9% - 51,3%]</t>
  </si>
  <si>
    <t>[38.1% - 49.9%]</t>
  </si>
  <si>
    <t>[37.2% - 44.3%]</t>
  </si>
  <si>
    <t>[43.3% - 55.3%]</t>
  </si>
  <si>
    <t>8.3%*</t>
  </si>
  <si>
    <t>[57,9% - 64,9%]</t>
  </si>
  <si>
    <t>[49.3% - 55.1%]</t>
  </si>
  <si>
    <t>[56.4% - 65.2%]</t>
  </si>
  <si>
    <t>[60.5% - 74.7%]</t>
  </si>
  <si>
    <t>8.4%**</t>
  </si>
  <si>
    <t>[28,4% - 44%]</t>
  </si>
  <si>
    <t>[49.4% - 64.1%]</t>
  </si>
  <si>
    <t>[47.4% - 67.4%]</t>
  </si>
  <si>
    <t>[52.8% - 67.9%]</t>
  </si>
  <si>
    <t>Farah</t>
  </si>
  <si>
    <t>[30,9% - 42,1%]</t>
  </si>
  <si>
    <t>[47.5% - 52.5%]</t>
  </si>
  <si>
    <t>[28.2% - 43.5%]</t>
  </si>
  <si>
    <t>[36.5% - 53.1%]</t>
  </si>
  <si>
    <t>-13%***</t>
  </si>
  <si>
    <t>[65,4% - 74,5%]</t>
  </si>
  <si>
    <t>[60.4% - 65.9%]</t>
  </si>
  <si>
    <t>[48.9% - 58.3%]</t>
  </si>
  <si>
    <t>[52.9% - 65.2%]</t>
  </si>
  <si>
    <t>-7,1%**</t>
  </si>
  <si>
    <t>-9.7%***</t>
  </si>
  <si>
    <t>[14,7% - 24,3%]</t>
  </si>
  <si>
    <t>[42.4% - 46.5%]</t>
  </si>
  <si>
    <t>[28.1% - 42.9%]</t>
  </si>
  <si>
    <t>[31.4% - 47.7%]</t>
  </si>
  <si>
    <t>25,1%*</t>
  </si>
  <si>
    <t>-8.9%*</t>
  </si>
  <si>
    <t>[33,4% - 40,6%]</t>
  </si>
  <si>
    <t>[28.7% - 42.4%]</t>
  </si>
  <si>
    <t>[37% - 47.7%]</t>
  </si>
  <si>
    <t>[32.1% - 52.2%]</t>
  </si>
  <si>
    <t>[60,6% - 70,8%]</t>
  </si>
  <si>
    <t>[41.9% - 58.8%]</t>
  </si>
  <si>
    <t>[56.4% - 63.4%]</t>
  </si>
  <si>
    <t>[58.6% - 66.6%]</t>
  </si>
  <si>
    <t>7.5%*</t>
  </si>
  <si>
    <t>[25,8% - 35,8%]</t>
  </si>
  <si>
    <t>[33.3% - 47%]</t>
  </si>
  <si>
    <t>[29.1% - 40.6%]</t>
  </si>
  <si>
    <t>[36.7% - 51.1%]</t>
  </si>
  <si>
    <t>[34,9% - 41,2%]</t>
  </si>
  <si>
    <t>[38% - 47.9%]</t>
  </si>
  <si>
    <t>[27.7% - 37.6%]</t>
  </si>
  <si>
    <t>[37.3% - 50.4%]</t>
  </si>
  <si>
    <t>-9%*</t>
  </si>
  <si>
    <t>10.5%**</t>
  </si>
  <si>
    <t>[60% - 69%]</t>
  </si>
  <si>
    <t>[61.7% - 66%]</t>
  </si>
  <si>
    <t>[58.8% - 66%]</t>
  </si>
  <si>
    <t>[54% - 60.5%]</t>
  </si>
  <si>
    <t>-5.2%*</t>
  </si>
  <si>
    <t>[24,3% - 32,2%]</t>
  </si>
  <si>
    <t>[24.4% - 30.1%]</t>
  </si>
  <si>
    <t>[27% - 34.2%]</t>
  </si>
  <si>
    <t>[27.6% - 35%]</t>
  </si>
  <si>
    <t>11.8%***</t>
  </si>
  <si>
    <t>[36,8% - 43,1%]</t>
  </si>
  <si>
    <t>[37.3% - 62.9%]</t>
  </si>
  <si>
    <t>[46.2% - 53.3%]</t>
  </si>
  <si>
    <t>[30% - 59.4%]</t>
  </si>
  <si>
    <t>8,4%*</t>
  </si>
  <si>
    <t>[55,3% - 61,8%]</t>
  </si>
  <si>
    <t>[59.9% - 73%]</t>
  </si>
  <si>
    <t>[39.6% - 62.5%]</t>
  </si>
  <si>
    <t>[70% - 81.7%]</t>
  </si>
  <si>
    <t>-13.9%*</t>
  </si>
  <si>
    <t>22%***</t>
  </si>
  <si>
    <t>-21%***</t>
  </si>
  <si>
    <t>[39,3% - 49,9%]</t>
  </si>
  <si>
    <t>[37.4% - 56.2%]</t>
  </si>
  <si>
    <t>[31.5% - 50.6%]</t>
  </si>
  <si>
    <t>[51.6% - 69.1%]</t>
  </si>
  <si>
    <t>19.7%**</t>
  </si>
  <si>
    <t>[22% - 32,7%]</t>
  </si>
  <si>
    <t>[23% - 36.7%]</t>
  </si>
  <si>
    <t>[29.7% - 36.1%]</t>
  </si>
  <si>
    <t>[19.2% - 26.9%]</t>
  </si>
  <si>
    <t>2,4%*</t>
  </si>
  <si>
    <t>-9.9%***</t>
  </si>
  <si>
    <t>[49,2% - 57,5%]</t>
  </si>
  <si>
    <t>[36.5% - 51.3%]</t>
  </si>
  <si>
    <t>[38.9% - 45.1%]</t>
  </si>
  <si>
    <t>[42.8% - 50.5%]</t>
  </si>
  <si>
    <t>[22,6% - 30,3%]</t>
  </si>
  <si>
    <t>[25.4% - 38.2%]</t>
  </si>
  <si>
    <t>[18% - 28.3%]</t>
  </si>
  <si>
    <t>[15.6% - 23.7%]</t>
  </si>
  <si>
    <t>4,5%*</t>
  </si>
  <si>
    <t>-7.6%*</t>
  </si>
  <si>
    <t>[38,7% - 44,4%]</t>
  </si>
  <si>
    <t>[38.5% - 45.5%]</t>
  </si>
  <si>
    <t>[40.6% - 50.5%]</t>
  </si>
  <si>
    <t>[37.6% - 46%]</t>
  </si>
  <si>
    <t>[55,1% - 64,3%]</t>
  </si>
  <si>
    <t>[49.4% - 62.6%]</t>
  </si>
  <si>
    <t>[55% - 68.1%]</t>
  </si>
  <si>
    <t>[50.5% - 67.7%]</t>
  </si>
  <si>
    <t>[31,7% - 43,3%]</t>
  </si>
  <si>
    <t>[36.7% - 45.8%]</t>
  </si>
  <si>
    <t>[42.1% - 50.9%]</t>
  </si>
  <si>
    <t>[35.6% - 44.3%]</t>
  </si>
  <si>
    <t>-6.3%*</t>
  </si>
  <si>
    <t>[52,4% - 64,4%]</t>
  </si>
  <si>
    <t>[37.2% - 45.1%]</t>
  </si>
  <si>
    <t>[38.4% - 48.3%]</t>
  </si>
  <si>
    <t>[41.3% - 53.1%]</t>
  </si>
  <si>
    <t>[43.8% - 51.7%]</t>
  </si>
  <si>
    <t>-16,9%***</t>
  </si>
  <si>
    <t>[61,6% - 72,2%]</t>
  </si>
  <si>
    <t>[53.9% - 65%]</t>
  </si>
  <si>
    <t>[55.7% - 65.2%]</t>
  </si>
  <si>
    <t>[47.8% - 57.6%]</t>
  </si>
  <si>
    <t>-7.8%*</t>
  </si>
  <si>
    <t>[38,3% - 60,6%]</t>
  </si>
  <si>
    <t>[46.6% - 69.8%]</t>
  </si>
  <si>
    <t>[45.6% - 54.7%]</t>
  </si>
  <si>
    <t>[50.2% - 61.4%]</t>
  </si>
  <si>
    <t>8%***</t>
  </si>
  <si>
    <t>[45,1% - 55,2%]</t>
  </si>
  <si>
    <t>[46.9% - 55.3%]</t>
  </si>
  <si>
    <t>[51.4% - 64.6%]</t>
  </si>
  <si>
    <t>[60.1% - 70%]</t>
  </si>
  <si>
    <t>[59,4% - 67,4%]</t>
  </si>
  <si>
    <t>[50.4% - 60%]</t>
  </si>
  <si>
    <t>[44.6% - 60.5%]</t>
  </si>
  <si>
    <t>[49% - 59.7%]</t>
  </si>
  <si>
    <t>[30,6% - 41,6%]</t>
  </si>
  <si>
    <t>[44.1% - 58.9%]</t>
  </si>
  <si>
    <t>[34.2% - 62.3%]</t>
  </si>
  <si>
    <t>[41.8% - 56.6%]</t>
  </si>
  <si>
    <t>[26% - 33,3%]</t>
  </si>
  <si>
    <t>[33.5% - 39.3%]</t>
  </si>
  <si>
    <t>[40.5% - 46.5%]</t>
  </si>
  <si>
    <t>[34.3% - 44.8%]</t>
  </si>
  <si>
    <t>6.5%**</t>
  </si>
  <si>
    <t>[48,6% - 59,6%]</t>
  </si>
  <si>
    <t>[45.2% - 56%]</t>
  </si>
  <si>
    <t>[54.5% - 62.2%]</t>
  </si>
  <si>
    <t>[55.8% - 63.6%]</t>
  </si>
  <si>
    <t>8.1%*</t>
  </si>
  <si>
    <t>-6.6%*</t>
  </si>
  <si>
    <t>[21% - 32,2%]</t>
  </si>
  <si>
    <t>[24.1% - 31.7%]</t>
  </si>
  <si>
    <t>[37.5% - 48.2%]</t>
  </si>
  <si>
    <t>[38.9% - 52.4%]</t>
  </si>
  <si>
    <t>1,2%*</t>
  </si>
  <si>
    <t>15.2%***</t>
  </si>
  <si>
    <t>Kapisa</t>
  </si>
  <si>
    <t>[36,4% - 41,7%]</t>
  </si>
  <si>
    <t>[35.9% - 45.1%]</t>
  </si>
  <si>
    <t>[34.2% - 44.5%]</t>
  </si>
  <si>
    <t>[37.9% - 46.3%]</t>
  </si>
  <si>
    <t>1,2%**</t>
  </si>
  <si>
    <t>[61,8% - 72,7%]</t>
  </si>
  <si>
    <t>[42.3% - 53.9%]</t>
  </si>
  <si>
    <t>[43.7% - 55.5%]</t>
  </si>
  <si>
    <t>[42.9% - 56.1%]</t>
  </si>
  <si>
    <t>[38,9% - 46,7%]</t>
  </si>
  <si>
    <t>[40.6% - 66.1%]</t>
  </si>
  <si>
    <t>[25.6% - 36.2%]</t>
  </si>
  <si>
    <t>[31% - 45.6%]</t>
  </si>
  <si>
    <t>-23%***</t>
  </si>
  <si>
    <t>Khost</t>
  </si>
  <si>
    <t>[33% - 40,1%]</t>
  </si>
  <si>
    <t>[57.2% - 63%]</t>
  </si>
  <si>
    <t>[59.1% - 67.7%]</t>
  </si>
  <si>
    <t>[60.1% - 68.2%]</t>
  </si>
  <si>
    <t>[57,2% - 59,9%]</t>
  </si>
  <si>
    <t>[49.6% - 64.7%]</t>
  </si>
  <si>
    <t>[44.1% - 64.1%]</t>
  </si>
  <si>
    <t>[59.1% - 74.2%]</t>
  </si>
  <si>
    <t>-1,2%***</t>
  </si>
  <si>
    <t>12.4%*</t>
  </si>
  <si>
    <t>[17,6% - 25,7%]</t>
  </si>
  <si>
    <t>[50.4% - 69.5%]</t>
  </si>
  <si>
    <t>[54.7% - 70.3%]</t>
  </si>
  <si>
    <t>[52.9% - 69.3%]</t>
  </si>
  <si>
    <t>38,9%*</t>
  </si>
  <si>
    <t>[46,3% - 57,6%]</t>
  </si>
  <si>
    <t>[59.2% - 68.7%]</t>
  </si>
  <si>
    <t>[54.2% - 66.1%]</t>
  </si>
  <si>
    <t>[57.9% - 65.2%]</t>
  </si>
  <si>
    <t>[47,4% - 57,7%]</t>
  </si>
  <si>
    <t>[57.8% - 73.6%]</t>
  </si>
  <si>
    <t>[32.6% - 51.2%]</t>
  </si>
  <si>
    <t>[57.6% - 68.9%]</t>
  </si>
  <si>
    <t>13,5%***</t>
  </si>
  <si>
    <t>-24.4%***</t>
  </si>
  <si>
    <t>21.7%***</t>
  </si>
  <si>
    <t>[28,9% - 47,7%]</t>
  </si>
  <si>
    <t>[52.1% - 79.5%]</t>
  </si>
  <si>
    <t>[62.4% - 77.7%]</t>
  </si>
  <si>
    <t>[64.2% - 83.9%]</t>
  </si>
  <si>
    <t>27,4%***</t>
  </si>
  <si>
    <t>[28,5% - 37,5%]</t>
  </si>
  <si>
    <t>[44.4% - 51.5%]</t>
  </si>
  <si>
    <t>[43.4% - 54.8%]</t>
  </si>
  <si>
    <t>[42.2% - 54.4%]</t>
  </si>
  <si>
    <t>[46,1% - 54,8%]</t>
  </si>
  <si>
    <t>[43.6% - 56.2%]</t>
  </si>
  <si>
    <t>[45.4% - 54.9%]</t>
  </si>
  <si>
    <t>[40.7% - 50%]</t>
  </si>
  <si>
    <t>13.5%***</t>
  </si>
  <si>
    <t>[20,8% - 26,6%]</t>
  </si>
  <si>
    <t>[27.8% - 38.9%]</t>
  </si>
  <si>
    <t>[41.8% - 54.2%]</t>
  </si>
  <si>
    <t>[44.2% - 51.6%]</t>
  </si>
  <si>
    <t>16.3%***</t>
  </si>
  <si>
    <t>Laghman</t>
  </si>
  <si>
    <t>[58,7% - 69,3%]</t>
  </si>
  <si>
    <t>[56.3% - 77.7%]</t>
  </si>
  <si>
    <t>[63.7% - 79.9%]</t>
  </si>
  <si>
    <t>[45.8% - 56.6%]</t>
  </si>
  <si>
    <t>2,9%***</t>
  </si>
  <si>
    <t>-21.4%***</t>
  </si>
  <si>
    <t>[48% - 60,6%]</t>
  </si>
  <si>
    <t>[45.8% - 72.1%]</t>
  </si>
  <si>
    <t>[59% - 71.8%]</t>
  </si>
  <si>
    <t>[45.1% - 59.8%]</t>
  </si>
  <si>
    <t>5,5%*</t>
  </si>
  <si>
    <t>-13.6%**</t>
  </si>
  <si>
    <t>[41,1% - 55,8%]</t>
  </si>
  <si>
    <t>[58.9% - 75.7%]</t>
  </si>
  <si>
    <t>[53.7% - 72.2%]</t>
  </si>
  <si>
    <t>[46.3% - 61%]</t>
  </si>
  <si>
    <t>18,7%***</t>
  </si>
  <si>
    <t>[34,1% - 40%]</t>
  </si>
  <si>
    <t>[51.7% - 64%]</t>
  </si>
  <si>
    <t>[42.6% - 52.4%]</t>
  </si>
  <si>
    <t>[61.6% - 66.1%]</t>
  </si>
  <si>
    <t>20,1%***</t>
  </si>
  <si>
    <t>-9.8%*</t>
  </si>
  <si>
    <t>16.2%***</t>
  </si>
  <si>
    <t>[57,9% - 69,2%]</t>
  </si>
  <si>
    <t>[58.5% - 64.6%]</t>
  </si>
  <si>
    <t>[47.7% - 55.9%]</t>
  </si>
  <si>
    <t>[59.1% - 70%]</t>
  </si>
  <si>
    <t>[56.8% - 73.3%]</t>
  </si>
  <si>
    <t>-9.6%***</t>
  </si>
  <si>
    <t>12.9%***</t>
  </si>
  <si>
    <t>[38,7% - 54,2%]</t>
  </si>
  <si>
    <t>[57.1% - 69.1%]</t>
  </si>
  <si>
    <t>[37.3% - 49%]</t>
  </si>
  <si>
    <t>[49.6% - 65.8%]</t>
  </si>
  <si>
    <t>16%***</t>
  </si>
  <si>
    <t>-19.8%***</t>
  </si>
  <si>
    <t>13.8%**</t>
  </si>
  <si>
    <t>Nangarhar</t>
  </si>
  <si>
    <t>[36,8% - 47,2%]</t>
  </si>
  <si>
    <t>[44.3% - 54.4%]</t>
  </si>
  <si>
    <t>[37% - 46.3%]</t>
  </si>
  <si>
    <t>[35.8% - 43.6%]</t>
  </si>
  <si>
    <t>[49,7% - 57,4%]</t>
  </si>
  <si>
    <t>[49.7% - 61.2%]</t>
  </si>
  <si>
    <t>[53.5% - 64.6%]</t>
  </si>
  <si>
    <t>[47.4% - 60.7%]</t>
  </si>
  <si>
    <t>[22,4% - 33,5%]</t>
  </si>
  <si>
    <t>[23.9% - 35.5%]</t>
  </si>
  <si>
    <t>[18.3% - 28.7%]</t>
  </si>
  <si>
    <t>[26.3% - 41.2%]</t>
  </si>
  <si>
    <t>11.8%*</t>
  </si>
  <si>
    <t>[30,4% - 44,6%]</t>
  </si>
  <si>
    <t>[49.3% - 71.3%]</t>
  </si>
  <si>
    <t>[58.6% - 76.9%]</t>
  </si>
  <si>
    <t>[70.5% - 83.3%]</t>
  </si>
  <si>
    <t>[59.8% - 71.3%]</t>
  </si>
  <si>
    <t>-10.6%*</t>
  </si>
  <si>
    <t>[53,7% - 61,9%]</t>
  </si>
  <si>
    <t>[54% - 67.1%]</t>
  </si>
  <si>
    <t>[58.2% - 69.8%]</t>
  </si>
  <si>
    <t>[40.8% - 59%]</t>
  </si>
  <si>
    <t>-12.3%*</t>
  </si>
  <si>
    <t>[18,3% - 27,3%]</t>
  </si>
  <si>
    <t>[42.3% - 71.5%]</t>
  </si>
  <si>
    <t>[36.6% - 75.7%]</t>
  </si>
  <si>
    <t>[48.9% - 70.9%]</t>
  </si>
  <si>
    <t>[51% - 57,1%]</t>
  </si>
  <si>
    <t>[25% - 30.8%]</t>
  </si>
  <si>
    <t>[37.2% - 56.6%]</t>
  </si>
  <si>
    <t>[59.3% - 89.5%]</t>
  </si>
  <si>
    <t>[45.8% - 81.9%]</t>
  </si>
  <si>
    <t>-26%***</t>
  </si>
  <si>
    <t>16.8%**</t>
  </si>
  <si>
    <t>29.3%**</t>
  </si>
  <si>
    <t>[59,9% - 71,6%]</t>
  </si>
  <si>
    <t>[28.5% - 37.8%]</t>
  </si>
  <si>
    <t>[49.8% - 66.1%]</t>
  </si>
  <si>
    <t>[53.5% - 73%]</t>
  </si>
  <si>
    <t>25.2%***</t>
  </si>
  <si>
    <t>[23,4% - 37,7%]</t>
  </si>
  <si>
    <t>[18.5% - 28.8%]</t>
  </si>
  <si>
    <t>[31.8% - 49.3%]</t>
  </si>
  <si>
    <t>[39.5% - 54.2%]</t>
  </si>
  <si>
    <t>-6,8%*</t>
  </si>
  <si>
    <t>16%**</t>
  </si>
  <si>
    <t>[31,2% - 44,1%]</t>
  </si>
  <si>
    <t>[41.9% - 54%]</t>
  </si>
  <si>
    <t>[45.5% - 56.9%]</t>
  </si>
  <si>
    <t>[30.4% - 42.1%]</t>
  </si>
  <si>
    <t>-15.5%***</t>
  </si>
  <si>
    <t>[69,1% - 76%]</t>
  </si>
  <si>
    <t>[56% - 66.5%]</t>
  </si>
  <si>
    <t>[59.4% - 63.8%]</t>
  </si>
  <si>
    <t>[36.3% - 49.8%]</t>
  </si>
  <si>
    <t>-10,7%***</t>
  </si>
  <si>
    <t>-18.4%***</t>
  </si>
  <si>
    <t>[19,4% - 30%]</t>
  </si>
  <si>
    <t>[30.9% - 43.5%]</t>
  </si>
  <si>
    <t>[32.1% - 42.3%]</t>
  </si>
  <si>
    <t>[33.2% - 46.6%]</t>
  </si>
  <si>
    <t>[29,6% - 44,8%]</t>
  </si>
  <si>
    <t>[32.2% - 37.7%]</t>
  </si>
  <si>
    <t>[30.1% - 39.3%]</t>
  </si>
  <si>
    <t>[36.8% - 39.9%]</t>
  </si>
  <si>
    <t>[66,6% - 71,8%]</t>
  </si>
  <si>
    <t>[49% - 56.4%]</t>
  </si>
  <si>
    <t>[48% - 61.3%]</t>
  </si>
  <si>
    <t>[53% - 63.9%]</t>
  </si>
  <si>
    <t>-16,1%*</t>
  </si>
  <si>
    <t>[19% - 33,6%]</t>
  </si>
  <si>
    <t>[32.8% - 48.1%]</t>
  </si>
  <si>
    <t>[43.9% - 53.3%]</t>
  </si>
  <si>
    <t>[47.1% - 55.7%]</t>
  </si>
  <si>
    <t>-9.5%*</t>
  </si>
  <si>
    <t>[34% - 38,7%]</t>
  </si>
  <si>
    <t>[36.8% - 41.9%]</t>
  </si>
  <si>
    <t>[28.3% - 31.7%]</t>
  </si>
  <si>
    <t>[38.4% - 44.4%]</t>
  </si>
  <si>
    <t>-8.7%***</t>
  </si>
  <si>
    <t>11.6%***</t>
  </si>
  <si>
    <t>[66,4% - 71%]</t>
  </si>
  <si>
    <t>[57.9% - 65.5%]</t>
  </si>
  <si>
    <t>[52.4% - 61.1%]</t>
  </si>
  <si>
    <t>[50.3% - 62.1%]</t>
  </si>
  <si>
    <t>[26,8% - 30,6%]</t>
  </si>
  <si>
    <t>[34.3% - 42.1%]</t>
  </si>
  <si>
    <t>[27% - 37.9%]</t>
  </si>
  <si>
    <t>[30.8% - 44.4%]</t>
  </si>
  <si>
    <t>9,8%***</t>
  </si>
  <si>
    <t>11.5%*</t>
  </si>
  <si>
    <t>[25,4% - 38%]</t>
  </si>
  <si>
    <t>[23.3% - 32%]</t>
  </si>
  <si>
    <t>[41% - 48%]</t>
  </si>
  <si>
    <t>[34.9% - 45.7%]</t>
  </si>
  <si>
    <t>-4%*</t>
  </si>
  <si>
    <t>17.1%***</t>
  </si>
  <si>
    <t>[52,3% - 63,3%]</t>
  </si>
  <si>
    <t>[47.1% - 58.3%]</t>
  </si>
  <si>
    <t>[46.5% - 59.8%]</t>
  </si>
  <si>
    <t>[54% - 64.5%]</t>
  </si>
  <si>
    <t>[17,3% - 27,3%]</t>
  </si>
  <si>
    <t>[20.2% - 31.6%]</t>
  </si>
  <si>
    <t>[44.1% - 57.7%]</t>
  </si>
  <si>
    <t>[27.9% - 40.2%]</t>
  </si>
  <si>
    <t>25.4%***</t>
  </si>
  <si>
    <t>-17.3%***</t>
  </si>
  <si>
    <t>[51,8% - 59,8%]</t>
  </si>
  <si>
    <t>[44.7% - 51.2%]</t>
  </si>
  <si>
    <t>[52.1% - 60.1%]</t>
  </si>
  <si>
    <t>[52.1% - 62%]</t>
  </si>
  <si>
    <t>-7,6%***</t>
  </si>
  <si>
    <t>8.2%**</t>
  </si>
  <si>
    <t>[59,8% - 69,2%]</t>
  </si>
  <si>
    <t>[54.1% - 65.1%]</t>
  </si>
  <si>
    <t>[51% - 59.3%]</t>
  </si>
  <si>
    <t>[50.6% - 57.4%]</t>
  </si>
  <si>
    <t>[26,4% - 42%]</t>
  </si>
  <si>
    <t>[30% - 45.2%]</t>
  </si>
  <si>
    <t>[34% - 42.3%]</t>
  </si>
  <si>
    <t>[45.9% - 58%]</t>
  </si>
  <si>
    <t>14.2%***</t>
  </si>
  <si>
    <t>[31,4% - 38,6%]</t>
  </si>
  <si>
    <t>[35.1% - 53.3%]</t>
  </si>
  <si>
    <t>[36.9% - 51.8%]</t>
  </si>
  <si>
    <t>[37.7% - 46.9%]</t>
  </si>
  <si>
    <t>[53,1% - 62,7%]</t>
  </si>
  <si>
    <t>[46.6% - 61.5%]</t>
  </si>
  <si>
    <t>[53% - 62.4%]</t>
  </si>
  <si>
    <t>[45.5% - 55.4%]</t>
  </si>
  <si>
    <t>-6.2%*</t>
  </si>
  <si>
    <t>9.8%**</t>
  </si>
  <si>
    <t>[12,9% - 22,6%]</t>
  </si>
  <si>
    <t>[28% - 45%]</t>
  </si>
  <si>
    <t>[28% - 40.5%]</t>
  </si>
  <si>
    <t>[20.5% - 30.5%]</t>
  </si>
  <si>
    <t>-8.7%*</t>
  </si>
  <si>
    <t>[33,1% - 41,6%]</t>
  </si>
  <si>
    <t>[48.3% - 57.7%]</t>
  </si>
  <si>
    <t>[45.8% - 59.9%]</t>
  </si>
  <si>
    <t>[50.6% - 67.4%]</t>
  </si>
  <si>
    <t>15,3%**</t>
  </si>
  <si>
    <t>[42,8% - 55%]</t>
  </si>
  <si>
    <t>[46.8% - 64%]</t>
  </si>
  <si>
    <t>[53.3% - 62.2%]</t>
  </si>
  <si>
    <t>[53% - 65.5%]</t>
  </si>
  <si>
    <t>[27,3% - 37,1%]</t>
  </si>
  <si>
    <t>[46% - 65.7%]</t>
  </si>
  <si>
    <t>[50.7% - 68.6%]</t>
  </si>
  <si>
    <t>[59.9% - 71.7%]</t>
  </si>
  <si>
    <t>25%*</t>
  </si>
  <si>
    <t>[26,6% - 33,2%]</t>
  </si>
  <si>
    <t>[36% - 42.7%]</t>
  </si>
  <si>
    <t>[22.1% - 42.1%]</t>
  </si>
  <si>
    <t>[52% - 69.6%]</t>
  </si>
  <si>
    <t>8,9%*</t>
  </si>
  <si>
    <t>29.6%***</t>
  </si>
  <si>
    <t>[51,7% - 58,3%]</t>
  </si>
  <si>
    <t>[42% - 59%]</t>
  </si>
  <si>
    <t>[41.7% - 61.8%]</t>
  </si>
  <si>
    <t>[61.6% - 72.2%]</t>
  </si>
  <si>
    <t>15.9%**</t>
  </si>
  <si>
    <t>[25,8% - 41,2%]</t>
  </si>
  <si>
    <t>[37.1% - 54.2%]</t>
  </si>
  <si>
    <t>[23.5% - 43.6%]</t>
  </si>
  <si>
    <t>[46.1% - 69%]</t>
  </si>
  <si>
    <t>25.9%**</t>
  </si>
  <si>
    <t>-20.8%**</t>
  </si>
  <si>
    <t>[38,2% - 48,5%]</t>
  </si>
  <si>
    <t>[32.4% - 52.6%]</t>
  </si>
  <si>
    <t>[37.4% - 41.2%]</t>
  </si>
  <si>
    <t>[50.1% - 57.6%]</t>
  </si>
  <si>
    <t>14.1%***</t>
  </si>
  <si>
    <t>[62,8% - 71,4%]</t>
  </si>
  <si>
    <t>[38.6% - 53.2%]</t>
  </si>
  <si>
    <t>[47% - 52.8%]</t>
  </si>
  <si>
    <t>[31% - 46.9%]</t>
  </si>
  <si>
    <t>-10.2%*</t>
  </si>
  <si>
    <t>14.4%*</t>
  </si>
  <si>
    <t>[31,5% - 47%]</t>
  </si>
  <si>
    <t>[43.9% - 59.5%]</t>
  </si>
  <si>
    <t>[41.3% - 57.6%]</t>
  </si>
  <si>
    <t>[40.1% - 63.8%]</t>
  </si>
  <si>
    <t>Zabul</t>
  </si>
  <si>
    <t>[14,7% - 21,7%]</t>
  </si>
  <si>
    <t>[39.3% - 54.6%]</t>
  </si>
  <si>
    <t>[51.1% - 56.3%]</t>
  </si>
  <si>
    <t>[27.6% - 37.1%]</t>
  </si>
  <si>
    <t>30,3%***</t>
  </si>
  <si>
    <t>-21.6%***</t>
  </si>
  <si>
    <t>[32,3% - 49%]</t>
  </si>
  <si>
    <t>[49.8% - 68.2%]</t>
  </si>
  <si>
    <t>[70.1% - 79.5%]</t>
  </si>
  <si>
    <t>[42% - 48.8%]</t>
  </si>
  <si>
    <t>15.7%**</t>
  </si>
  <si>
    <t>-29.6%***</t>
  </si>
  <si>
    <t>[8,3% - 12,8%]</t>
  </si>
  <si>
    <t>[29.9% - 62.9%]</t>
  </si>
  <si>
    <t>[65% - 77.4%]</t>
  </si>
  <si>
    <t>[21.9% - 30.7%]</t>
  </si>
  <si>
    <t>39,6%**</t>
  </si>
  <si>
    <t>21.5%**</t>
  </si>
  <si>
    <t>-45.6%***</t>
  </si>
  <si>
    <t>[38.3% - 41.3%]</t>
  </si>
  <si>
    <t>[44.7% - 48%]</t>
  </si>
  <si>
    <t>[45.4% - 48.7%]</t>
  </si>
  <si>
    <t>[46.4% - 50.2%]</t>
  </si>
  <si>
    <t>6.2%***</t>
  </si>
  <si>
    <t>[59.1% - 61.1%]</t>
  </si>
  <si>
    <t>[54.6% - 57.1%]</t>
  </si>
  <si>
    <t>[54.9% - 57.4%]</t>
  </si>
  <si>
    <t>[55.2% - 57.6%]</t>
  </si>
  <si>
    <t>-4.6%***</t>
  </si>
  <si>
    <t>[30.2% - 32.8%]</t>
  </si>
  <si>
    <t>[41.9% - 45.3%]</t>
  </si>
  <si>
    <t>[41.6% - 45.1%]</t>
  </si>
  <si>
    <t>[45.3% - 48.8%]</t>
  </si>
  <si>
    <t>13.4%***</t>
  </si>
  <si>
    <t>3.6%**</t>
  </si>
  <si>
    <t>No star = not significant</t>
  </si>
  <si>
    <t>* = p-value &lt;0.05</t>
  </si>
  <si>
    <t>**  = p-value &lt;0.01</t>
  </si>
  <si>
    <t>*** = p-value &lt;0.001</t>
  </si>
  <si>
    <t>HER2 R4 QQM - Structural Indicators
October to December 2024</t>
  </si>
  <si>
    <t>Sar_e_Pul</t>
  </si>
  <si>
    <t>Mean</t>
  </si>
  <si>
    <t>Median</t>
  </si>
  <si>
    <t>Min</t>
  </si>
  <si>
    <t>Max</t>
  </si>
  <si>
    <t>Sample information</t>
  </si>
  <si>
    <t>Number of BHC</t>
  </si>
  <si>
    <t>Number of CHC</t>
  </si>
  <si>
    <t>Number of DH</t>
  </si>
  <si>
    <t>N_mean</t>
  </si>
  <si>
    <t>N_median</t>
  </si>
  <si>
    <t>N_min</t>
  </si>
  <si>
    <t>N_max</t>
  </si>
  <si>
    <t>Hygienic condicitions assured during wound dressing and injections</t>
  </si>
  <si>
    <t>Proportion of cosultations treated with antibiotics &lt;30%</t>
  </si>
  <si>
    <t>1 - 46</t>
  </si>
  <si>
    <t>47</t>
  </si>
  <si>
    <t>Summary Scores</t>
  </si>
  <si>
    <t>QQM - Structural Indicators - HER2 R4 - October to December 2024
Domain 1: General management (14 points)</t>
  </si>
  <si>
    <t>QQM - Structural Indicators - HER2 R4 -  October to December 2024
Domain 2: Hygiene (34 points)</t>
  </si>
  <si>
    <t>QQM - Structural Indicators - HER2 R4 -  October to December 2024
Domain 3: OPD/Curative Consultations (44 points)</t>
  </si>
  <si>
    <t>QQM - Structural Indicators - HER2 R4 - October to December 2024
Domain 4: Family planning (23 points)</t>
  </si>
  <si>
    <t>QQM - Structural Indicators - HER2 R4 -  October to December 2024
Domain 5: Laboratory (15 points, NA for some BHC)</t>
  </si>
  <si>
    <t>QQM - Structural Indicators - HER2 R4 -  October to December 2024
Domain 6: Essential Drugs Management (52 points)</t>
  </si>
  <si>
    <t>QQM - Structural Indicators - HER2 R4 - October to December 2024
Domain 7: Availability of tracer drugs (90 points)</t>
  </si>
  <si>
    <t>QQM - Structural Indicators - HER2 R4 -  October to December 2024
Domain 8: Maternity (29 points)</t>
  </si>
  <si>
    <t>QQM - Structural Indicators - HER2 R4 -  October to December 2024
Domain 9: EPI (27 points)</t>
  </si>
  <si>
    <t>QQM - Structural Indicators - HER2 R4 - October to December 2024
Domain 10: Antenatal care (13 points)</t>
  </si>
  <si>
    <t>QQM - Structural Indicators - HER2 R4 -  October to December 2024
Overall score (BHC: 326 points; CHC/DH: 341 points)</t>
  </si>
  <si>
    <t>Service Provider</t>
  </si>
  <si>
    <t>Facility type</t>
  </si>
  <si>
    <t>Facility ID</t>
  </si>
  <si>
    <t>Staff duty roster up-to-date and visible</t>
  </si>
  <si>
    <t>Technical meetings conducted</t>
  </si>
  <si>
    <t>Standard referral sheets available</t>
  </si>
  <si>
    <t>Domain 1 score</t>
  </si>
  <si>
    <t>Garbage bin available</t>
  </si>
  <si>
    <t>Latrines/toilets are well maintained</t>
  </si>
  <si>
    <t>Showers are well maintained</t>
  </si>
  <si>
    <t>Waste pits are well maintained</t>
  </si>
  <si>
    <t>Sterilization according to norms</t>
  </si>
  <si>
    <t>Domain 2 score</t>
  </si>
  <si>
    <t>Consultation (emergency) room has 24/7 light</t>
  </si>
  <si>
    <t>Domain 3 score</t>
  </si>
  <si>
    <t>Domain 4 score</t>
  </si>
  <si>
    <t>Domain 5 score</t>
  </si>
  <si>
    <t>Domain 6 score</t>
  </si>
  <si>
    <t>Availability of tracer drugs  (MAC*2)</t>
  </si>
  <si>
    <t>Percentage of MAC correctly calculated (out of 5)</t>
  </si>
  <si>
    <t>Domain 7 score</t>
  </si>
  <si>
    <t>Sufficient water with soap and liquid antiseptics in delivery room</t>
  </si>
  <si>
    <t>Light and heat 24 hours in delivery room</t>
  </si>
  <si>
    <t>Waste from maternity correctly handled</t>
  </si>
  <si>
    <t>Delivery room well maintained</t>
  </si>
  <si>
    <t>Domain 8 score</t>
  </si>
  <si>
    <t>Domain 9 score</t>
  </si>
  <si>
    <t>Domain 10 score</t>
  </si>
  <si>
    <t>factype</t>
  </si>
  <si>
    <t>facid</t>
  </si>
  <si>
    <t>gm_1</t>
  </si>
  <si>
    <t>gm_2</t>
  </si>
  <si>
    <t>gm_3</t>
  </si>
  <si>
    <t>gm_4</t>
  </si>
  <si>
    <t>gm_5</t>
  </si>
  <si>
    <t>gm_6</t>
  </si>
  <si>
    <t>gm_7</t>
  </si>
  <si>
    <t>gm_8</t>
  </si>
  <si>
    <t>gm_9</t>
  </si>
  <si>
    <t>gm_score_blank</t>
  </si>
  <si>
    <t>province_name_hy</t>
  </si>
  <si>
    <t>SP_hy</t>
  </si>
  <si>
    <t>factype_hy</t>
  </si>
  <si>
    <t>facid_hy</t>
  </si>
  <si>
    <t>hy_1</t>
  </si>
  <si>
    <t>hy_2</t>
  </si>
  <si>
    <t>hy_3</t>
  </si>
  <si>
    <t>hy_4</t>
  </si>
  <si>
    <t>hy_5</t>
  </si>
  <si>
    <t>hy_6</t>
  </si>
  <si>
    <t>hy_7</t>
  </si>
  <si>
    <t>hy_8</t>
  </si>
  <si>
    <t>hy_9</t>
  </si>
  <si>
    <t>hy_10</t>
  </si>
  <si>
    <t>hy_score_blank</t>
  </si>
  <si>
    <t>province_name_opd</t>
  </si>
  <si>
    <t>SP_opd</t>
  </si>
  <si>
    <t>factype_opd</t>
  </si>
  <si>
    <t>facid_opd</t>
  </si>
  <si>
    <t>opd_1</t>
  </si>
  <si>
    <t>opd_2</t>
  </si>
  <si>
    <t>opd_3</t>
  </si>
  <si>
    <t>opd_4</t>
  </si>
  <si>
    <t>opd_5</t>
  </si>
  <si>
    <t>opd_6</t>
  </si>
  <si>
    <t>opd_7</t>
  </si>
  <si>
    <t>opd_8</t>
  </si>
  <si>
    <t>opd_9</t>
  </si>
  <si>
    <t>opd_10</t>
  </si>
  <si>
    <t>opd_11</t>
  </si>
  <si>
    <t>opd_12</t>
  </si>
  <si>
    <t>opd_13</t>
  </si>
  <si>
    <t>opd_14</t>
  </si>
  <si>
    <t>opd_15</t>
  </si>
  <si>
    <t>opd_16</t>
  </si>
  <si>
    <t>opd_17</t>
  </si>
  <si>
    <t>opd_18</t>
  </si>
  <si>
    <t>opd_19</t>
  </si>
  <si>
    <t>opd_20</t>
  </si>
  <si>
    <t>opd_21</t>
  </si>
  <si>
    <t>opd_22</t>
  </si>
  <si>
    <t>opd_23</t>
  </si>
  <si>
    <t>opd_24</t>
  </si>
  <si>
    <t>opd_score_blank</t>
  </si>
  <si>
    <t>province_name_fp</t>
  </si>
  <si>
    <t>SP_fp</t>
  </si>
  <si>
    <t>factype_fp</t>
  </si>
  <si>
    <t>facid_fp</t>
  </si>
  <si>
    <t>fp_1</t>
  </si>
  <si>
    <t>fp_2</t>
  </si>
  <si>
    <t>fp_3</t>
  </si>
  <si>
    <t>fp_4</t>
  </si>
  <si>
    <t>fp_5</t>
  </si>
  <si>
    <t>fp_6</t>
  </si>
  <si>
    <t>fp_7</t>
  </si>
  <si>
    <t>fp_score_blank</t>
  </si>
  <si>
    <t>province_name_lab</t>
  </si>
  <si>
    <t>SP_lab</t>
  </si>
  <si>
    <t>factype_lab</t>
  </si>
  <si>
    <t>facid_lab</t>
  </si>
  <si>
    <t>lab_1</t>
  </si>
  <si>
    <t>lab_2</t>
  </si>
  <si>
    <t>lab_3</t>
  </si>
  <si>
    <t>lab_4</t>
  </si>
  <si>
    <t>lab_5</t>
  </si>
  <si>
    <t>lab_6</t>
  </si>
  <si>
    <t>lab_8</t>
  </si>
  <si>
    <t>lab_9</t>
  </si>
  <si>
    <t>lab_10</t>
  </si>
  <si>
    <t>lab_11</t>
  </si>
  <si>
    <t>lab_score_blank</t>
  </si>
  <si>
    <t>province_name_edm</t>
  </si>
  <si>
    <t>SP_edm</t>
  </si>
  <si>
    <t>factype_edm</t>
  </si>
  <si>
    <t>facid_edm</t>
  </si>
  <si>
    <t>edm_1</t>
  </si>
  <si>
    <t>edm_2</t>
  </si>
  <si>
    <t>edm_3</t>
  </si>
  <si>
    <t>edm_4</t>
  </si>
  <si>
    <t>edm_5</t>
  </si>
  <si>
    <t>edm_6</t>
  </si>
  <si>
    <t>edm_score_blank</t>
  </si>
  <si>
    <t>province_name_rx</t>
  </si>
  <si>
    <t>SP_rx</t>
  </si>
  <si>
    <t>factype_rx</t>
  </si>
  <si>
    <t>facid_rx</t>
  </si>
  <si>
    <t>rx_1</t>
  </si>
  <si>
    <t>rx_2</t>
  </si>
  <si>
    <t>rx_score_blank</t>
  </si>
  <si>
    <t>province_name_mat</t>
  </si>
  <si>
    <t>SP_mat</t>
  </si>
  <si>
    <t>factype_mat</t>
  </si>
  <si>
    <t>facid_mat</t>
  </si>
  <si>
    <t>mat_1</t>
  </si>
  <si>
    <t>mat_2</t>
  </si>
  <si>
    <t>mat_3</t>
  </si>
  <si>
    <t>mat_4</t>
  </si>
  <si>
    <t>mat_5</t>
  </si>
  <si>
    <t>mat_6</t>
  </si>
  <si>
    <t>mat_7</t>
  </si>
  <si>
    <t>mat_8</t>
  </si>
  <si>
    <t>mat_9</t>
  </si>
  <si>
    <t>mat_10</t>
  </si>
  <si>
    <t>mat_11</t>
  </si>
  <si>
    <t>mat_score_blank</t>
  </si>
  <si>
    <t>province_name_epi</t>
  </si>
  <si>
    <t>SP_epi</t>
  </si>
  <si>
    <t>factype_epi</t>
  </si>
  <si>
    <t>facid_epi</t>
  </si>
  <si>
    <t>epi_1</t>
  </si>
  <si>
    <t>epi_2</t>
  </si>
  <si>
    <t>epi_3</t>
  </si>
  <si>
    <t>epi_4</t>
  </si>
  <si>
    <t>epi_5</t>
  </si>
  <si>
    <t>epi_6</t>
  </si>
  <si>
    <t>epi_7</t>
  </si>
  <si>
    <t>epi_8</t>
  </si>
  <si>
    <t>epi_9</t>
  </si>
  <si>
    <t>epi_10</t>
  </si>
  <si>
    <t>epi_11</t>
  </si>
  <si>
    <t>epi_12</t>
  </si>
  <si>
    <t>epi_15</t>
  </si>
  <si>
    <t>epi_score_blank</t>
  </si>
  <si>
    <t>province_name_anc</t>
  </si>
  <si>
    <t>SP_anc</t>
  </si>
  <si>
    <t>factype_anc</t>
  </si>
  <si>
    <t>facid_anc</t>
  </si>
  <si>
    <t>anc_1</t>
  </si>
  <si>
    <t>anc_2</t>
  </si>
  <si>
    <t>anc_3</t>
  </si>
  <si>
    <t>anc_4</t>
  </si>
  <si>
    <t>anc_5</t>
  </si>
  <si>
    <t>anc_6</t>
  </si>
  <si>
    <t>anc_7</t>
  </si>
  <si>
    <t>anc_8</t>
  </si>
  <si>
    <t>anc_score_blank</t>
  </si>
  <si>
    <t>QQM - Structural Indicators - HER2 R4 -  October to December 2024
Availability of tracer drugs on the day of the survey (MAC*2)</t>
  </si>
  <si>
    <t>QQM - Structural Indicators - HER2 R4 -  October to December 2024
Availability of tracer drugs on the day of the survey (median + interquartile range) - facilities without any availability excluded</t>
  </si>
  <si>
    <t xml:space="preserve"> Paracetamol 500 mg tab</t>
  </si>
  <si>
    <t xml:space="preserve"> Ibuprofen 200 mg caps</t>
  </si>
  <si>
    <t xml:space="preserve"> Chlorpheniramine 2 mg</t>
  </si>
  <si>
    <t xml:space="preserve"> Salbutamol (2mg/5ml) drops/syrup</t>
  </si>
  <si>
    <t xml:space="preserve"> Vitamine A, 50,000; 100,000 and 200,000 IU, capsules</t>
  </si>
  <si>
    <t xml:space="preserve"> Oxytocin 10IU/ml vial</t>
  </si>
  <si>
    <t xml:space="preserve"> Vitamine K1 10mg/ml vial</t>
  </si>
  <si>
    <t xml:space="preserve"> Mebendazole 100 mg tab</t>
  </si>
  <si>
    <t xml:space="preserve"> Ferrous Sulfate 60 mg and Folic Acid (vit B9) 0.4mg tab</t>
  </si>
  <si>
    <t xml:space="preserve"> Amoxicillin 250 mg tablet</t>
  </si>
  <si>
    <t xml:space="preserve"> Amoxicillin 125 mg/5ml syrup</t>
  </si>
  <si>
    <t xml:space="preserve"> Co-trimoxazol 480 mg tab</t>
  </si>
  <si>
    <t xml:space="preserve"> Co-trimoxazol 40mg/200mg - 5ml syrup</t>
  </si>
  <si>
    <t xml:space="preserve"> Doxycycline 100 mg caps</t>
  </si>
  <si>
    <t xml:space="preserve"> Erythromycin 250 mg tab</t>
  </si>
  <si>
    <t xml:space="preserve"> Ampicillin 1 gr vial</t>
  </si>
  <si>
    <t xml:space="preserve"> Gentamycin 20mg/ml vial</t>
  </si>
  <si>
    <t xml:space="preserve"> Chloroquine/phosphate 250mg tablet</t>
  </si>
  <si>
    <t xml:space="preserve"> Sulfadoxine/pyrimethamine 500 mg tab</t>
  </si>
  <si>
    <t xml:space="preserve"> ORS 250mg sachet</t>
  </si>
  <si>
    <t xml:space="preserve"> Zinc Sulphate 20mg, tablet</t>
  </si>
  <si>
    <t xml:space="preserve"> Condom </t>
  </si>
  <si>
    <t xml:space="preserve"> Implant, 2 rad</t>
  </si>
  <si>
    <t xml:space="preserve"> IUD</t>
  </si>
  <si>
    <t xml:space="preserve"> Oral Anticonceptives (progresteron only), 1 month cycle</t>
  </si>
  <si>
    <t xml:space="preserve"> Isoniazid, tab, soluble (child) 100mg</t>
  </si>
  <si>
    <t xml:space="preserve"> Rifampicin+INH+Pyrzazinamide+Ethambutol (150mg+75mg+400mg+275mg) combination tablet (Adults)</t>
  </si>
  <si>
    <t xml:space="preserve"> Rifampicin+INH (150mg + 75mg), tablet (Adults)</t>
  </si>
  <si>
    <t xml:space="preserve"> Nifedipine 10 mg tablet</t>
  </si>
  <si>
    <t xml:space="preserve"> MgSO4 5gr vial</t>
  </si>
  <si>
    <t xml:space="preserve"> Metronidazol 250 mg tab</t>
  </si>
  <si>
    <t xml:space="preserve"> Metronidazol, syrup 250mg/5ml</t>
  </si>
  <si>
    <t xml:space="preserve"> Misoprostol 200 mcg tablet</t>
  </si>
  <si>
    <t xml:space="preserve"> Medroxyprogresterone 150mg (DMPA), vial OR Medroxyprogresterone 104mg/0.65ml SC (DMPA), vial</t>
  </si>
  <si>
    <t xml:space="preserve"> Lidocaine Hydrochloride injection BP 2%, vial</t>
  </si>
  <si>
    <t xml:space="preserve"> Water for injection, 5ml vial</t>
  </si>
  <si>
    <t xml:space="preserve"> Sterile gloves</t>
  </si>
  <si>
    <t xml:space="preserve"> Venflon 18G or 22G</t>
  </si>
  <si>
    <t xml:space="preserve"> Chlorhexidine digluconate Gel 7.1%</t>
  </si>
  <si>
    <t xml:space="preserve"> IV giving set</t>
  </si>
  <si>
    <t xml:space="preserve"> Ringers lactate 500 ml</t>
  </si>
  <si>
    <t xml:space="preserve"> Dextrose 5% 500 ml</t>
  </si>
  <si>
    <t xml:space="preserve"> Syringe 5ml</t>
  </si>
  <si>
    <t xml:space="preserve"> Syringe 10ml</t>
  </si>
  <si>
    <t xml:space="preserve"> Scalp vein needle</t>
  </si>
  <si>
    <t>% of drugs available</t>
  </si>
  <si>
    <t>#  Paracetamol 500 mg tab in stock (median + IQR)</t>
  </si>
  <si>
    <t>#  Ibuprofen 200 mg caps in stock (median + IQR)</t>
  </si>
  <si>
    <t>#  Chlorpheniramine 2 mg in stock (median + IQR)</t>
  </si>
  <si>
    <t>#  Salbutamol (2mg/5ml) drops/syrup in stock (median + IQR)</t>
  </si>
  <si>
    <t>#  Vitamine A, 50,000; 100,000 and 200,000 IU, capsules in stock (median + IQR)</t>
  </si>
  <si>
    <t>#  Oxytocin 10IU/ml vial in stock (median + IQR)</t>
  </si>
  <si>
    <t>#  Vitamine K1 10mg/ml vial in stock (median + IQR)</t>
  </si>
  <si>
    <t>#  Mebendazole 100 mg tab in stock (median + IQR)</t>
  </si>
  <si>
    <t>#  Ferrous Sulfate 60 mg and Folic Acid (vit B9) 0.4mg tab in stock (median + IQR)</t>
  </si>
  <si>
    <t>#  Amoxicillin 250 mg tablet in stock (median + IQR)</t>
  </si>
  <si>
    <t>#  Amoxicillin 125 mg/5ml syrup in stock (median + IQR)</t>
  </si>
  <si>
    <t>#  Co-trimoxazol 480 mg tab in stock (median + IQR)</t>
  </si>
  <si>
    <t>#  Co-trimoxazol 40mg/200mg - 5ml syrup in stock (median + IQR)</t>
  </si>
  <si>
    <t>#  Doxycycline 100 mg caps in stock (median + IQR)</t>
  </si>
  <si>
    <t>#  Erythromycin 250 mg tab in stock (median + IQR)</t>
  </si>
  <si>
    <t>#  Ampicillin 1 gr vial in stock (median + IQR)</t>
  </si>
  <si>
    <t>#  Gentamycin 20mg/ml vial in stock (median + IQR)</t>
  </si>
  <si>
    <t>#  Chloroquine/phosphate 250mg tablet in stock (median + IQR)</t>
  </si>
  <si>
    <t>#  Sulfadoxine/pyrimethamine 500 mg tab in stock (median + IQR)</t>
  </si>
  <si>
    <t>#  ORS 250mg sachet in stock (median + IQR)</t>
  </si>
  <si>
    <t>#  Zinc Sulphate 20mg, tablet in stock (median + IQR)</t>
  </si>
  <si>
    <t>#  Condom  in stock (median + IQR)</t>
  </si>
  <si>
    <t>#  Implant, 2 rad in stock (median + IQR)</t>
  </si>
  <si>
    <t>#  IUD in stock (median + IQR)</t>
  </si>
  <si>
    <t>#  Oral Anticonceptives (progresteron only), 1 month cycle in stock (median + IQR)</t>
  </si>
  <si>
    <t>#  Isoniazid, tab, soluble (child) 100mg in stock (median + IQR)</t>
  </si>
  <si>
    <t>#  Rifampicin+INH+Pyrzazinamide+Ethambutol (150mg+75mg+400mg+275mg) combination tablet (Adults) in stock (median + IQR)</t>
  </si>
  <si>
    <t>#  Rifampicin+INH (150mg + 75mg), tablet (Adults) in stock (median + IQR)</t>
  </si>
  <si>
    <t>#  Nifedipine 10 mg tablet in stock (median + IQR)</t>
  </si>
  <si>
    <t>#  MgSO4 5gr vial in stock (median + IQR)</t>
  </si>
  <si>
    <t>#  Metronidazol 250 mg tab in stock (median + IQR)</t>
  </si>
  <si>
    <t>#  Metronidazol, syrup 250mg/5ml in stock (median + IQR)</t>
  </si>
  <si>
    <t>#  Misoprostol 200 mcg tablet in stock (median + IQR)</t>
  </si>
  <si>
    <t>#  Medroxyprogresterone 150mg (DMPA), vial OR Medroxyprogresterone 104mg/0.65ml SC (DMPA), vial in stock (median + IQR)</t>
  </si>
  <si>
    <t>#  Lidocaine Hydrochloride injection BP 2%, vial in stock (median + IQR)</t>
  </si>
  <si>
    <t>#  Water for injection, 5ml vial in stock (median + IQR)</t>
  </si>
  <si>
    <t>#  Sterile gloves in stock (median + IQR)</t>
  </si>
  <si>
    <t>#  Venflon 18G or 22G in stock (median + IQR)</t>
  </si>
  <si>
    <t>#  Chlorhexidine digluconate Gel 7.1% in stock (median + IQR)</t>
  </si>
  <si>
    <t>#  IV giving set in stock (median + IQR)</t>
  </si>
  <si>
    <t>#  Ringers lactate 500 ml in stock (median + IQR)</t>
  </si>
  <si>
    <t>#  Dextrose 5% 500 ml in stock (median + IQR)</t>
  </si>
  <si>
    <t>#  Syringe 5ml in stock (median + IQR)</t>
  </si>
  <si>
    <t>#  Syringe 10ml in stock (median + IQR)</t>
  </si>
  <si>
    <t>#  Scalp vein needle in stock (median + IQR)</t>
  </si>
  <si>
    <t>trx_5c_1</t>
  </si>
  <si>
    <t>trx_5c_2</t>
  </si>
  <si>
    <t>trx_5c_3</t>
  </si>
  <si>
    <t>trx_5c_4</t>
  </si>
  <si>
    <t>trx_5c_5</t>
  </si>
  <si>
    <t>trx_5c_6</t>
  </si>
  <si>
    <t>trx_5c_7</t>
  </si>
  <si>
    <t>trx_5c_8</t>
  </si>
  <si>
    <t>trx_5c_9</t>
  </si>
  <si>
    <t>trx_5c_10</t>
  </si>
  <si>
    <t>trx_5c_11</t>
  </si>
  <si>
    <t>trx_5c_12</t>
  </si>
  <si>
    <t>trx_5c_13</t>
  </si>
  <si>
    <t>trx_5c_14</t>
  </si>
  <si>
    <t>trx_5c_15</t>
  </si>
  <si>
    <t>trx_5c_16</t>
  </si>
  <si>
    <t>trx_5c_17</t>
  </si>
  <si>
    <t>trx_5c_18</t>
  </si>
  <si>
    <t>trx_5c_19</t>
  </si>
  <si>
    <t>trx_5c_20</t>
  </si>
  <si>
    <t>trx_5c_21</t>
  </si>
  <si>
    <t>trx_5c_22</t>
  </si>
  <si>
    <t>trx_5c_23</t>
  </si>
  <si>
    <t>trx_5c_24</t>
  </si>
  <si>
    <t>trx_5c_25</t>
  </si>
  <si>
    <t>trx_5c_26</t>
  </si>
  <si>
    <t>trx_5c_27</t>
  </si>
  <si>
    <t>trx_5c_28</t>
  </si>
  <si>
    <t>trx_5c_29</t>
  </si>
  <si>
    <t>trx_5c_31</t>
  </si>
  <si>
    <t>trx_5c_32</t>
  </si>
  <si>
    <t>trx_5c_33</t>
  </si>
  <si>
    <t>trx_5c_34</t>
  </si>
  <si>
    <t>trx_5c_35</t>
  </si>
  <si>
    <t>trx_5c_36</t>
  </si>
  <si>
    <t>trx_5c_37</t>
  </si>
  <si>
    <t>trx_5c_38</t>
  </si>
  <si>
    <t>trx_5c_39</t>
  </si>
  <si>
    <t>trx_5c_40</t>
  </si>
  <si>
    <t>trx_5c_41</t>
  </si>
  <si>
    <t>trx_5c_42</t>
  </si>
  <si>
    <t>trx_5c_43</t>
  </si>
  <si>
    <t>trx_5c_44</t>
  </si>
  <si>
    <t>trx_5c_45</t>
  </si>
  <si>
    <t>trx_5c_46</t>
  </si>
  <si>
    <t>trx_5c_ttl</t>
  </si>
  <si>
    <t>blank</t>
  </si>
  <si>
    <t>province_name2</t>
  </si>
  <si>
    <t>SP2</t>
  </si>
  <si>
    <t>median_iqr1</t>
  </si>
  <si>
    <t>median_iqr2</t>
  </si>
  <si>
    <t>median_iqr3</t>
  </si>
  <si>
    <t>median_iqr4</t>
  </si>
  <si>
    <t>median_iqr5</t>
  </si>
  <si>
    <t>median_iqr6</t>
  </si>
  <si>
    <t>median_iqr7</t>
  </si>
  <si>
    <t>median_iqr8</t>
  </si>
  <si>
    <t>median_iqr9</t>
  </si>
  <si>
    <t>median_iqr10</t>
  </si>
  <si>
    <t>median_iqr11</t>
  </si>
  <si>
    <t>median_iqr12</t>
  </si>
  <si>
    <t>median_iqr13</t>
  </si>
  <si>
    <t>median_iqr14</t>
  </si>
  <si>
    <t>median_iqr15</t>
  </si>
  <si>
    <t>median_iqr16</t>
  </si>
  <si>
    <t>median_iqr17</t>
  </si>
  <si>
    <t>median_iqr18</t>
  </si>
  <si>
    <t>median_iqr19</t>
  </si>
  <si>
    <t>median_iqr20</t>
  </si>
  <si>
    <t>median_iqr21</t>
  </si>
  <si>
    <t>median_iqr22</t>
  </si>
  <si>
    <t>median_iqr23</t>
  </si>
  <si>
    <t>median_iqr24</t>
  </si>
  <si>
    <t>median_iqr25</t>
  </si>
  <si>
    <t>median_iqr26</t>
  </si>
  <si>
    <t>median_iqr27</t>
  </si>
  <si>
    <t>median_iqr28</t>
  </si>
  <si>
    <t>median_iqr29</t>
  </si>
  <si>
    <t>median_iqr31</t>
  </si>
  <si>
    <t>median_iqr32</t>
  </si>
  <si>
    <t>median_iqr33</t>
  </si>
  <si>
    <t>median_iqr34</t>
  </si>
  <si>
    <t>median_iqr35</t>
  </si>
  <si>
    <t>median_iqr36</t>
  </si>
  <si>
    <t>median_iqr37</t>
  </si>
  <si>
    <t>median_iqr38</t>
  </si>
  <si>
    <t>median_iqr39</t>
  </si>
  <si>
    <t>median_iqr40</t>
  </si>
  <si>
    <t>median_iqr41</t>
  </si>
  <si>
    <t>median_iqr42</t>
  </si>
  <si>
    <t>median_iqr43</t>
  </si>
  <si>
    <t>median_iqr44</t>
  </si>
  <si>
    <t>median_iqr45</t>
  </si>
  <si>
    <t>median_iqr46</t>
  </si>
  <si>
    <t>18450 [13050 - 28048]</t>
  </si>
  <si>
    <t>6835 [4370 - 8760]</t>
  </si>
  <si>
    <t>940 [200 - 1464]</t>
  </si>
  <si>
    <t>270 [20 - 1200]</t>
  </si>
  <si>
    <t>1050 [420 - 1772]</t>
  </si>
  <si>
    <t>28 [19 - 50]</t>
  </si>
  <si>
    <t>34 [16 - 91]</t>
  </si>
  <si>
    <t>675 [352 - 990]</t>
  </si>
  <si>
    <t>23650 [18000 - 30890]</t>
  </si>
  <si>
    <t>10330 [2120 - 23565]</t>
  </si>
  <si>
    <t>732 [378 - 928]</t>
  </si>
  <si>
    <t>3523 [740 - 5300]</t>
  </si>
  <si>
    <t>142 [92 - 247]</t>
  </si>
  <si>
    <t>1858 [920 - 3000]</t>
  </si>
  <si>
    <t>121 [70 - 236]</t>
  </si>
  <si>
    <t>427 [144 - 590]</t>
  </si>
  <si>
    <t>276 [109 - 791]</t>
  </si>
  <si>
    <t>147 [100 - 180]</t>
  </si>
  <si>
    <t>72 [24 - 72]</t>
  </si>
  <si>
    <t>1725 [1400 - 3800]</t>
  </si>
  <si>
    <t>6365 [2615 - 13700]</t>
  </si>
  <si>
    <t>1082 [432 - 2304]</t>
  </si>
  <si>
    <t>56 [34 - 60]</t>
  </si>
  <si>
    <t>36 [14 - 66]</t>
  </si>
  <si>
    <t>462 [100 - 4200]</t>
  </si>
  <si>
    <t>500 [290 - 1200]</t>
  </si>
  <si>
    <t>4021 [2996 - 4060]</t>
  </si>
  <si>
    <t>3360 [3220 - 4228]</t>
  </si>
  <si>
    <t>308 [30 - 600]</t>
  </si>
  <si>
    <t>87 [43 - 110]</t>
  </si>
  <si>
    <t>6630 [4040 - 8740]</t>
  </si>
  <si>
    <t>78 [44 - 409]</t>
  </si>
  <si>
    <t>120 [96 - 240]</t>
  </si>
  <si>
    <t>41 [18 - 96]</t>
  </si>
  <si>
    <t>21 [15 - 40]</t>
  </si>
  <si>
    <t>767 [350 - 3030]</t>
  </si>
  <si>
    <t>329 [241 - 450]</t>
  </si>
  <si>
    <t>140 [35 - 267]</t>
  </si>
  <si>
    <t>17 [10 - 40]</t>
  </si>
  <si>
    <t>294 [60 - 410]</t>
  </si>
  <si>
    <t>56 [20 - 160]</t>
  </si>
  <si>
    <t>16 [5 - 27]</t>
  </si>
  <si>
    <t>170 [100 - 300]</t>
  </si>
  <si>
    <t>400 [376 - 500]</t>
  </si>
  <si>
    <t>n/a</t>
  </si>
  <si>
    <t>16660 [6290 - 20310]</t>
  </si>
  <si>
    <t>4870 [2230 - 31121]</t>
  </si>
  <si>
    <t>275 [70 - 680]</t>
  </si>
  <si>
    <t>525 [275 - 900]</t>
  </si>
  <si>
    <t>307 [290 - 600]</t>
  </si>
  <si>
    <t>107 [33 - 249]</t>
  </si>
  <si>
    <t>44 [39 - 48]</t>
  </si>
  <si>
    <t>1556 [678 - 2000]</t>
  </si>
  <si>
    <t>54550 [43000 - 70100]</t>
  </si>
  <si>
    <t>15775 [1330 - 22430]</t>
  </si>
  <si>
    <t>416 [31 - 1107]</t>
  </si>
  <si>
    <t>8830 [8260 - 11300]</t>
  </si>
  <si>
    <t>420 [357 - 844]</t>
  </si>
  <si>
    <t>3244 [1280 - 9200]</t>
  </si>
  <si>
    <t>299 [23 - 320]</t>
  </si>
  <si>
    <t>129 [28 - 869]</t>
  </si>
  <si>
    <t>185 [76 - 1762]</t>
  </si>
  <si>
    <t>470 [390 - 520]</t>
  </si>
  <si>
    <t>3 [3 - 8]</t>
  </si>
  <si>
    <t>3108 [2344 - 5588]</t>
  </si>
  <si>
    <t>18700 [4080 - 26220]</t>
  </si>
  <si>
    <t>3058 [172 - 6340]</t>
  </si>
  <si>
    <t>49 [29 - 81]</t>
  </si>
  <si>
    <t>21 [12 - 28]</t>
  </si>
  <si>
    <t>238 [119 - 354]</t>
  </si>
  <si>
    <t>480 [320 - 1040]</t>
  </si>
  <si>
    <t>644 [420 - 1176]</t>
  </si>
  <si>
    <t>602 [476 - 1662]</t>
  </si>
  <si>
    <t>100 [90 - 1010]</t>
  </si>
  <si>
    <t>85 [25 - 155]</t>
  </si>
  <si>
    <t>1960 [780 - 5000]</t>
  </si>
  <si>
    <t>580 [335 - 893]</t>
  </si>
  <si>
    <t>535 [340 - 852]</t>
  </si>
  <si>
    <t>106 [93 - 167]</t>
  </si>
  <si>
    <t>11 [6 - 14]</t>
  </si>
  <si>
    <t>608 [248 - 1264]</t>
  </si>
  <si>
    <t>99 [94 - 300]</t>
  </si>
  <si>
    <t>34 [13 - 100]</t>
  </si>
  <si>
    <t>40 [23 - 47]</t>
  </si>
  <si>
    <t>177 [133 - 776]</t>
  </si>
  <si>
    <t>665 [24 - 1239]</t>
  </si>
  <si>
    <t>9 [1 - 836]</t>
  </si>
  <si>
    <t>625 [549 - 1280]</t>
  </si>
  <si>
    <t>229 [125 - 572]</t>
  </si>
  <si>
    <t>30 [30 - 30]</t>
  </si>
  <si>
    <t>37650 [19190 - 46780]</t>
  </si>
  <si>
    <t>22630 [11810 - 34230]</t>
  </si>
  <si>
    <t>11930 [10610 - 14470]</t>
  </si>
  <si>
    <t>110 [15 - 700]</t>
  </si>
  <si>
    <t>112 [50 - 432]</t>
  </si>
  <si>
    <t>350 [147 - 420]</t>
  </si>
  <si>
    <t>32 [16 - 208]</t>
  </si>
  <si>
    <t>1537 [984 - 3786]</t>
  </si>
  <si>
    <t>47690 [19300 - 62100]</t>
  </si>
  <si>
    <t>23150 [17260 - 56160]</t>
  </si>
  <si>
    <t>868 [340 - 1025]</t>
  </si>
  <si>
    <t>30920 [22300 - 43140]</t>
  </si>
  <si>
    <t>357 [218 - 581]</t>
  </si>
  <si>
    <t>6700 [4760 - 7970]</t>
  </si>
  <si>
    <t>500 [381 - 1250]</t>
  </si>
  <si>
    <t>220 [117 - 620]</t>
  </si>
  <si>
    <t>277 [71 - 628]</t>
  </si>
  <si>
    <t>400 [400 - 600]</t>
  </si>
  <si>
    <t>54 [48 - 60]</t>
  </si>
  <si>
    <t>602 [470 - 3692]</t>
  </si>
  <si>
    <t>15300 [10200 - 24240]</t>
  </si>
  <si>
    <t>3720 [2262 - 3766]</t>
  </si>
  <si>
    <t>24 [16 - 30]</t>
  </si>
  <si>
    <t>44 [36 - 64]</t>
  </si>
  <si>
    <t>114 [73 - 171]</t>
  </si>
  <si>
    <t>1064 [576 - 1562]</t>
  </si>
  <si>
    <t>2800 [574 - 6048]</t>
  </si>
  <si>
    <t>4672 [1422 - 5460]</t>
  </si>
  <si>
    <t>205 [45 - 585]</t>
  </si>
  <si>
    <t>54 [10 - 64]</t>
  </si>
  <si>
    <t>9400 [7070 - 17690]</t>
  </si>
  <si>
    <t>484 [263 - 600]</t>
  </si>
  <si>
    <t>204 [80 - 470]</t>
  </si>
  <si>
    <t>108 [76 - 145]</t>
  </si>
  <si>
    <t>64 [34 - 96]</t>
  </si>
  <si>
    <t>500 [62 - 700]</t>
  </si>
  <si>
    <t>350 [312 - 500]</t>
  </si>
  <si>
    <t>378 [121 - 597]</t>
  </si>
  <si>
    <t>160 [132 - 218]</t>
  </si>
  <si>
    <t>426 [180 - 904]</t>
  </si>
  <si>
    <t>39 [25 - 145]</t>
  </si>
  <si>
    <t>65 [44 - 114]</t>
  </si>
  <si>
    <t>2443 [1537 - 3573]</t>
  </si>
  <si>
    <t>553 [245 - 1089]</t>
  </si>
  <si>
    <t>1150 [800 - 1500]</t>
  </si>
  <si>
    <t>26990 [22590 - 43360]</t>
  </si>
  <si>
    <t>12940 [12000 - 21500]</t>
  </si>
  <si>
    <t>8840 [6160 - 8896]</t>
  </si>
  <si>
    <t>2500 [600 - 4585]</t>
  </si>
  <si>
    <t>860 [570 - 1000]</t>
  </si>
  <si>
    <t>134 [98 - 212]</t>
  </si>
  <si>
    <t>90 [10 - 111]</t>
  </si>
  <si>
    <t>856 [126 - 1251]</t>
  </si>
  <si>
    <t>16600 [11289 - 16700]</t>
  </si>
  <si>
    <t>12640 [10800 - 20440]</t>
  </si>
  <si>
    <t>493 [484 - 1173]</t>
  </si>
  <si>
    <t>12100 [8500 - 19165]</t>
  </si>
  <si>
    <t>322 [213 - 522]</t>
  </si>
  <si>
    <t>3580 [3200 - 3690]</t>
  </si>
  <si>
    <t>289 [239 - 327]</t>
  </si>
  <si>
    <t>359 [226 - 649]</t>
  </si>
  <si>
    <t>239 [136 - 420]</t>
  </si>
  <si>
    <t>300 [300 - 310]</t>
  </si>
  <si>
    <t>96 [72 - 172]</t>
  </si>
  <si>
    <t>2288 [1728 - 3621]</t>
  </si>
  <si>
    <t>20910 [12700 - 24060]</t>
  </si>
  <si>
    <t>4320 [3795 - 8679]</t>
  </si>
  <si>
    <t>16 [15 - 45]</t>
  </si>
  <si>
    <t>313 [124 - 313]</t>
  </si>
  <si>
    <t>871 [498 - 1074]</t>
  </si>
  <si>
    <t>450 [243 - 1300]</t>
  </si>
  <si>
    <t>952 [816 - 1666]</t>
  </si>
  <si>
    <t>420 [70 - 1022]</t>
  </si>
  <si>
    <t>2560 [2220 - 2900]</t>
  </si>
  <si>
    <t>26 [25 - 57]</t>
  </si>
  <si>
    <t>4400 [3900 - 4890]</t>
  </si>
  <si>
    <t>297 [239 - 340]</t>
  </si>
  <si>
    <t>24 [16 - 24]</t>
  </si>
  <si>
    <t>57 [27 - 72]</t>
  </si>
  <si>
    <t>39 [17 - 50]</t>
  </si>
  <si>
    <t>180 [85 - 400]</t>
  </si>
  <si>
    <t>350 [200 - 450]</t>
  </si>
  <si>
    <t>50 [47 - 200]</t>
  </si>
  <si>
    <t>49 [41 - 63]</t>
  </si>
  <si>
    <t>435 [416 - 796]</t>
  </si>
  <si>
    <t>60 [40 - 260]</t>
  </si>
  <si>
    <t>15 [10 - 65]</t>
  </si>
  <si>
    <t>1800 [1590 - 9500]</t>
  </si>
  <si>
    <t>1117 [200 - 1200]</t>
  </si>
  <si>
    <t>2900 [2900 - 2900]</t>
  </si>
  <si>
    <t>5255 [3660 - 9000]</t>
  </si>
  <si>
    <t>900 [500 - 1600]</t>
  </si>
  <si>
    <t>3500 [2100 - 7500]</t>
  </si>
  <si>
    <t>46 [28 - 199]</t>
  </si>
  <si>
    <t>500 [14 - 1370]</t>
  </si>
  <si>
    <t>126 [45 - 250]</t>
  </si>
  <si>
    <t>21 [10 - 80]</t>
  </si>
  <si>
    <t>415 [100 - 1050]</t>
  </si>
  <si>
    <t>6200 [2000 - 14000]</t>
  </si>
  <si>
    <t>3050 [1050 - 5980]</t>
  </si>
  <si>
    <t>510 [318 - 1094]</t>
  </si>
  <si>
    <t>6400 [4400 - 8340]</t>
  </si>
  <si>
    <t>490 [342 - 755]</t>
  </si>
  <si>
    <t>2300 [1350 - 7710]</t>
  </si>
  <si>
    <t>141 [124 - 302]</t>
  </si>
  <si>
    <t>306 [150 - 400]</t>
  </si>
  <si>
    <t>45 [40 - 50]</t>
  </si>
  <si>
    <t>134 [100 - 290]</t>
  </si>
  <si>
    <t>24 [24 - 24]</t>
  </si>
  <si>
    <t>3500 [200 - 6924]</t>
  </si>
  <si>
    <t>150 [100 - 900]</t>
  </si>
  <si>
    <t>5960 [2606 - 7544]</t>
  </si>
  <si>
    <t>54 [54 - 54]</t>
  </si>
  <si>
    <t>32 [10 - 36]</t>
  </si>
  <si>
    <t>2280 [1612 - 9806]</t>
  </si>
  <si>
    <t>660 [200 - 1000]</t>
  </si>
  <si>
    <t>812 [532 - 1204]</t>
  </si>
  <si>
    <t>2093 [924 - 3262]</t>
  </si>
  <si>
    <t>500 [300 - 1450]</t>
  </si>
  <si>
    <t>105 [37 - 122]</t>
  </si>
  <si>
    <t>3800 [200 - 7100]</t>
  </si>
  <si>
    <t>80 [45 - 198]</t>
  </si>
  <si>
    <t>182 [62 - 632]</t>
  </si>
  <si>
    <t>58 [26 - 75]</t>
  </si>
  <si>
    <t>12 [12 - 20]</t>
  </si>
  <si>
    <t>425 [105 - 725]</t>
  </si>
  <si>
    <t>150 [1 - 210]</t>
  </si>
  <si>
    <t>75 [37 - 200]</t>
  </si>
  <si>
    <t>180 [85 - 725]</t>
  </si>
  <si>
    <t>70 [60 - 200]</t>
  </si>
  <si>
    <t>110 [60 - 170]</t>
  </si>
  <si>
    <t>30 [26 - 31]</t>
  </si>
  <si>
    <t>500 [200 - 800]</t>
  </si>
  <si>
    <t>450 [155 - 5350]</t>
  </si>
  <si>
    <t>700 [700 - 700]</t>
  </si>
  <si>
    <t>19875 [13602 - 22630]</t>
  </si>
  <si>
    <t>5725 [4470 - 6500]</t>
  </si>
  <si>
    <t>3295 [1460 - 3535]</t>
  </si>
  <si>
    <t>80 [26 - 158]</t>
  </si>
  <si>
    <t>770 [490 - 1291]</t>
  </si>
  <si>
    <t>66 [50 - 115]</t>
  </si>
  <si>
    <t>27 [20 - 91]</t>
  </si>
  <si>
    <t>422 [401 - 520]</t>
  </si>
  <si>
    <t>18500 [15440 - 69500]</t>
  </si>
  <si>
    <t>9180 [8490 - 15320]</t>
  </si>
  <si>
    <t>697 [560 - 1565]</t>
  </si>
  <si>
    <t>14286 [9190 - 20980]</t>
  </si>
  <si>
    <t>779 [553 - 1486]</t>
  </si>
  <si>
    <t>2765 [1000 - 4780]</t>
  </si>
  <si>
    <t>300 [251 - 601]</t>
  </si>
  <si>
    <t>428 [294 - 587]</t>
  </si>
  <si>
    <t>210 [60 - 232]</t>
  </si>
  <si>
    <t>565 [300 - 2340]</t>
  </si>
  <si>
    <t>80 [48 - 200]</t>
  </si>
  <si>
    <t>732 [576 - 2313]</t>
  </si>
  <si>
    <t>2783 [2150 - 3965]</t>
  </si>
  <si>
    <t>1176 [1074 - 2234]</t>
  </si>
  <si>
    <t>11 [6 - 16]</t>
  </si>
  <si>
    <t>28 [9 - 37]</t>
  </si>
  <si>
    <t>148 [84 - 360]</t>
  </si>
  <si>
    <t>280 [200 - 480]</t>
  </si>
  <si>
    <t>592 [476 - 948]</t>
  </si>
  <si>
    <t>1229 [1022 - 1663]</t>
  </si>
  <si>
    <t>1422 [840 - 3940]</t>
  </si>
  <si>
    <t>37 [20 - 300]</t>
  </si>
  <si>
    <t>7945 [4180 - 26710]</t>
  </si>
  <si>
    <t>646 [100 - 1047]</t>
  </si>
  <si>
    <t>148 [90 - 286]</t>
  </si>
  <si>
    <t>90 [72 - 175]</t>
  </si>
  <si>
    <t>18 [10 - 30]</t>
  </si>
  <si>
    <t>500 [200 - 767]</t>
  </si>
  <si>
    <t>150 [75 - 220]</t>
  </si>
  <si>
    <t>249 [110 - 425]</t>
  </si>
  <si>
    <t>121 [55 - 210]</t>
  </si>
  <si>
    <t>265 [145 - 490]</t>
  </si>
  <si>
    <t>166 [94 - 237]</t>
  </si>
  <si>
    <t>30 [28 - 54]</t>
  </si>
  <si>
    <t>100 [90 - 700]</t>
  </si>
  <si>
    <t>83 [40 - 163]</t>
  </si>
  <si>
    <t>370 [340 - 400]</t>
  </si>
  <si>
    <t>624 [500 - 4010]</t>
  </si>
  <si>
    <t>2470 [1930 - 2580]</t>
  </si>
  <si>
    <t>2750 [1595 - 7885]</t>
  </si>
  <si>
    <t>640 [625 - 680]</t>
  </si>
  <si>
    <t>1679 [784 - 6480]</t>
  </si>
  <si>
    <t>99 [75 - 110]</t>
  </si>
  <si>
    <t>94 [59 - 105]</t>
  </si>
  <si>
    <t>2600 [1930 - 3180]</t>
  </si>
  <si>
    <t>30000 [17640 - 34560]</t>
  </si>
  <si>
    <t>22000 [13284 - 25400]</t>
  </si>
  <si>
    <t>912 [510 - 1470]</t>
  </si>
  <si>
    <t>13300 [12600 - 14000]</t>
  </si>
  <si>
    <t>550 [539 - 608]</t>
  </si>
  <si>
    <t>4870 [3070 - 9040]</t>
  </si>
  <si>
    <t>4400 [80 - 8720]</t>
  </si>
  <si>
    <t>512 [149 - 747]</t>
  </si>
  <si>
    <t>175 [86 - 579]</t>
  </si>
  <si>
    <t>149 [100 - 439]</t>
  </si>
  <si>
    <t>72 [48 - 72]</t>
  </si>
  <si>
    <t>1400 [1020 - 3300]</t>
  </si>
  <si>
    <t>9600 [6500 - 15590]</t>
  </si>
  <si>
    <t>1824 [1152 - 2617]</t>
  </si>
  <si>
    <t>21 [17 - 37]</t>
  </si>
  <si>
    <t>29 [14 - 39]</t>
  </si>
  <si>
    <t>4410 [1128 - 7035]</t>
  </si>
  <si>
    <t>1410 [700 - 2120]</t>
  </si>
  <si>
    <t>1540 [1120 - 1960]</t>
  </si>
  <si>
    <t>2310 [588 - 4032]</t>
  </si>
  <si>
    <t>200 [100 - 240]</t>
  </si>
  <si>
    <t>33 [15 - 243]</t>
  </si>
  <si>
    <t>1300 [1100 - 11780]</t>
  </si>
  <si>
    <t>400 [210 - 1290]</t>
  </si>
  <si>
    <t>80 [76 - 208]</t>
  </si>
  <si>
    <t>159 [155 - 251]</t>
  </si>
  <si>
    <t>40 [27 - 62]</t>
  </si>
  <si>
    <t>150 [150 - 150]</t>
  </si>
  <si>
    <t>244 [220 - 335]</t>
  </si>
  <si>
    <t>552 [350 - 927]</t>
  </si>
  <si>
    <t>99 [61 - 120]</t>
  </si>
  <si>
    <t>122 [105 - 150]</t>
  </si>
  <si>
    <t>80 [40 - 149]</t>
  </si>
  <si>
    <t>28 [20 - 610]</t>
  </si>
  <si>
    <t>1248 [1018 - 1264]</t>
  </si>
  <si>
    <t>1101 [1008 - 3780]</t>
  </si>
  <si>
    <t>649 [274 - 1393]</t>
  </si>
  <si>
    <t>2640 [2410 - 9360]</t>
  </si>
  <si>
    <t>2600 [800 - 4480]</t>
  </si>
  <si>
    <t>2290 [1400 - 2560]</t>
  </si>
  <si>
    <t>85 [11 - 180]</t>
  </si>
  <si>
    <t>240 [50 - 950]</t>
  </si>
  <si>
    <t>48 [22 - 130]</t>
  </si>
  <si>
    <t>50 [30 - 70]</t>
  </si>
  <si>
    <t>2556 [900 - 7948]</t>
  </si>
  <si>
    <t>10000 [9000 - 18150]</t>
  </si>
  <si>
    <t>18600 [15600 - 22060]</t>
  </si>
  <si>
    <t>279 [240 - 460]</t>
  </si>
  <si>
    <t>2780 [1800 - 4300]</t>
  </si>
  <si>
    <t>143 [113 - 284]</t>
  </si>
  <si>
    <t>1450 [610 - 2185]</t>
  </si>
  <si>
    <t>152 [124 - 225]</t>
  </si>
  <si>
    <t>459 [374 - 721]</t>
  </si>
  <si>
    <t>100 [63 - 214]</t>
  </si>
  <si>
    <t>100 [40 - 448]</t>
  </si>
  <si>
    <t>56 [40 - 80]</t>
  </si>
  <si>
    <t>1432 [986 - 1600]</t>
  </si>
  <si>
    <t>8580 [4240 - 11500]</t>
  </si>
  <si>
    <t>2988 [2592 - 3044]</t>
  </si>
  <si>
    <t>9 [6 - 18]</t>
  </si>
  <si>
    <t>20 [13 - 135]</t>
  </si>
  <si>
    <t>9450 [654 - 21525]</t>
  </si>
  <si>
    <t>3200 [1832 - 8500]</t>
  </si>
  <si>
    <t>1212 [1145 - 1725]</t>
  </si>
  <si>
    <t>406 [280 - 2240]</t>
  </si>
  <si>
    <t>880 [430 - 1350]</t>
  </si>
  <si>
    <t>15 [8 - 34]</t>
  </si>
  <si>
    <t>14000 [8130 - 17910]</t>
  </si>
  <si>
    <t>177 [144 - 626]</t>
  </si>
  <si>
    <t>54 [24 - 106]</t>
  </si>
  <si>
    <t>113 [98 - 209]</t>
  </si>
  <si>
    <t>13 [5 - 18]</t>
  </si>
  <si>
    <t>513 [400 - 626]</t>
  </si>
  <si>
    <t>115 [65 - 435]</t>
  </si>
  <si>
    <t>273 [180 - 300]</t>
  </si>
  <si>
    <t>153 [120 - 411]</t>
  </si>
  <si>
    <t>250 [179 - 523]</t>
  </si>
  <si>
    <t>1380 [868 - 1892]</t>
  </si>
  <si>
    <t>93 [69 - 146]</t>
  </si>
  <si>
    <t>1800 [900 - 3100]</t>
  </si>
  <si>
    <t>190 [147 - 800]</t>
  </si>
  <si>
    <t>100 [100 - 100]</t>
  </si>
  <si>
    <t>10298 [4830 - 21000]</t>
  </si>
  <si>
    <t>4370 [1900 - 6100]</t>
  </si>
  <si>
    <t>4100 [3375 - 5250]</t>
  </si>
  <si>
    <t>126 [68 - 220]</t>
  </si>
  <si>
    <t>344 [200 - 500]</t>
  </si>
  <si>
    <t>32 [19 - 38]</t>
  </si>
  <si>
    <t>2252 [1806 - 2700]</t>
  </si>
  <si>
    <t>12000 [8910 - 22000]</t>
  </si>
  <si>
    <t>23560 [19000 - 31840]</t>
  </si>
  <si>
    <t>415 [304 - 572]</t>
  </si>
  <si>
    <t>8775 [4222 - 11610]</t>
  </si>
  <si>
    <t>232 [124 - 464]</t>
  </si>
  <si>
    <t>3748 [2000 - 6000]</t>
  </si>
  <si>
    <t>283 [199 - 437]</t>
  </si>
  <si>
    <t>571 [50 - 728]</t>
  </si>
  <si>
    <t>170 [118 - 318]</t>
  </si>
  <si>
    <t>160 [70 - 320]</t>
  </si>
  <si>
    <t>48 [24 - 73]</t>
  </si>
  <si>
    <t>1386 [750 - 1900]</t>
  </si>
  <si>
    <t>2825 [2270 - 6240]</t>
  </si>
  <si>
    <t>1239 [948 - 3701]</t>
  </si>
  <si>
    <t>14 [8 - 20]</t>
  </si>
  <si>
    <t>30 [25 - 60]</t>
  </si>
  <si>
    <t>277 [105 - 961]</t>
  </si>
  <si>
    <t>635 [305 - 810]</t>
  </si>
  <si>
    <t>1624 [1325 - 2599]</t>
  </si>
  <si>
    <t>2380 [1008 - 3840]</t>
  </si>
  <si>
    <t>680 [370 - 1200]</t>
  </si>
  <si>
    <t>10 [5 - 70]</t>
  </si>
  <si>
    <t>3350 [2200 - 4000]</t>
  </si>
  <si>
    <t>360 [148 - 473]</t>
  </si>
  <si>
    <t>84 [60 - 263]</t>
  </si>
  <si>
    <t>220 [128 - 304]</t>
  </si>
  <si>
    <t>15 [10 - 21]</t>
  </si>
  <si>
    <t>279 [40 - 650]</t>
  </si>
  <si>
    <t>86 [50 - 310]</t>
  </si>
  <si>
    <t>132 [50 - 500]</t>
  </si>
  <si>
    <t>96 [21 - 203]</t>
  </si>
  <si>
    <t>409 [116 - 870]</t>
  </si>
  <si>
    <t>120 [36 - 220]</t>
  </si>
  <si>
    <t>148 [42 - 525]</t>
  </si>
  <si>
    <t>780 [320 - 2000]</t>
  </si>
  <si>
    <t>450 [250 - 700]</t>
  </si>
  <si>
    <t>160 [8 - 500]</t>
  </si>
  <si>
    <t>2200 [2000 - 4560]</t>
  </si>
  <si>
    <t>600 [600 - 600]</t>
  </si>
  <si>
    <t>3465 [1360 - 4650]</t>
  </si>
  <si>
    <t>46 [44 - 59]</t>
  </si>
  <si>
    <t>850 [500 - 1000]</t>
  </si>
  <si>
    <t>600 [500 - 800]</t>
  </si>
  <si>
    <t>240 [160 - 720]</t>
  </si>
  <si>
    <t>575 [400 - 1000]</t>
  </si>
  <si>
    <t>10100 [3500 - 24000]</t>
  </si>
  <si>
    <t>112 [26 - 116]</t>
  </si>
  <si>
    <t>1100 [1100 - 1100]</t>
  </si>
  <si>
    <t>269 [210 - 274]</t>
  </si>
  <si>
    <t>100 [90 - 600]</t>
  </si>
  <si>
    <t>90 [48 - 117]</t>
  </si>
  <si>
    <t>341 [169 - 526]</t>
  </si>
  <si>
    <t>79 [57 - 100]</t>
  </si>
  <si>
    <t>130 [100 - 200]</t>
  </si>
  <si>
    <t>48 [24 - 48]</t>
  </si>
  <si>
    <t>1410 [688 - 2550]</t>
  </si>
  <si>
    <t>3590 [2540 - 5432]</t>
  </si>
  <si>
    <t>720 [393 - 1569]</t>
  </si>
  <si>
    <t>8 [5 - 10]</t>
  </si>
  <si>
    <t>40 [38 - 42]</t>
  </si>
  <si>
    <t>451 [290 - 1800]</t>
  </si>
  <si>
    <t>3630 [3600 - 3660]</t>
  </si>
  <si>
    <t>955 [812 - 1098]</t>
  </si>
  <si>
    <t>1227 [784 - 1669]</t>
  </si>
  <si>
    <t>6410 [420 - 12400]</t>
  </si>
  <si>
    <t>35 [28 - 42]</t>
  </si>
  <si>
    <t>19000 [8000 - 30000]</t>
  </si>
  <si>
    <t>44 [31 - 90]</t>
  </si>
  <si>
    <t>66 [16 - 80]</t>
  </si>
  <si>
    <t>115 [90 - 373]</t>
  </si>
  <si>
    <t>19 [10 - 32]</t>
  </si>
  <si>
    <t>380 [205 - 615]</t>
  </si>
  <si>
    <t>150 [68 - 200]</t>
  </si>
  <si>
    <t>300 [100 - 500]</t>
  </si>
  <si>
    <t>300 [265 - 350]</t>
  </si>
  <si>
    <t>340 [200 - 480]</t>
  </si>
  <si>
    <t>58 [55 - 150]</t>
  </si>
  <si>
    <t>102 [44 - 215]</t>
  </si>
  <si>
    <t>90 [11 - 230]</t>
  </si>
  <si>
    <t>75 [40 - 150]</t>
  </si>
  <si>
    <t>15200 [13730 - 42970]</t>
  </si>
  <si>
    <t>9995 [8220 - 10200]</t>
  </si>
  <si>
    <t>7900 [4500 - 13385]</t>
  </si>
  <si>
    <t>1360 [805 - 2000]</t>
  </si>
  <si>
    <t>360 [143 - 800]</t>
  </si>
  <si>
    <t>151 [134 - 440]</t>
  </si>
  <si>
    <t>82 [36 - 137]</t>
  </si>
  <si>
    <t>800 [500 - 1222]</t>
  </si>
  <si>
    <t>37399 [30500 - 42840]</t>
  </si>
  <si>
    <t>17300 [16000 - 47277]</t>
  </si>
  <si>
    <t>639 [577 - 2892]</t>
  </si>
  <si>
    <t>20400 [17600 - 28000]</t>
  </si>
  <si>
    <t>561 [227 - 950]</t>
  </si>
  <si>
    <t>2080 [1800 - 3700]</t>
  </si>
  <si>
    <t>477 [223 - 971]</t>
  </si>
  <si>
    <t>141 [100 - 338]</t>
  </si>
  <si>
    <t>159 [120 - 205]</t>
  </si>
  <si>
    <t>500 [304 - 893]</t>
  </si>
  <si>
    <t>200 [110 - 312]</t>
  </si>
  <si>
    <t>2800 [1521 - 4260]</t>
  </si>
  <si>
    <t>18720 [9100 - 29035]</t>
  </si>
  <si>
    <t>2058 [1575 - 8547]</t>
  </si>
  <si>
    <t>90 [87 - 288]</t>
  </si>
  <si>
    <t>54 [27 - 111]</t>
  </si>
  <si>
    <t>19775 [14700 - 41985]</t>
  </si>
  <si>
    <t>900 [470 - 2400]</t>
  </si>
  <si>
    <t>1344 [728 - 2464]</t>
  </si>
  <si>
    <t>2222 [336 - 2800]</t>
  </si>
  <si>
    <t>380 [100 - 3500]</t>
  </si>
  <si>
    <t>48 [25 - 118]</t>
  </si>
  <si>
    <t>8400 [6900 - 18770]</t>
  </si>
  <si>
    <t>436 [262 - 1548]</t>
  </si>
  <si>
    <t>118 [72 - 282]</t>
  </si>
  <si>
    <t>125 [40 - 299]</t>
  </si>
  <si>
    <t>10 [8 - 20]</t>
  </si>
  <si>
    <t>126 [126 - 126]</t>
  </si>
  <si>
    <t>450 [170 - 1450]</t>
  </si>
  <si>
    <t>400 [200 - 650]</t>
  </si>
  <si>
    <t>75 [36 - 129]</t>
  </si>
  <si>
    <t>165 [150 - 270]</t>
  </si>
  <si>
    <t>260 [70 - 449]</t>
  </si>
  <si>
    <t>10 [1 - 19]</t>
  </si>
  <si>
    <t>550 [275 - 1552]</t>
  </si>
  <si>
    <t>300 [170 - 530]</t>
  </si>
  <si>
    <t>17680 [10870 - 44285]</t>
  </si>
  <si>
    <t>13500 [12005 - 18570]</t>
  </si>
  <si>
    <t>5155 [3505 - 9180]</t>
  </si>
  <si>
    <t>30 [18 - 1980]</t>
  </si>
  <si>
    <t>580 [301 - 980]</t>
  </si>
  <si>
    <t>94 [60 - 129]</t>
  </si>
  <si>
    <t>22 [10 - 720]</t>
  </si>
  <si>
    <t>2778 [66 - 8950]</t>
  </si>
  <si>
    <t>24275 [19280 - 45765]</t>
  </si>
  <si>
    <t>17095 [10163 - 26940]</t>
  </si>
  <si>
    <t>704 [571 - 884]</t>
  </si>
  <si>
    <t>11483 [8448 - 19730]</t>
  </si>
  <si>
    <t>596 [426 - 687]</t>
  </si>
  <si>
    <t>2925 [1445 - 3790]</t>
  </si>
  <si>
    <t>495 [226 - 1803]</t>
  </si>
  <si>
    <t>20 [14 - 239]</t>
  </si>
  <si>
    <t>151 [100 - 309]</t>
  </si>
  <si>
    <t>123 [68 - 210]</t>
  </si>
  <si>
    <t>72 [48 - 144]</t>
  </si>
  <si>
    <t>746 [123 - 2486]</t>
  </si>
  <si>
    <t>13880 [4953 - 25295]</t>
  </si>
  <si>
    <t>2232 [1672 - 3744]</t>
  </si>
  <si>
    <t>75 [37 - 108]</t>
  </si>
  <si>
    <t>42 [25 - 70]</t>
  </si>
  <si>
    <t>521 [208 - 6800]</t>
  </si>
  <si>
    <t>1640 [426 - 7080]</t>
  </si>
  <si>
    <t>1634 [1274 - 3328]</t>
  </si>
  <si>
    <t>840 [322 - 1960]</t>
  </si>
  <si>
    <t>2200 [1660 - 4925]</t>
  </si>
  <si>
    <t>12 [5 - 20]</t>
  </si>
  <si>
    <t>7810 [3500 - 13725]</t>
  </si>
  <si>
    <t>290 [232 - 491]</t>
  </si>
  <si>
    <t>319 [92 - 737]</t>
  </si>
  <si>
    <t>297 [146 - 358]</t>
  </si>
  <si>
    <t>12 [2 - 34]</t>
  </si>
  <si>
    <t>500 [349 - 1050]</t>
  </si>
  <si>
    <t>230 [200 - 900]</t>
  </si>
  <si>
    <t>175 [125 - 310]</t>
  </si>
  <si>
    <t>96 [60 - 481]</t>
  </si>
  <si>
    <t>878 [595 - 1460]</t>
  </si>
  <si>
    <t>40 [19 - 400]</t>
  </si>
  <si>
    <t>264 [104 - 1205]</t>
  </si>
  <si>
    <t>1003 [565 - 3025]</t>
  </si>
  <si>
    <t>214 [145 - 601]</t>
  </si>
  <si>
    <t>150 [76 - 175]</t>
  </si>
  <si>
    <t>41602 [35470 - 42290]</t>
  </si>
  <si>
    <t>42270 [31840 - 44340]</t>
  </si>
  <si>
    <t>16966 [11511 - 30323]</t>
  </si>
  <si>
    <t>2160 [200 - 2620]</t>
  </si>
  <si>
    <t>1750 [655 - 1851]</t>
  </si>
  <si>
    <t>140 [101 - 324]</t>
  </si>
  <si>
    <t>925 [201 - 1509]</t>
  </si>
  <si>
    <t>33040 [21790 - 33660]</t>
  </si>
  <si>
    <t>33920 [25160 - 67025]</t>
  </si>
  <si>
    <t>2098 [2010 - 3072]</t>
  </si>
  <si>
    <t>15480 [12050 - 39818]</t>
  </si>
  <si>
    <t>1253 [1238 - 1401]</t>
  </si>
  <si>
    <t>3355 [2320 - 3460]</t>
  </si>
  <si>
    <t>825 [535 - 1350]</t>
  </si>
  <si>
    <t>1224 [674 - 1999]</t>
  </si>
  <si>
    <t>236 [170 - 400]</t>
  </si>
  <si>
    <t>1143 [932 - 1650]</t>
  </si>
  <si>
    <t>100 [27 - 258]</t>
  </si>
  <si>
    <t>2336 [1164 - 2365]</t>
  </si>
  <si>
    <t>12324 [9375 - 14650]</t>
  </si>
  <si>
    <t>5853 [5027 - 6139]</t>
  </si>
  <si>
    <t>10 [10 - 95]</t>
  </si>
  <si>
    <t>27 [15 - 44]</t>
  </si>
  <si>
    <t>554 [330 - 906]</t>
  </si>
  <si>
    <t>5512 [2000 - 10710]</t>
  </si>
  <si>
    <t>3748 [1587 - 5908]</t>
  </si>
  <si>
    <t>1506 [588 - 6510]</t>
  </si>
  <si>
    <t>660 [600 - 820]</t>
  </si>
  <si>
    <t>128 [36 - 133]</t>
  </si>
  <si>
    <t>12080 [11170 - 17130]</t>
  </si>
  <si>
    <t>314 [253 - 334]</t>
  </si>
  <si>
    <t>351 [300 - 360]</t>
  </si>
  <si>
    <t>15 [5 - 65]</t>
  </si>
  <si>
    <t>26 [18 - 29]</t>
  </si>
  <si>
    <t>245 [158 - 285]</t>
  </si>
  <si>
    <t>400 [100 - 500]</t>
  </si>
  <si>
    <t>325 [213 - 563]</t>
  </si>
  <si>
    <t>160 [79 - 344]</t>
  </si>
  <si>
    <t>315 [233 - 1286]</t>
  </si>
  <si>
    <t>423 [283 - 824]</t>
  </si>
  <si>
    <t>22 [3 - 41]</t>
  </si>
  <si>
    <t>1540 [1203 - 1620]</t>
  </si>
  <si>
    <t>850 [680 - 1050]</t>
  </si>
  <si>
    <t>5353 [290 - 8160]</t>
  </si>
  <si>
    <t>6050 [470 - 6670]</t>
  </si>
  <si>
    <t>3750 [1580 - 6000]</t>
  </si>
  <si>
    <t>2820 [2820 - 2820]</t>
  </si>
  <si>
    <t>238 [30 - 250]</t>
  </si>
  <si>
    <t>51 [16 - 74]</t>
  </si>
  <si>
    <t>215 [11 - 419]</t>
  </si>
  <si>
    <t>660 [176 - 1060]</t>
  </si>
  <si>
    <t>36000 [13000 - 58000]</t>
  </si>
  <si>
    <t>9260 [2000 - 14300]</t>
  </si>
  <si>
    <t>559 [160 - 866]</t>
  </si>
  <si>
    <t>14410 [4520 - 28600]</t>
  </si>
  <si>
    <t>372 [200 - 670]</t>
  </si>
  <si>
    <t>400 [77 - 1310]</t>
  </si>
  <si>
    <t>240 [24 - 272]</t>
  </si>
  <si>
    <t>700 [50 - 895]</t>
  </si>
  <si>
    <t>147 [40 - 150]</t>
  </si>
  <si>
    <t>492 [250 - 1300]</t>
  </si>
  <si>
    <t>36 [24 - 72]</t>
  </si>
  <si>
    <t>1400 [1288 - 2000]</t>
  </si>
  <si>
    <t>3400 [2745 - 8600]</t>
  </si>
  <si>
    <t>2195 [1455 - 3531]</t>
  </si>
  <si>
    <t>24 [6 - 31]</t>
  </si>
  <si>
    <t>32 [20 - 49]</t>
  </si>
  <si>
    <t>621 [323 - 55160]</t>
  </si>
  <si>
    <t>3800 [900 - 7100]</t>
  </si>
  <si>
    <t>2688 [2248 - 9375]</t>
  </si>
  <si>
    <t>2688 [2496 - 2688]</t>
  </si>
  <si>
    <t>1430 [700 - 2100]</t>
  </si>
  <si>
    <t>87 [79 - 100]</t>
  </si>
  <si>
    <t>10010 [7820 - 13000]</t>
  </si>
  <si>
    <t>190 [45 - 202]</t>
  </si>
  <si>
    <t>112 [80 - 124]</t>
  </si>
  <si>
    <t>127 [16 - 247]</t>
  </si>
  <si>
    <t>43 [20 - 57]</t>
  </si>
  <si>
    <t>360 [300 - 500]</t>
  </si>
  <si>
    <t>203 [100 - 300]</t>
  </si>
  <si>
    <t>114 [50 - 500]</t>
  </si>
  <si>
    <t>111 [97 - 190]</t>
  </si>
  <si>
    <t>197 [100 - 610]</t>
  </si>
  <si>
    <t>170 [27 - 600]</t>
  </si>
  <si>
    <t>69 [31 - 140]</t>
  </si>
  <si>
    <t>1300 [200 - 1500]</t>
  </si>
  <si>
    <t>725 [355 - 800]</t>
  </si>
  <si>
    <t>47 [47 - 47]</t>
  </si>
  <si>
    <t>14678 [12915 - 15225]</t>
  </si>
  <si>
    <t>11675 [10680 - 14703]</t>
  </si>
  <si>
    <t>4013 [3530 - 7118]</t>
  </si>
  <si>
    <t>22 [13 - 44]</t>
  </si>
  <si>
    <t>492 [394 - 871]</t>
  </si>
  <si>
    <t>43 [34 - 82]</t>
  </si>
  <si>
    <t>148 [57 - 238]</t>
  </si>
  <si>
    <t>861 [686 - 1201]</t>
  </si>
  <si>
    <t>13525 [9025 - 29975]</t>
  </si>
  <si>
    <t>4720 [3618 - 10373]</t>
  </si>
  <si>
    <t>789 [518 - 1090]</t>
  </si>
  <si>
    <t>7632 [5485 - 12685]</t>
  </si>
  <si>
    <t>370 [233 - 792]</t>
  </si>
  <si>
    <t>2385 [1988 - 5200]</t>
  </si>
  <si>
    <t>249 [145 - 328]</t>
  </si>
  <si>
    <t>337 [153 - 516]</t>
  </si>
  <si>
    <t>37 [9 - 610]</t>
  </si>
  <si>
    <t>504 [420 - 837]</t>
  </si>
  <si>
    <t>40 [18 - 96]</t>
  </si>
  <si>
    <t>1685 [1574 - 3735]</t>
  </si>
  <si>
    <t>9420 [6310 - 17190]</t>
  </si>
  <si>
    <t>1172 [960 - 1917]</t>
  </si>
  <si>
    <t>8 [6 - 25]</t>
  </si>
  <si>
    <t>22 [13 - 34]</t>
  </si>
  <si>
    <t>529 [313 - 683]</t>
  </si>
  <si>
    <t>530 [240 - 600]</t>
  </si>
  <si>
    <t>560 [224 - 1076]</t>
  </si>
  <si>
    <t>2016 [532 - 2464]</t>
  </si>
  <si>
    <t>400 [370 - 780]</t>
  </si>
  <si>
    <t>14 [5 - 33]</t>
  </si>
  <si>
    <t>2845 [2255 - 4083]</t>
  </si>
  <si>
    <t>41 [36 - 52]</t>
  </si>
  <si>
    <t>8 [8 - 8]</t>
  </si>
  <si>
    <t>49 [43 - 68]</t>
  </si>
  <si>
    <t>1 [1 - 2]</t>
  </si>
  <si>
    <t>179 [96 - 698]</t>
  </si>
  <si>
    <t>127 [63 - 391]</t>
  </si>
  <si>
    <t>200 [58 - 350]</t>
  </si>
  <si>
    <t>42 [2 - 301]</t>
  </si>
  <si>
    <t>325 [126 - 2450]</t>
  </si>
  <si>
    <t>147 [86 - 207]</t>
  </si>
  <si>
    <t>16 [2 - 150]</t>
  </si>
  <si>
    <t>1683 [507 - 3000]</t>
  </si>
  <si>
    <t>258 [200 - 495]</t>
  </si>
  <si>
    <t>200 [90 - 400]</t>
  </si>
  <si>
    <t>6440 [1420 - 16900]</t>
  </si>
  <si>
    <t>15600 [13200 - 19260]</t>
  </si>
  <si>
    <t>1520 [240 - 2000]</t>
  </si>
  <si>
    <t>85 [26 - 165]</t>
  </si>
  <si>
    <t>1567 [613 - 2550]</t>
  </si>
  <si>
    <t>380 [192 - 1000]</t>
  </si>
  <si>
    <t>30 [3 - 289]</t>
  </si>
  <si>
    <t>263 [116 - 427]</t>
  </si>
  <si>
    <t>2080 [1840 - 6800]</t>
  </si>
  <si>
    <t>91100 [67790 - 204855]</t>
  </si>
  <si>
    <t>1099 [549 - 4275]</t>
  </si>
  <si>
    <t>23900 [4395 - 75610]</t>
  </si>
  <si>
    <t>252 [210 - 894]</t>
  </si>
  <si>
    <t>3800 [2380 - 10810]</t>
  </si>
  <si>
    <t>392 [351 - 10680]</t>
  </si>
  <si>
    <t>350 [159 - 759]</t>
  </si>
  <si>
    <t>55 [41 - 117]</t>
  </si>
  <si>
    <t>100 [90 - 150]</t>
  </si>
  <si>
    <t>24 [17 - 24]</t>
  </si>
  <si>
    <t>10930 [1670 - 15911]</t>
  </si>
  <si>
    <t>33770 [17800 - 53640]</t>
  </si>
  <si>
    <t>6378 [2736 - 10512]</t>
  </si>
  <si>
    <t>31 [19 - 75]</t>
  </si>
  <si>
    <t>50 [19 - 109]</t>
  </si>
  <si>
    <t>21 [9 - 644]</t>
  </si>
  <si>
    <t>3900 [1440 - 4000]</t>
  </si>
  <si>
    <t>2083 [1134 - 5768]</t>
  </si>
  <si>
    <t>10012 [3416 - 11676]</t>
  </si>
  <si>
    <t>263 [260 - 280]</t>
  </si>
  <si>
    <t>18 [13 - 30]</t>
  </si>
  <si>
    <t>9875 [3750 - 18820]</t>
  </si>
  <si>
    <t>240 [174 - 1525]</t>
  </si>
  <si>
    <t>728 [576 - 1017]</t>
  </si>
  <si>
    <t>592 [472 - 1255]</t>
  </si>
  <si>
    <t>64 [9 - 117]</t>
  </si>
  <si>
    <t>283 [57 - 300]</t>
  </si>
  <si>
    <t>535 [200 - 1205]</t>
  </si>
  <si>
    <t>119 [65 - 328]</t>
  </si>
  <si>
    <t>476 [298 - 1358]</t>
  </si>
  <si>
    <t>168 [70 - 377]</t>
  </si>
  <si>
    <t>110 [70 - 679]</t>
  </si>
  <si>
    <t>40 [31 - 81]</t>
  </si>
  <si>
    <t>16350 [4130 - 42204]</t>
  </si>
  <si>
    <t>4482 [1900 - 9200]</t>
  </si>
  <si>
    <t>53 [50 - 55]</t>
  </si>
  <si>
    <t>17545 [13410 - 21375]</t>
  </si>
  <si>
    <t>11350 [6580 - 13785]</t>
  </si>
  <si>
    <t>9325 [3200 - 16473]</t>
  </si>
  <si>
    <t>66 [28 - 109]</t>
  </si>
  <si>
    <t>929 [583 - 1456]</t>
  </si>
  <si>
    <t>115 [79 - 219]</t>
  </si>
  <si>
    <t>34 [24 - 54]</t>
  </si>
  <si>
    <t>1193 [352 - 3608]</t>
  </si>
  <si>
    <t>36690 [17905 - 81755]</t>
  </si>
  <si>
    <t>10655 [8460 - 13950]</t>
  </si>
  <si>
    <t>1442 [961 - 1941]</t>
  </si>
  <si>
    <t>41163 [23381 - 87485]</t>
  </si>
  <si>
    <t>725 [583 - 790]</t>
  </si>
  <si>
    <t>1345 [105 - 3593]</t>
  </si>
  <si>
    <t>286 [286 - 1017]</t>
  </si>
  <si>
    <t>231 [107 - 566]</t>
  </si>
  <si>
    <t>202 [106 - 564]</t>
  </si>
  <si>
    <t>1670 [928 - 4592]</t>
  </si>
  <si>
    <t>194 [86 - 369]</t>
  </si>
  <si>
    <t>6597 [3950 - 13097]</t>
  </si>
  <si>
    <t>22180 [14680 - 35845]</t>
  </si>
  <si>
    <t>2281 [1566 - 8049]</t>
  </si>
  <si>
    <t>13 [6 - 115]</t>
  </si>
  <si>
    <t>924 [924 - 924]</t>
  </si>
  <si>
    <t>1448 [895 - 2000]</t>
  </si>
  <si>
    <t>448 [280 - 2260]</t>
  </si>
  <si>
    <t>1433 [425 - 3572]</t>
  </si>
  <si>
    <t>825 [620 - 1620]</t>
  </si>
  <si>
    <t>40 [32 - 105]</t>
  </si>
  <si>
    <t>6760 [3865 - 10595]</t>
  </si>
  <si>
    <t>485 [210 - 820]</t>
  </si>
  <si>
    <t>40 [36 - 184]</t>
  </si>
  <si>
    <t>110 [53 - 231]</t>
  </si>
  <si>
    <t>32 [20 - 46]</t>
  </si>
  <si>
    <t>2341 [1700 - 2981]</t>
  </si>
  <si>
    <t>108 [98 - 569]</t>
  </si>
  <si>
    <t>289 [239 - 300]</t>
  </si>
  <si>
    <t>294 [126 - 373]</t>
  </si>
  <si>
    <t>736 [386 - 1000]</t>
  </si>
  <si>
    <t>42 [6 - 205]</t>
  </si>
  <si>
    <t>117 [98 - 156]</t>
  </si>
  <si>
    <t>2090 [1707 - 7600]</t>
  </si>
  <si>
    <t>688 [676 - 700]</t>
  </si>
  <si>
    <t>50 [50 - 50]</t>
  </si>
  <si>
    <t>9992 [6455 - 12369]</t>
  </si>
  <si>
    <t>5130 [5100 - 6860]</t>
  </si>
  <si>
    <t>1180 [1130 - 2965]</t>
  </si>
  <si>
    <t>130 [60 - 144]</t>
  </si>
  <si>
    <t>555 [439 - 660]</t>
  </si>
  <si>
    <t>30 [21 - 100]</t>
  </si>
  <si>
    <t>49 [21 - 89]</t>
  </si>
  <si>
    <t>2170 [996 - 2868]</t>
  </si>
  <si>
    <t>18355 [16090 - 21690]</t>
  </si>
  <si>
    <t>6858 [5819 - 8280]</t>
  </si>
  <si>
    <t>171 [151 - 301]</t>
  </si>
  <si>
    <t>6696 [5490 - 12920]</t>
  </si>
  <si>
    <t>236 [136 - 236]</t>
  </si>
  <si>
    <t>1600 [770 - 2985]</t>
  </si>
  <si>
    <t>124 [49 - 219]</t>
  </si>
  <si>
    <t>61 [39 - 360]</t>
  </si>
  <si>
    <t>166 [89 - 359]</t>
  </si>
  <si>
    <t>167 [80 - 1474]</t>
  </si>
  <si>
    <t>29 [3 - 934]</t>
  </si>
  <si>
    <t>1772 [1069 - 2036]</t>
  </si>
  <si>
    <t>2388 [2220 - 3025]</t>
  </si>
  <si>
    <t>940 [627 - 1032]</t>
  </si>
  <si>
    <t>13 [8 - 34]</t>
  </si>
  <si>
    <t>28 [23 - 34]</t>
  </si>
  <si>
    <t>624 [175 - 1180]</t>
  </si>
  <si>
    <t>660 [600 - 700]</t>
  </si>
  <si>
    <t>780 [672 - 840]</t>
  </si>
  <si>
    <t>920 [336 - 1008]</t>
  </si>
  <si>
    <t>270 [250 - 410]</t>
  </si>
  <si>
    <t>30 [16 - 45]</t>
  </si>
  <si>
    <t>5359 [320 - 10398]</t>
  </si>
  <si>
    <t>490 [280 - 667]</t>
  </si>
  <si>
    <t>604 [24 - 960]</t>
  </si>
  <si>
    <t>88 [65 - 109]</t>
  </si>
  <si>
    <t>3 [1 - 3]</t>
  </si>
  <si>
    <t>193 [82 - 600]</t>
  </si>
  <si>
    <t>59 [15 - 498]</t>
  </si>
  <si>
    <t>50 [22 - 142]</t>
  </si>
  <si>
    <t>57 [8 - 128]</t>
  </si>
  <si>
    <t>225 [51 - 444]</t>
  </si>
  <si>
    <t>24 [2 - 51]</t>
  </si>
  <si>
    <t>84 [51 - 96]</t>
  </si>
  <si>
    <t>1052 [320 - 2700]</t>
  </si>
  <si>
    <t>837 [280 - 890]</t>
  </si>
  <si>
    <t>150 [20 - 850]</t>
  </si>
  <si>
    <t>1180 [160 - 2200]</t>
  </si>
  <si>
    <t>3000 [3000 - 3000]</t>
  </si>
  <si>
    <t>330 [330 - 330]</t>
  </si>
  <si>
    <t>1785 [45 - 2200]</t>
  </si>
  <si>
    <t>2870 [1450 - 10500]</t>
  </si>
  <si>
    <t>150 [100 - 200]</t>
  </si>
  <si>
    <t>14 [9 - 18]</t>
  </si>
  <si>
    <t>2275 [745 - 15150]</t>
  </si>
  <si>
    <t>84000 [37000 - 107460]</t>
  </si>
  <si>
    <t>34000 [23000 - 53000]</t>
  </si>
  <si>
    <t>1447 [752 - 5751]</t>
  </si>
  <si>
    <t>37800 [24400 - 43300]</t>
  </si>
  <si>
    <t>471 [304 - 508]</t>
  </si>
  <si>
    <t>5400 [4200 - 7850]</t>
  </si>
  <si>
    <t>284 [225 - 473]</t>
  </si>
  <si>
    <t>840 [388 - 2200]</t>
  </si>
  <si>
    <t>425 [225 - 675]</t>
  </si>
  <si>
    <t>180 [140 - 650]</t>
  </si>
  <si>
    <t>144 [96 - 320]</t>
  </si>
  <si>
    <t>561 [387 - 1360]</t>
  </si>
  <si>
    <t>975 [515 - 1985]</t>
  </si>
  <si>
    <t>864 [324 - 2077]</t>
  </si>
  <si>
    <t>9 [3 - 10]</t>
  </si>
  <si>
    <t>25 [13 - 42]</t>
  </si>
  <si>
    <t>1815 [525 - 3105]</t>
  </si>
  <si>
    <t>1580 [1100 - 2400]</t>
  </si>
  <si>
    <t>237 [140 - 460]</t>
  </si>
  <si>
    <t>894 [682 - 1192]</t>
  </si>
  <si>
    <t>720 [200 - 800]</t>
  </si>
  <si>
    <t>75 [46 - 110]</t>
  </si>
  <si>
    <t>110 [110 - 110]</t>
  </si>
  <si>
    <t>175 [143 - 512]</t>
  </si>
  <si>
    <t>120 [80 - 200]</t>
  </si>
  <si>
    <t>7 [3 - 11]</t>
  </si>
  <si>
    <t>265 [30 - 500]</t>
  </si>
  <si>
    <t>347 [32 - 2500]</t>
  </si>
  <si>
    <t>188 [175 - 461]</t>
  </si>
  <si>
    <t>397 [383 - 450]</t>
  </si>
  <si>
    <t>120 [80 - 358]</t>
  </si>
  <si>
    <t>80 [37 - 240]</t>
  </si>
  <si>
    <t>60 [29 - 80]</t>
  </si>
  <si>
    <t>141 [10 - 290]</t>
  </si>
  <si>
    <t>198 [195 - 200]</t>
  </si>
  <si>
    <t>7199 [3682 - 11100]</t>
  </si>
  <si>
    <t>5000 [1339 - 27300]</t>
  </si>
  <si>
    <t>3798 [1936 - 6548]</t>
  </si>
  <si>
    <t>1825 [1605 - 1922]</t>
  </si>
  <si>
    <t>950 [473 - 2000]</t>
  </si>
  <si>
    <t>60 [20 - 80]</t>
  </si>
  <si>
    <t>158 [158 - 158]</t>
  </si>
  <si>
    <t>1104 [96 - 1886]</t>
  </si>
  <si>
    <t>10030 [3930 - 26650]</t>
  </si>
  <si>
    <t>5400 [750 - 6625]</t>
  </si>
  <si>
    <t>395 [289 - 542]</t>
  </si>
  <si>
    <t>20165 [17360 - 20300]</t>
  </si>
  <si>
    <t>1297 [1076 - 2060]</t>
  </si>
  <si>
    <t>4450 [3870 - 6650]</t>
  </si>
  <si>
    <t>235 [43 - 2957]</t>
  </si>
  <si>
    <t>365 [116 - 5050]</t>
  </si>
  <si>
    <t>200 [54 - 333]</t>
  </si>
  <si>
    <t>490 [200 - 800]</t>
  </si>
  <si>
    <t>96 [60 - 120]</t>
  </si>
  <si>
    <t>2200 [1818 - 3010]</t>
  </si>
  <si>
    <t>14300 [11210 - 19395]</t>
  </si>
  <si>
    <t>2592 [2343 - 3600]</t>
  </si>
  <si>
    <t>17 [17 - 20]</t>
  </si>
  <si>
    <t>20 [11 - 24]</t>
  </si>
  <si>
    <t>200 [171 - 4140]</t>
  </si>
  <si>
    <t>335 [200 - 560]</t>
  </si>
  <si>
    <t>108 [56 - 168]</t>
  </si>
  <si>
    <t>459 [65 - 1218]</t>
  </si>
  <si>
    <t>1340 [60 - 2250]</t>
  </si>
  <si>
    <t>41 [17 - 89]</t>
  </si>
  <si>
    <t>12170 [6500 - 17300]</t>
  </si>
  <si>
    <t>443 [242 - 756]</t>
  </si>
  <si>
    <t>16 [16 - 90]</t>
  </si>
  <si>
    <t>25 [4 - 25]</t>
  </si>
  <si>
    <t>60 [18 - 70]</t>
  </si>
  <si>
    <t>505 [400 - 610]</t>
  </si>
  <si>
    <t>200 [50 - 250]</t>
  </si>
  <si>
    <t>61 [29 - 90]</t>
  </si>
  <si>
    <t>184 [104 - 248]</t>
  </si>
  <si>
    <t>650 [400 - 716]</t>
  </si>
  <si>
    <t>55 [30 - 376]</t>
  </si>
  <si>
    <t>36 [36 - 36]</t>
  </si>
  <si>
    <t>600 [450 - 2500]</t>
  </si>
  <si>
    <t>250 [200 - 750]</t>
  </si>
  <si>
    <t>200 [200 - 200]</t>
  </si>
  <si>
    <t>10000 [5640 - 29000]</t>
  </si>
  <si>
    <t>6180 [2400 - 8000]</t>
  </si>
  <si>
    <t>1330 [580 - 2100]</t>
  </si>
  <si>
    <t>26 [2 - 39]</t>
  </si>
  <si>
    <t>1300 [1150 - 1350]</t>
  </si>
  <si>
    <t>102 [31 - 150]</t>
  </si>
  <si>
    <t>15 [6 - 30]</t>
  </si>
  <si>
    <t>400 [270 - 700]</t>
  </si>
  <si>
    <t>15150 [15000 - 29000]</t>
  </si>
  <si>
    <t>8645 [6070 - 15825]</t>
  </si>
  <si>
    <t>71 [17 - 98]</t>
  </si>
  <si>
    <t>12700 [3240 - 27500]</t>
  </si>
  <si>
    <t>190 [147 - 290]</t>
  </si>
  <si>
    <t>300 [160 - 600]</t>
  </si>
  <si>
    <t>400 [100 - 700]</t>
  </si>
  <si>
    <t>60 [42 - 335]</t>
  </si>
  <si>
    <t>44 [33 - 60]</t>
  </si>
  <si>
    <t>100 [100 - 210]</t>
  </si>
  <si>
    <t>36 [24 - 60]</t>
  </si>
  <si>
    <t>950 [700 - 970]</t>
  </si>
  <si>
    <t>5600 [3900 - 6500]</t>
  </si>
  <si>
    <t>970 [252 - 1162]</t>
  </si>
  <si>
    <t>16 [8 - 19]</t>
  </si>
  <si>
    <t>56 [26 - 65]</t>
  </si>
  <si>
    <t>4300 [315 - 5250]</t>
  </si>
  <si>
    <t>1500 [1500 - 1500]</t>
  </si>
  <si>
    <t>686 [672 - 700]</t>
  </si>
  <si>
    <t>1372 [1344 - 1400]</t>
  </si>
  <si>
    <t>7 [5 - 13]</t>
  </si>
  <si>
    <t>7200 [6900 - 9200]</t>
  </si>
  <si>
    <t>45 [36 - 193]</t>
  </si>
  <si>
    <t>130 [58 - 148]</t>
  </si>
  <si>
    <t>90 [55 - 121]</t>
  </si>
  <si>
    <t>1 [1 - 3]</t>
  </si>
  <si>
    <t>100 [50 - 200]</t>
  </si>
  <si>
    <t>50 [43 - 100]</t>
  </si>
  <si>
    <t>25 [25 - 70]</t>
  </si>
  <si>
    <t>500 [250 - 600]</t>
  </si>
  <si>
    <t>48 [20 - 105]</t>
  </si>
  <si>
    <t>185 [100 - 270]</t>
  </si>
  <si>
    <t>177 [100 - 327]</t>
  </si>
  <si>
    <t>600 [500 - 700]</t>
  </si>
  <si>
    <t>12175 [9260 - 31915]</t>
  </si>
  <si>
    <t>130 [130 - 130]</t>
  </si>
  <si>
    <t>2845 [2330 - 3360]</t>
  </si>
  <si>
    <t>280 [200 - 300]</t>
  </si>
  <si>
    <t>999 [432 - 1700]</t>
  </si>
  <si>
    <t>70 [70 - 163]</t>
  </si>
  <si>
    <t>5 [3 - 16]</t>
  </si>
  <si>
    <t>292 [162 - 307]</t>
  </si>
  <si>
    <t>14000 [8100 - 30800]</t>
  </si>
  <si>
    <t>25100 [12250 - 36840]</t>
  </si>
  <si>
    <t>825 [561 - 2063]</t>
  </si>
  <si>
    <t>12550 [7510 - 14970]</t>
  </si>
  <si>
    <t>286 [212 - 982]</t>
  </si>
  <si>
    <t>1700 [960 - 2800]</t>
  </si>
  <si>
    <t>415 [150 - 717]</t>
  </si>
  <si>
    <t>565 [415 - 703]</t>
  </si>
  <si>
    <t>156 [85 - 293]</t>
  </si>
  <si>
    <t>160 [150 - 310]</t>
  </si>
  <si>
    <t>64 [60 - 100]</t>
  </si>
  <si>
    <t>1084 [593 - 1930]</t>
  </si>
  <si>
    <t>5780 [2700 - 8140]</t>
  </si>
  <si>
    <t>285 [252 - 704]</t>
  </si>
  <si>
    <t>13 [6 - 20]</t>
  </si>
  <si>
    <t>43 [32 - 180]</t>
  </si>
  <si>
    <t>1174 [1011 - 8100]</t>
  </si>
  <si>
    <t>770 [240 - 1300]</t>
  </si>
  <si>
    <t>1512 [1232 - 1792]</t>
  </si>
  <si>
    <t>2954 [2324 - 3584]</t>
  </si>
  <si>
    <t>1845 [740 - 2950]</t>
  </si>
  <si>
    <t>40 [37 - 104]</t>
  </si>
  <si>
    <t>8850 [5290 - 17640]</t>
  </si>
  <si>
    <t>185 [92 - 222]</t>
  </si>
  <si>
    <t>9 [9 - 9]</t>
  </si>
  <si>
    <t>96 [6 - 225]</t>
  </si>
  <si>
    <t>12 [8 - 17]</t>
  </si>
  <si>
    <t>427 [147 - 710]</t>
  </si>
  <si>
    <t>250 [206 - 300]</t>
  </si>
  <si>
    <t>194 [112 - 350]</t>
  </si>
  <si>
    <t>54 [29 - 70]</t>
  </si>
  <si>
    <t>441 [122 - 910]</t>
  </si>
  <si>
    <t>93 [60 - 288]</t>
  </si>
  <si>
    <t>208 [66 - 303]</t>
  </si>
  <si>
    <t>1750 [1403 - 2585]</t>
  </si>
  <si>
    <t>1623 [1222 - 2269]</t>
  </si>
  <si>
    <t>1000 [1000 - 1000]</t>
  </si>
  <si>
    <t>13230 [1360 - 76260]</t>
  </si>
  <si>
    <t>970 [200 - 6940]</t>
  </si>
  <si>
    <t>270 [252 - 908]</t>
  </si>
  <si>
    <t>122 [102 - 285]</t>
  </si>
  <si>
    <t>100 [52 - 464]</t>
  </si>
  <si>
    <t>13600 [5810 - 23520]</t>
  </si>
  <si>
    <t>11978 [1905 - 23918]</t>
  </si>
  <si>
    <t>327 [201 - 494]</t>
  </si>
  <si>
    <t>4833 [1505 - 8703]</t>
  </si>
  <si>
    <t>89 [71 - 331]</t>
  </si>
  <si>
    <t>950 [400 - 3200]</t>
  </si>
  <si>
    <t>57 [26 - 164]</t>
  </si>
  <si>
    <t>110 [76 - 162]</t>
  </si>
  <si>
    <t>504 [5 - 1002]</t>
  </si>
  <si>
    <t>290 [280 - 800]</t>
  </si>
  <si>
    <t>48 [40 - 108]</t>
  </si>
  <si>
    <t>712 [705 - 1810]</t>
  </si>
  <si>
    <t>302 [302 - 302]</t>
  </si>
  <si>
    <t>340 [288 - 7244]</t>
  </si>
  <si>
    <t>53 [50 - 220]</t>
  </si>
  <si>
    <t>150 [40 - 246]</t>
  </si>
  <si>
    <t>1302 [1008 - 18844]</t>
  </si>
  <si>
    <t>1460 [1040 - 1880]</t>
  </si>
  <si>
    <t>1904 [1456 - 2352]</t>
  </si>
  <si>
    <t>352 [224 - 480]</t>
  </si>
  <si>
    <t>420 [300 - 489]</t>
  </si>
  <si>
    <t>19 [16 - 119]</t>
  </si>
  <si>
    <t>2990 [1930 - 6800]</t>
  </si>
  <si>
    <t>98 [89 - 100]</t>
  </si>
  <si>
    <t>86 [19 - 152]</t>
  </si>
  <si>
    <t>408 [300 - 641]</t>
  </si>
  <si>
    <t>85 [4 - 200]</t>
  </si>
  <si>
    <t>122 [80 - 1245]</t>
  </si>
  <si>
    <t>4250 [1550 - 5600]</t>
  </si>
  <si>
    <t>230 [190 - 300]</t>
  </si>
  <si>
    <t>186 [70 - 193]</t>
  </si>
  <si>
    <t>106 [38 - 195]</t>
  </si>
  <si>
    <t>31 [3 - 199]</t>
  </si>
  <si>
    <t>1320 [600 - 2240]</t>
  </si>
  <si>
    <t>250 [100 - 360]</t>
  </si>
  <si>
    <t>24 [8 - 39]</t>
  </si>
  <si>
    <t>98180 [67055 - 127600]</t>
  </si>
  <si>
    <t>13200 [3850 - 17760]</t>
  </si>
  <si>
    <t>3600 [1990 - 5400]</t>
  </si>
  <si>
    <t>1120 [391 - 1700]</t>
  </si>
  <si>
    <t>515 [252 - 3586]</t>
  </si>
  <si>
    <t>136 [20 - 460]</t>
  </si>
  <si>
    <t>780 [500 - 1076]</t>
  </si>
  <si>
    <t>14958 [6300 - 25500]</t>
  </si>
  <si>
    <t>4163 [1483 - 19260]</t>
  </si>
  <si>
    <t>957 [630 - 1963]</t>
  </si>
  <si>
    <t>2370 [1585 - 14000]</t>
  </si>
  <si>
    <t>298 [270 - 1002]</t>
  </si>
  <si>
    <t>2940 [1000 - 3920]</t>
  </si>
  <si>
    <t>77 [12 - 950]</t>
  </si>
  <si>
    <t>500 [281 - 2357]</t>
  </si>
  <si>
    <t>241 [73 - 1285]</t>
  </si>
  <si>
    <t>180 [120 - 400]</t>
  </si>
  <si>
    <t>2265 [1558 - 3250]</t>
  </si>
  <si>
    <t>17000 [8030 - 18000]</t>
  </si>
  <si>
    <t>1386 [338 - 4394]</t>
  </si>
  <si>
    <t>29 [11 - 36]</t>
  </si>
  <si>
    <t>28 [14 - 122]</t>
  </si>
  <si>
    <t>640 [359 - 1644]</t>
  </si>
  <si>
    <t>900 [900 - 1200]</t>
  </si>
  <si>
    <t>1176 [168 - 2604]</t>
  </si>
  <si>
    <t>4256 [1260 - 4900]</t>
  </si>
  <si>
    <t>285 [60 - 500]</t>
  </si>
  <si>
    <t>224 [90 - 235]</t>
  </si>
  <si>
    <t>14700 [13890 - 23200]</t>
  </si>
  <si>
    <t>691 [570 - 1889]</t>
  </si>
  <si>
    <t>168 [60 - 240]</t>
  </si>
  <si>
    <t>80 [25 - 100]</t>
  </si>
  <si>
    <t>30 [19 - 140]</t>
  </si>
  <si>
    <t>2050 [1188 - 3650]</t>
  </si>
  <si>
    <t>425 [200 - 2400]</t>
  </si>
  <si>
    <t>178 [60 - 750]</t>
  </si>
  <si>
    <t>113 [30 - 280]</t>
  </si>
  <si>
    <t>108 [100 - 300]</t>
  </si>
  <si>
    <t>40 [40 - 80]</t>
  </si>
  <si>
    <t>89 [69 - 557]</t>
  </si>
  <si>
    <t>2600 [500 - 3750]</t>
  </si>
  <si>
    <t>260 [200 - 300]</t>
  </si>
  <si>
    <t>98 [29 - 275]</t>
  </si>
  <si>
    <t>18550 [16800 - 23450]</t>
  </si>
  <si>
    <t>4805 [1070 - 12195]</t>
  </si>
  <si>
    <t>3500 [2400 - 4250]</t>
  </si>
  <si>
    <t>10 [9 - 32]</t>
  </si>
  <si>
    <t>344 [170 - 1400]</t>
  </si>
  <si>
    <t>440 [402 - 1049]</t>
  </si>
  <si>
    <t>5 [2 - 64]</t>
  </si>
  <si>
    <t>46 [39 - 270]</t>
  </si>
  <si>
    <t>20800 [20000 - 32360]</t>
  </si>
  <si>
    <t>27800 [23000 - 55530]</t>
  </si>
  <si>
    <t>470 [315 - 1710]</t>
  </si>
  <si>
    <t>27570 [9900 - 28440]</t>
  </si>
  <si>
    <t>390 [320 - 393]</t>
  </si>
  <si>
    <t>4800 [3720 - 10060]</t>
  </si>
  <si>
    <t>374 [81 - 1024]</t>
  </si>
  <si>
    <t>250 [150 - 961]</t>
  </si>
  <si>
    <t>120 [100 - 600]</t>
  </si>
  <si>
    <t>190 [135 - 815]</t>
  </si>
  <si>
    <t>56 [48 - 64]</t>
  </si>
  <si>
    <t>1380 [1000 - 2245]</t>
  </si>
  <si>
    <t>4000 [3700 - 7549]</t>
  </si>
  <si>
    <t>144 [132 - 420]</t>
  </si>
  <si>
    <t>40 [38 - 69]</t>
  </si>
  <si>
    <t>52 [50 - 69]</t>
  </si>
  <si>
    <t>320 [249 - 801]</t>
  </si>
  <si>
    <t>3470 [40 - 6900]</t>
  </si>
  <si>
    <t>1010 [868 - 1151]</t>
  </si>
  <si>
    <t>462 [168 - 756]</t>
  </si>
  <si>
    <t>3170 [1100 - 5240]</t>
  </si>
  <si>
    <t>52 [11 - 120]</t>
  </si>
  <si>
    <t>21800 [11800 - 44900]</t>
  </si>
  <si>
    <t>130 [100 - 414]</t>
  </si>
  <si>
    <t>238 [210 - 624]</t>
  </si>
  <si>
    <t>255 [200 - 320]</t>
  </si>
  <si>
    <t>19 [3 - 59]</t>
  </si>
  <si>
    <t>120 [65 - 200]</t>
  </si>
  <si>
    <t>776 [350 - 1000]</t>
  </si>
  <si>
    <t>80 [50 - 104]</t>
  </si>
  <si>
    <t>149 [120 - 370]</t>
  </si>
  <si>
    <t>325 [150 - 700]</t>
  </si>
  <si>
    <t>260 [220 - 300]</t>
  </si>
  <si>
    <t>31 [29 - 240]</t>
  </si>
  <si>
    <t>300 [120 - 900]</t>
  </si>
  <si>
    <t>900 [200 - 1400]</t>
  </si>
  <si>
    <t>25 [25 - 25]</t>
  </si>
  <si>
    <t>32900 [18983 - 42123]</t>
  </si>
  <si>
    <t>8515 [3555 - 11630]</t>
  </si>
  <si>
    <t>14560 [4620 - 22949]</t>
  </si>
  <si>
    <t>225 [141 - 285]</t>
  </si>
  <si>
    <t>193 [17 - 863]</t>
  </si>
  <si>
    <t>551 [483 - 2440]</t>
  </si>
  <si>
    <t>57 [48 - 65]</t>
  </si>
  <si>
    <t>557 [388 - 1082]</t>
  </si>
  <si>
    <t>32255 [28880 - 38730]</t>
  </si>
  <si>
    <t>5850 [2700 - 8310]</t>
  </si>
  <si>
    <t>939 [746 - 1070]</t>
  </si>
  <si>
    <t>38258 [24746 - 63400]</t>
  </si>
  <si>
    <t>340 [182 - 660]</t>
  </si>
  <si>
    <t>3013 [1228 - 43519]</t>
  </si>
  <si>
    <t>318 [194 - 563]</t>
  </si>
  <si>
    <t>438 [351 - 693]</t>
  </si>
  <si>
    <t>260 [117 - 878]</t>
  </si>
  <si>
    <t>62 [50 - 300]</t>
  </si>
  <si>
    <t>54 [20 - 60]</t>
  </si>
  <si>
    <t>2228 [2012 - 4302]</t>
  </si>
  <si>
    <t>6033 [4920 - 20300]</t>
  </si>
  <si>
    <t>3368 [1900 - 10000]</t>
  </si>
  <si>
    <t>52 [10 - 57]</t>
  </si>
  <si>
    <t>56 [50 - 160]</t>
  </si>
  <si>
    <t>1680 [240 - 6055]</t>
  </si>
  <si>
    <t>480 [460 - 500]</t>
  </si>
  <si>
    <t>1350 [1350 - 1350]</t>
  </si>
  <si>
    <t>1512 [1512 - 1512]</t>
  </si>
  <si>
    <t>365 [210 - 1900]</t>
  </si>
  <si>
    <t>36 [21 - 102]</t>
  </si>
  <si>
    <t>4340 [1280 - 4415]</t>
  </si>
  <si>
    <t>255 [207 - 915]</t>
  </si>
  <si>
    <t>27 [12 - 37]</t>
  </si>
  <si>
    <t>121 [50 - 144]</t>
  </si>
  <si>
    <t>25 [5 - 46]</t>
  </si>
  <si>
    <t>1315 [884 - 1550]</t>
  </si>
  <si>
    <t>425 [220 - 3950]</t>
  </si>
  <si>
    <t>113 [60 - 300]</t>
  </si>
  <si>
    <t>57 [40 - 120]</t>
  </si>
  <si>
    <t>177 [160 - 650]</t>
  </si>
  <si>
    <t>280 [27 - 606]</t>
  </si>
  <si>
    <t>49 [10 - 198]</t>
  </si>
  <si>
    <t>2974 [1300 - 14930]</t>
  </si>
  <si>
    <t>1705 [1300 - 2300]</t>
  </si>
  <si>
    <t>1010 [1010 - 1010]</t>
  </si>
  <si>
    <t>Domain 1: General management (14 points)</t>
  </si>
  <si>
    <t>Domain2: Hygiene (34 points)</t>
  </si>
  <si>
    <t>Domain 3: OPD/Curative Consultations (44 points</t>
  </si>
  <si>
    <t>Domain 4: Family planning (23 points)</t>
  </si>
  <si>
    <t>Domain 6: Essential Drugs Management (52 points)</t>
  </si>
  <si>
    <t>Domain 7: Availability of tracer drugs (92 points)</t>
  </si>
  <si>
    <t>Domain 8: Maternity (29 points)</t>
  </si>
  <si>
    <t>Domain 10: Antenatal care (13 points)</t>
  </si>
  <si>
    <t>Overall score (343 points)</t>
  </si>
  <si>
    <t>Number of health facilities</t>
  </si>
  <si>
    <t>Availability of tracer drugs</t>
  </si>
  <si>
    <t>Conditions in waiting area for immunization services</t>
  </si>
  <si>
    <t>Baby weighing scale available and in working condition</t>
  </si>
  <si>
    <t>Existence of a system to recover drop-outs</t>
  </si>
  <si>
    <t>Domain 13 score</t>
  </si>
  <si>
    <t>HER R2 QQC, Structural Indicators
April 2023 - June 2023</t>
  </si>
  <si>
    <t xml:space="preserve">Province name </t>
  </si>
  <si>
    <t>XXX</t>
  </si>
  <si>
    <t>Domain 1: General Management (14 points)</t>
  </si>
  <si>
    <t>Domain 2: Hygiene (34 points)</t>
  </si>
  <si>
    <t>Domain 3: OPD / Curative Consultations (44 points)</t>
  </si>
  <si>
    <t>Domain 5: Laboratory (15 points)</t>
  </si>
  <si>
    <t>N/A</t>
  </si>
  <si>
    <t>Domain 7: Tracer drugs (92 points)</t>
  </si>
  <si>
    <t>Domain 9: EPI (27 points)</t>
  </si>
  <si>
    <t>Domain 10: Antenatal Care (13 points)</t>
  </si>
  <si>
    <t>HER R2 QCC, Structural Indicators</t>
  </si>
  <si>
    <t>NOTES FOR COMBINING INDICATOR GROUPS (numbers refer to QCC_SI_PROV_ALL sheet)</t>
  </si>
  <si>
    <t>Badakshan</t>
  </si>
  <si>
    <t>Nangrahar</t>
  </si>
  <si>
    <t>Saripul</t>
  </si>
  <si>
    <t>Summary score</t>
  </si>
  <si>
    <t>Technical and Health Shura meetings</t>
  </si>
  <si>
    <t>Combination of (4) Technical meetings (Management Committee Meetings &amp; Clinical Staff Meetings - this incudes Quality Improvement Committee) are conducted monthly and minutes available. QI committee meetings can alternate with clinical staff meetings; with 2 weeks between meetings and (9) Health Shura meetings conducted monthly and minutes available</t>
  </si>
  <si>
    <t>Phone availability</t>
  </si>
  <si>
    <t>HMIS reports</t>
  </si>
  <si>
    <t>Combination of (7) HMIS reports are sent to the SP provincial offices for data entry at the same time as HMIS reports are sent to the MoPH and (8) HMIS data analysis report for the quarter being assessed concerning priority problems</t>
  </si>
  <si>
    <t xml:space="preserve">Summary score </t>
  </si>
  <si>
    <t>Garbage bin, waste pit, Medical waste bins and Health Care waste disposal</t>
  </si>
  <si>
    <t>Combination of (2) Availability of a garbage bin in the courtyard and (5) Waste pit for Health Care Waste is available and according to the norms and (8) Hygienic conditions assured during wound dressing and injections and (9) Disposal of Health Care Waste according to National Norms</t>
  </si>
  <si>
    <t>Latrines/toilets and showers</t>
  </si>
  <si>
    <t>Combination of (3) Presence of sufficient latrines/toilets which are well-maintained and (4) Presence of sufficient showers which are well-maintained</t>
  </si>
  <si>
    <t>Good conditions in waiting area and consultation room</t>
  </si>
  <si>
    <t xml:space="preserve">Combination of (1) Good conditions in waiting area and (3) Existence and use of waiting card (or token) system with numbers (4) Consultation room in good condition (at least one; the composite criteria below refer to the consultation room for women) and (5) Consultation room (where emergencies are received) has 24/7 light </t>
  </si>
  <si>
    <t>Consultations done by skilled staff, staff is well-dressed</t>
  </si>
  <si>
    <t>Combination of (6) Consultations are done by skilled staff and (7) Consulting staff is well-dressed</t>
  </si>
  <si>
    <t>Malaria, ARI, and Diarrhea protocol</t>
  </si>
  <si>
    <t>Combination of (10) Malaria protocol on wall and accessible for staff and (11) WHO flow diagram for ARI on wall and accessible for staff and (12) ARI protocol applied and (13) WHO protocol for Diarrhea on wall and accessible for staff and (14) Diarrhea protocol applied</t>
  </si>
  <si>
    <t>Essential tools (Stethoscope and BP machine, thermometer, otoscope, examination table, weighing scale) available and functional</t>
  </si>
  <si>
    <t>Combination of (18) Stethoscope and BP machine available and functional and (19) Thermometer available and functional and (20) Otoscope available and functional and (21) Examination table with padding available and (22) Weighing scale available and functional</t>
  </si>
  <si>
    <t>Family planning methods available, including trained staff for IUD and implants</t>
  </si>
  <si>
    <t>Combination of (3) Family planning methods available and visible in demonstration box for potential users and (4) IUD available and staff trained to use it and (5) Implant method available and staff trained to use it</t>
  </si>
  <si>
    <t>Medical Laboratory technician available and Laboratory open every day</t>
  </si>
  <si>
    <t>Combination of (1) Medical Laboratory technician available and (2) Laboratory is open every day of the week</t>
  </si>
  <si>
    <t>Microscope and centrifuge available</t>
  </si>
  <si>
    <t>Combination of (6) Microscope available and (7) Centrifuge available and functional</t>
  </si>
  <si>
    <t>Waste evacuation and disinfecting pipettes</t>
  </si>
  <si>
    <t>Combination of (8) Waste evacuation correctly carried out and (9) Personnel adequately washes dirty pipettes in containers with disinfectant</t>
  </si>
  <si>
    <t>Sorting and storing drug stock</t>
  </si>
  <si>
    <t>Combination of (1) Health Facility has separate rooms for dispensary and main stocks and (4) Drugs stored correctly</t>
  </si>
  <si>
    <t>Availability and condition of tools, equipment and rooms (partograph, scales, obstrectical stethoscope, episiotomy/perineal repair box, delivery table, equipment for care for newborn, adequatedilvery and in-patient rooms)</t>
  </si>
  <si>
    <t xml:space="preserve">Combination of (4) Delivery room is well-maintained and (5) Availability and use of the partograp and (7) Availability of scales for weight/length, an obstetrical stethoscope and (8) Availability of at the least one episiotomy /perineal repair box and (9) Delivery table in good state and (10) Available equipment for care of the newborn and (11) Adequate in-patient rooms </t>
  </si>
  <si>
    <t>Availability of Cold Boxes and Cold packs, syringes, safe disposal box and U5 growth card, baby weighing scale</t>
  </si>
  <si>
    <t>Combination of (6) Cold Boxes and Cold packs and (7) Syringes available and (8) Waste collection availability of safe disposal box and (9) Stock of U5 growth cards available and (13) Baby weighing scale available and in working condition</t>
  </si>
  <si>
    <t>HER R2 QCC, Exit and Vignettes</t>
  </si>
  <si>
    <t>Province Name</t>
  </si>
  <si>
    <t xml:space="preserve">Facility type </t>
  </si>
  <si>
    <t>Number of Client interviews</t>
  </si>
  <si>
    <t>Number of Health worker interviews</t>
  </si>
  <si>
    <t xml:space="preserve">Exit interview with caregiver sick child under 5 	</t>
  </si>
  <si>
    <t>Content of care</t>
  </si>
  <si>
    <t>Client Satisfaction</t>
  </si>
  <si>
    <t>Vignettes</t>
  </si>
  <si>
    <t>H</t>
  </si>
  <si>
    <t>History section</t>
  </si>
  <si>
    <t>P</t>
  </si>
  <si>
    <t>Physical section</t>
  </si>
  <si>
    <t>L</t>
  </si>
  <si>
    <t>Laboratory section</t>
  </si>
  <si>
    <t>D</t>
  </si>
  <si>
    <t>Diagnosis, Classification, Interpretation, Choice of Family Planning method</t>
  </si>
  <si>
    <t>T</t>
  </si>
  <si>
    <t>Treatment</t>
  </si>
  <si>
    <t>E</t>
  </si>
  <si>
    <t>Explanation and advice to the patient, care taker or companion, Action, Counselling, Follow up advice for the client</t>
  </si>
  <si>
    <t>Exit interviews U5</t>
  </si>
  <si>
    <t>Exit interviews Family planning</t>
  </si>
  <si>
    <t>Overall score exit interviews and vignettes</t>
  </si>
  <si>
    <t>Number of facilities</t>
  </si>
  <si>
    <t>Number of U5 interviews</t>
  </si>
  <si>
    <t>Content of Care</t>
  </si>
  <si>
    <t>Number of FP interviews</t>
  </si>
  <si>
    <t>Client satisfaction</t>
  </si>
  <si>
    <t>Exit interview FP score</t>
  </si>
  <si>
    <t>Number of vignettes</t>
  </si>
  <si>
    <t>Vignettes score</t>
  </si>
  <si>
    <t>HER R2 QQC, Exit and Vignettes
April 2023 - June 2023</t>
  </si>
  <si>
    <t># PHC</t>
  </si>
  <si>
    <t># BHC</t>
  </si>
  <si>
    <t># CHC</t>
  </si>
  <si>
    <t># DH</t>
  </si>
  <si>
    <t># RH</t>
  </si>
  <si>
    <t># U5 interviews</t>
  </si>
  <si>
    <t># FP interviews</t>
  </si>
  <si>
    <t># Health workers (vignettes)</t>
  </si>
  <si>
    <t>HER R2 QQC SUMMARY SCORES
April 2023 - June 2023</t>
  </si>
  <si>
    <t>Structural indicators (BHC, CHC and DH)</t>
  </si>
  <si>
    <t>Exit interviews (All facility types)</t>
  </si>
  <si>
    <t>Vignettes  (All facility types)</t>
  </si>
  <si>
    <t>HER2 R4 QQC, Exit and Vignettes
 October to December 2024</t>
  </si>
  <si>
    <t># PH</t>
  </si>
  <si>
    <t>National scores</t>
  </si>
  <si>
    <t>Outcome quality - total</t>
  </si>
  <si>
    <t>Children under the age of 5</t>
  </si>
  <si>
    <t>Outcome quality</t>
  </si>
  <si>
    <t>Family planning</t>
  </si>
  <si>
    <t>Content of care quality - total</t>
  </si>
  <si>
    <t>Physical/laboratory section</t>
  </si>
  <si>
    <t>Diagnosis, Classification, Interpretation (or Choice of Family Planning method)</t>
  </si>
  <si>
    <t>Pneumonia</t>
  </si>
  <si>
    <t>Diarrhea</t>
  </si>
  <si>
    <t>Growth Monitoring and Promotion</t>
  </si>
  <si>
    <t>TB Patient management</t>
  </si>
  <si>
    <t>Labor</t>
  </si>
  <si>
    <t>PNC</t>
  </si>
  <si>
    <t>First ANC visit</t>
  </si>
  <si>
    <t>Birth spacing/ Family planning</t>
  </si>
  <si>
    <t>Changing FP method to injectable</t>
  </si>
  <si>
    <t>PPH</t>
  </si>
  <si>
    <t>QQM - Outcome Quality - HER2 R4 -  October to December 2024</t>
  </si>
  <si>
    <t>QQM - Content of Care Quality - HER2 R4 - October to December 2024</t>
  </si>
  <si>
    <t>U5</t>
  </si>
  <si>
    <t>Physical and laboratory section</t>
  </si>
  <si>
    <t>Content of Care Quality score</t>
  </si>
  <si>
    <t>u5</t>
  </si>
  <si>
    <t>fp</t>
  </si>
  <si>
    <t>fp_outcome</t>
  </si>
  <si>
    <t>fp_sat</t>
  </si>
  <si>
    <t>facid2</t>
  </si>
  <si>
    <t>factype2</t>
  </si>
  <si>
    <t>n</t>
  </si>
  <si>
    <t>history</t>
  </si>
  <si>
    <t>physical</t>
  </si>
  <si>
    <t>diagnosis</t>
  </si>
  <si>
    <t>treatment</t>
  </si>
  <si>
    <t>explanation</t>
  </si>
  <si>
    <t>total</t>
  </si>
  <si>
    <t>Salary Payment based on health worker interviews
HER2 R4 -  October to December 2024</t>
  </si>
  <si>
    <t>Salary Payment based on payrolls
HER2 R4 -  October to December 2024</t>
  </si>
  <si>
    <t>Health worker availability
HER2 R4 -  October to December 2024</t>
  </si>
  <si>
    <t>Training on gender based violence (GBV)
HER2 R4 -  October to December 2024</t>
  </si>
  <si>
    <t>Health worker satisfaction - HER2 R4 
 October to December 2024 (1= Strongly disagree, 4 = Strongly agree)</t>
  </si>
  <si>
    <t>HF staff (as per BPHS/EPHS guidelines) &amp; MSS</t>
  </si>
  <si>
    <t>Female health workers</t>
  </si>
  <si>
    <t>Health worker interviews</t>
  </si>
  <si>
    <t>Management</t>
  </si>
  <si>
    <t>Number of HW interviews</t>
  </si>
  <si>
    <t>Salary paid in cash (as opposed to bank)</t>
  </si>
  <si>
    <r>
      <t xml:space="preserve">Retrospective availability of  HF staff (%) </t>
    </r>
    <r>
      <rPr>
        <b/>
        <sz val="12"/>
        <color theme="0"/>
        <rFont val="Verdana"/>
        <family val="2"/>
      </rPr>
      <t>(MAX 40%)</t>
    </r>
  </si>
  <si>
    <r>
      <t>Current availability of HF staff (%)</t>
    </r>
    <r>
      <rPr>
        <b/>
        <sz val="12"/>
        <color theme="0"/>
        <rFont val="Verdana"/>
        <family val="2"/>
      </rPr>
      <t>(MAX 60%)</t>
    </r>
  </si>
  <si>
    <t>Availability of HF staff (%) (Retrospective + Current)</t>
  </si>
  <si>
    <t>Facilities achieved MSS for staff (%)</t>
  </si>
  <si>
    <t>Percentage of health workers female (%)</t>
  </si>
  <si>
    <t>Facilities with at least on female health worker on day of the survey (%)</t>
  </si>
  <si>
    <t>Facilities with at least one female CHW per HP (%)</t>
  </si>
  <si>
    <t>Health workers interviewed</t>
  </si>
  <si>
    <t>In the past 3 months (%)</t>
  </si>
  <si>
    <t>&gt;3 months ago (%)</t>
  </si>
  <si>
    <t>Average satisfaction of health workers</t>
  </si>
  <si>
    <t>Overall Mean</t>
  </si>
  <si>
    <t>Minimum</t>
  </si>
  <si>
    <t>Maximum</t>
  </si>
  <si>
    <t>hf_n</t>
  </si>
  <si>
    <t>hw_n</t>
  </si>
  <si>
    <t>salary_m1</t>
  </si>
  <si>
    <t>salary_m2</t>
  </si>
  <si>
    <t>salary_m3</t>
  </si>
  <si>
    <t>salary_cash</t>
  </si>
  <si>
    <t>blank4</t>
  </si>
  <si>
    <t>province_name4</t>
  </si>
  <si>
    <t>SP4</t>
  </si>
  <si>
    <t>payroll_m1</t>
  </si>
  <si>
    <t>payroll_m2</t>
  </si>
  <si>
    <t>payroll_m3</t>
  </si>
  <si>
    <t>province_name1</t>
  </si>
  <si>
    <t>SP1</t>
  </si>
  <si>
    <t>hf_n1</t>
  </si>
  <si>
    <t>record_minstaff</t>
  </si>
  <si>
    <t>observation_minstaff</t>
  </si>
  <si>
    <t>score_minstaff</t>
  </si>
  <si>
    <t>staff_MSS</t>
  </si>
  <si>
    <t>fhw_p</t>
  </si>
  <si>
    <t>fhw_ta1</t>
  </si>
  <si>
    <t>fchw</t>
  </si>
  <si>
    <t>hf_n2</t>
  </si>
  <si>
    <t>gbv_n</t>
  </si>
  <si>
    <t>gbv_3m</t>
  </si>
  <si>
    <t>gbv_any</t>
  </si>
  <si>
    <t>gbv2_3m</t>
  </si>
  <si>
    <t>gbv2_any</t>
  </si>
  <si>
    <t>blank3</t>
  </si>
  <si>
    <t>province_name3</t>
  </si>
  <si>
    <t>SP3</t>
  </si>
  <si>
    <t>hf_n3</t>
  </si>
  <si>
    <t>hw_n3</t>
  </si>
  <si>
    <t>q3b_1</t>
  </si>
  <si>
    <t>q3b_2</t>
  </si>
  <si>
    <t>q3b_3</t>
  </si>
  <si>
    <t>q3b_4</t>
  </si>
  <si>
    <t>q3b_5</t>
  </si>
  <si>
    <t>q3b_6</t>
  </si>
  <si>
    <t>q3b_7</t>
  </si>
  <si>
    <t>overall_satisfaction</t>
  </si>
  <si>
    <t>Yes</t>
  </si>
  <si>
    <t>No</t>
  </si>
  <si>
    <t>Salary Payment based on health worker interviews
HER2 R4 - October to December 2024</t>
  </si>
  <si>
    <t>Health worker satisfaction 
HER2 R4 -  October to December 2024 (1= Strongly disagree, 4 = Strongly agree)</t>
  </si>
  <si>
    <r>
      <t xml:space="preserve">Retrospective availability of MSS staff (%) </t>
    </r>
    <r>
      <rPr>
        <b/>
        <sz val="12"/>
        <color theme="0"/>
        <rFont val="Verdana"/>
        <family val="2"/>
      </rPr>
      <t>(MAX 40%)</t>
    </r>
  </si>
  <si>
    <r>
      <t>Current availability of MSS staff (%)</t>
    </r>
    <r>
      <rPr>
        <b/>
        <sz val="12"/>
        <color theme="0"/>
        <rFont val="Verdana"/>
        <family val="2"/>
      </rPr>
      <t>(MAX 60%)</t>
    </r>
  </si>
  <si>
    <t>Availability of MSS staff (%) (Retrospective + Current)</t>
  </si>
  <si>
    <t>Facilities achieved MSS for staffing (%)</t>
  </si>
  <si>
    <t>factype1</t>
  </si>
  <si>
    <t>facid1</t>
  </si>
  <si>
    <t>factype3</t>
  </si>
  <si>
    <t>facid3</t>
  </si>
  <si>
    <t>SOP Health facility staff availability
HER2 R4 - October to December 2024</t>
  </si>
  <si>
    <t>Key staff availability
HER2 R4 - October to December 2024</t>
  </si>
  <si>
    <t>Availability of drugs and consumables in SHC, PH and RH - HER2 R4 -  October to December 2024
(At least 5 courses on the day of visit)</t>
  </si>
  <si>
    <t>Drug storage conditions in SHC, PH and RH
HER2 R4 -  October to December 2024</t>
  </si>
  <si>
    <t>Equipment availability in SHC, PH and RH
HER2 R4 - October to December 2024</t>
  </si>
  <si>
    <t>Availability of services other than P4P in SHC, PH and RH
HER2 R4 -  October to December 2024</t>
  </si>
  <si>
    <t>Hospital governance for PH and RH
HER2 R3 - October to December 2024</t>
  </si>
  <si>
    <t>Minimum standards of services staff for SHC, PH, DH</t>
  </si>
  <si>
    <t>Key staff</t>
  </si>
  <si>
    <t>Equipment for PH and RH only</t>
  </si>
  <si>
    <t>Equipment for SHC, PH and RH</t>
  </si>
  <si>
    <t>Other than P4P services for PH and RH only</t>
  </si>
  <si>
    <t>Other than P4P services for SHC, PH and RH</t>
  </si>
  <si>
    <t>Retrospective availability of HF  staff (%) (MAX 40%)</t>
  </si>
  <si>
    <t>Current availability of HF staff (%)(MAX 60%)</t>
  </si>
  <si>
    <r>
      <rPr>
        <b/>
        <sz val="12"/>
        <color rgb="FFFFFFFF"/>
        <rFont val="Verdana"/>
        <family val="2"/>
      </rPr>
      <t xml:space="preserve">Percentage of facilities that achieved </t>
    </r>
    <r>
      <rPr>
        <b/>
        <sz val="18"/>
        <color rgb="FFFFFFFF"/>
        <rFont val="Verdana"/>
        <family val="2"/>
      </rPr>
      <t xml:space="preserve">MSS </t>
    </r>
    <r>
      <rPr>
        <b/>
        <sz val="12"/>
        <color rgb="FFFFFFFF"/>
        <rFont val="Verdana"/>
        <family val="2"/>
      </rPr>
      <t xml:space="preserve">for HF staff (100% for SHC and DH or 95% for PH) </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</si>
  <si>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HF staff (yes/no)</t>
    </r>
  </si>
  <si>
    <t>Retrospective availability of keystaff (%)</t>
  </si>
  <si>
    <t>Provincial key staff available for at least 70% in past 3 months (%)</t>
  </si>
  <si>
    <r>
      <t xml:space="preserve">Province achieved </t>
    </r>
    <r>
      <rPr>
        <b/>
        <sz val="18"/>
        <color theme="0"/>
        <rFont val="Verdana"/>
        <family val="2"/>
      </rPr>
      <t xml:space="preserve">MSS </t>
    </r>
    <r>
      <rPr>
        <b/>
        <sz val="12"/>
        <color theme="0"/>
        <rFont val="Verdana"/>
        <family val="2"/>
      </rPr>
      <t>for key staff (yes/no)</t>
    </r>
  </si>
  <si>
    <t xml:space="preserve">Service Provider </t>
  </si>
  <si>
    <t>Drug score available during verification visit (MAX 20%)</t>
  </si>
  <si>
    <t>Dug score availability past 3 months (MAX 80%)</t>
  </si>
  <si>
    <t>Drug availability score (during visit and past 3 months) (%) (Current + Retrospective)</t>
  </si>
  <si>
    <r>
      <rPr>
        <b/>
        <sz val="18"/>
        <color rgb="FFFFFFFF"/>
        <rFont val="Verdana"/>
        <family val="2"/>
      </rPr>
      <t xml:space="preserve">MSS: </t>
    </r>
    <r>
      <rPr>
        <b/>
        <sz val="12"/>
        <color rgb="FFFFFFFF"/>
        <rFont val="Verdana"/>
        <family val="2"/>
      </rPr>
      <t>Percentage of facilities with a drug availability score &gt;90%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</si>
  <si>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drug availability (yes/no)</t>
    </r>
  </si>
  <si>
    <t>Consumables score available during verification visit (MAX 20%)</t>
  </si>
  <si>
    <t>Consumables score availability past 3 months (MAX 80%)</t>
  </si>
  <si>
    <t>Consumables availability score (during visit and past 3 months) (Current + Retrospective)</t>
  </si>
  <si>
    <t>Laboratory Tests (%)</t>
  </si>
  <si>
    <t>Equipment Emergency Dept. (%)</t>
  </si>
  <si>
    <t>Equipment Pediatrics (%)</t>
  </si>
  <si>
    <t>Equipment Internal (%)</t>
  </si>
  <si>
    <t>Equipment Surgery (%)</t>
  </si>
  <si>
    <t>Equipment Delivery (%)</t>
  </si>
  <si>
    <t>Equipment Theatre and Anesthesia (%)</t>
  </si>
  <si>
    <t>Equipment availablity score (%)</t>
  </si>
  <si>
    <r>
      <rPr>
        <b/>
        <sz val="18"/>
        <color rgb="FFFFFFFF"/>
        <rFont val="Verdana"/>
        <family val="2"/>
      </rPr>
      <t>MSS:</t>
    </r>
    <r>
      <rPr>
        <b/>
        <sz val="12"/>
        <color rgb="FFFFFFFF"/>
        <rFont val="Verdana"/>
        <family val="2"/>
      </rPr>
      <t xml:space="preserve"> Percentage of facilities with an equipment availability score &gt;95%</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</si>
  <si>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equipment availability (yes/no)</t>
    </r>
  </si>
  <si>
    <t>Mental health patient identification and referral (PHC)</t>
  </si>
  <si>
    <t>Mental health awareness (PHC)</t>
  </si>
  <si>
    <t>Disabilities information, education and communication (PHC)</t>
  </si>
  <si>
    <r>
      <rPr>
        <b/>
        <sz val="18"/>
        <color rgb="FFFFFFFF"/>
        <rFont val="Verdana"/>
        <family val="2"/>
      </rPr>
      <t>MSS: Percentage of f</t>
    </r>
    <r>
      <rPr>
        <b/>
        <sz val="14"/>
        <color rgb="FFFFFFFF"/>
        <rFont val="Verdana"/>
        <family val="2"/>
      </rPr>
      <t>acilities with Non-P4P availability score PHC:&gt;90%; PH/RH: 100%</t>
    </r>
  </si>
  <si>
    <r>
      <rPr>
        <b/>
        <sz val="12"/>
        <color rgb="FFFFFFFF"/>
        <rFont val="Verdana"/>
        <family val="2"/>
      </rPr>
      <t xml:space="preserve">Province achieved </t>
    </r>
    <r>
      <rPr>
        <b/>
        <sz val="18"/>
        <color rgb="FFFFFFFF"/>
        <rFont val="Verdana"/>
        <family val="2"/>
      </rPr>
      <t xml:space="preserve">MSS </t>
    </r>
    <r>
      <rPr>
        <b/>
        <sz val="12"/>
        <color rgb="FFFFFFFF"/>
        <rFont val="Verdana"/>
        <family val="2"/>
      </rPr>
      <t>for non-P4P availability (yes/no)</t>
    </r>
  </si>
  <si>
    <r>
      <rPr>
        <b/>
        <sz val="18"/>
        <color theme="0"/>
        <rFont val="Verdana"/>
        <family val="2"/>
      </rPr>
      <t>MSS:</t>
    </r>
    <r>
      <rPr>
        <b/>
        <sz val="14"/>
        <color theme="0"/>
        <rFont val="Verdana"/>
        <family val="2"/>
      </rPr>
      <t xml:space="preserve"> Governance score &gt;95% (yes/no)</t>
    </r>
  </si>
  <si>
    <t>hw_MSS_yn</t>
  </si>
  <si>
    <t>record_keystaff2</t>
  </si>
  <si>
    <t>record_keystaff3</t>
  </si>
  <si>
    <t>record_keystaff4</t>
  </si>
  <si>
    <t>drugs_current</t>
  </si>
  <si>
    <t>drugs_retro</t>
  </si>
  <si>
    <t>drugs_score</t>
  </si>
  <si>
    <t>drugs_MSS</t>
  </si>
  <si>
    <t>drugs_MSS_yn</t>
  </si>
  <si>
    <t>consum_current</t>
  </si>
  <si>
    <t>consum_retro</t>
  </si>
  <si>
    <t>consum_score</t>
  </si>
  <si>
    <t>sc_1</t>
  </si>
  <si>
    <t>sc_2</t>
  </si>
  <si>
    <t>sc_3</t>
  </si>
  <si>
    <t>sc_4</t>
  </si>
  <si>
    <t>sc_5</t>
  </si>
  <si>
    <t>sc_6</t>
  </si>
  <si>
    <t>sc_7</t>
  </si>
  <si>
    <t>sc_8</t>
  </si>
  <si>
    <t>sc_9</t>
  </si>
  <si>
    <t>sc_10</t>
  </si>
  <si>
    <t>sc_11</t>
  </si>
  <si>
    <t>sc_score</t>
  </si>
  <si>
    <t>hf_n4</t>
  </si>
  <si>
    <t>EQ_LAB</t>
  </si>
  <si>
    <t>EQ_ED</t>
  </si>
  <si>
    <t>EQ_PD</t>
  </si>
  <si>
    <t>EQ_INT</t>
  </si>
  <si>
    <t>EQ_SUR</t>
  </si>
  <si>
    <t>EQ_DEL</t>
  </si>
  <si>
    <t>EQ_AN</t>
  </si>
  <si>
    <t>EQ_OPD</t>
  </si>
  <si>
    <t>EQ_tot</t>
  </si>
  <si>
    <t>EQ_MSS</t>
  </si>
  <si>
    <t>EQ_MSS_yn</t>
  </si>
  <si>
    <t>blank5</t>
  </si>
  <si>
    <t>province_name5</t>
  </si>
  <si>
    <t>SP5</t>
  </si>
  <si>
    <t>hf_n5</t>
  </si>
  <si>
    <t>P4P_ph_1</t>
  </si>
  <si>
    <t>P4P_ph_2</t>
  </si>
  <si>
    <t>P4P_ph_3</t>
  </si>
  <si>
    <t>P4P_ph_4</t>
  </si>
  <si>
    <t>P4P_ph_5</t>
  </si>
  <si>
    <t>P4P_ph_6</t>
  </si>
  <si>
    <t>P4P_ph_7</t>
  </si>
  <si>
    <t>P4P_ph_8</t>
  </si>
  <si>
    <t>P4P_ph_9</t>
  </si>
  <si>
    <t>P4P_ph_10</t>
  </si>
  <si>
    <t>blank11</t>
  </si>
  <si>
    <t>blank12</t>
  </si>
  <si>
    <t>P4P_phc_13</t>
  </si>
  <si>
    <t>P4P_phc_14</t>
  </si>
  <si>
    <t>P4P_phc_15</t>
  </si>
  <si>
    <t>P4P</t>
  </si>
  <si>
    <t>P4P_MSS</t>
  </si>
  <si>
    <t>P4P_MSS_yn</t>
  </si>
  <si>
    <t>blank6</t>
  </si>
  <si>
    <t>province_name6</t>
  </si>
  <si>
    <t>SP6</t>
  </si>
  <si>
    <t>hf_n6</t>
  </si>
  <si>
    <t>n_meetings_planned</t>
  </si>
  <si>
    <t>percentage_conducted</t>
  </si>
  <si>
    <t>percentage_minutes</t>
  </si>
  <si>
    <t>percentage_present</t>
  </si>
  <si>
    <t>percentage_engage</t>
  </si>
  <si>
    <t>gov_score</t>
  </si>
  <si>
    <t>gov_score_MSS</t>
  </si>
  <si>
    <t>Health worker availability
HER2 R4 - October to December 2024</t>
  </si>
  <si>
    <t>Availability of drugs and consumables in SHC, PH and RH - HER2 R4 - October to December 2024
(At least 5 courses on the day of visit)</t>
  </si>
  <si>
    <t>Drug storage conditions in SHC, PH and RH
HER2 R4 - October to December 2024</t>
  </si>
  <si>
    <t>Equipment availability in SHC, PH and RH 
HER2 R4 - October to December 2024</t>
  </si>
  <si>
    <t>Availability of services other than P4P in SHC, PH and RH
HER2 R4 - October to December 2024</t>
  </si>
  <si>
    <t>Hospital governance for PH and RH
HER2 R4 - October to December 2024</t>
  </si>
  <si>
    <t>Minimum standards of services staff for SHC, PH, RH</t>
  </si>
  <si>
    <t>Retrospective availability of MSS staff (%) (MAX 40%)</t>
  </si>
  <si>
    <t>Current availability of MSS staff (%)(MAX 60%)</t>
  </si>
  <si>
    <r>
      <t xml:space="preserve">Facilities achieved </t>
    </r>
    <r>
      <rPr>
        <b/>
        <sz val="18"/>
        <color theme="0"/>
        <rFont val="Verdana"/>
        <family val="2"/>
      </rPr>
      <t xml:space="preserve">MSS </t>
    </r>
    <r>
      <rPr>
        <b/>
        <sz val="12"/>
        <color theme="0"/>
        <rFont val="Verdana"/>
        <family val="2"/>
      </rPr>
      <t>for staffing (%)</t>
    </r>
  </si>
  <si>
    <t xml:space="preserve">Service Provider 
</t>
  </si>
  <si>
    <t>Facility Type</t>
  </si>
  <si>
    <r>
      <rPr>
        <b/>
        <sz val="18"/>
        <color theme="0"/>
        <rFont val="Verdana"/>
        <family val="2"/>
      </rPr>
      <t>MSS:</t>
    </r>
    <r>
      <rPr>
        <sz val="12"/>
        <color theme="0"/>
        <rFont val="Verdana"/>
        <family val="2"/>
      </rPr>
      <t xml:space="preserve"> Facilities with a drug availability score &gt;90% (%)</t>
    </r>
  </si>
  <si>
    <r>
      <rPr>
        <b/>
        <sz val="18"/>
        <color theme="0"/>
        <rFont val="Verdana"/>
        <family val="2"/>
      </rPr>
      <t>MSS:</t>
    </r>
    <r>
      <rPr>
        <b/>
        <sz val="12"/>
        <color theme="0"/>
        <rFont val="Verdana"/>
        <family val="2"/>
      </rPr>
      <t xml:space="preserve"> Facilities with an equipment availability score &gt;95% (%)</t>
    </r>
  </si>
  <si>
    <r>
      <rPr>
        <b/>
        <sz val="18"/>
        <color theme="0"/>
        <rFont val="Verdana"/>
        <family val="2"/>
      </rPr>
      <t>MSS:</t>
    </r>
    <r>
      <rPr>
        <b/>
        <sz val="12"/>
        <color theme="0"/>
        <rFont val="Verdana"/>
        <family val="2"/>
      </rPr>
      <t xml:space="preserve"> Facility with Non-P4P availability score PHC:&gt;90%; PH/RH: 100% (%)</t>
    </r>
  </si>
  <si>
    <t>Hospital Type</t>
  </si>
  <si>
    <r>
      <rPr>
        <b/>
        <sz val="18"/>
        <color theme="0"/>
        <rFont val="Verdana"/>
        <family val="2"/>
      </rPr>
      <t>MSS</t>
    </r>
    <r>
      <rPr>
        <b/>
        <sz val="12"/>
        <color theme="0"/>
        <rFont val="Verdana"/>
        <family val="2"/>
      </rPr>
      <t>: Governance score &gt;95% (%)</t>
    </r>
  </si>
  <si>
    <t>factype5</t>
  </si>
  <si>
    <t>facid5</t>
  </si>
  <si>
    <t>factype4</t>
  </si>
  <si>
    <t>facid4</t>
  </si>
  <si>
    <t>Structural quality by domain</t>
  </si>
  <si>
    <t>Outcome quality by respondent type</t>
  </si>
  <si>
    <t>Content quality by section type</t>
  </si>
  <si>
    <t>Structural quality past two rounds by province (labels is difference between rounds)</t>
  </si>
  <si>
    <t>Outcome quality past two rounds by province (labels is difference between rounds)</t>
  </si>
  <si>
    <t>Content quality by type of vignette</t>
  </si>
  <si>
    <t>SQ*</t>
  </si>
  <si>
    <t>OQ*</t>
  </si>
  <si>
    <t>CQ*</t>
  </si>
  <si>
    <t>Content quality past two rounds by province (labels is difference between rounds)</t>
  </si>
  <si>
    <t>adb</t>
  </si>
  <si>
    <t>gm_1_score</t>
  </si>
  <si>
    <t>gm_2_score</t>
  </si>
  <si>
    <t>gm_3_score</t>
  </si>
  <si>
    <t>gm_4_score</t>
  </si>
  <si>
    <t>gm_5_score</t>
  </si>
  <si>
    <t>gm_6_score</t>
  </si>
  <si>
    <t>gm_7_score</t>
  </si>
  <si>
    <t>gm_8_score</t>
  </si>
  <si>
    <t>gm_9_score</t>
  </si>
  <si>
    <t>hy_1_score</t>
  </si>
  <si>
    <t>hy_2_score</t>
  </si>
  <si>
    <t>hy_3_score</t>
  </si>
  <si>
    <t>hy_4_score</t>
  </si>
  <si>
    <t>hy_5_score</t>
  </si>
  <si>
    <t>hy_6_score</t>
  </si>
  <si>
    <t>hy_7_score</t>
  </si>
  <si>
    <t>hy_8_score</t>
  </si>
  <si>
    <t>hy_9_score</t>
  </si>
  <si>
    <t>hy_10_score</t>
  </si>
  <si>
    <t>opd_1_score</t>
  </si>
  <si>
    <t>opd_2_score</t>
  </si>
  <si>
    <t>opd_3_score</t>
  </si>
  <si>
    <t>opd_4_score</t>
  </si>
  <si>
    <t>opd_5_score</t>
  </si>
  <si>
    <t>opd_6_score</t>
  </si>
  <si>
    <t>opd_7_score</t>
  </si>
  <si>
    <t>opd_8_score</t>
  </si>
  <si>
    <t>opd_9_score</t>
  </si>
  <si>
    <t>opd_10_score</t>
  </si>
  <si>
    <t>opd_11_score</t>
  </si>
  <si>
    <t>opd_12_score</t>
  </si>
  <si>
    <t>opd_13_score</t>
  </si>
  <si>
    <t>opd_14_score</t>
  </si>
  <si>
    <t>opd_15_score</t>
  </si>
  <si>
    <t>opd_16_score</t>
  </si>
  <si>
    <t>opd_17_score</t>
  </si>
  <si>
    <t>opd_18_score</t>
  </si>
  <si>
    <t>opd_19_score</t>
  </si>
  <si>
    <t>opd_20_score</t>
  </si>
  <si>
    <t>opd_21_score</t>
  </si>
  <si>
    <t>opd_22_score</t>
  </si>
  <si>
    <t>opd_23_score</t>
  </si>
  <si>
    <t>opd_24_score</t>
  </si>
  <si>
    <t>fp_1_score</t>
  </si>
  <si>
    <t>fp_2_score</t>
  </si>
  <si>
    <t>fp_3_score</t>
  </si>
  <si>
    <t>fp_4_score</t>
  </si>
  <si>
    <t>fp_5_score</t>
  </si>
  <si>
    <t>fp_6_score</t>
  </si>
  <si>
    <t>fp_7_score</t>
  </si>
  <si>
    <t>lab_1_score</t>
  </si>
  <si>
    <t>lab_2_score</t>
  </si>
  <si>
    <t>lab_3_score</t>
  </si>
  <si>
    <t>lab_4_score</t>
  </si>
  <si>
    <t>lab_5_score</t>
  </si>
  <si>
    <t>lab_6_score</t>
  </si>
  <si>
    <t>lab_8_score</t>
  </si>
  <si>
    <t>lab_9_score</t>
  </si>
  <si>
    <t>lab_10_score</t>
  </si>
  <si>
    <t>lab_11_score</t>
  </si>
  <si>
    <t>edm_1_score</t>
  </si>
  <si>
    <t>edm_2_score</t>
  </si>
  <si>
    <t>edm_3_score</t>
  </si>
  <si>
    <t>edm_4_score</t>
  </si>
  <si>
    <t>edm_5_score</t>
  </si>
  <si>
    <t>edm_6_score</t>
  </si>
  <si>
    <t>rx_mac_score</t>
  </si>
  <si>
    <t>rx_meds_score</t>
  </si>
  <si>
    <t>mat_1_score</t>
  </si>
  <si>
    <t>mat_2_score</t>
  </si>
  <si>
    <t>mat_3_score</t>
  </si>
  <si>
    <t>mat_4_score</t>
  </si>
  <si>
    <t>mat_5_score</t>
  </si>
  <si>
    <t>mat_6_score</t>
  </si>
  <si>
    <t>mat_7_score</t>
  </si>
  <si>
    <t>mat_8_score</t>
  </si>
  <si>
    <t>mat_9_score</t>
  </si>
  <si>
    <t>mat_10_score</t>
  </si>
  <si>
    <t>mat_11_score</t>
  </si>
  <si>
    <t>epi_1_score</t>
  </si>
  <si>
    <t>epi_2_score</t>
  </si>
  <si>
    <t>epi_3_score</t>
  </si>
  <si>
    <t>epi_4_score</t>
  </si>
  <si>
    <t>epi_5_score</t>
  </si>
  <si>
    <t>epi_6_score</t>
  </si>
  <si>
    <t>epi_7_score</t>
  </si>
  <si>
    <t>epi_8_score</t>
  </si>
  <si>
    <t>epi_9_score</t>
  </si>
  <si>
    <t>epi_10_score</t>
  </si>
  <si>
    <t>epi_11_score</t>
  </si>
  <si>
    <t>epi_12_score</t>
  </si>
  <si>
    <t>epi_15_score</t>
  </si>
  <si>
    <t>anc_1_score</t>
  </si>
  <si>
    <t>anc_2_score</t>
  </si>
  <si>
    <t>anc_3_score</t>
  </si>
  <si>
    <t>anc_4_score</t>
  </si>
  <si>
    <t>anc_5_score</t>
  </si>
  <si>
    <t>anc_6_score</t>
  </si>
  <si>
    <t>anc_7_score</t>
  </si>
  <si>
    <t>anc_8_score</t>
  </si>
  <si>
    <t>bhc</t>
  </si>
  <si>
    <t>chc</t>
  </si>
  <si>
    <t>dh</t>
  </si>
  <si>
    <t>Non-ADB</t>
  </si>
  <si>
    <t>ADB</t>
  </si>
  <si>
    <t>Structural quality by domain for ADB versus non ADB provinces</t>
  </si>
  <si>
    <t>Non ADB</t>
  </si>
  <si>
    <t>Outcome quality for ADB provinces</t>
  </si>
  <si>
    <t>Outcome quality for ADB and non-ADB provicnes</t>
  </si>
  <si>
    <t>FP</t>
  </si>
  <si>
    <t>u5_result2</t>
  </si>
  <si>
    <t>*Note that the national average is only based on 26 provinces</t>
  </si>
  <si>
    <t>Content of care by vignette type ADB vs Non-ADB</t>
  </si>
  <si>
    <t>Content of care by section for ADB vs non-ADB</t>
  </si>
  <si>
    <t>Content of care by province ADB</t>
  </si>
  <si>
    <t>vignette_type</t>
  </si>
  <si>
    <t>vignette_h</t>
  </si>
  <si>
    <t>vignette_h_den</t>
  </si>
  <si>
    <t>vignette_p</t>
  </si>
  <si>
    <t>vignette_p_den</t>
  </si>
  <si>
    <t>vignette_d</t>
  </si>
  <si>
    <t>vignette_d_den</t>
  </si>
  <si>
    <t>vignette_t</t>
  </si>
  <si>
    <t>vignette_t_den</t>
  </si>
  <si>
    <t>vignette_e</t>
  </si>
  <si>
    <t>vignette_e_den</t>
  </si>
  <si>
    <t>vignette_ttl</t>
  </si>
  <si>
    <t>vignette_den</t>
  </si>
  <si>
    <t>GMP</t>
  </si>
  <si>
    <t>TB</t>
  </si>
  <si>
    <t>History</t>
  </si>
  <si>
    <t>Physical/Lab</t>
  </si>
  <si>
    <t>Diagnosis/Classification</t>
  </si>
  <si>
    <t>Explanation and advice</t>
  </si>
  <si>
    <t>ANC1</t>
  </si>
  <si>
    <t>DMPA</t>
  </si>
  <si>
    <t>GMP (Well child visit)</t>
  </si>
  <si>
    <t>Tuberculosis</t>
  </si>
  <si>
    <t>Antenatal Care</t>
  </si>
  <si>
    <t>FP Counseling</t>
  </si>
  <si>
    <t>DMPA Counseling</t>
  </si>
  <si>
    <t>Postpartum Hemorrhage</t>
  </si>
  <si>
    <t>HER2 QQM - Structural Indicators</t>
  </si>
  <si>
    <t>%-difference</t>
  </si>
  <si>
    <t>significance level</t>
  </si>
  <si>
    <t>HER2 QQM - Content of care</t>
  </si>
  <si>
    <t>HER2 QQM - Outcome Quality</t>
  </si>
  <si>
    <t>Score (%)</t>
  </si>
  <si>
    <t>CI</t>
  </si>
  <si>
    <t>indicator</t>
  </si>
  <si>
    <t>score_ADB</t>
  </si>
  <si>
    <t>CI_ADB</t>
  </si>
  <si>
    <t>CI_nonADB</t>
  </si>
  <si>
    <t>per_diff</t>
  </si>
  <si>
    <t>vignette</t>
  </si>
  <si>
    <t>exit</t>
  </si>
  <si>
    <t>score_nonADB</t>
  </si>
  <si>
    <t>sign</t>
  </si>
  <si>
    <t>gm</t>
  </si>
  <si>
    <t>*</t>
  </si>
  <si>
    <t>ttl_total</t>
  </si>
  <si>
    <t>[39% - 48%]</t>
  </si>
  <si>
    <t>[49% - 54%]</t>
  </si>
  <si>
    <t>**</t>
  </si>
  <si>
    <t>[52% - 58%]</t>
  </si>
  <si>
    <t>[57% - 60%]</t>
  </si>
  <si>
    <t/>
  </si>
  <si>
    <t>[14% - 39.5%]</t>
  </si>
  <si>
    <t>***</t>
  </si>
  <si>
    <t>ttl_history</t>
  </si>
  <si>
    <t>[47% - 56%]</t>
  </si>
  <si>
    <t>[57% - 62%]</t>
  </si>
  <si>
    <t>[41% - 49%]</t>
  </si>
  <si>
    <t>[47% - 50%]</t>
  </si>
  <si>
    <t>ttl_physical</t>
  </si>
  <si>
    <t>[65.1% - 90.7%]</t>
  </si>
  <si>
    <t>ttl_diagnosis</t>
  </si>
  <si>
    <t>[51% - 62%]</t>
  </si>
  <si>
    <t>[61% - 68%]</t>
  </si>
  <si>
    <t>[66% - 75%]</t>
  </si>
  <si>
    <t>[74% - 80%]</t>
  </si>
  <si>
    <t>ttl_treatment</t>
  </si>
  <si>
    <t>[25% - 37%]</t>
  </si>
  <si>
    <t>[36% - 42%]</t>
  </si>
  <si>
    <t>[62% - 71%]</t>
  </si>
  <si>
    <t>[67% - 71%]</t>
  </si>
  <si>
    <t>[83.7% - 100%]</t>
  </si>
  <si>
    <t>[97.7% - 100%]</t>
  </si>
  <si>
    <t>ttl_explanation</t>
  </si>
  <si>
    <t>[27% - 36%]</t>
  </si>
  <si>
    <t>[36% - 41%]</t>
  </si>
  <si>
    <t>[58% - 67%]</t>
  </si>
  <si>
    <t>[58% - 62%]</t>
  </si>
  <si>
    <t>[19.4% - 34.9%]</t>
  </si>
  <si>
    <t>v1_ttl</t>
  </si>
  <si>
    <t>[39% - 54%]</t>
  </si>
  <si>
    <t>[52% - 61%]</t>
  </si>
  <si>
    <t>No star = not significant
* = p-value &lt;0.05
**  = p-value &lt;0.01
*** = p-value &lt;0.001</t>
  </si>
  <si>
    <t>[85.3% - 95.3%]</t>
  </si>
  <si>
    <t>v1_h</t>
  </si>
  <si>
    <t>[51% - 69%]</t>
  </si>
  <si>
    <t>[66% - 76%]</t>
  </si>
  <si>
    <t>v1_p</t>
  </si>
  <si>
    <t>[59% - 67%]</t>
  </si>
  <si>
    <t>[67.4% - 90.7%]</t>
  </si>
  <si>
    <t>[76% - 88.4%]</t>
  </si>
  <si>
    <t>v1_d</t>
  </si>
  <si>
    <t>[56% - 78%]</t>
  </si>
  <si>
    <t>[68% - 80%]</t>
  </si>
  <si>
    <t>hy</t>
  </si>
  <si>
    <t>v1_t</t>
  </si>
  <si>
    <t>[19% - 41%]</t>
  </si>
  <si>
    <t>[32% - 45%]</t>
  </si>
  <si>
    <t>[72.1% - 86%]</t>
  </si>
  <si>
    <t>v1_e</t>
  </si>
  <si>
    <t>[19% - 38%]</t>
  </si>
  <si>
    <t>[31% - 41%]</t>
  </si>
  <si>
    <t>[86% - 100%]</t>
  </si>
  <si>
    <t>v2_ttl</t>
  </si>
  <si>
    <t>[36% - 51%]</t>
  </si>
  <si>
    <t>[48% - 56%]</t>
  </si>
  <si>
    <t>v2_h</t>
  </si>
  <si>
    <t>[47% - 63%]</t>
  </si>
  <si>
    <t>[62% - 70%]</t>
  </si>
  <si>
    <t>v2_p</t>
  </si>
  <si>
    <t>[38% - 56%]</t>
  </si>
  <si>
    <t>[51% - 61%]</t>
  </si>
  <si>
    <t>v2_d</t>
  </si>
  <si>
    <t>[43% - 68%]</t>
  </si>
  <si>
    <t>[65% - 77%]</t>
  </si>
  <si>
    <t>[100% - 100%]</t>
  </si>
  <si>
    <t>v2_t</t>
  </si>
  <si>
    <t>[21% - 42%]</t>
  </si>
  <si>
    <t>[34% - 46%]</t>
  </si>
  <si>
    <t>[44.2% - 72.1%]</t>
  </si>
  <si>
    <t>[56.6% - 72.9%]</t>
  </si>
  <si>
    <t>v2_e</t>
  </si>
  <si>
    <t>[22% - 37%]</t>
  </si>
  <si>
    <t>[29% - 38%]</t>
  </si>
  <si>
    <t>[23.3% - 51.2%]</t>
  </si>
  <si>
    <t>[41.9% - 58.9%]</t>
  </si>
  <si>
    <t>v3_ttl</t>
  </si>
  <si>
    <t>[32% - 47%]</t>
  </si>
  <si>
    <t>[46% - 55%]</t>
  </si>
  <si>
    <t>[34.9% - 62.8%]</t>
  </si>
  <si>
    <t>v3_h</t>
  </si>
  <si>
    <t>[35% - 51%]</t>
  </si>
  <si>
    <t>[53% - 63%]</t>
  </si>
  <si>
    <t>[27.9% - 58.1%]</t>
  </si>
  <si>
    <t>v3_p</t>
  </si>
  <si>
    <t>[35% - 54%]</t>
  </si>
  <si>
    <t>[45% - 57%]</t>
  </si>
  <si>
    <t>opd</t>
  </si>
  <si>
    <t>v3_d</t>
  </si>
  <si>
    <t>[29% - 60%]</t>
  </si>
  <si>
    <t>[47% - 65%]</t>
  </si>
  <si>
    <t>v3_e</t>
  </si>
  <si>
    <t>[24% - 36%]</t>
  </si>
  <si>
    <t>[37% - 47%]</t>
  </si>
  <si>
    <t>v4_ttl</t>
  </si>
  <si>
    <t>[49% - 65%]</t>
  </si>
  <si>
    <t>v4_h</t>
  </si>
  <si>
    <t>[59% - 77%]</t>
  </si>
  <si>
    <t>[76% - 86%]</t>
  </si>
  <si>
    <t>v4_p</t>
  </si>
  <si>
    <t>[20% - 47%]</t>
  </si>
  <si>
    <t>[37% - 54%]</t>
  </si>
  <si>
    <t>[81.4% - 97.7%]</t>
  </si>
  <si>
    <t>v4_d</t>
  </si>
  <si>
    <t>[58% - 88%]</t>
  </si>
  <si>
    <t>[70% - 88%]</t>
  </si>
  <si>
    <t>[34.9% - 65.1%]</t>
  </si>
  <si>
    <t>[62.8% - 78.3%]</t>
  </si>
  <si>
    <t>v4_e</t>
  </si>
  <si>
    <t>[31% - 56%]</t>
  </si>
  <si>
    <t>[38% - 52%]</t>
  </si>
  <si>
    <t>[48.1% - 50%]</t>
  </si>
  <si>
    <t>v5_ttl</t>
  </si>
  <si>
    <t>[42% - 63%]</t>
  </si>
  <si>
    <t>[49% - 57%]</t>
  </si>
  <si>
    <t>[80.6% - 92.2%]</t>
  </si>
  <si>
    <t>v5_h</t>
  </si>
  <si>
    <t>[50% - 70%]</t>
  </si>
  <si>
    <t>[52% - 62%]</t>
  </si>
  <si>
    <t>v5_p</t>
  </si>
  <si>
    <t>[53% - 76%]</t>
  </si>
  <si>
    <t>[60% - 71%]</t>
  </si>
  <si>
    <t>[30.2% - 58.1%]</t>
  </si>
  <si>
    <t>v5_d</t>
  </si>
  <si>
    <t>[52% - 80%]</t>
  </si>
  <si>
    <t>[61% - 75%]</t>
  </si>
  <si>
    <t>[38.8% - 56.6%]</t>
  </si>
  <si>
    <t>v5_t</t>
  </si>
  <si>
    <t>[29% - 56%]</t>
  </si>
  <si>
    <t>[43% - 52%]</t>
  </si>
  <si>
    <t>[16.3% - 44.2%]</t>
  </si>
  <si>
    <t>v5_e</t>
  </si>
  <si>
    <t>[14% - 41%]</t>
  </si>
  <si>
    <t>[23% - 35%]</t>
  </si>
  <si>
    <t>[53.5% - 81.4%]</t>
  </si>
  <si>
    <t>v6_ttl</t>
  </si>
  <si>
    <t>[29% - 46%]</t>
  </si>
  <si>
    <t>[41% - 51%]</t>
  </si>
  <si>
    <t>v6_h</t>
  </si>
  <si>
    <t>[27% - 47%]</t>
  </si>
  <si>
    <t>[40% - 51%]</t>
  </si>
  <si>
    <t>v6_p</t>
  </si>
  <si>
    <t>[25% - 43%]</t>
  </si>
  <si>
    <t>[36% - 47%]</t>
  </si>
  <si>
    <t>v6_d</t>
  </si>
  <si>
    <t>[38% - 65%]</t>
  </si>
  <si>
    <t>[46% - 62%]</t>
  </si>
  <si>
    <t>[69.8% - 83.7%]</t>
  </si>
  <si>
    <t>v6_t</t>
  </si>
  <si>
    <t>[23% - 40%]</t>
  </si>
  <si>
    <t>[38% - 49%]</t>
  </si>
  <si>
    <t>[93% - 100%]</t>
  </si>
  <si>
    <t>v6_e</t>
  </si>
  <si>
    <t>[21% - 45%]</t>
  </si>
  <si>
    <t>[37% - 52%]</t>
  </si>
  <si>
    <t>[96.1% - 100%]</t>
  </si>
  <si>
    <t>v7_ttl</t>
  </si>
  <si>
    <t>[21% - 36%]</t>
  </si>
  <si>
    <t>[38% - 47%]</t>
  </si>
  <si>
    <t>[91.5% - 98.4%]</t>
  </si>
  <si>
    <t>v7_h</t>
  </si>
  <si>
    <t>[20% - 38%]</t>
  </si>
  <si>
    <t>[42% - 53%]</t>
  </si>
  <si>
    <t>[82.9% - 93.8%]</t>
  </si>
  <si>
    <t>v7_p</t>
  </si>
  <si>
    <t>[40% - 62%]</t>
  </si>
  <si>
    <t>[48% - 60%]</t>
  </si>
  <si>
    <t>[55.8% - 83.7%]</t>
  </si>
  <si>
    <t>[75.2% - 88.4%]</t>
  </si>
  <si>
    <t>v7_t</t>
  </si>
  <si>
    <t>[2% - 11%]</t>
  </si>
  <si>
    <t>[11% - 20%]</t>
  </si>
  <si>
    <t>v7_e</t>
  </si>
  <si>
    <t>[12% - 23%]</t>
  </si>
  <si>
    <t>[24% - 35%]</t>
  </si>
  <si>
    <t>v8_ttl</t>
  </si>
  <si>
    <t>[31% - 45%]</t>
  </si>
  <si>
    <t>[42% - 55%]</t>
  </si>
  <si>
    <t>v8_h</t>
  </si>
  <si>
    <t>[44% - 57%]</t>
  </si>
  <si>
    <t>[50% - 62%]</t>
  </si>
  <si>
    <t>v8_p</t>
  </si>
  <si>
    <t>[23% - 39%]</t>
  </si>
  <si>
    <t>[36% - 50%]</t>
  </si>
  <si>
    <t>[51.2% - 79.1%]</t>
  </si>
  <si>
    <t>v8_d</t>
  </si>
  <si>
    <t>[35% - 61%]</t>
  </si>
  <si>
    <t>[49% - 67%]</t>
  </si>
  <si>
    <t>[48.8% - 76.7%]</t>
  </si>
  <si>
    <t>v8_e</t>
  </si>
  <si>
    <t>[22% - 39%]</t>
  </si>
  <si>
    <t>[38% - 53%]</t>
  </si>
  <si>
    <t>[32.6% - 60.5%]</t>
  </si>
  <si>
    <t>[27.9% - 45%]</t>
  </si>
  <si>
    <t>v9_ttl</t>
  </si>
  <si>
    <t>[41% - 56%]</t>
  </si>
  <si>
    <t>[42% - 52%]</t>
  </si>
  <si>
    <t>v9_h</t>
  </si>
  <si>
    <t>[44% - 60%]</t>
  </si>
  <si>
    <t>[18.6% - 46.5%]</t>
  </si>
  <si>
    <t>v9_p</t>
  </si>
  <si>
    <t>[23% - 41%]</t>
  </si>
  <si>
    <t>[36% - 48%]</t>
  </si>
  <si>
    <t>[63.6% - 79.1%]</t>
  </si>
  <si>
    <t>v9_d</t>
  </si>
  <si>
    <t>[52% - 82%]</t>
  </si>
  <si>
    <t>[57% - 74%]</t>
  </si>
  <si>
    <t>lab</t>
  </si>
  <si>
    <t>v9_e</t>
  </si>
  <si>
    <t>[45% - 64%]</t>
  </si>
  <si>
    <t>[39% - 50%]</t>
  </si>
  <si>
    <t>[95.7% - 100%]</t>
  </si>
  <si>
    <t>v10_ttl</t>
  </si>
  <si>
    <t>[43% - 65%]</t>
  </si>
  <si>
    <t>v10_h</t>
  </si>
  <si>
    <t>[45% - 73%]</t>
  </si>
  <si>
    <t>[47% - 62%]</t>
  </si>
  <si>
    <t>v10_p</t>
  </si>
  <si>
    <t>[52% - 76%]</t>
  </si>
  <si>
    <t>[43% - 58%]</t>
  </si>
  <si>
    <t>v10_d</t>
  </si>
  <si>
    <t>[42% - 81%]</t>
  </si>
  <si>
    <t>[49% - 72%]</t>
  </si>
  <si>
    <t>v10_t</t>
  </si>
  <si>
    <t>[46% - 69%]</t>
  </si>
  <si>
    <t>[39% - 55%]</t>
  </si>
  <si>
    <t>[73.9% - 100%]</t>
  </si>
  <si>
    <t>v10_e</t>
  </si>
  <si>
    <t>[11% - 40%]</t>
  </si>
  <si>
    <t>[21% - 38%]</t>
  </si>
  <si>
    <t>[78.9% - 100%]</t>
  </si>
  <si>
    <t>[86.4% - 100%]</t>
  </si>
  <si>
    <t>edm</t>
  </si>
  <si>
    <t>[2.3% - 18.6%]</t>
  </si>
  <si>
    <t>[8.5% - 20.2%]</t>
  </si>
  <si>
    <t>[62.8% - 88.4%]</t>
  </si>
  <si>
    <t>rx</t>
  </si>
  <si>
    <t>rx_mac</t>
  </si>
  <si>
    <t>rx_meds</t>
  </si>
  <si>
    <t>mat</t>
  </si>
  <si>
    <t>[72.1% - 93%]</t>
  </si>
  <si>
    <t>Maternity</t>
  </si>
  <si>
    <t>[88.4% - 100%]</t>
  </si>
  <si>
    <t>[77.5% - 89.9%]</t>
  </si>
  <si>
    <t>[9.3% - 34.9%]</t>
  </si>
  <si>
    <t>epi</t>
  </si>
  <si>
    <t>[72.9% - 86.8%]</t>
  </si>
  <si>
    <t>[89.1% - 97.7%]</t>
  </si>
  <si>
    <t>[92.2% - 99.2%]</t>
  </si>
  <si>
    <t>[74.4% - 95.3%]</t>
  </si>
  <si>
    <t>[82.2% - 93%]</t>
  </si>
  <si>
    <t>[14% - 41.9%]</t>
  </si>
  <si>
    <t>[69.8% - 93%]</t>
  </si>
  <si>
    <t>Antenatal care</t>
  </si>
  <si>
    <t>[86.8% - 96.1%]</t>
  </si>
  <si>
    <t>anc</t>
  </si>
  <si>
    <t>[58.9% - 75.2%]</t>
  </si>
  <si>
    <t>[25.6% - 53.5%]</t>
  </si>
  <si>
    <t>[76% - 89.1%]</t>
  </si>
  <si>
    <t>[81.4% - 93%]</t>
  </si>
  <si>
    <t>qqm_si</t>
  </si>
  <si>
    <t xml:space="preserve">Note that changes to this sheet may still occur. </t>
  </si>
  <si>
    <t>Concept</t>
  </si>
  <si>
    <t>Example</t>
  </si>
  <si>
    <t>Explanation</t>
  </si>
  <si>
    <t>Interpretation</t>
  </si>
  <si>
    <t>Confidence interval</t>
  </si>
  <si>
    <t>The quality of care score was 58% for ADB provinces, with a confidence interval between 52% to 68%.</t>
  </si>
  <si>
    <t>Even though the quality of care for ADB provinces was calculated to be 58%, the true score can be different due to factors like sampling methods. The confidence interval indicates the range between which the true quality of care score most likely lies.</t>
  </si>
  <si>
    <t>The quality of care score for ADB provinces most likely lies between 52% and 68%. Meaning it could be as low as 52% and as high as 68%.</t>
  </si>
  <si>
    <t>Significance level (***)</t>
  </si>
  <si>
    <t>The quality of care score for ADB provinces is 58% and for non-ADB provinces it is 71%. The difference in scores is highly significant (***).</t>
  </si>
  <si>
    <t xml:space="preserve">The difference in observed scores between ADB and non-ADB provinces is significant (confidence level 99.9%). This means that we can be 99.9% sure that the observed difference of 13% is not caused by random chance. </t>
  </si>
  <si>
    <t>Non-ADB provinces have a higher quality of care score than ADB provinces.</t>
  </si>
  <si>
    <t>Significance level (**)</t>
  </si>
  <si>
    <t>The quality of care score for ADB provinces is 58% and for non-ADB provinces it is 65%. The difference in scores is moderately significant (**).</t>
  </si>
  <si>
    <t xml:space="preserve">The difference in observed scores ADB and non-ADB provinces is significant  (confidence level 99%). This means that we can be 99% sure that the observed difference of 7% is not caused by random chance. </t>
  </si>
  <si>
    <t>Significance level (*)</t>
  </si>
  <si>
    <t>The quality of care score for ADB provinces is 58% and for non-ADB provinces it is 63%. The difference in scores is significantly different (*).</t>
  </si>
  <si>
    <t xml:space="preserve">The difference in observed scores ADB and non-ADB provinces is significant  (confidence level 95%). This means that we can be 95% sure that the observed difference of 5% is not caused by random chance. </t>
  </si>
  <si>
    <t>Non-ADB provinces have a higher quality of care score score than ADB provinces.</t>
  </si>
  <si>
    <t>No significant difference (no star)</t>
  </si>
  <si>
    <r>
      <t xml:space="preserve">The quality of care score for ADB provinces is 58% and for non-ADB provinces it is 63%. The difference in scores was </t>
    </r>
    <r>
      <rPr>
        <u/>
        <sz val="11"/>
        <color theme="1"/>
        <rFont val="Calibri"/>
        <family val="2"/>
        <scheme val="minor"/>
      </rPr>
      <t>not</t>
    </r>
    <r>
      <rPr>
        <sz val="12"/>
        <color theme="1"/>
        <rFont val="Calibri"/>
        <family val="2"/>
        <scheme val="minor"/>
      </rPr>
      <t xml:space="preserve"> statistically significant (no star).</t>
    </r>
  </si>
  <si>
    <t xml:space="preserve">Even though a difference in the percentage score has been observed,  there is no statistically significant difference between ADB and non-ADB provinces. This means that the 5% difference could be due to random chance rather than real difference in the quality of care. </t>
  </si>
  <si>
    <t>There is no difference in quality of care scores between ADB and non-ADB provinces.</t>
  </si>
  <si>
    <t>MSS drug availability</t>
  </si>
  <si>
    <t>MSS equipment availability</t>
  </si>
  <si>
    <t>MSS non-P4P availability</t>
  </si>
  <si>
    <t>HER R1</t>
  </si>
  <si>
    <t>HER R2</t>
  </si>
  <si>
    <t>HER R3</t>
  </si>
  <si>
    <t>HER R4</t>
  </si>
  <si>
    <t>HER2 R1</t>
  </si>
  <si>
    <t>HER2 R2</t>
  </si>
  <si>
    <t>HER2 R3</t>
  </si>
  <si>
    <t>HER2 R4</t>
  </si>
  <si>
    <t>HER R2 QCC SUMMARY SCORES</t>
  </si>
  <si>
    <t>Structural indicators</t>
  </si>
  <si>
    <t>Q1 2023</t>
  </si>
  <si>
    <t>Q2 2023</t>
  </si>
  <si>
    <t>Q3 2023</t>
  </si>
  <si>
    <t>Q4 2023</t>
  </si>
  <si>
    <t>Exit &amp; Vignettes</t>
  </si>
  <si>
    <t>Stamped payroll &amp; confirmation of bank transfers in October</t>
  </si>
  <si>
    <t>Stamped payroll &amp; confirmation of bank transfers in November</t>
  </si>
  <si>
    <t>Stamped payroll &amp; confirmation of bank transfers in December</t>
  </si>
  <si>
    <t>Received salary for October within 10 days after end of month</t>
  </si>
  <si>
    <t>Received salary for November within 10 days after end of month</t>
  </si>
  <si>
    <t>Received salary for December within 10 days after end of month</t>
  </si>
  <si>
    <t>[50.6% - 65.5%]</t>
  </si>
  <si>
    <t>[44.9% - 53.9%]</t>
  </si>
  <si>
    <t>[47.3% - 57.1%]</t>
  </si>
  <si>
    <t>[45.6% - 56.1%]</t>
  </si>
  <si>
    <t>[36.9% - 48.5%]</t>
  </si>
  <si>
    <t>[47% - 58.8%]</t>
  </si>
  <si>
    <t>[39.9% - 66.8%]</t>
  </si>
  <si>
    <t>[28.8% - 34.4%]</t>
  </si>
  <si>
    <t>[45.9% - 57.4%]</t>
  </si>
  <si>
    <t>[57.7% - 68.6%]</t>
  </si>
  <si>
    <t>[37.2% - 50.5%]</t>
  </si>
  <si>
    <t>[51.1% - 68.5%]</t>
  </si>
  <si>
    <t>[55.4% - 63.5%]</t>
  </si>
  <si>
    <t>[51.2% - 60.8%]</t>
  </si>
  <si>
    <t>[32.2% - 47%]</t>
  </si>
  <si>
    <t>[37.1% - 41.6%]</t>
  </si>
  <si>
    <t>[46.7% - 51.5%]</t>
  </si>
  <si>
    <t>[35.9% - 45.7%]</t>
  </si>
  <si>
    <t>[53% - 65%]</t>
  </si>
  <si>
    <t>[52.1% - 58.1%]</t>
  </si>
  <si>
    <t>[51.6% - 65.7%]</t>
  </si>
  <si>
    <t>[51.4% - 63.9%]</t>
  </si>
  <si>
    <t>[38.7% - 50.8%]</t>
  </si>
  <si>
    <t>[49.5% - 53.2%]</t>
  </si>
  <si>
    <t>6.8%*</t>
  </si>
  <si>
    <t>8.3%**</t>
  </si>
  <si>
    <t>9.6%**</t>
  </si>
  <si>
    <t>11.3%**</t>
  </si>
  <si>
    <t>-7.3%**</t>
  </si>
  <si>
    <t>7.2%***</t>
  </si>
  <si>
    <t>12.2%***</t>
  </si>
  <si>
    <t>-8.4%*</t>
  </si>
  <si>
    <t>[59.2% - 65.6%]</t>
  </si>
  <si>
    <t>[57.5% - 70.2%]</t>
  </si>
  <si>
    <t>[51.6% - 59.6%]</t>
  </si>
  <si>
    <t>[53.9% - 64.2%]</t>
  </si>
  <si>
    <t>[50.3% - 63.1%]</t>
  </si>
  <si>
    <t>[51.1% - 62.9%]</t>
  </si>
  <si>
    <t>[47.6% - 60.5%]</t>
  </si>
  <si>
    <t>[41.1% - 55.1%]</t>
  </si>
  <si>
    <t>[45.2% - 59.9%]</t>
  </si>
  <si>
    <t>[51.5% - 63.1%]</t>
  </si>
  <si>
    <t>[43.2% - 57.8%]</t>
  </si>
  <si>
    <t>[48.5% - 58%]</t>
  </si>
  <si>
    <t>[63.9% - 71.3%]</t>
  </si>
  <si>
    <t>[52.5% - 63.6%]</t>
  </si>
  <si>
    <t>[54.9% - 63.8%]</t>
  </si>
  <si>
    <t>[58.1% - 66.7%]</t>
  </si>
  <si>
    <t>[39% - 54.3%]</t>
  </si>
  <si>
    <t>[42.4% - 58.9%]</t>
  </si>
  <si>
    <t>[53.5% - 64.2%]</t>
  </si>
  <si>
    <t>[47.2% - 58.4%]</t>
  </si>
  <si>
    <t>[54.8% - 66.9%]</t>
  </si>
  <si>
    <t>[55.7% - 64.8%]</t>
  </si>
  <si>
    <t>[61.7% - 68.3%]</t>
  </si>
  <si>
    <t>[65.3% - 73.8%]</t>
  </si>
  <si>
    <t>[46.6% - 61.6%]</t>
  </si>
  <si>
    <t>[56.3% - 58.8%]</t>
  </si>
  <si>
    <t>6.9%*</t>
  </si>
  <si>
    <t>[56.5% - 70.7%]</t>
  </si>
  <si>
    <t>[56.4% - 79.1%]</t>
  </si>
  <si>
    <t>[41.1% - 51.3%]</t>
  </si>
  <si>
    <t>[47.9% - 68.3%]</t>
  </si>
  <si>
    <t>[42.9% - 61.3%]</t>
  </si>
  <si>
    <t>[38.5% - 50.5%]</t>
  </si>
  <si>
    <t>[54.2% - 70.4%]</t>
  </si>
  <si>
    <t>[19.4% - 29.6%]</t>
  </si>
  <si>
    <t>[39.1% - 53.5%]</t>
  </si>
  <si>
    <t>[48.8% - 63.7%]</t>
  </si>
  <si>
    <t>[38.8% - 55.2%]</t>
  </si>
  <si>
    <t>[29.3% - 46.1%]</t>
  </si>
  <si>
    <t>[65.6% - 79.8%]</t>
  </si>
  <si>
    <t>[42.7% - 63.9%]</t>
  </si>
  <si>
    <t>[44.8% - 61%]</t>
  </si>
  <si>
    <t>[55.3% - 68.6%]</t>
  </si>
  <si>
    <t>[48.5% - 60.1%]</t>
  </si>
  <si>
    <t>[27.8% - 40.4%]</t>
  </si>
  <si>
    <t>[32.4% - 48.8%]</t>
  </si>
  <si>
    <t>[42.7% - 56.9%]</t>
  </si>
  <si>
    <t>[22.5% - 41.5%]</t>
  </si>
  <si>
    <t>[41.5% - 54.8%]</t>
  </si>
  <si>
    <t>[25.5% - 42.8%]</t>
  </si>
  <si>
    <t>[57.3% - 76.9%]</t>
  </si>
  <si>
    <t>[32.4% - 43.1%]</t>
  </si>
  <si>
    <t>[44% - 60.5%]</t>
  </si>
  <si>
    <t>[47.3% - 51.4%]</t>
  </si>
  <si>
    <t>sign_level</t>
  </si>
  <si>
    <t>[57.6% - 71%]</t>
  </si>
  <si>
    <t>[70.4% - 76.9%]</t>
  </si>
  <si>
    <t>[11.6% - 39.5%]</t>
  </si>
  <si>
    <t>[57.4% - 73.6%]</t>
  </si>
  <si>
    <t>[73% - 85.6%]</t>
  </si>
  <si>
    <t>[81.6% - 88.2%]</t>
  </si>
  <si>
    <t>[79.8% - 91.5%]</t>
  </si>
  <si>
    <t>[44.8% - 70.6%]</t>
  </si>
  <si>
    <t>[55% - 68.6%]</t>
  </si>
  <si>
    <t>[9.3% - 30.2%]</t>
  </si>
  <si>
    <t>[20.2% - 34.9%]</t>
  </si>
  <si>
    <t>[58.1% - 86%]</t>
  </si>
  <si>
    <t>[23.3% - 53.5%]</t>
  </si>
  <si>
    <t>[64.3% - 80.6%]</t>
  </si>
  <si>
    <t>[52.6% - 66.7%]</t>
  </si>
  <si>
    <t>[76.7% - 97.7%]</t>
  </si>
  <si>
    <t>[68.2% - 82.6%]</t>
  </si>
  <si>
    <t>[48.1% - 67.4%]</t>
  </si>
  <si>
    <t>[35.1% - 48.9%]</t>
  </si>
  <si>
    <t>[46.5% - 73.8%]</t>
  </si>
  <si>
    <t>[45.9% - 61.1%]</t>
  </si>
  <si>
    <t>[55.2% - 73.8%]</t>
  </si>
  <si>
    <t>[66.7% - 78.4%]</t>
  </si>
  <si>
    <t>[41.9% - 59.7%]</t>
  </si>
  <si>
    <t>[48.1% - 65.1%]</t>
  </si>
  <si>
    <t>[39.5% - 57.4%]</t>
  </si>
  <si>
    <t>[51.5% - 63.3%]</t>
  </si>
  <si>
    <t>[58.8% - 63.8%]</t>
  </si>
  <si>
    <t>[61.6% - 76.7%]</t>
  </si>
  <si>
    <t>[50% - 67.4%]</t>
  </si>
  <si>
    <t>[62.8% - 86%]</t>
  </si>
  <si>
    <t>[74.8% - 88.4%]</t>
  </si>
  <si>
    <t>[29.8% - 55%]</t>
  </si>
  <si>
    <t>[46.6% - 62.9%]</t>
  </si>
  <si>
    <t>[62.8% - 77.5%]</t>
  </si>
  <si>
    <t>[43% - 50%]</t>
  </si>
  <si>
    <t>[46.5% - 74.4%]</t>
  </si>
  <si>
    <t>[52.7% - 69%]</t>
  </si>
  <si>
    <t>[59.7% - 75.2%]</t>
  </si>
  <si>
    <t>[18.6% - 44.2%]</t>
  </si>
  <si>
    <t>[26.4% - 43.4%]</t>
  </si>
  <si>
    <t>[32.6% - 48.8%]</t>
  </si>
  <si>
    <t>[11.6% - 24.8%]</t>
  </si>
  <si>
    <t>[27.9% - 55.8%]</t>
  </si>
  <si>
    <t>[27.1% - 43.4%]</t>
  </si>
  <si>
    <t>[61.9% - 82.6%]</t>
  </si>
  <si>
    <t>[66.4% - 76.8%]</t>
  </si>
  <si>
    <t>[45% - 63.9%]</t>
  </si>
  <si>
    <t>[52.1% - 60.9%]</t>
  </si>
  <si>
    <t>[53.5% - 69%]</t>
  </si>
  <si>
    <t>[79.1% - 91.5%]</t>
  </si>
  <si>
    <t>[62% - 78.3%]</t>
  </si>
  <si>
    <t>[20.2% - 35.7%]</t>
  </si>
  <si>
    <t>[74.2% - 90.9%]</t>
  </si>
  <si>
    <t>[74.3% - 83.2%]</t>
  </si>
  <si>
    <t>[56.4% - 90.9%]</t>
  </si>
  <si>
    <t>[51.3% - 74.2%]</t>
  </si>
  <si>
    <t>[72.7% - 100%]</t>
  </si>
  <si>
    <t>[83.8% - 96.3%]</t>
  </si>
  <si>
    <t>[85.4% - 97.5%]</t>
  </si>
  <si>
    <t>[55.8% - 91.7%]</t>
  </si>
  <si>
    <t>[55.6% - 77.3%]</t>
  </si>
  <si>
    <t>[83.8% - 97.1%]</t>
  </si>
  <si>
    <t>[79.1% - 100%]</t>
  </si>
  <si>
    <t>[84% - 96.3%]</t>
  </si>
  <si>
    <t>[80.6% - 94.7%]</t>
  </si>
  <si>
    <t>[79.7% - 100%]</t>
  </si>
  <si>
    <t>[83.5% - 97.2%]</t>
  </si>
  <si>
    <t>[37.5% - 78.4%]</t>
  </si>
  <si>
    <t>[34.9% - 58.5%]</t>
  </si>
  <si>
    <t>[49.2% - 62.3%]</t>
  </si>
  <si>
    <t>[60.4% - 66.9%]</t>
  </si>
  <si>
    <t>[57.6% - 80.8%]</t>
  </si>
  <si>
    <t>[72.3% - 85.3%]</t>
  </si>
  <si>
    <t>[37% - 58.9%]</t>
  </si>
  <si>
    <t>[52.9% - 63.4%]</t>
  </si>
  <si>
    <t>[78.3% - 89.9%]</t>
  </si>
  <si>
    <t>[41.9% - 72.1%]</t>
  </si>
  <si>
    <t>[83.7% - 96.5%]</t>
  </si>
  <si>
    <t>[93.8% - 98.8%]</t>
  </si>
  <si>
    <t>[2.4% - 12%]</t>
  </si>
  <si>
    <t>[6.4% - 12.6%]</t>
  </si>
  <si>
    <t>[24.9% - 43.7%]</t>
  </si>
  <si>
    <t>[35% - 45.9%]</t>
  </si>
  <si>
    <t>[3.7% - 15.8%]</t>
  </si>
  <si>
    <t>[10.3% - 18.8%]</t>
  </si>
  <si>
    <t>[68.9% - 78.4%]</t>
  </si>
  <si>
    <t>[73.6% - 78.2%]</t>
  </si>
  <si>
    <t>[72.1% - 95.3%]</t>
  </si>
  <si>
    <t>[83.7% - 94.6%]</t>
  </si>
  <si>
    <t>[36.4% - 53.9%]</t>
  </si>
  <si>
    <t>[67.4% - 78.2%]</t>
  </si>
  <si>
    <t>[66.7% - 73.4%]</t>
  </si>
  <si>
    <t>[84.1% - 98.4%]</t>
  </si>
  <si>
    <t>[95.1% - 99.5%]</t>
  </si>
  <si>
    <t>[75% - 88.2%]</t>
  </si>
  <si>
    <t>[79.7% - 86.7%]</t>
  </si>
  <si>
    <t>[72.1% - 94.2%]</t>
  </si>
  <si>
    <t>[76.7% - 89.9%]</t>
  </si>
  <si>
    <t>[16.3% - 31.8%]</t>
  </si>
  <si>
    <t>[38.8% - 55.4%]</t>
  </si>
  <si>
    <t>[83.1% - 90.4%]</t>
  </si>
  <si>
    <t>[86.8% - 90.3%]</t>
  </si>
  <si>
    <t>[47.7% - 76.7%]</t>
  </si>
  <si>
    <t>[73.6% - 86.8%]</t>
  </si>
  <si>
    <t>[93% - 99.2%]</t>
  </si>
  <si>
    <t>[30.6% - 48.1%]</t>
  </si>
  <si>
    <t>[74.4% - 86.8%]</t>
  </si>
  <si>
    <t>[69.8% - 84.5%]</t>
  </si>
  <si>
    <t>[56.2% - 71.5%]</t>
  </si>
  <si>
    <t>[64.2% - 73.1%]</t>
  </si>
  <si>
    <t>[45.3% - 74.4%]</t>
  </si>
  <si>
    <t>[45.7% - 63.6%]</t>
  </si>
  <si>
    <t>[44.2% - 61.2%]</t>
  </si>
  <si>
    <t>[27.1% - 44.2%]</t>
  </si>
  <si>
    <t>[76.7% - 89.1%]</t>
  </si>
  <si>
    <t>[67.1% - 81.4%]</t>
  </si>
  <si>
    <t>[44.3% - 52.9%]</t>
  </si>
  <si>
    <t>[50.5% - 54.3%]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</si>
</sst>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0.000%"/>
    <numFmt numFmtId="167" formatCode="_(* #,##0.0_);_(* \(#,##0.0\);_(* &quot;-&quot;??_);_(@_)"/>
  </numFmts>
  <fonts count="7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theme="1"/>
      <name val="Verdana"/>
      <family val="2"/>
    </font>
    <font>
      <b/>
      <sz val="12"/>
      <color theme="1"/>
      <name val="Verdana"/>
      <family val="2"/>
    </font>
    <font>
      <i/>
      <sz val="12"/>
      <color theme="1"/>
      <name val="Verdana"/>
      <family val="2"/>
    </font>
    <font>
      <sz val="12"/>
      <color theme="1"/>
      <name val="Calibri"/>
      <family val="2"/>
      <scheme val="minor"/>
    </font>
    <font>
      <b/>
      <sz val="11"/>
      <color theme="1"/>
      <name val="Calibri"/>
      <family val="2"/>
      <scheme val="minor"/>
    </font>
    <font>
      <b/>
      <sz val="12"/>
      <name val="Verdana"/>
      <family val="2"/>
    </font>
    <font>
      <b/>
      <sz val="12"/>
      <color theme="0"/>
      <name val="Verdana"/>
      <family val="2"/>
    </font>
    <font>
      <sz val="12"/>
      <color theme="0"/>
      <name val="Verdana"/>
      <family val="2"/>
    </font>
    <font>
      <sz val="12"/>
      <color theme="0"/>
      <name val="Calibri"/>
      <family val="2"/>
      <scheme val="minor"/>
    </font>
    <font>
      <b/>
      <sz val="11"/>
      <color theme="1"/>
      <name val="Verdana"/>
      <family val="2"/>
    </font>
    <font>
      <sz val="11"/>
      <color theme="1"/>
      <name val="Verdana"/>
      <family val="2"/>
    </font>
    <font>
      <b/>
      <sz val="12"/>
      <color theme="0"/>
      <name val="Calibri"/>
      <family val="2"/>
      <scheme val="minor"/>
    </font>
    <font>
      <b/>
      <sz val="18"/>
      <color theme="0"/>
      <name val="Calibri"/>
      <family val="2"/>
      <scheme val="minor"/>
    </font>
    <font>
      <sz val="18"/>
      <color theme="0"/>
      <name val="Calibri"/>
      <family val="2"/>
      <scheme val="minor"/>
    </font>
    <font>
      <b/>
      <sz val="10"/>
      <color theme="0"/>
      <name val="Verdana"/>
      <family val="2"/>
    </font>
    <font>
      <b/>
      <sz val="10"/>
      <color theme="0"/>
      <name val="Calibri"/>
      <family val="2"/>
      <scheme val="minor"/>
    </font>
    <font>
      <b/>
      <sz val="16"/>
      <color theme="0"/>
      <name val="Calibri"/>
      <family val="2"/>
      <scheme val="minor"/>
    </font>
    <font>
      <sz val="16"/>
      <color theme="0"/>
      <name val="Calibri"/>
      <family val="2"/>
      <scheme val="minor"/>
    </font>
    <font>
      <b/>
      <sz val="14"/>
      <color theme="0"/>
      <name val="Calibri"/>
      <family val="2"/>
      <scheme val="minor"/>
    </font>
    <font>
      <b/>
      <sz val="11"/>
      <color theme="0"/>
      <name val="Verdana"/>
      <family val="2"/>
    </font>
    <font>
      <sz val="11"/>
      <name val="Verdana"/>
      <family val="2"/>
    </font>
    <font>
      <sz val="10"/>
      <name val="Verdana"/>
      <family val="2"/>
    </font>
    <font>
      <sz val="10"/>
      <color theme="1"/>
      <name val="Verdana"/>
      <family val="2"/>
    </font>
    <font>
      <sz val="11"/>
      <color rgb="FF374151"/>
      <name val="Verdana"/>
      <family val="2"/>
    </font>
    <font>
      <sz val="11"/>
      <name val="Calibri"/>
      <family val="2"/>
    </font>
    <font>
      <u/>
      <sz val="12"/>
      <color theme="10"/>
      <name val="Calibri"/>
      <family val="2"/>
      <scheme val="minor"/>
    </font>
    <font>
      <sz val="14"/>
      <color theme="1"/>
      <name val="Calibri"/>
      <family val="2"/>
      <scheme val="minor"/>
    </font>
    <font>
      <b/>
      <sz val="14"/>
      <color theme="0"/>
      <name val="Verdana"/>
      <family val="2"/>
    </font>
    <font>
      <b/>
      <sz val="14"/>
      <color theme="1"/>
      <name val="Verdana"/>
      <family val="2"/>
    </font>
    <font>
      <sz val="14"/>
      <color theme="1"/>
      <name val="Verdana"/>
      <family val="2"/>
    </font>
    <font>
      <b/>
      <sz val="20"/>
      <color theme="0"/>
      <name val="Verdana"/>
      <family val="2"/>
    </font>
    <font>
      <b/>
      <sz val="20"/>
      <color theme="1"/>
      <name val="Calibri"/>
      <family val="2"/>
      <scheme val="minor"/>
    </font>
    <font>
      <b/>
      <sz val="14"/>
      <color theme="1"/>
      <name val="Calibri"/>
      <family val="2"/>
      <scheme val="minor"/>
    </font>
    <font>
      <sz val="8"/>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sz val="14"/>
      <name val="Verdana"/>
      <family val="2"/>
    </font>
    <font>
      <sz val="12"/>
      <name val="Verdana"/>
      <family val="2"/>
    </font>
    <font>
      <sz val="12"/>
      <color rgb="FF000000"/>
      <name val="Calibri"/>
      <family val="2"/>
      <scheme val="minor"/>
    </font>
    <font>
      <b/>
      <sz val="12"/>
      <color rgb="FFFF0000"/>
      <name val="Calibri"/>
      <family val="2"/>
      <scheme val="minor"/>
    </font>
    <font>
      <b/>
      <sz val="11"/>
      <color rgb="FFFF0000"/>
      <name val="Calibri"/>
      <family val="2"/>
      <scheme val="minor"/>
    </font>
    <font>
      <sz val="12"/>
      <name val="Calibri"/>
      <family val="2"/>
      <scheme val="minor"/>
    </font>
    <font>
      <sz val="12"/>
      <color theme="8"/>
      <name val="Calibri"/>
      <family val="2"/>
      <scheme val="minor"/>
    </font>
    <font>
      <sz val="9"/>
      <color indexed="81"/>
      <name val="Tahoma"/>
      <family val="2"/>
    </font>
    <font>
      <b/>
      <sz val="9"/>
      <color indexed="81"/>
      <name val="Tahoma"/>
      <family val="2"/>
    </font>
    <font>
      <b/>
      <sz val="18"/>
      <color theme="0"/>
      <name val="Verdana"/>
      <family val="2"/>
    </font>
    <font>
      <b/>
      <sz val="16"/>
      <color rgb="FFFFFFFF"/>
      <name val="Arial"/>
      <family val="2"/>
    </font>
    <font>
      <b/>
      <sz val="10"/>
      <color rgb="FFFFFFFF"/>
      <name val="Arial"/>
      <family val="2"/>
    </font>
    <font>
      <sz val="11"/>
      <color theme="1"/>
      <name val="Calibri"/>
      <family val="2"/>
    </font>
    <font>
      <b/>
      <sz val="11"/>
      <color theme="1"/>
      <name val="Calibri"/>
      <family val="2"/>
    </font>
    <font>
      <sz val="10"/>
      <color rgb="FF000000"/>
      <name val="Arial"/>
      <family val="2"/>
    </font>
    <font>
      <b/>
      <sz val="12"/>
      <color rgb="FFFFFFFF"/>
      <name val="Verdana"/>
      <family val="2"/>
    </font>
    <font>
      <b/>
      <sz val="18"/>
      <color rgb="FFFFFFFF"/>
      <name val="Verdana"/>
      <family val="2"/>
    </font>
    <font>
      <b/>
      <sz val="14"/>
      <color rgb="FFFFFFFF"/>
      <name val="Verdana"/>
      <family val="2"/>
    </font>
    <font>
      <sz val="12"/>
      <color theme="0" tint="-0.14999847407452621"/>
      <name val="Calibri"/>
      <family val="2"/>
      <scheme val="minor"/>
    </font>
    <font>
      <b/>
      <sz val="12"/>
      <color indexed="81"/>
      <name val="Tahoma"/>
      <family val="2"/>
    </font>
    <font>
      <sz val="12"/>
      <color indexed="81"/>
      <name val="Tahoma"/>
      <family val="2"/>
    </font>
    <font>
      <sz val="11"/>
      <name val="Calibri"/>
      <family val="2"/>
      <scheme val="minor"/>
    </font>
    <font>
      <sz val="9"/>
      <color theme="1"/>
      <name val="Verdana"/>
      <family val="2"/>
    </font>
    <font>
      <sz val="9"/>
      <name val="Verdana"/>
      <family val="2"/>
    </font>
    <font>
      <b/>
      <sz val="10"/>
      <color theme="0"/>
      <name val="Arial"/>
      <family val="2"/>
    </font>
    <font>
      <b/>
      <sz val="11"/>
      <name val="Calibri"/>
      <family val="2"/>
    </font>
    <font>
      <sz val="14"/>
      <name val="Calibri"/>
      <family val="2"/>
      <scheme val="minor"/>
    </font>
    <font>
      <u/>
      <sz val="11"/>
      <color theme="1"/>
      <name val="Calibri"/>
      <family val="2"/>
      <scheme val="minor"/>
    </font>
    <font>
      <b/>
      <sz val="16"/>
      <name val="Calibri"/>
      <family val="2"/>
      <scheme val="minor"/>
    </font>
    <font>
      <sz val="16"/>
      <name val="Calibri"/>
      <family val="2"/>
      <scheme val="minor"/>
    </font>
    <font>
      <i/>
      <sz val="9"/>
      <color theme="1"/>
      <name val="Calibri"/>
      <family val="2"/>
      <scheme val="minor"/>
    </font>
  </fonts>
  <fills count="2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993366"/>
        <bgColor indexed="64"/>
      </patternFill>
    </fill>
    <fill>
      <patternFill patternType="solid">
        <fgColor theme="0" tint="-4.9989318521683403E-2"/>
        <bgColor indexed="64"/>
      </patternFill>
    </fill>
    <fill>
      <patternFill patternType="solid">
        <fgColor rgb="FFF9EDF3"/>
        <bgColor indexed="64"/>
      </patternFill>
    </fill>
    <fill>
      <patternFill patternType="solid">
        <fgColor theme="4" tint="0.79998168889431442"/>
        <bgColor indexed="64"/>
      </patternFill>
    </fill>
    <fill>
      <patternFill patternType="solid">
        <fgColor theme="0"/>
        <bgColor indexed="64"/>
      </patternFill>
    </fill>
    <fill>
      <patternFill patternType="solid">
        <fgColor indexed="65"/>
        <bgColor indexed="64"/>
      </patternFill>
    </fill>
    <fill>
      <patternFill patternType="solid">
        <fgColor theme="4" tint="-0.249977111117893"/>
        <bgColor indexed="64"/>
      </patternFill>
    </fill>
    <fill>
      <patternFill patternType="solid">
        <fgColor rgb="FFE4AEC9"/>
        <bgColor indexed="64"/>
      </patternFill>
    </fill>
    <fill>
      <patternFill patternType="solid">
        <fgColor theme="0" tint="-0.14999847407452621"/>
        <bgColor indexed="64"/>
      </patternFill>
    </fill>
    <fill>
      <patternFill patternType="solid">
        <fgColor rgb="FF71254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9"/>
        <bgColor indexed="64"/>
      </patternFill>
    </fill>
    <fill>
      <patternFill patternType="solid">
        <fgColor rgb="FFDDEBF7"/>
        <bgColor rgb="FF00000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93366"/>
        <bgColor rgb="FF000000"/>
      </patternFill>
    </fill>
    <fill>
      <patternFill patternType="solid">
        <fgColor theme="8" tint="0.79995117038483843"/>
        <bgColor theme="8" tint="0.79995117038483843"/>
      </patternFill>
    </fill>
  </fills>
  <borders count="61">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style="medium">
        <color theme="8" tint="0.79998168889431442"/>
      </top>
      <bottom style="medium">
        <color theme="1"/>
      </bottom>
      <diagonal/>
    </border>
    <border>
      <left style="medium">
        <color theme="1"/>
      </left>
      <right style="medium">
        <color theme="1"/>
      </right>
      <top style="medium">
        <color theme="1"/>
      </top>
      <bottom/>
      <diagonal/>
    </border>
    <border>
      <left style="medium">
        <color theme="1"/>
      </left>
      <right/>
      <top style="medium">
        <color theme="8" tint="0.79998168889431442"/>
      </top>
      <bottom style="medium">
        <color theme="1"/>
      </bottom>
      <diagonal/>
    </border>
    <border>
      <left/>
      <right style="medium">
        <color theme="1"/>
      </right>
      <top style="medium">
        <color theme="8" tint="0.79998168889431442"/>
      </top>
      <bottom style="medium">
        <color theme="1"/>
      </bottom>
      <diagonal/>
    </border>
    <border>
      <left style="medium">
        <color theme="1"/>
      </left>
      <right style="medium">
        <color theme="1"/>
      </right>
      <top style="medium">
        <color theme="1"/>
      </top>
      <bottom style="medium">
        <color theme="8" tint="0.79998168889431442"/>
      </bottom>
      <diagonal/>
    </border>
    <border>
      <left style="medium">
        <color theme="1"/>
      </left>
      <right style="medium">
        <color theme="1"/>
      </right>
      <top/>
      <bottom style="medium">
        <color theme="1"/>
      </bottom>
      <diagonal/>
    </border>
    <border>
      <left style="medium">
        <color theme="1"/>
      </left>
      <right/>
      <top style="medium">
        <color theme="1"/>
      </top>
      <bottom style="medium">
        <color theme="8" tint="0.79998168889431442"/>
      </bottom>
      <diagonal/>
    </border>
    <border>
      <left style="medium">
        <color theme="1"/>
      </left>
      <right/>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theme="1"/>
      </left>
      <right/>
      <top style="medium">
        <color theme="1"/>
      </top>
      <bottom/>
      <diagonal/>
    </border>
    <border>
      <left/>
      <right style="medium">
        <color theme="1"/>
      </right>
      <top style="medium">
        <color theme="1"/>
      </top>
      <bottom style="medium">
        <color theme="8" tint="0.79998168889431442"/>
      </bottom>
      <diagonal/>
    </border>
    <border>
      <left/>
      <right/>
      <top style="medium">
        <color theme="1"/>
      </top>
      <bottom style="medium">
        <color theme="1"/>
      </bottom>
      <diagonal/>
    </border>
    <border>
      <left style="medium">
        <color theme="8" tint="0.39997558519241921"/>
      </left>
      <right style="medium">
        <color theme="1"/>
      </right>
      <top style="medium">
        <color theme="1"/>
      </top>
      <bottom style="medium">
        <color theme="1"/>
      </bottom>
      <diagonal/>
    </border>
    <border>
      <left style="medium">
        <color theme="1"/>
      </left>
      <right style="medium">
        <color theme="8" tint="0.39997558519241921"/>
      </right>
      <top style="medium">
        <color theme="1"/>
      </top>
      <bottom style="medium">
        <color theme="1"/>
      </bottom>
      <diagonal/>
    </border>
    <border>
      <left/>
      <right/>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style="thin">
        <color theme="1" tint="0.499984740745262"/>
      </left>
      <right/>
      <top/>
      <bottom style="thin">
        <color theme="1" tint="0.499984740745262"/>
      </bottom>
      <diagonal/>
    </border>
    <border>
      <left style="thin">
        <color theme="0"/>
      </left>
      <right style="thin">
        <color theme="0"/>
      </right>
      <top style="thin">
        <color theme="0"/>
      </top>
      <bottom style="thin">
        <color theme="0"/>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1" tint="0.499984740745262"/>
      </right>
      <top/>
      <bottom style="thin">
        <color theme="1" tint="0.499984740745262"/>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right style="thin">
        <color theme="0"/>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indexed="64"/>
      </bottom>
      <diagonal/>
    </border>
    <border>
      <left/>
      <right/>
      <top style="thin">
        <color indexed="64"/>
      </top>
      <bottom style="thin">
        <color theme="1"/>
      </bottom>
      <diagonal/>
    </border>
    <border>
      <left style="thin">
        <color rgb="FFACB9CA"/>
      </left>
      <right style="thin">
        <color rgb="FFACB9CA"/>
      </right>
      <top style="thin">
        <color rgb="FFACB9CA"/>
      </top>
      <bottom style="thin">
        <color rgb="FFACB9CA"/>
      </bottom>
      <diagonal/>
    </border>
    <border>
      <left style="thin">
        <color theme="0"/>
      </left>
      <right/>
      <top style="thin">
        <color theme="0"/>
      </top>
      <bottom style="thin">
        <color theme="1" tint="0.499984740745262"/>
      </bottom>
      <diagonal/>
    </border>
    <border>
      <left/>
      <right style="thin">
        <color theme="0"/>
      </right>
      <top style="thin">
        <color theme="0"/>
      </top>
      <bottom style="thin">
        <color theme="1" tint="0.499984740745262"/>
      </bottom>
      <diagonal/>
    </border>
    <border>
      <left/>
      <right/>
      <top style="thin">
        <color theme="0"/>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10">
    <xf numFmtId="0" fontId="0" fillId="0" borderId="0"/>
    <xf numFmtId="9" fontId="9" fillId="0" borderId="0" applyFont="0" applyFill="0" applyBorder="0" applyAlignment="0" applyProtection="0"/>
    <xf numFmtId="0" fontId="31" fillId="0" borderId="0" applyNumberFormat="0" applyFill="0" applyBorder="0" applyAlignment="0" applyProtection="0"/>
    <xf numFmtId="0" fontId="30" fillId="0" borderId="0"/>
    <xf numFmtId="0" fontId="4" fillId="0" borderId="0"/>
    <xf numFmtId="9" fontId="4" fillId="0" borderId="0" applyFont="0" applyFill="0" applyBorder="0" applyAlignment="0" applyProtection="0"/>
    <xf numFmtId="43" fontId="9" fillId="0" borderId="0" applyFont="0" applyFill="0" applyBorder="0" applyAlignment="0" applyProtection="0"/>
    <xf numFmtId="0" fontId="3" fillId="0" borderId="0"/>
    <xf numFmtId="9" fontId="3" fillId="0" borderId="0" applyFont="0" applyFill="0" applyBorder="0" applyAlignment="0" applyProtection="0"/>
    <xf numFmtId="0" fontId="2" fillId="0" borderId="0"/>
  </cellStyleXfs>
  <cellXfs count="587">
    <xf numFmtId="0" fontId="0" fillId="0" borderId="0" xfId="0"/>
    <xf numFmtId="0" fontId="6" fillId="0" borderId="0" xfId="0" applyFont="1" applyAlignment="1">
      <alignment horizontal="left"/>
    </xf>
    <xf numFmtId="0" fontId="7" fillId="0" borderId="1" xfId="0" applyFont="1" applyBorder="1" applyAlignment="1">
      <alignment horizontal="center"/>
    </xf>
    <xf numFmtId="0" fontId="5" fillId="0" borderId="1" xfId="0" applyFont="1" applyBorder="1" applyAlignment="1">
      <alignment horizontal="center"/>
    </xf>
    <xf numFmtId="0" fontId="0" fillId="0" borderId="1" xfId="0" applyBorder="1"/>
    <xf numFmtId="0" fontId="6" fillId="0" borderId="1" xfId="0" applyFont="1" applyBorder="1"/>
    <xf numFmtId="49" fontId="6" fillId="0" borderId="1" xfId="0" applyNumberFormat="1" applyFont="1" applyBorder="1"/>
    <xf numFmtId="0" fontId="5" fillId="0" borderId="0" xfId="0" applyFont="1" applyAlignment="1">
      <alignment horizontal="center"/>
    </xf>
    <xf numFmtId="0" fontId="7" fillId="3" borderId="1" xfId="0" applyFont="1" applyFill="1" applyBorder="1" applyAlignment="1">
      <alignment horizontal="left"/>
    </xf>
    <xf numFmtId="0" fontId="6" fillId="3" borderId="1" xfId="0" applyFont="1" applyFill="1" applyBorder="1"/>
    <xf numFmtId="0" fontId="0" fillId="3" borderId="1" xfId="0" applyFill="1" applyBorder="1"/>
    <xf numFmtId="0" fontId="7" fillId="2" borderId="5" xfId="0" applyFont="1" applyFill="1" applyBorder="1" applyAlignment="1">
      <alignment horizontal="left"/>
    </xf>
    <xf numFmtId="0" fontId="6" fillId="2" borderId="9" xfId="0" applyFont="1" applyFill="1" applyBorder="1"/>
    <xf numFmtId="0" fontId="0" fillId="2" borderId="8" xfId="0" applyFill="1" applyBorder="1"/>
    <xf numFmtId="0" fontId="0" fillId="2" borderId="10" xfId="0" applyFill="1" applyBorder="1"/>
    <xf numFmtId="0" fontId="6" fillId="2" borderId="11" xfId="0" applyFont="1" applyFill="1" applyBorder="1"/>
    <xf numFmtId="0" fontId="0" fillId="2" borderId="5" xfId="0" applyFill="1" applyBorder="1"/>
    <xf numFmtId="0" fontId="0" fillId="2" borderId="4" xfId="0" applyFill="1" applyBorder="1"/>
    <xf numFmtId="0" fontId="0" fillId="2" borderId="9" xfId="0" applyFill="1" applyBorder="1"/>
    <xf numFmtId="0" fontId="6" fillId="2" borderId="6" xfId="0" applyFont="1" applyFill="1" applyBorder="1"/>
    <xf numFmtId="0" fontId="6" fillId="0" borderId="1" xfId="0" applyFont="1" applyBorder="1" applyAlignment="1">
      <alignment wrapText="1"/>
    </xf>
    <xf numFmtId="0" fontId="0" fillId="0" borderId="0" xfId="0" applyAlignment="1">
      <alignment wrapText="1"/>
    </xf>
    <xf numFmtId="0" fontId="8" fillId="2" borderId="13" xfId="0" applyFont="1" applyFill="1" applyBorder="1" applyAlignment="1">
      <alignment horizontal="left"/>
    </xf>
    <xf numFmtId="0" fontId="7" fillId="2" borderId="8" xfId="0" applyFont="1" applyFill="1" applyBorder="1" applyAlignment="1">
      <alignment horizontal="left"/>
    </xf>
    <xf numFmtId="0" fontId="6" fillId="0" borderId="9" xfId="0" applyFont="1" applyBorder="1"/>
    <xf numFmtId="0" fontId="6" fillId="0" borderId="9" xfId="0" applyFont="1" applyBorder="1" applyAlignment="1">
      <alignment wrapText="1"/>
    </xf>
    <xf numFmtId="0" fontId="7" fillId="0" borderId="3" xfId="0" applyFont="1" applyBorder="1" applyAlignment="1">
      <alignment horizontal="center"/>
    </xf>
    <xf numFmtId="0" fontId="0" fillId="0" borderId="3" xfId="0" applyBorder="1"/>
    <xf numFmtId="0" fontId="0" fillId="0" borderId="9" xfId="0" applyBorder="1"/>
    <xf numFmtId="0" fontId="6" fillId="2" borderId="8" xfId="0" applyFont="1" applyFill="1" applyBorder="1"/>
    <xf numFmtId="0" fontId="6" fillId="2" borderId="13" xfId="0" applyFont="1" applyFill="1" applyBorder="1"/>
    <xf numFmtId="0" fontId="6" fillId="2" borderId="4" xfId="0" applyFont="1" applyFill="1" applyBorder="1"/>
    <xf numFmtId="0" fontId="8" fillId="2" borderId="7" xfId="0" applyFont="1" applyFill="1" applyBorder="1" applyAlignment="1">
      <alignment horizontal="left" wrapText="1"/>
    </xf>
    <xf numFmtId="0" fontId="8" fillId="2" borderId="13" xfId="0" applyFont="1" applyFill="1" applyBorder="1" applyAlignment="1">
      <alignment horizontal="left" wrapText="1"/>
    </xf>
    <xf numFmtId="0" fontId="7" fillId="0" borderId="5" xfId="0" applyFont="1" applyBorder="1" applyAlignment="1">
      <alignment horizontal="center"/>
    </xf>
    <xf numFmtId="0" fontId="7" fillId="0" borderId="12" xfId="0" applyFont="1" applyBorder="1" applyAlignment="1">
      <alignment horizontal="center"/>
    </xf>
    <xf numFmtId="0" fontId="6" fillId="0" borderId="3" xfId="0" applyFont="1" applyBorder="1" applyAlignment="1">
      <alignment horizontal="right"/>
    </xf>
    <xf numFmtId="0" fontId="6" fillId="0" borderId="1" xfId="0" applyFont="1" applyBorder="1" applyAlignment="1">
      <alignment horizontal="right"/>
    </xf>
    <xf numFmtId="0" fontId="7" fillId="3" borderId="1" xfId="0" applyFont="1" applyFill="1" applyBorder="1" applyAlignment="1">
      <alignment horizontal="center"/>
    </xf>
    <xf numFmtId="0" fontId="7" fillId="3" borderId="14" xfId="0" applyFont="1" applyFill="1" applyBorder="1" applyAlignment="1">
      <alignment horizontal="left"/>
    </xf>
    <xf numFmtId="0" fontId="6" fillId="3" borderId="17" xfId="0" applyFont="1" applyFill="1" applyBorder="1" applyAlignment="1">
      <alignment horizontal="left"/>
    </xf>
    <xf numFmtId="0" fontId="6" fillId="3" borderId="12" xfId="0" applyFont="1" applyFill="1" applyBorder="1" applyAlignment="1">
      <alignment horizontal="left"/>
    </xf>
    <xf numFmtId="0" fontId="7" fillId="3" borderId="18" xfId="0" applyFont="1" applyFill="1" applyBorder="1" applyAlignment="1">
      <alignment horizontal="left"/>
    </xf>
    <xf numFmtId="0" fontId="6" fillId="2" borderId="1" xfId="0" applyFont="1" applyFill="1" applyBorder="1" applyAlignment="1">
      <alignment horizontal="left"/>
    </xf>
    <xf numFmtId="0" fontId="8" fillId="2" borderId="9" xfId="0" applyFont="1" applyFill="1" applyBorder="1" applyAlignment="1">
      <alignment horizontal="left"/>
    </xf>
    <xf numFmtId="0" fontId="7" fillId="2" borderId="14" xfId="0" applyFont="1" applyFill="1" applyBorder="1" applyAlignment="1">
      <alignment horizontal="left"/>
    </xf>
    <xf numFmtId="0" fontId="8" fillId="2" borderId="19" xfId="0" applyFont="1" applyFill="1" applyBorder="1" applyAlignment="1">
      <alignment horizontal="left"/>
    </xf>
    <xf numFmtId="0" fontId="7" fillId="3" borderId="1" xfId="0" applyFont="1" applyFill="1" applyBorder="1" applyAlignment="1">
      <alignment horizontal="left" wrapText="1"/>
    </xf>
    <xf numFmtId="0" fontId="6" fillId="0" borderId="1" xfId="0" applyFont="1" applyBorder="1" applyAlignment="1">
      <alignment vertical="center" wrapText="1"/>
    </xf>
    <xf numFmtId="0" fontId="6" fillId="3" borderId="1" xfId="0" applyFont="1" applyFill="1" applyBorder="1" applyAlignment="1">
      <alignment horizontal="left"/>
    </xf>
    <xf numFmtId="0" fontId="6" fillId="2" borderId="1" xfId="0" applyFont="1" applyFill="1" applyBorder="1"/>
    <xf numFmtId="0" fontId="6" fillId="3" borderId="1" xfId="0" applyFont="1" applyFill="1" applyBorder="1" applyAlignment="1">
      <alignment horizontal="center"/>
    </xf>
    <xf numFmtId="0" fontId="12" fillId="4" borderId="20" xfId="0" applyFont="1" applyFill="1" applyBorder="1" applyAlignment="1">
      <alignment horizontal="center" vertical="center" wrapText="1"/>
    </xf>
    <xf numFmtId="0" fontId="12" fillId="4" borderId="20" xfId="0" applyFont="1" applyFill="1" applyBorder="1" applyAlignment="1">
      <alignment horizontal="center" vertical="center"/>
    </xf>
    <xf numFmtId="0" fontId="12" fillId="4" borderId="0" xfId="0" applyFont="1" applyFill="1" applyAlignment="1">
      <alignment horizontal="right" vertical="center"/>
    </xf>
    <xf numFmtId="0" fontId="6" fillId="0" borderId="20" xfId="0" applyFont="1" applyBorder="1"/>
    <xf numFmtId="0" fontId="6" fillId="0" borderId="20" xfId="0" applyFont="1" applyBorder="1" applyAlignment="1">
      <alignment wrapText="1"/>
    </xf>
    <xf numFmtId="0" fontId="0" fillId="0" borderId="20" xfId="0" applyBorder="1"/>
    <xf numFmtId="0" fontId="6" fillId="5" borderId="20" xfId="0" applyFont="1" applyFill="1" applyBorder="1" applyAlignment="1">
      <alignment horizontal="right"/>
    </xf>
    <xf numFmtId="0" fontId="6" fillId="5" borderId="20" xfId="0" applyFont="1" applyFill="1" applyBorder="1"/>
    <xf numFmtId="0" fontId="6" fillId="5" borderId="20" xfId="0" applyFont="1" applyFill="1" applyBorder="1" applyAlignment="1">
      <alignment wrapText="1"/>
    </xf>
    <xf numFmtId="49" fontId="6" fillId="5" borderId="20" xfId="0" applyNumberFormat="1" applyFont="1" applyFill="1" applyBorder="1"/>
    <xf numFmtId="0" fontId="5" fillId="0" borderId="0" xfId="0" applyFont="1" applyAlignment="1">
      <alignment horizontal="center" vertical="center"/>
    </xf>
    <xf numFmtId="0" fontId="14" fillId="0" borderId="0" xfId="0" applyFont="1"/>
    <xf numFmtId="0" fontId="6" fillId="0" borderId="20" xfId="0" applyFont="1" applyBorder="1" applyAlignment="1">
      <alignment horizontal="right"/>
    </xf>
    <xf numFmtId="0" fontId="12" fillId="4" borderId="20" xfId="0" applyFont="1" applyFill="1" applyBorder="1" applyAlignment="1">
      <alignment horizontal="left"/>
    </xf>
    <xf numFmtId="0" fontId="12" fillId="4" borderId="20" xfId="0" applyFont="1" applyFill="1" applyBorder="1" applyAlignment="1">
      <alignment horizontal="right"/>
    </xf>
    <xf numFmtId="0" fontId="6" fillId="5" borderId="20" xfId="0" applyFont="1" applyFill="1" applyBorder="1" applyAlignment="1">
      <alignment horizontal="left"/>
    </xf>
    <xf numFmtId="0" fontId="12" fillId="4" borderId="20" xfId="0" applyFont="1" applyFill="1" applyBorder="1" applyAlignment="1">
      <alignment horizontal="center"/>
    </xf>
    <xf numFmtId="9" fontId="6" fillId="5" borderId="20" xfId="0" applyNumberFormat="1" applyFont="1" applyFill="1" applyBorder="1" applyAlignment="1">
      <alignment horizontal="center"/>
    </xf>
    <xf numFmtId="0" fontId="0" fillId="0" borderId="0" xfId="0" applyAlignment="1">
      <alignment horizontal="center"/>
    </xf>
    <xf numFmtId="9" fontId="12" fillId="4" borderId="20" xfId="0" applyNumberFormat="1" applyFont="1" applyFill="1" applyBorder="1" applyAlignment="1">
      <alignment horizontal="center"/>
    </xf>
    <xf numFmtId="0" fontId="6" fillId="0" borderId="0" xfId="0" applyFont="1"/>
    <xf numFmtId="9" fontId="6" fillId="0" borderId="20" xfId="0" applyNumberFormat="1" applyFont="1" applyBorder="1" applyAlignment="1">
      <alignment horizontal="center"/>
    </xf>
    <xf numFmtId="0" fontId="12" fillId="4" borderId="21" xfId="0" applyFont="1" applyFill="1" applyBorder="1" applyAlignment="1">
      <alignment horizontal="center" vertical="center"/>
    </xf>
    <xf numFmtId="9" fontId="12" fillId="4" borderId="20" xfId="1" applyFont="1" applyFill="1" applyBorder="1" applyAlignment="1">
      <alignment horizontal="center" vertical="center"/>
    </xf>
    <xf numFmtId="164" fontId="6" fillId="5" borderId="20" xfId="0" applyNumberFormat="1" applyFont="1" applyFill="1" applyBorder="1" applyAlignment="1">
      <alignment horizontal="center" vertical="center"/>
    </xf>
    <xf numFmtId="164" fontId="6" fillId="0" borderId="20" xfId="0" applyNumberFormat="1" applyFont="1" applyBorder="1" applyAlignment="1">
      <alignment horizontal="center" vertical="center"/>
    </xf>
    <xf numFmtId="0" fontId="0" fillId="0" borderId="0" xfId="0" applyAlignment="1">
      <alignment horizontal="center" vertical="center"/>
    </xf>
    <xf numFmtId="0" fontId="15" fillId="6" borderId="20" xfId="0" applyFont="1" applyFill="1" applyBorder="1" applyAlignment="1">
      <alignment horizontal="left"/>
    </xf>
    <xf numFmtId="0" fontId="16" fillId="6" borderId="20" xfId="0" applyFont="1" applyFill="1" applyBorder="1" applyAlignment="1">
      <alignment horizontal="right"/>
    </xf>
    <xf numFmtId="0" fontId="15" fillId="6" borderId="20" xfId="0" applyFont="1" applyFill="1" applyBorder="1" applyAlignment="1">
      <alignment horizontal="center"/>
    </xf>
    <xf numFmtId="0" fontId="10" fillId="0" borderId="0" xfId="0" applyFont="1" applyAlignment="1">
      <alignment horizontal="center"/>
    </xf>
    <xf numFmtId="0" fontId="15" fillId="0" borderId="20" xfId="0" applyFont="1" applyBorder="1" applyAlignment="1">
      <alignment horizontal="left"/>
    </xf>
    <xf numFmtId="0" fontId="16" fillId="0" borderId="20" xfId="0" applyFont="1" applyBorder="1" applyAlignment="1">
      <alignment horizontal="right"/>
    </xf>
    <xf numFmtId="0" fontId="15" fillId="0" borderId="20" xfId="0" applyFont="1" applyBorder="1" applyAlignment="1">
      <alignment horizontal="center"/>
    </xf>
    <xf numFmtId="0" fontId="17" fillId="4" borderId="20" xfId="0" applyFont="1" applyFill="1" applyBorder="1" applyAlignment="1">
      <alignment horizontal="center" vertical="center"/>
    </xf>
    <xf numFmtId="0" fontId="12" fillId="4" borderId="20" xfId="0" applyFont="1" applyFill="1" applyBorder="1" applyAlignment="1">
      <alignment horizontal="left" vertical="center"/>
    </xf>
    <xf numFmtId="0" fontId="13" fillId="4" borderId="20" xfId="0" applyFont="1" applyFill="1" applyBorder="1" applyAlignment="1">
      <alignment horizontal="left" vertical="center"/>
    </xf>
    <xf numFmtId="9" fontId="12" fillId="4" borderId="20" xfId="0" applyNumberFormat="1" applyFont="1" applyFill="1" applyBorder="1" applyAlignment="1">
      <alignment horizontal="center" vertical="center"/>
    </xf>
    <xf numFmtId="0" fontId="6" fillId="5" borderId="20" xfId="0" applyFont="1" applyFill="1" applyBorder="1" applyAlignment="1">
      <alignment horizontal="left" vertical="center"/>
    </xf>
    <xf numFmtId="9" fontId="6" fillId="5" borderId="20" xfId="0" applyNumberFormat="1" applyFont="1" applyFill="1" applyBorder="1" applyAlignment="1">
      <alignment horizontal="center" vertical="center"/>
    </xf>
    <xf numFmtId="0" fontId="7" fillId="5" borderId="20" xfId="0" applyFont="1" applyFill="1" applyBorder="1" applyAlignment="1">
      <alignment horizontal="center" vertical="center"/>
    </xf>
    <xf numFmtId="0" fontId="6" fillId="0" borderId="20" xfId="0" applyFont="1" applyBorder="1" applyAlignment="1">
      <alignment horizontal="left" vertical="center"/>
    </xf>
    <xf numFmtId="0" fontId="7" fillId="0" borderId="20" xfId="0" applyFont="1" applyBorder="1" applyAlignment="1">
      <alignment horizontal="center" vertical="center"/>
    </xf>
    <xf numFmtId="0" fontId="6" fillId="5" borderId="20" xfId="0" applyFont="1" applyFill="1" applyBorder="1" applyAlignment="1">
      <alignment vertical="center"/>
    </xf>
    <xf numFmtId="0" fontId="6" fillId="0" borderId="20" xfId="0" applyFont="1" applyBorder="1" applyAlignment="1">
      <alignment vertical="center"/>
    </xf>
    <xf numFmtId="9" fontId="6" fillId="0" borderId="20" xfId="0" applyNumberFormat="1" applyFont="1" applyBorder="1" applyAlignment="1">
      <alignment horizontal="center" vertical="center"/>
    </xf>
    <xf numFmtId="0" fontId="13" fillId="4" borderId="20" xfId="0" applyFont="1" applyFill="1" applyBorder="1" applyAlignment="1">
      <alignment horizontal="center" vertical="center" wrapText="1"/>
    </xf>
    <xf numFmtId="0" fontId="11" fillId="0" borderId="20" xfId="0" applyFont="1" applyBorder="1" applyAlignment="1">
      <alignment horizontal="left"/>
    </xf>
    <xf numFmtId="0" fontId="11" fillId="5" borderId="20" xfId="0" applyFont="1" applyFill="1" applyBorder="1" applyAlignment="1">
      <alignment horizontal="left"/>
    </xf>
    <xf numFmtId="0" fontId="17" fillId="0" borderId="0" xfId="0" applyFont="1" applyAlignment="1">
      <alignment horizontal="center" vertical="center" wrapText="1"/>
    </xf>
    <xf numFmtId="0" fontId="11" fillId="0" borderId="22" xfId="0" applyFont="1" applyBorder="1" applyAlignment="1">
      <alignment horizontal="left"/>
    </xf>
    <xf numFmtId="0" fontId="5" fillId="0" borderId="0" xfId="0" applyFont="1"/>
    <xf numFmtId="0" fontId="13" fillId="0" borderId="0" xfId="0" applyFont="1" applyAlignment="1">
      <alignment horizontal="center" vertical="center" wrapText="1"/>
    </xf>
    <xf numFmtId="0" fontId="18" fillId="4" borderId="0" xfId="0" applyFont="1" applyFill="1" applyAlignment="1">
      <alignment horizontal="center" vertical="center"/>
    </xf>
    <xf numFmtId="0" fontId="18" fillId="0" borderId="0" xfId="0" applyFont="1" applyAlignment="1">
      <alignment horizontal="center" vertical="center"/>
    </xf>
    <xf numFmtId="0" fontId="12" fillId="0" borderId="21" xfId="0" applyFont="1" applyBorder="1" applyAlignment="1">
      <alignment horizontal="center" vertical="center"/>
    </xf>
    <xf numFmtId="0" fontId="12" fillId="4" borderId="27"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4" fillId="0" borderId="0" xfId="0" applyFont="1" applyAlignment="1">
      <alignment horizontal="center" vertical="center"/>
    </xf>
    <xf numFmtId="0" fontId="0" fillId="7" borderId="0" xfId="0" applyFill="1"/>
    <xf numFmtId="0" fontId="12" fillId="4" borderId="21" xfId="0" applyFont="1" applyFill="1" applyBorder="1" applyAlignment="1">
      <alignment horizontal="center" vertical="center" wrapText="1"/>
    </xf>
    <xf numFmtId="0" fontId="18" fillId="8" borderId="0" xfId="0" applyFont="1" applyFill="1" applyAlignment="1">
      <alignment horizontal="center" vertical="center"/>
    </xf>
    <xf numFmtId="0" fontId="12" fillId="8" borderId="21" xfId="0" applyFont="1" applyFill="1" applyBorder="1" applyAlignment="1">
      <alignment horizontal="center" vertical="center" wrapText="1"/>
    </xf>
    <xf numFmtId="0" fontId="0" fillId="8" borderId="0" xfId="0" applyFill="1"/>
    <xf numFmtId="0" fontId="12" fillId="4" borderId="20" xfId="0" applyFont="1" applyFill="1" applyBorder="1" applyAlignment="1">
      <alignment horizontal="right" vertical="center"/>
    </xf>
    <xf numFmtId="0" fontId="20" fillId="0" borderId="0" xfId="0" applyFont="1" applyAlignment="1">
      <alignment horizontal="center" vertical="center" wrapText="1"/>
    </xf>
    <xf numFmtId="0" fontId="21" fillId="0" borderId="0" xfId="0" applyFont="1" applyAlignment="1">
      <alignment horizontal="center"/>
    </xf>
    <xf numFmtId="0" fontId="14" fillId="0" borderId="0" xfId="0" applyFont="1" applyAlignment="1">
      <alignment vertical="center"/>
    </xf>
    <xf numFmtId="0" fontId="22" fillId="0" borderId="0" xfId="0" applyFont="1" applyAlignment="1">
      <alignment horizontal="center" vertical="center"/>
    </xf>
    <xf numFmtId="9" fontId="9" fillId="5" borderId="20" xfId="1" applyFont="1" applyFill="1" applyBorder="1" applyAlignment="1">
      <alignment horizontal="center"/>
    </xf>
    <xf numFmtId="9" fontId="9" fillId="0" borderId="20" xfId="1" applyFont="1" applyBorder="1" applyAlignment="1">
      <alignment horizontal="center"/>
    </xf>
    <xf numFmtId="9" fontId="9" fillId="0" borderId="22" xfId="1" applyFont="1" applyBorder="1" applyAlignment="1">
      <alignment horizontal="center"/>
    </xf>
    <xf numFmtId="0" fontId="22" fillId="4" borderId="0" xfId="0" applyFont="1" applyFill="1" applyAlignment="1">
      <alignment horizontal="center" vertical="center"/>
    </xf>
    <xf numFmtId="9" fontId="22" fillId="4" borderId="0" xfId="0" applyNumberFormat="1" applyFont="1" applyFill="1" applyAlignment="1">
      <alignment horizontal="center" vertical="center"/>
    </xf>
    <xf numFmtId="0" fontId="0" fillId="0" borderId="0" xfId="0" applyAlignment="1">
      <alignment horizontal="right" indent="1"/>
    </xf>
    <xf numFmtId="9" fontId="20" fillId="0" borderId="0" xfId="1" applyFont="1" applyFill="1" applyBorder="1" applyAlignment="1">
      <alignment horizontal="center" vertical="center" wrapText="1"/>
    </xf>
    <xf numFmtId="9" fontId="13" fillId="0" borderId="0" xfId="1" applyFont="1" applyFill="1" applyBorder="1" applyAlignment="1">
      <alignment horizontal="center" vertical="center" wrapText="1"/>
    </xf>
    <xf numFmtId="9" fontId="0" fillId="0" borderId="0" xfId="1" applyFont="1" applyFill="1" applyBorder="1" applyAlignment="1">
      <alignment horizontal="center" vertical="center"/>
    </xf>
    <xf numFmtId="9" fontId="9" fillId="5" borderId="24" xfId="1" applyFont="1" applyFill="1" applyBorder="1" applyAlignment="1">
      <alignment horizontal="center" vertical="center"/>
    </xf>
    <xf numFmtId="9" fontId="9" fillId="5" borderId="20" xfId="1" applyFont="1" applyFill="1" applyBorder="1" applyAlignment="1">
      <alignment horizontal="center" vertical="center"/>
    </xf>
    <xf numFmtId="9" fontId="9" fillId="0" borderId="0" xfId="1" applyFont="1" applyFill="1" applyBorder="1" applyAlignment="1">
      <alignment horizontal="center" vertical="center"/>
    </xf>
    <xf numFmtId="9" fontId="9" fillId="5" borderId="23" xfId="1" applyFont="1" applyFill="1" applyBorder="1" applyAlignment="1">
      <alignment horizontal="center" vertical="center"/>
    </xf>
    <xf numFmtId="9" fontId="9" fillId="0" borderId="24" xfId="1" applyFont="1" applyBorder="1" applyAlignment="1">
      <alignment horizontal="center" vertical="center"/>
    </xf>
    <xf numFmtId="9" fontId="9" fillId="0" borderId="20" xfId="1" applyFont="1" applyBorder="1" applyAlignment="1">
      <alignment horizontal="center" vertical="center"/>
    </xf>
    <xf numFmtId="9" fontId="9" fillId="0" borderId="23" xfId="1" applyFont="1" applyBorder="1" applyAlignment="1">
      <alignment horizontal="center" vertical="center"/>
    </xf>
    <xf numFmtId="9" fontId="0" fillId="0" borderId="0" xfId="1" applyFont="1" applyAlignment="1">
      <alignment horizontal="center" vertical="center"/>
    </xf>
    <xf numFmtId="0" fontId="25" fillId="0" borderId="0" xfId="0" applyFont="1" applyAlignment="1">
      <alignment horizontal="center" vertical="center" wrapText="1"/>
    </xf>
    <xf numFmtId="0" fontId="27" fillId="9" borderId="30" xfId="0" applyFont="1" applyFill="1" applyBorder="1" applyAlignment="1">
      <alignment horizontal="left" vertical="center" wrapText="1"/>
    </xf>
    <xf numFmtId="0" fontId="28" fillId="0" borderId="0" xfId="0" applyFont="1" applyAlignment="1">
      <alignment vertical="center" wrapText="1"/>
    </xf>
    <xf numFmtId="0" fontId="32" fillId="7" borderId="0" xfId="0" applyFont="1" applyFill="1" applyAlignment="1">
      <alignment horizontal="center" vertical="center"/>
    </xf>
    <xf numFmtId="9" fontId="32" fillId="0" borderId="0" xfId="1" applyFont="1" applyAlignment="1">
      <alignment horizontal="center" vertical="center"/>
    </xf>
    <xf numFmtId="0" fontId="0" fillId="7" borderId="0" xfId="0" applyFill="1" applyAlignment="1">
      <alignment horizontal="center" vertical="center"/>
    </xf>
    <xf numFmtId="0" fontId="15" fillId="0" borderId="20" xfId="0" applyFont="1" applyBorder="1" applyAlignment="1">
      <alignment horizontal="left" vertical="center"/>
    </xf>
    <xf numFmtId="0" fontId="16" fillId="0" borderId="20" xfId="0" applyFont="1" applyBorder="1" applyAlignment="1">
      <alignment horizontal="right" vertical="center"/>
    </xf>
    <xf numFmtId="0" fontId="10" fillId="0" borderId="0" xfId="0" applyFont="1" applyAlignment="1">
      <alignment horizontal="center" vertical="center"/>
    </xf>
    <xf numFmtId="0" fontId="15" fillId="6" borderId="20" xfId="0" applyFont="1" applyFill="1" applyBorder="1" applyAlignment="1">
      <alignment horizontal="left" vertical="center"/>
    </xf>
    <xf numFmtId="0" fontId="16" fillId="6" borderId="20" xfId="0" applyFont="1" applyFill="1" applyBorder="1" applyAlignment="1">
      <alignment horizontal="right" vertical="center"/>
    </xf>
    <xf numFmtId="0" fontId="6" fillId="5" borderId="20" xfId="0" applyFont="1" applyFill="1" applyBorder="1" applyAlignment="1">
      <alignment horizontal="right" vertical="center"/>
    </xf>
    <xf numFmtId="0" fontId="0" fillId="0" borderId="0" xfId="0" applyAlignment="1">
      <alignment vertical="center"/>
    </xf>
    <xf numFmtId="0" fontId="6" fillId="5" borderId="20" xfId="0" applyFont="1" applyFill="1" applyBorder="1" applyAlignment="1">
      <alignment vertical="center" wrapText="1"/>
    </xf>
    <xf numFmtId="0" fontId="6" fillId="0" borderId="20" xfId="0" applyFont="1" applyBorder="1" applyAlignment="1">
      <alignment vertical="center" wrapText="1"/>
    </xf>
    <xf numFmtId="0" fontId="6" fillId="0" borderId="0" xfId="0" applyFont="1" applyAlignment="1">
      <alignment vertical="center"/>
    </xf>
    <xf numFmtId="0" fontId="6" fillId="0" borderId="20" xfId="0" applyFont="1" applyBorder="1" applyAlignment="1">
      <alignment horizontal="right" vertical="center"/>
    </xf>
    <xf numFmtId="0" fontId="32" fillId="8" borderId="0" xfId="0" applyFont="1" applyFill="1" applyAlignment="1">
      <alignment horizontal="center" vertical="center"/>
    </xf>
    <xf numFmtId="164" fontId="0" fillId="0" borderId="0" xfId="0" applyNumberFormat="1" applyAlignment="1">
      <alignment horizontal="center" vertical="center"/>
    </xf>
    <xf numFmtId="0" fontId="7" fillId="6" borderId="22" xfId="0" applyFont="1" applyFill="1" applyBorder="1" applyAlignment="1">
      <alignment horizontal="center" vertical="center"/>
    </xf>
    <xf numFmtId="49" fontId="6" fillId="5" borderId="20" xfId="0" applyNumberFormat="1" applyFont="1" applyFill="1" applyBorder="1" applyAlignment="1">
      <alignment vertical="center"/>
    </xf>
    <xf numFmtId="0" fontId="34" fillId="0" borderId="20" xfId="0" applyFont="1" applyBorder="1" applyAlignment="1">
      <alignment horizontal="center" vertical="center"/>
    </xf>
    <xf numFmtId="0" fontId="34" fillId="6" borderId="20" xfId="0" applyFont="1" applyFill="1" applyBorder="1" applyAlignment="1">
      <alignment horizontal="center" vertical="center"/>
    </xf>
    <xf numFmtId="9" fontId="33" fillId="4" borderId="20" xfId="0" applyNumberFormat="1" applyFont="1" applyFill="1" applyBorder="1" applyAlignment="1">
      <alignment horizontal="center" vertical="center"/>
    </xf>
    <xf numFmtId="9" fontId="33" fillId="4" borderId="20" xfId="1" applyFont="1" applyFill="1" applyBorder="1" applyAlignment="1">
      <alignment horizontal="center" vertical="center"/>
    </xf>
    <xf numFmtId="9" fontId="34" fillId="6" borderId="20" xfId="1" applyFont="1" applyFill="1" applyBorder="1" applyAlignment="1">
      <alignment horizontal="center" vertical="center"/>
    </xf>
    <xf numFmtId="9" fontId="35" fillId="5" borderId="20" xfId="1" applyFont="1" applyFill="1" applyBorder="1" applyAlignment="1">
      <alignment horizontal="center" vertical="center"/>
    </xf>
    <xf numFmtId="9" fontId="35" fillId="0" borderId="20" xfId="1" applyFont="1" applyBorder="1" applyAlignment="1">
      <alignment horizontal="center" vertical="center"/>
    </xf>
    <xf numFmtId="9" fontId="35" fillId="5" borderId="20" xfId="0" applyNumberFormat="1" applyFont="1" applyFill="1" applyBorder="1" applyAlignment="1">
      <alignment horizontal="center" vertical="center"/>
    </xf>
    <xf numFmtId="9" fontId="35" fillId="0" borderId="20" xfId="0" applyNumberFormat="1" applyFont="1" applyBorder="1" applyAlignment="1">
      <alignment horizontal="center" vertical="center"/>
    </xf>
    <xf numFmtId="0" fontId="32" fillId="0" borderId="0" xfId="0" applyFont="1" applyAlignment="1">
      <alignment horizontal="center"/>
    </xf>
    <xf numFmtId="164" fontId="5" fillId="0" borderId="0" xfId="0" applyNumberFormat="1" applyFont="1" applyAlignment="1">
      <alignment horizontal="center" vertical="center"/>
    </xf>
    <xf numFmtId="10" fontId="0" fillId="0" borderId="0" xfId="1" applyNumberFormat="1" applyFont="1" applyFill="1" applyBorder="1"/>
    <xf numFmtId="9" fontId="37" fillId="5" borderId="23" xfId="1" applyFont="1" applyFill="1" applyBorder="1" applyAlignment="1">
      <alignment horizontal="center" vertical="center"/>
    </xf>
    <xf numFmtId="9" fontId="37" fillId="0" borderId="23" xfId="1" applyFont="1" applyBorder="1" applyAlignment="1">
      <alignment horizontal="center" vertical="center"/>
    </xf>
    <xf numFmtId="9" fontId="37" fillId="0" borderId="0" xfId="1" applyFont="1" applyFill="1" applyBorder="1" applyAlignment="1">
      <alignment horizontal="center" vertical="center"/>
    </xf>
    <xf numFmtId="0" fontId="16" fillId="0" borderId="0" xfId="0" applyFont="1" applyAlignment="1">
      <alignment vertical="center" wrapText="1"/>
    </xf>
    <xf numFmtId="9" fontId="12" fillId="13" borderId="20" xfId="1" applyFont="1" applyFill="1" applyBorder="1" applyAlignment="1">
      <alignment horizontal="center" vertical="center"/>
    </xf>
    <xf numFmtId="9" fontId="7" fillId="12" borderId="20" xfId="1" applyFont="1" applyFill="1" applyBorder="1" applyAlignment="1">
      <alignment horizontal="center" vertical="center" wrapText="1"/>
    </xf>
    <xf numFmtId="9" fontId="7" fillId="0" borderId="20" xfId="1" applyFont="1" applyBorder="1" applyAlignment="1">
      <alignment horizontal="center" vertical="center" wrapText="1"/>
    </xf>
    <xf numFmtId="0" fontId="7" fillId="11" borderId="20" xfId="0" applyFont="1" applyFill="1" applyBorder="1" applyAlignment="1">
      <alignment horizontal="center" vertical="center"/>
    </xf>
    <xf numFmtId="0" fontId="5" fillId="0" borderId="0" xfId="0" applyFont="1" applyAlignment="1">
      <alignment horizontal="center" vertical="center" wrapText="1"/>
    </xf>
    <xf numFmtId="9" fontId="33" fillId="13" borderId="20" xfId="1" applyFont="1" applyFill="1" applyBorder="1" applyAlignment="1">
      <alignment horizontal="center" vertical="center"/>
    </xf>
    <xf numFmtId="0" fontId="34" fillId="11" borderId="20" xfId="0" applyFont="1" applyFill="1" applyBorder="1" applyAlignment="1">
      <alignment horizontal="center" vertical="center"/>
    </xf>
    <xf numFmtId="9" fontId="34" fillId="11" borderId="20" xfId="1" applyFont="1" applyFill="1" applyBorder="1" applyAlignment="1">
      <alignment horizontal="center" vertical="center"/>
    </xf>
    <xf numFmtId="9" fontId="34" fillId="12" borderId="20" xfId="1" applyFont="1" applyFill="1" applyBorder="1" applyAlignment="1">
      <alignment horizontal="center" vertical="center" wrapText="1"/>
    </xf>
    <xf numFmtId="9" fontId="34" fillId="0" borderId="20" xfId="1" applyFont="1" applyBorder="1" applyAlignment="1">
      <alignment horizontal="center" vertical="center" wrapText="1"/>
    </xf>
    <xf numFmtId="0" fontId="38" fillId="0" borderId="0" xfId="0" applyFont="1" applyAlignment="1">
      <alignment horizontal="center" vertical="center" wrapText="1"/>
    </xf>
    <xf numFmtId="49" fontId="6" fillId="5" borderId="20" xfId="0" applyNumberFormat="1" applyFont="1" applyFill="1" applyBorder="1" applyAlignment="1">
      <alignment horizontal="right" vertical="center"/>
    </xf>
    <xf numFmtId="0" fontId="4" fillId="0" borderId="0" xfId="4"/>
    <xf numFmtId="0" fontId="4" fillId="7" borderId="0" xfId="4" applyFill="1"/>
    <xf numFmtId="9" fontId="5" fillId="0" borderId="0" xfId="1" applyFont="1" applyAlignment="1">
      <alignment horizontal="center" vertical="center"/>
    </xf>
    <xf numFmtId="0" fontId="41" fillId="0" borderId="0" xfId="0" applyFont="1" applyAlignment="1">
      <alignment horizontal="center" vertical="center"/>
    </xf>
    <xf numFmtId="9" fontId="41" fillId="0" borderId="32" xfId="1" applyFont="1" applyBorder="1" applyAlignment="1">
      <alignment horizontal="center" vertical="center"/>
    </xf>
    <xf numFmtId="0" fontId="41" fillId="14" borderId="32" xfId="0" applyFont="1" applyFill="1" applyBorder="1" applyAlignment="1">
      <alignment horizontal="center" vertical="center"/>
    </xf>
    <xf numFmtId="10" fontId="0" fillId="8" borderId="0" xfId="1" applyNumberFormat="1" applyFont="1" applyFill="1" applyBorder="1"/>
    <xf numFmtId="9" fontId="9" fillId="0" borderId="23" xfId="1" applyFont="1" applyBorder="1" applyAlignment="1">
      <alignment horizontal="center"/>
    </xf>
    <xf numFmtId="9" fontId="9" fillId="5" borderId="23" xfId="1" applyFont="1" applyFill="1" applyBorder="1" applyAlignment="1">
      <alignment horizontal="center"/>
    </xf>
    <xf numFmtId="9" fontId="9" fillId="0" borderId="25" xfId="1" applyFont="1" applyBorder="1" applyAlignment="1">
      <alignment horizontal="center"/>
    </xf>
    <xf numFmtId="9" fontId="9" fillId="0" borderId="24" xfId="1" applyFont="1" applyBorder="1" applyAlignment="1">
      <alignment horizontal="center"/>
    </xf>
    <xf numFmtId="9" fontId="9" fillId="5" borderId="24" xfId="1" applyFont="1" applyFill="1" applyBorder="1" applyAlignment="1">
      <alignment horizontal="center"/>
    </xf>
    <xf numFmtId="9" fontId="9" fillId="0" borderId="26" xfId="1" applyFont="1" applyBorder="1" applyAlignment="1">
      <alignment horizontal="center"/>
    </xf>
    <xf numFmtId="0" fontId="12" fillId="8" borderId="0" xfId="0" applyFont="1" applyFill="1" applyAlignment="1">
      <alignment horizontal="center" vertical="center" wrapText="1"/>
    </xf>
    <xf numFmtId="9" fontId="9" fillId="8" borderId="0" xfId="1" applyFont="1" applyFill="1" applyBorder="1" applyAlignment="1">
      <alignment horizontal="center"/>
    </xf>
    <xf numFmtId="0" fontId="12" fillId="4" borderId="37" xfId="0" applyFont="1" applyFill="1" applyBorder="1" applyAlignment="1">
      <alignment horizontal="center" vertical="center" wrapText="1"/>
    </xf>
    <xf numFmtId="0" fontId="12" fillId="4" borderId="37" xfId="0" applyFont="1" applyFill="1" applyBorder="1" applyAlignment="1">
      <alignment horizontal="left" vertical="center" wrapText="1"/>
    </xf>
    <xf numFmtId="10" fontId="12" fillId="4" borderId="37" xfId="0" applyNumberFormat="1" applyFont="1" applyFill="1" applyBorder="1" applyAlignment="1">
      <alignment horizontal="center" vertical="center" wrapText="1"/>
    </xf>
    <xf numFmtId="0" fontId="16" fillId="0" borderId="37" xfId="0" applyFont="1" applyBorder="1" applyAlignment="1">
      <alignment horizontal="center" vertical="center" wrapText="1"/>
    </xf>
    <xf numFmtId="0" fontId="16" fillId="0" borderId="37" xfId="0" applyFont="1" applyBorder="1" applyAlignment="1">
      <alignment horizontal="left" vertical="center" wrapText="1"/>
    </xf>
    <xf numFmtId="0" fontId="26" fillId="0" borderId="37" xfId="0" applyFont="1" applyBorder="1" applyAlignment="1">
      <alignment horizontal="left" vertical="center" wrapText="1"/>
    </xf>
    <xf numFmtId="0" fontId="29" fillId="0" borderId="37" xfId="0" applyFont="1" applyBorder="1" applyAlignment="1">
      <alignment horizontal="left" wrapText="1"/>
    </xf>
    <xf numFmtId="2" fontId="16" fillId="0" borderId="37" xfId="0" applyNumberFormat="1" applyFont="1" applyBorder="1" applyAlignment="1">
      <alignment horizontal="center" vertical="center" wrapText="1"/>
    </xf>
    <xf numFmtId="49" fontId="16" fillId="0" borderId="37" xfId="0" applyNumberFormat="1" applyFont="1" applyBorder="1" applyAlignment="1">
      <alignment horizontal="center" vertical="center" wrapText="1"/>
    </xf>
    <xf numFmtId="0" fontId="16" fillId="0" borderId="37" xfId="0" applyFont="1" applyBorder="1" applyAlignment="1">
      <alignment vertical="center" wrapText="1"/>
    </xf>
    <xf numFmtId="9" fontId="16" fillId="0" borderId="37" xfId="0" applyNumberFormat="1" applyFont="1" applyBorder="1" applyAlignment="1">
      <alignment horizontal="center" vertical="center" wrapText="1"/>
    </xf>
    <xf numFmtId="0" fontId="22" fillId="13" borderId="0" xfId="0" applyFont="1" applyFill="1"/>
    <xf numFmtId="0" fontId="31" fillId="16" borderId="29" xfId="2" quotePrefix="1" applyFill="1" applyBorder="1"/>
    <xf numFmtId="0" fontId="0" fillId="16" borderId="29" xfId="0" applyFill="1" applyBorder="1"/>
    <xf numFmtId="0" fontId="10" fillId="0" borderId="0" xfId="4" applyFont="1"/>
    <xf numFmtId="0" fontId="4" fillId="17" borderId="0" xfId="4" applyFill="1"/>
    <xf numFmtId="0" fontId="0" fillId="17" borderId="0" xfId="0" applyFill="1"/>
    <xf numFmtId="9" fontId="4" fillId="17" borderId="0" xfId="4" applyNumberFormat="1" applyFill="1"/>
    <xf numFmtId="0" fontId="5" fillId="17" borderId="0" xfId="0" applyFont="1" applyFill="1"/>
    <xf numFmtId="9" fontId="10" fillId="17" borderId="0" xfId="1" applyFont="1" applyFill="1"/>
    <xf numFmtId="9" fontId="40" fillId="17" borderId="0" xfId="1" applyFont="1" applyFill="1"/>
    <xf numFmtId="0" fontId="7" fillId="11" borderId="22" xfId="0" applyFont="1" applyFill="1" applyBorder="1" applyAlignment="1">
      <alignment horizontal="center" vertical="center"/>
    </xf>
    <xf numFmtId="0" fontId="41" fillId="14" borderId="0" xfId="0" applyFont="1" applyFill="1" applyAlignment="1">
      <alignment horizontal="center" vertical="center"/>
    </xf>
    <xf numFmtId="9" fontId="41" fillId="0" borderId="0" xfId="1" applyFont="1" applyBorder="1" applyAlignment="1">
      <alignment horizontal="center" vertical="center"/>
    </xf>
    <xf numFmtId="0" fontId="42" fillId="14" borderId="0" xfId="0" applyFont="1" applyFill="1" applyAlignment="1">
      <alignment horizontal="center" vertical="center"/>
    </xf>
    <xf numFmtId="0" fontId="42" fillId="14" borderId="32" xfId="0" applyFont="1" applyFill="1" applyBorder="1" applyAlignment="1">
      <alignment horizontal="center" vertical="center"/>
    </xf>
    <xf numFmtId="0" fontId="12" fillId="15" borderId="37" xfId="0" applyFont="1" applyFill="1" applyBorder="1" applyAlignment="1">
      <alignment vertical="center"/>
    </xf>
    <xf numFmtId="0" fontId="12" fillId="15" borderId="37" xfId="0" applyFont="1" applyFill="1" applyBorder="1" applyAlignment="1">
      <alignment vertical="center" wrapText="1"/>
    </xf>
    <xf numFmtId="0" fontId="12" fillId="15" borderId="37" xfId="0" applyFont="1" applyFill="1" applyBorder="1" applyAlignment="1">
      <alignment horizontal="left" vertical="center" wrapText="1"/>
    </xf>
    <xf numFmtId="10" fontId="12" fillId="15" borderId="37" xfId="0" applyNumberFormat="1" applyFont="1" applyFill="1" applyBorder="1" applyAlignment="1">
      <alignment horizontal="left" vertical="center" wrapText="1"/>
    </xf>
    <xf numFmtId="0" fontId="12" fillId="10" borderId="37" xfId="0" applyFont="1" applyFill="1" applyBorder="1" applyAlignment="1">
      <alignment vertical="center"/>
    </xf>
    <xf numFmtId="0" fontId="12" fillId="10" borderId="37" xfId="0" applyFont="1" applyFill="1" applyBorder="1" applyAlignment="1">
      <alignment vertical="center" wrapText="1"/>
    </xf>
    <xf numFmtId="0" fontId="12" fillId="10" borderId="37" xfId="0" applyFont="1" applyFill="1" applyBorder="1" applyAlignment="1">
      <alignment horizontal="left" vertical="center" wrapText="1"/>
    </xf>
    <xf numFmtId="10" fontId="12" fillId="10" borderId="37" xfId="0" applyNumberFormat="1" applyFont="1" applyFill="1" applyBorder="1" applyAlignment="1">
      <alignment horizontal="left" vertical="center" wrapText="1"/>
    </xf>
    <xf numFmtId="0" fontId="12" fillId="18" borderId="37" xfId="0" applyFont="1" applyFill="1" applyBorder="1" applyAlignment="1">
      <alignment vertical="center"/>
    </xf>
    <xf numFmtId="0" fontId="12" fillId="18" borderId="37" xfId="0" applyFont="1" applyFill="1" applyBorder="1" applyAlignment="1">
      <alignment vertical="center" wrapText="1"/>
    </xf>
    <xf numFmtId="0" fontId="12" fillId="18" borderId="37" xfId="0" applyFont="1" applyFill="1" applyBorder="1" applyAlignment="1">
      <alignment horizontal="left" vertical="center" wrapText="1"/>
    </xf>
    <xf numFmtId="10" fontId="12" fillId="18" borderId="37" xfId="0" applyNumberFormat="1" applyFont="1" applyFill="1" applyBorder="1" applyAlignment="1">
      <alignment horizontal="left" vertical="center" wrapText="1"/>
    </xf>
    <xf numFmtId="0" fontId="12" fillId="19" borderId="37" xfId="0" applyFont="1" applyFill="1" applyBorder="1" applyAlignment="1">
      <alignment vertical="center"/>
    </xf>
    <xf numFmtId="0" fontId="12" fillId="19" borderId="37" xfId="0" applyFont="1" applyFill="1" applyBorder="1" applyAlignment="1">
      <alignment vertical="center" wrapText="1"/>
    </xf>
    <xf numFmtId="0" fontId="12" fillId="19" borderId="37" xfId="0" applyFont="1" applyFill="1" applyBorder="1" applyAlignment="1">
      <alignment horizontal="left" vertical="center" wrapText="1"/>
    </xf>
    <xf numFmtId="10" fontId="12" fillId="19" borderId="37" xfId="0" applyNumberFormat="1" applyFont="1" applyFill="1" applyBorder="1" applyAlignment="1">
      <alignment horizontal="left" vertical="center" wrapText="1"/>
    </xf>
    <xf numFmtId="9" fontId="0" fillId="0" borderId="0" xfId="0" applyNumberFormat="1"/>
    <xf numFmtId="9" fontId="0" fillId="0" borderId="0" xfId="0" applyNumberFormat="1" applyAlignment="1">
      <alignment horizontal="center" vertical="center"/>
    </xf>
    <xf numFmtId="1" fontId="41" fillId="0" borderId="0" xfId="1" applyNumberFormat="1" applyFont="1" applyBorder="1" applyAlignment="1">
      <alignment horizontal="center" vertical="center"/>
    </xf>
    <xf numFmtId="1" fontId="0" fillId="0" borderId="0" xfId="0" applyNumberFormat="1" applyAlignment="1">
      <alignment horizontal="center" vertical="center"/>
    </xf>
    <xf numFmtId="9" fontId="5" fillId="0" borderId="0" xfId="0" applyNumberFormat="1" applyFont="1" applyAlignment="1">
      <alignment horizontal="center" vertical="center"/>
    </xf>
    <xf numFmtId="9" fontId="43" fillId="0" borderId="20" xfId="0" applyNumberFormat="1" applyFont="1" applyBorder="1" applyAlignment="1">
      <alignment horizontal="center" vertical="center"/>
    </xf>
    <xf numFmtId="0" fontId="44" fillId="0" borderId="0" xfId="0" applyFont="1" applyAlignment="1">
      <alignment vertical="center"/>
    </xf>
    <xf numFmtId="9" fontId="43" fillId="5" borderId="20" xfId="0" applyNumberFormat="1" applyFont="1" applyFill="1" applyBorder="1" applyAlignment="1">
      <alignment horizontal="center" vertical="center"/>
    </xf>
    <xf numFmtId="0" fontId="45" fillId="20" borderId="0" xfId="0" applyFont="1" applyFill="1" applyAlignment="1">
      <alignment horizontal="center" vertical="center"/>
    </xf>
    <xf numFmtId="165" fontId="9" fillId="0" borderId="20" xfId="1" applyNumberFormat="1" applyFont="1" applyBorder="1" applyAlignment="1">
      <alignment horizontal="center"/>
    </xf>
    <xf numFmtId="165" fontId="9" fillId="5" borderId="20" xfId="1" applyNumberFormat="1" applyFont="1" applyFill="1" applyBorder="1" applyAlignment="1">
      <alignment horizontal="center"/>
    </xf>
    <xf numFmtId="165" fontId="9" fillId="0" borderId="22" xfId="1" applyNumberFormat="1" applyFont="1" applyBorder="1" applyAlignment="1">
      <alignment horizontal="center"/>
    </xf>
    <xf numFmtId="165" fontId="9" fillId="0" borderId="24" xfId="1" applyNumberFormat="1" applyFont="1" applyBorder="1" applyAlignment="1">
      <alignment horizontal="center"/>
    </xf>
    <xf numFmtId="165" fontId="9" fillId="5" borderId="24" xfId="1" applyNumberFormat="1" applyFont="1" applyFill="1" applyBorder="1" applyAlignment="1">
      <alignment horizontal="center"/>
    </xf>
    <xf numFmtId="165" fontId="9" fillId="0" borderId="26" xfId="1" applyNumberFormat="1" applyFont="1" applyBorder="1" applyAlignment="1">
      <alignment horizontal="center"/>
    </xf>
    <xf numFmtId="165" fontId="9" fillId="0" borderId="23" xfId="1" applyNumberFormat="1" applyFont="1" applyBorder="1" applyAlignment="1">
      <alignment horizontal="center"/>
    </xf>
    <xf numFmtId="165" fontId="9" fillId="5" borderId="23" xfId="1" applyNumberFormat="1" applyFont="1" applyFill="1" applyBorder="1" applyAlignment="1">
      <alignment horizontal="center"/>
    </xf>
    <xf numFmtId="165" fontId="9" fillId="0" borderId="25" xfId="1" applyNumberFormat="1" applyFont="1" applyBorder="1" applyAlignment="1">
      <alignment horizontal="center"/>
    </xf>
    <xf numFmtId="166" fontId="0" fillId="0" borderId="0" xfId="0" applyNumberFormat="1"/>
    <xf numFmtId="0" fontId="46" fillId="0" borderId="0" xfId="0" applyFont="1" applyAlignment="1">
      <alignment horizontal="center" vertical="center"/>
    </xf>
    <xf numFmtId="0" fontId="47" fillId="0" borderId="0" xfId="0" applyFont="1" applyAlignment="1">
      <alignment horizontal="center" vertical="center"/>
    </xf>
    <xf numFmtId="9" fontId="9" fillId="0" borderId="0" xfId="1" applyFont="1" applyAlignment="1">
      <alignment horizontal="center" vertical="center"/>
    </xf>
    <xf numFmtId="0" fontId="31" fillId="2" borderId="29" xfId="2" quotePrefix="1" applyFill="1" applyBorder="1"/>
    <xf numFmtId="0" fontId="48" fillId="2" borderId="29" xfId="0" applyFont="1" applyFill="1" applyBorder="1"/>
    <xf numFmtId="0" fontId="0" fillId="2" borderId="29" xfId="0" applyFill="1" applyBorder="1"/>
    <xf numFmtId="0" fontId="0" fillId="21" borderId="29" xfId="0" applyFill="1" applyBorder="1"/>
    <xf numFmtId="0" fontId="31" fillId="22" borderId="29" xfId="2" quotePrefix="1" applyFill="1" applyBorder="1"/>
    <xf numFmtId="0" fontId="0" fillId="22" borderId="29" xfId="0" applyFill="1" applyBorder="1"/>
    <xf numFmtId="0" fontId="15" fillId="0" borderId="22" xfId="0" applyFont="1" applyBorder="1" applyAlignment="1">
      <alignment horizontal="left" vertical="center"/>
    </xf>
    <xf numFmtId="0" fontId="16" fillId="0" borderId="22" xfId="0" applyFont="1" applyBorder="1" applyAlignment="1">
      <alignment horizontal="right" vertical="center"/>
    </xf>
    <xf numFmtId="0" fontId="34" fillId="0" borderId="22" xfId="0" applyFont="1" applyBorder="1" applyAlignment="1">
      <alignment horizontal="center" vertical="center"/>
    </xf>
    <xf numFmtId="0" fontId="15" fillId="5" borderId="0" xfId="0" applyFont="1" applyFill="1" applyAlignment="1">
      <alignment horizontal="left" vertical="center"/>
    </xf>
    <xf numFmtId="0" fontId="16" fillId="5" borderId="0" xfId="0" applyFont="1" applyFill="1" applyAlignment="1">
      <alignment horizontal="right" vertical="center"/>
    </xf>
    <xf numFmtId="0" fontId="34" fillId="5" borderId="0" xfId="0" applyFont="1" applyFill="1" applyAlignment="1">
      <alignment horizontal="center" vertical="center"/>
    </xf>
    <xf numFmtId="0" fontId="10" fillId="5" borderId="0" xfId="0" applyFont="1" applyFill="1" applyAlignment="1">
      <alignment horizontal="center" vertical="center"/>
    </xf>
    <xf numFmtId="0" fontId="12" fillId="8" borderId="33"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29"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3" xfId="0" applyFont="1" applyFill="1" applyBorder="1" applyAlignment="1">
      <alignment horizontal="center" vertical="center"/>
    </xf>
    <xf numFmtId="0" fontId="12" fillId="4" borderId="41" xfId="0" applyFont="1" applyFill="1" applyBorder="1" applyAlignment="1">
      <alignment horizontal="center" vertical="center" wrapText="1"/>
    </xf>
    <xf numFmtId="0" fontId="18" fillId="4" borderId="44" xfId="0" applyFont="1" applyFill="1" applyBorder="1" applyAlignment="1">
      <alignment horizontal="center" vertical="center"/>
    </xf>
    <xf numFmtId="0" fontId="18" fillId="4" borderId="45" xfId="0" applyFont="1" applyFill="1" applyBorder="1" applyAlignment="1">
      <alignment horizontal="center" vertical="center"/>
    </xf>
    <xf numFmtId="0" fontId="18" fillId="4" borderId="46" xfId="0" applyFont="1" applyFill="1" applyBorder="1" applyAlignment="1">
      <alignment horizontal="center" vertical="center"/>
    </xf>
    <xf numFmtId="0" fontId="18" fillId="4" borderId="47" xfId="0" applyFont="1" applyFill="1" applyBorder="1" applyAlignment="1">
      <alignment horizontal="center" vertical="center"/>
    </xf>
    <xf numFmtId="0" fontId="12" fillId="4" borderId="42" xfId="0" applyFont="1" applyFill="1" applyBorder="1" applyAlignment="1">
      <alignment horizontal="center" vertical="center" wrapText="1"/>
    </xf>
    <xf numFmtId="0" fontId="13" fillId="4" borderId="29" xfId="0" applyFont="1" applyFill="1" applyBorder="1" applyAlignment="1">
      <alignment horizontal="center" vertical="center" wrapText="1"/>
    </xf>
    <xf numFmtId="9" fontId="13" fillId="4" borderId="29" xfId="1" applyFont="1" applyFill="1" applyBorder="1" applyAlignment="1">
      <alignment horizontal="center" vertical="center" wrapText="1"/>
    </xf>
    <xf numFmtId="9" fontId="12" fillId="4" borderId="29" xfId="1" applyFont="1" applyFill="1" applyBorder="1" applyAlignment="1">
      <alignment horizontal="center" vertical="center" wrapText="1"/>
    </xf>
    <xf numFmtId="0" fontId="22" fillId="4" borderId="29" xfId="0" applyFont="1" applyFill="1" applyBorder="1" applyAlignment="1">
      <alignment horizontal="center" vertical="center" wrapText="1"/>
    </xf>
    <xf numFmtId="0" fontId="22" fillId="4" borderId="46" xfId="0" applyFont="1" applyFill="1" applyBorder="1" applyAlignment="1">
      <alignment horizontal="center" vertical="center"/>
    </xf>
    <xf numFmtId="0" fontId="22" fillId="4" borderId="47" xfId="0" applyFont="1" applyFill="1" applyBorder="1" applyAlignment="1">
      <alignment horizontal="center" vertical="center"/>
    </xf>
    <xf numFmtId="0" fontId="22" fillId="4" borderId="44" xfId="0" applyFont="1" applyFill="1" applyBorder="1" applyAlignment="1">
      <alignment horizontal="center" vertical="center"/>
    </xf>
    <xf numFmtId="0" fontId="22" fillId="4" borderId="45" xfId="0" applyFont="1" applyFill="1" applyBorder="1" applyAlignment="1">
      <alignment horizontal="center" vertical="center"/>
    </xf>
    <xf numFmtId="164" fontId="22" fillId="4" borderId="29" xfId="0" applyNumberFormat="1" applyFont="1" applyFill="1" applyBorder="1" applyAlignment="1">
      <alignment horizontal="center" vertical="center" wrapText="1"/>
    </xf>
    <xf numFmtId="164" fontId="22" fillId="4" borderId="29" xfId="0" applyNumberFormat="1" applyFont="1" applyFill="1" applyBorder="1" applyAlignment="1">
      <alignment vertical="center" wrapText="1"/>
    </xf>
    <xf numFmtId="164" fontId="13" fillId="4" borderId="29" xfId="0" applyNumberFormat="1" applyFont="1" applyFill="1" applyBorder="1" applyAlignment="1">
      <alignment horizontal="center" vertical="center" wrapText="1"/>
    </xf>
    <xf numFmtId="164" fontId="12" fillId="4" borderId="29" xfId="0" applyNumberFormat="1" applyFont="1" applyFill="1" applyBorder="1" applyAlignment="1">
      <alignment horizontal="center" vertical="center" wrapText="1"/>
    </xf>
    <xf numFmtId="0" fontId="22" fillId="4" borderId="29" xfId="0" applyFont="1" applyFill="1" applyBorder="1" applyAlignment="1">
      <alignment horizontal="center" vertical="center"/>
    </xf>
    <xf numFmtId="0" fontId="22" fillId="4" borderId="44" xfId="0" applyFont="1" applyFill="1" applyBorder="1" applyAlignment="1">
      <alignment horizontal="center" vertical="center" wrapText="1"/>
    </xf>
    <xf numFmtId="0" fontId="22" fillId="4" borderId="45" xfId="0" applyFont="1" applyFill="1" applyBorder="1" applyAlignment="1">
      <alignment horizontal="center" vertical="center" wrapText="1"/>
    </xf>
    <xf numFmtId="0" fontId="22" fillId="4" borderId="46" xfId="0" applyFont="1" applyFill="1" applyBorder="1" applyAlignment="1">
      <alignment horizontal="center" vertical="center" wrapText="1"/>
    </xf>
    <xf numFmtId="0" fontId="22" fillId="4" borderId="47" xfId="0" applyFont="1" applyFill="1" applyBorder="1" applyAlignment="1">
      <alignment horizontal="center" vertical="center" wrapText="1"/>
    </xf>
    <xf numFmtId="0" fontId="12" fillId="4" borderId="43" xfId="0" applyFont="1" applyFill="1" applyBorder="1" applyAlignment="1">
      <alignment horizontal="center" vertical="center" wrapText="1"/>
    </xf>
    <xf numFmtId="9" fontId="5" fillId="5" borderId="20" xfId="1" applyFont="1" applyFill="1" applyBorder="1" applyAlignment="1">
      <alignment horizontal="center"/>
    </xf>
    <xf numFmtId="9" fontId="5" fillId="0" borderId="20" xfId="1" applyFont="1" applyBorder="1" applyAlignment="1">
      <alignment horizontal="center"/>
    </xf>
    <xf numFmtId="9" fontId="49" fillId="5" borderId="20" xfId="1" applyFont="1" applyFill="1" applyBorder="1" applyAlignment="1">
      <alignment horizontal="center"/>
    </xf>
    <xf numFmtId="0" fontId="12" fillId="0" borderId="33" xfId="0" applyFont="1" applyBorder="1" applyAlignment="1">
      <alignment horizontal="center" vertical="center"/>
    </xf>
    <xf numFmtId="9" fontId="12" fillId="4" borderId="29" xfId="1" applyFont="1" applyFill="1" applyBorder="1" applyAlignment="1">
      <alignment horizontal="center" vertical="center"/>
    </xf>
    <xf numFmtId="0" fontId="7" fillId="11" borderId="21" xfId="0" applyFont="1" applyFill="1" applyBorder="1" applyAlignment="1">
      <alignment horizontal="center" vertical="center"/>
    </xf>
    <xf numFmtId="0" fontId="7" fillId="6" borderId="21" xfId="0" applyFont="1" applyFill="1" applyBorder="1" applyAlignment="1">
      <alignment horizontal="center" vertical="center"/>
    </xf>
    <xf numFmtId="0" fontId="5" fillId="0" borderId="29" xfId="0" applyFont="1" applyBorder="1" applyAlignment="1">
      <alignment horizontal="center" vertical="center"/>
    </xf>
    <xf numFmtId="0" fontId="12" fillId="4" borderId="29" xfId="0" applyFont="1" applyFill="1" applyBorder="1" applyAlignment="1">
      <alignment horizontal="right" vertical="center"/>
    </xf>
    <xf numFmtId="0" fontId="12" fillId="4" borderId="29" xfId="0" applyFont="1" applyFill="1" applyBorder="1" applyAlignment="1">
      <alignment horizontal="center"/>
    </xf>
    <xf numFmtId="0" fontId="17" fillId="0" borderId="29" xfId="0" applyFont="1" applyBorder="1" applyAlignment="1">
      <alignment horizontal="center"/>
    </xf>
    <xf numFmtId="0" fontId="15" fillId="0" borderId="21" xfId="0" applyFont="1" applyBorder="1" applyAlignment="1">
      <alignment horizontal="left" vertical="center"/>
    </xf>
    <xf numFmtId="0" fontId="16" fillId="0" borderId="21" xfId="0" applyFont="1" applyBorder="1" applyAlignment="1">
      <alignment horizontal="right" vertical="center"/>
    </xf>
    <xf numFmtId="0" fontId="34" fillId="0" borderId="21" xfId="0" applyFont="1" applyBorder="1" applyAlignment="1">
      <alignment horizontal="center" vertical="center"/>
    </xf>
    <xf numFmtId="0" fontId="33" fillId="4" borderId="29" xfId="0" applyFont="1" applyFill="1" applyBorder="1" applyAlignment="1">
      <alignment horizontal="center" vertical="center"/>
    </xf>
    <xf numFmtId="0" fontId="12" fillId="4" borderId="29" xfId="0" applyFont="1" applyFill="1" applyBorder="1" applyAlignment="1">
      <alignment horizontal="left" vertical="center"/>
    </xf>
    <xf numFmtId="0" fontId="15" fillId="6" borderId="21" xfId="0" applyFont="1" applyFill="1" applyBorder="1" applyAlignment="1">
      <alignment horizontal="left" vertical="center"/>
    </xf>
    <xf numFmtId="0" fontId="16" fillId="6" borderId="21" xfId="0" applyFont="1" applyFill="1" applyBorder="1" applyAlignment="1">
      <alignment horizontal="right" vertical="center"/>
    </xf>
    <xf numFmtId="9" fontId="34" fillId="11" borderId="21" xfId="1" applyFont="1" applyFill="1" applyBorder="1" applyAlignment="1">
      <alignment horizontal="center" vertical="center"/>
    </xf>
    <xf numFmtId="9" fontId="34" fillId="6" borderId="21" xfId="1" applyFont="1" applyFill="1" applyBorder="1" applyAlignment="1">
      <alignment horizontal="center" vertical="center"/>
    </xf>
    <xf numFmtId="9" fontId="33" fillId="13" borderId="29" xfId="1" applyFont="1" applyFill="1" applyBorder="1" applyAlignment="1">
      <alignment horizontal="center" vertical="center"/>
    </xf>
    <xf numFmtId="9" fontId="33" fillId="4" borderId="29" xfId="0" applyNumberFormat="1" applyFont="1" applyFill="1" applyBorder="1" applyAlignment="1">
      <alignment horizontal="center" vertical="center"/>
    </xf>
    <xf numFmtId="9" fontId="33" fillId="4" borderId="29" xfId="1" applyFont="1" applyFill="1" applyBorder="1" applyAlignment="1">
      <alignment horizontal="center" vertical="center"/>
    </xf>
    <xf numFmtId="0" fontId="14" fillId="0" borderId="29" xfId="0" applyFont="1" applyBorder="1" applyAlignment="1">
      <alignment vertical="center"/>
    </xf>
    <xf numFmtId="0" fontId="11" fillId="0" borderId="21" xfId="0" applyFont="1" applyBorder="1" applyAlignment="1">
      <alignment horizontal="left"/>
    </xf>
    <xf numFmtId="165" fontId="9" fillId="0" borderId="21" xfId="1" applyNumberFormat="1" applyFont="1" applyBorder="1" applyAlignment="1">
      <alignment horizontal="center"/>
    </xf>
    <xf numFmtId="9" fontId="9" fillId="0" borderId="21" xfId="1" applyFont="1" applyBorder="1" applyAlignment="1">
      <alignment horizontal="center"/>
    </xf>
    <xf numFmtId="9" fontId="9" fillId="0" borderId="28" xfId="1" applyFont="1" applyBorder="1" applyAlignment="1">
      <alignment horizontal="center"/>
    </xf>
    <xf numFmtId="165" fontId="9" fillId="0" borderId="33" xfId="1" applyNumberFormat="1" applyFont="1" applyBorder="1" applyAlignment="1">
      <alignment horizontal="center"/>
    </xf>
    <xf numFmtId="9" fontId="9" fillId="0" borderId="33" xfId="1" applyFont="1" applyBorder="1" applyAlignment="1">
      <alignment horizontal="center"/>
    </xf>
    <xf numFmtId="165" fontId="9" fillId="0" borderId="28" xfId="1" applyNumberFormat="1" applyFont="1" applyBorder="1" applyAlignment="1">
      <alignment horizontal="center"/>
    </xf>
    <xf numFmtId="9" fontId="9" fillId="5" borderId="33" xfId="1" applyFont="1" applyFill="1" applyBorder="1" applyAlignment="1">
      <alignment horizontal="center"/>
    </xf>
    <xf numFmtId="9" fontId="9" fillId="0" borderId="33" xfId="1" applyFont="1" applyBorder="1" applyAlignment="1">
      <alignment horizontal="center" vertical="center"/>
    </xf>
    <xf numFmtId="9" fontId="9" fillId="0" borderId="21" xfId="1" applyFont="1" applyBorder="1" applyAlignment="1">
      <alignment horizontal="center" vertical="center"/>
    </xf>
    <xf numFmtId="9" fontId="9" fillId="0" borderId="28" xfId="1" applyFont="1" applyBorder="1" applyAlignment="1">
      <alignment horizontal="center" vertical="center"/>
    </xf>
    <xf numFmtId="9" fontId="5" fillId="0" borderId="21" xfId="1" applyFont="1" applyBorder="1" applyAlignment="1">
      <alignment horizontal="center"/>
    </xf>
    <xf numFmtId="0" fontId="31" fillId="21" borderId="29" xfId="2" quotePrefix="1" applyFill="1" applyBorder="1"/>
    <xf numFmtId="9" fontId="5" fillId="0" borderId="0" xfId="1" applyFont="1" applyFill="1" applyBorder="1" applyAlignment="1">
      <alignment horizontal="center" vertical="center"/>
    </xf>
    <xf numFmtId="0" fontId="13" fillId="4" borderId="42" xfId="0" applyFont="1" applyFill="1" applyBorder="1" applyAlignment="1">
      <alignment horizontal="center" vertical="center"/>
    </xf>
    <xf numFmtId="0" fontId="13" fillId="4" borderId="42" xfId="0" applyFont="1" applyFill="1" applyBorder="1" applyAlignment="1">
      <alignment horizontal="center" vertical="center" wrapText="1"/>
    </xf>
    <xf numFmtId="0" fontId="33" fillId="4" borderId="29" xfId="0" applyFont="1" applyFill="1" applyBorder="1" applyAlignment="1">
      <alignment horizontal="center"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9" fontId="0" fillId="0" borderId="0" xfId="0" applyNumberFormat="1" applyAlignment="1">
      <alignment horizontal="center"/>
    </xf>
    <xf numFmtId="165" fontId="12" fillId="4" borderId="29" xfId="1" applyNumberFormat="1" applyFont="1" applyFill="1" applyBorder="1" applyAlignment="1">
      <alignment horizontal="center" vertical="center" wrapText="1"/>
    </xf>
    <xf numFmtId="165" fontId="0" fillId="0" borderId="0" xfId="1" applyNumberFormat="1" applyFont="1" applyAlignment="1">
      <alignment horizontal="center" vertical="center"/>
    </xf>
    <xf numFmtId="165" fontId="13" fillId="4" borderId="29" xfId="1" applyNumberFormat="1" applyFont="1" applyFill="1" applyBorder="1" applyAlignment="1">
      <alignment horizontal="center" vertical="center" wrapText="1"/>
    </xf>
    <xf numFmtId="0" fontId="0" fillId="0" borderId="0" xfId="1" applyNumberFormat="1" applyFont="1" applyAlignment="1">
      <alignment horizontal="center" vertical="center"/>
    </xf>
    <xf numFmtId="0" fontId="9" fillId="0" borderId="0" xfId="1" applyNumberFormat="1" applyFont="1" applyAlignment="1">
      <alignment horizontal="center" vertical="center"/>
    </xf>
    <xf numFmtId="0" fontId="5" fillId="0" borderId="0" xfId="1" applyNumberFormat="1" applyFont="1" applyFill="1" applyBorder="1" applyAlignment="1">
      <alignment horizontal="center" vertical="center"/>
    </xf>
    <xf numFmtId="165" fontId="0" fillId="0" borderId="0" xfId="1" applyNumberFormat="1" applyFont="1" applyFill="1" applyBorder="1" applyAlignment="1">
      <alignment horizontal="center" vertical="center"/>
    </xf>
    <xf numFmtId="165" fontId="0" fillId="0" borderId="0" xfId="1" applyNumberFormat="1" applyFont="1" applyFill="1" applyAlignment="1">
      <alignment horizontal="center" vertical="center"/>
    </xf>
    <xf numFmtId="0" fontId="0" fillId="0" borderId="0" xfId="1" applyNumberFormat="1" applyFont="1" applyFill="1" applyAlignment="1">
      <alignment horizontal="center" vertical="center"/>
    </xf>
    <xf numFmtId="0" fontId="54" fillId="23" borderId="51" xfId="0" applyFont="1" applyFill="1" applyBorder="1" applyAlignment="1">
      <alignment horizontal="center" vertical="center"/>
    </xf>
    <xf numFmtId="0" fontId="54" fillId="23" borderId="29" xfId="0" applyFont="1" applyFill="1" applyBorder="1" applyAlignment="1">
      <alignment horizontal="center" vertical="center"/>
    </xf>
    <xf numFmtId="0" fontId="54" fillId="23" borderId="42" xfId="0" applyFont="1" applyFill="1" applyBorder="1" applyAlignment="1">
      <alignment horizontal="center" vertical="center"/>
    </xf>
    <xf numFmtId="0" fontId="55" fillId="24" borderId="0" xfId="0" applyFont="1" applyFill="1" applyAlignment="1">
      <alignment horizontal="left" vertical="center"/>
    </xf>
    <xf numFmtId="0" fontId="55" fillId="0" borderId="0" xfId="0" applyFont="1" applyAlignment="1">
      <alignment horizontal="center" vertical="center"/>
    </xf>
    <xf numFmtId="0" fontId="55" fillId="24" borderId="0" xfId="0" applyFont="1" applyFill="1" applyAlignment="1">
      <alignment horizontal="left"/>
    </xf>
    <xf numFmtId="9" fontId="55" fillId="0" borderId="0" xfId="5" applyFont="1" applyBorder="1" applyAlignment="1">
      <alignment horizontal="center" vertical="center"/>
    </xf>
    <xf numFmtId="0" fontId="54" fillId="23" borderId="0" xfId="0" applyFont="1" applyFill="1" applyAlignment="1">
      <alignment horizontal="center" vertical="center"/>
    </xf>
    <xf numFmtId="0" fontId="54" fillId="23" borderId="45" xfId="0" applyFont="1" applyFill="1" applyBorder="1" applyAlignment="1">
      <alignment horizontal="center" vertical="center"/>
    </xf>
    <xf numFmtId="0" fontId="0" fillId="0" borderId="50" xfId="0" applyBorder="1"/>
    <xf numFmtId="0" fontId="56" fillId="24" borderId="54" xfId="0" applyFont="1" applyFill="1" applyBorder="1" applyAlignment="1">
      <alignment horizontal="center" vertical="center"/>
    </xf>
    <xf numFmtId="0" fontId="56" fillId="24" borderId="54" xfId="0" applyFont="1" applyFill="1" applyBorder="1"/>
    <xf numFmtId="165" fontId="56" fillId="24" borderId="54" xfId="5" applyNumberFormat="1" applyFont="1" applyFill="1" applyBorder="1" applyAlignment="1">
      <alignment horizontal="center" vertical="center"/>
    </xf>
    <xf numFmtId="0" fontId="56" fillId="24" borderId="54" xfId="0" applyFont="1" applyFill="1" applyBorder="1" applyAlignment="1">
      <alignment vertical="center"/>
    </xf>
    <xf numFmtId="0" fontId="56" fillId="24" borderId="54" xfId="0" applyFont="1" applyFill="1" applyBorder="1" applyAlignment="1">
      <alignment horizontal="center"/>
    </xf>
    <xf numFmtId="9" fontId="0" fillId="0" borderId="0" xfId="1" applyFont="1"/>
    <xf numFmtId="165" fontId="57" fillId="0" borderId="0" xfId="8" applyNumberFormat="1" applyFont="1" applyFill="1" applyBorder="1" applyAlignment="1">
      <alignment horizontal="center"/>
    </xf>
    <xf numFmtId="9" fontId="57" fillId="0" borderId="0" xfId="1" applyFont="1" applyFill="1" applyBorder="1" applyAlignment="1">
      <alignment wrapText="1"/>
    </xf>
    <xf numFmtId="9" fontId="57" fillId="0" borderId="0" xfId="0" applyNumberFormat="1" applyFont="1" applyAlignment="1">
      <alignment wrapText="1"/>
    </xf>
    <xf numFmtId="4" fontId="54" fillId="23" borderId="55" xfId="8" applyNumberFormat="1" applyFont="1" applyFill="1" applyBorder="1" applyAlignment="1">
      <alignment horizontal="center" vertical="center" wrapText="1"/>
    </xf>
    <xf numFmtId="9" fontId="54" fillId="23" borderId="55" xfId="8" applyFont="1" applyFill="1" applyBorder="1" applyAlignment="1">
      <alignment horizontal="center" vertical="center" wrapText="1"/>
    </xf>
    <xf numFmtId="165" fontId="54" fillId="23" borderId="55" xfId="8" applyNumberFormat="1" applyFont="1" applyFill="1" applyBorder="1" applyAlignment="1">
      <alignment horizontal="center" vertical="center" wrapText="1"/>
    </xf>
    <xf numFmtId="9" fontId="4" fillId="0" borderId="0" xfId="1" applyFont="1"/>
    <xf numFmtId="9" fontId="0" fillId="7" borderId="0" xfId="1" applyFont="1" applyFill="1"/>
    <xf numFmtId="1" fontId="0" fillId="7" borderId="0" xfId="1" applyNumberFormat="1" applyFont="1" applyFill="1"/>
    <xf numFmtId="9" fontId="22" fillId="4" borderId="0" xfId="1" applyFont="1" applyFill="1" applyBorder="1" applyAlignment="1">
      <alignment horizontal="center" vertical="center"/>
    </xf>
    <xf numFmtId="0" fontId="58" fillId="4" borderId="29" xfId="1" applyNumberFormat="1" applyFont="1" applyFill="1" applyBorder="1" applyAlignment="1">
      <alignment horizontal="center" vertical="center" wrapText="1"/>
    </xf>
    <xf numFmtId="9" fontId="58" fillId="4" borderId="29" xfId="1" applyFont="1" applyFill="1" applyBorder="1" applyAlignment="1">
      <alignment horizontal="center" vertical="center" wrapText="1"/>
    </xf>
    <xf numFmtId="9" fontId="0" fillId="0" borderId="0" xfId="1" applyFont="1" applyFill="1" applyAlignment="1">
      <alignment horizontal="center" vertical="center"/>
    </xf>
    <xf numFmtId="9" fontId="22" fillId="4" borderId="0" xfId="1" applyFont="1" applyFill="1" applyBorder="1" applyAlignment="1">
      <alignment horizontal="center" vertical="center" wrapText="1"/>
    </xf>
    <xf numFmtId="0" fontId="58" fillId="4" borderId="29" xfId="0" applyFont="1" applyFill="1" applyBorder="1" applyAlignment="1">
      <alignment horizontal="center" vertical="center" wrapText="1"/>
    </xf>
    <xf numFmtId="0" fontId="60" fillId="4" borderId="29" xfId="0" applyFont="1" applyFill="1" applyBorder="1" applyAlignment="1">
      <alignment horizontal="center" vertical="center" wrapText="1"/>
    </xf>
    <xf numFmtId="0" fontId="61" fillId="0" borderId="0" xfId="0" applyFont="1"/>
    <xf numFmtId="9" fontId="61" fillId="0" borderId="0" xfId="1" applyFont="1"/>
    <xf numFmtId="3" fontId="0" fillId="0" borderId="0" xfId="0" applyNumberFormat="1" applyAlignment="1">
      <alignment horizontal="center" vertical="center"/>
    </xf>
    <xf numFmtId="9" fontId="36" fillId="4" borderId="28" xfId="1" applyFont="1" applyFill="1" applyBorder="1" applyAlignment="1">
      <alignment horizontal="center" vertical="center" wrapText="1"/>
    </xf>
    <xf numFmtId="0" fontId="6" fillId="6" borderId="23" xfId="0" applyFont="1" applyFill="1" applyBorder="1" applyAlignment="1">
      <alignment horizontal="right" vertical="center"/>
    </xf>
    <xf numFmtId="0" fontId="6" fillId="6" borderId="24" xfId="0" applyFont="1" applyFill="1" applyBorder="1" applyAlignment="1">
      <alignment horizontal="right" vertical="center"/>
    </xf>
    <xf numFmtId="0" fontId="12" fillId="4" borderId="0" xfId="0" applyFont="1" applyFill="1" applyAlignment="1">
      <alignment horizontal="center" vertical="center" wrapText="1"/>
    </xf>
    <xf numFmtId="0" fontId="13" fillId="4" borderId="0" xfId="0" applyFont="1" applyFill="1" applyAlignment="1">
      <alignment horizontal="center" vertical="center" wrapText="1"/>
    </xf>
    <xf numFmtId="9" fontId="13" fillId="4" borderId="0" xfId="1" applyFont="1" applyFill="1" applyBorder="1" applyAlignment="1">
      <alignment horizontal="center" vertical="center" wrapText="1"/>
    </xf>
    <xf numFmtId="9" fontId="12" fillId="4" borderId="0" xfId="1" applyFont="1" applyFill="1" applyBorder="1" applyAlignment="1">
      <alignment horizontal="center" vertical="center" wrapText="1"/>
    </xf>
    <xf numFmtId="9" fontId="20" fillId="4" borderId="0" xfId="1" applyFont="1" applyFill="1" applyBorder="1" applyAlignment="1">
      <alignment horizontal="center" vertical="center" wrapText="1"/>
    </xf>
    <xf numFmtId="9" fontId="22" fillId="4" borderId="0" xfId="1" applyFont="1" applyFill="1" applyAlignment="1">
      <alignment horizontal="center" vertical="center" wrapText="1"/>
    </xf>
    <xf numFmtId="0" fontId="12" fillId="4" borderId="0" xfId="0" applyFont="1" applyFill="1" applyAlignment="1">
      <alignment horizontal="center" vertical="center"/>
    </xf>
    <xf numFmtId="9" fontId="12" fillId="4" borderId="0" xfId="1" applyFont="1" applyFill="1" applyBorder="1" applyAlignment="1">
      <alignment horizontal="center" vertical="center"/>
    </xf>
    <xf numFmtId="0" fontId="12" fillId="0" borderId="0" xfId="0" applyFont="1" applyAlignment="1">
      <alignment horizontal="center" vertical="center"/>
    </xf>
    <xf numFmtId="9" fontId="4" fillId="0" borderId="0" xfId="4" applyNumberFormat="1"/>
    <xf numFmtId="0" fontId="64" fillId="17" borderId="0" xfId="4" applyFont="1" applyFill="1" applyAlignment="1">
      <alignment wrapText="1"/>
    </xf>
    <xf numFmtId="0" fontId="4" fillId="17" borderId="0" xfId="4" applyFill="1" applyAlignment="1">
      <alignment wrapText="1"/>
    </xf>
    <xf numFmtId="0" fontId="12" fillId="4" borderId="56" xfId="0" applyFont="1" applyFill="1" applyBorder="1" applyAlignment="1">
      <alignment horizontal="center" vertical="center" wrapText="1"/>
    </xf>
    <xf numFmtId="0" fontId="12" fillId="4" borderId="57" xfId="0" applyFont="1" applyFill="1" applyBorder="1" applyAlignment="1">
      <alignment horizontal="center" vertical="center" wrapText="1"/>
    </xf>
    <xf numFmtId="0" fontId="12" fillId="4" borderId="56" xfId="0" applyFont="1" applyFill="1" applyBorder="1" applyAlignment="1">
      <alignment vertical="center" wrapText="1"/>
    </xf>
    <xf numFmtId="0" fontId="12" fillId="4" borderId="57" xfId="0" applyFont="1" applyFill="1" applyBorder="1" applyAlignment="1">
      <alignment vertical="center" wrapText="1"/>
    </xf>
    <xf numFmtId="0" fontId="6" fillId="0" borderId="0" xfId="0" applyFont="1" applyAlignment="1">
      <alignment vertical="center" wrapText="1"/>
    </xf>
    <xf numFmtId="0" fontId="12" fillId="4" borderId="58" xfId="0" applyFont="1" applyFill="1" applyBorder="1" applyAlignment="1">
      <alignment horizontal="center" vertical="center" wrapText="1"/>
    </xf>
    <xf numFmtId="0" fontId="12" fillId="4" borderId="58" xfId="0" applyFont="1" applyFill="1" applyBorder="1" applyAlignment="1">
      <alignment vertical="center" wrapText="1"/>
    </xf>
    <xf numFmtId="0" fontId="12" fillId="4" borderId="59" xfId="0" applyFont="1" applyFill="1" applyBorder="1" applyAlignment="1">
      <alignment horizontal="center" vertical="center" wrapText="1"/>
    </xf>
    <xf numFmtId="0" fontId="12" fillId="4" borderId="59" xfId="0" applyFont="1" applyFill="1" applyBorder="1" applyAlignment="1">
      <alignment vertical="center" wrapText="1"/>
    </xf>
    <xf numFmtId="0" fontId="12" fillId="4" borderId="27" xfId="0" applyFont="1" applyFill="1" applyBorder="1" applyAlignment="1">
      <alignment horizontal="center" vertical="center"/>
    </xf>
    <xf numFmtId="0" fontId="12" fillId="4" borderId="59" xfId="0" applyFont="1" applyFill="1" applyBorder="1" applyAlignment="1">
      <alignment horizontal="right" vertical="center" wrapText="1"/>
    </xf>
    <xf numFmtId="0" fontId="0" fillId="0" borderId="0" xfId="0" applyAlignment="1">
      <alignment horizontal="right" vertical="center"/>
    </xf>
    <xf numFmtId="0" fontId="65" fillId="5" borderId="20" xfId="0" applyFont="1" applyFill="1" applyBorder="1" applyAlignment="1">
      <alignment vertical="center" wrapText="1"/>
    </xf>
    <xf numFmtId="0" fontId="65" fillId="0" borderId="20" xfId="0" applyFont="1" applyBorder="1" applyAlignment="1">
      <alignment vertical="center" wrapText="1"/>
    </xf>
    <xf numFmtId="0" fontId="15" fillId="6" borderId="21" xfId="0" applyFont="1" applyFill="1" applyBorder="1" applyAlignment="1">
      <alignment horizontal="center" vertical="center"/>
    </xf>
    <xf numFmtId="0" fontId="16" fillId="6" borderId="21" xfId="0" applyFont="1" applyFill="1" applyBorder="1" applyAlignment="1">
      <alignment horizontal="center" vertical="center"/>
    </xf>
    <xf numFmtId="0" fontId="6" fillId="5" borderId="20" xfId="0" applyFont="1" applyFill="1" applyBorder="1" applyAlignment="1">
      <alignment horizontal="center" vertical="center"/>
    </xf>
    <xf numFmtId="0" fontId="15" fillId="6" borderId="20" xfId="0" applyFont="1" applyFill="1" applyBorder="1" applyAlignment="1">
      <alignment horizontal="center" vertical="center"/>
    </xf>
    <xf numFmtId="0" fontId="6" fillId="5" borderId="20" xfId="0" applyFont="1" applyFill="1" applyBorder="1" applyAlignment="1">
      <alignment horizontal="center" vertical="center" wrapText="1"/>
    </xf>
    <xf numFmtId="0" fontId="0" fillId="8" borderId="0" xfId="0" applyFill="1" applyAlignment="1">
      <alignment horizontal="center"/>
    </xf>
    <xf numFmtId="0" fontId="7" fillId="4" borderId="27" xfId="0" applyFont="1" applyFill="1" applyBorder="1" applyAlignment="1">
      <alignment horizontal="center" vertical="center" wrapText="1"/>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0" borderId="20" xfId="0" applyFont="1" applyBorder="1" applyAlignment="1">
      <alignment horizontal="center" vertical="center"/>
    </xf>
    <xf numFmtId="0" fontId="6" fillId="0" borderId="23" xfId="0" applyFont="1" applyBorder="1" applyAlignment="1">
      <alignment horizontal="center" vertical="center" wrapText="1"/>
    </xf>
    <xf numFmtId="0" fontId="6" fillId="5" borderId="21" xfId="0" applyFont="1" applyFill="1" applyBorder="1" applyAlignment="1">
      <alignment horizontal="center" vertical="center"/>
    </xf>
    <xf numFmtId="0" fontId="6" fillId="0" borderId="20" xfId="0" applyFont="1" applyBorder="1" applyAlignment="1">
      <alignment horizontal="center" vertical="center" wrapText="1"/>
    </xf>
    <xf numFmtId="0" fontId="12" fillId="4" borderId="23" xfId="0" applyFont="1" applyFill="1" applyBorder="1" applyAlignment="1">
      <alignment horizontal="center" vertical="center"/>
    </xf>
    <xf numFmtId="0" fontId="6" fillId="5" borderId="59" xfId="0" applyFont="1" applyFill="1" applyBorder="1" applyAlignment="1">
      <alignment horizontal="center" vertical="center" wrapText="1"/>
    </xf>
    <xf numFmtId="0" fontId="6" fillId="0" borderId="59" xfId="0" applyFont="1" applyBorder="1" applyAlignment="1">
      <alignment horizontal="center" vertical="center" wrapText="1"/>
    </xf>
    <xf numFmtId="0" fontId="16" fillId="6" borderId="20" xfId="0" applyFont="1" applyFill="1" applyBorder="1" applyAlignment="1">
      <alignment horizontal="center" vertical="center"/>
    </xf>
    <xf numFmtId="0" fontId="16" fillId="6" borderId="23" xfId="0" applyFont="1" applyFill="1" applyBorder="1" applyAlignment="1">
      <alignment horizontal="center" vertical="center"/>
    </xf>
    <xf numFmtId="0" fontId="16" fillId="6" borderId="59" xfId="0" applyFont="1" applyFill="1" applyBorder="1" applyAlignment="1">
      <alignment horizontal="center" vertical="center"/>
    </xf>
    <xf numFmtId="0" fontId="12" fillId="4" borderId="59" xfId="0" applyFont="1" applyFill="1" applyBorder="1" applyAlignment="1">
      <alignment horizontal="center" vertical="center"/>
    </xf>
    <xf numFmtId="0" fontId="38" fillId="8" borderId="0" xfId="0" applyFont="1" applyFill="1"/>
    <xf numFmtId="0" fontId="66" fillId="5" borderId="20" xfId="0" applyFont="1" applyFill="1" applyBorder="1" applyAlignment="1">
      <alignment vertical="center" wrapText="1"/>
    </xf>
    <xf numFmtId="0" fontId="66" fillId="0" borderId="20" xfId="0" applyFont="1" applyBorder="1" applyAlignment="1">
      <alignment vertical="center" wrapText="1"/>
    </xf>
    <xf numFmtId="0" fontId="5" fillId="8" borderId="0" xfId="0" applyFont="1" applyFill="1"/>
    <xf numFmtId="0" fontId="33" fillId="13" borderId="29" xfId="0" applyFont="1" applyFill="1" applyBorder="1" applyAlignment="1">
      <alignment horizontal="center" vertical="center"/>
    </xf>
    <xf numFmtId="0" fontId="68" fillId="24" borderId="54" xfId="0" applyFont="1" applyFill="1" applyBorder="1" applyAlignment="1">
      <alignment horizontal="center" vertical="center"/>
    </xf>
    <xf numFmtId="0" fontId="30" fillId="24" borderId="0" xfId="0" applyFont="1" applyFill="1" applyAlignment="1">
      <alignment horizontal="left" vertical="center"/>
    </xf>
    <xf numFmtId="0" fontId="48" fillId="0" borderId="0" xfId="0" applyFont="1"/>
    <xf numFmtId="0" fontId="1" fillId="17" borderId="0" xfId="4" applyFont="1" applyFill="1"/>
    <xf numFmtId="0" fontId="69" fillId="7" borderId="0" xfId="0" applyFont="1" applyFill="1" applyAlignment="1">
      <alignment horizontal="center" vertical="center"/>
    </xf>
    <xf numFmtId="9" fontId="69" fillId="0" borderId="0" xfId="1" applyFont="1" applyAlignment="1">
      <alignment horizontal="center" vertical="center"/>
    </xf>
    <xf numFmtId="0" fontId="69" fillId="8" borderId="0" xfId="0" applyFont="1" applyFill="1" applyAlignment="1">
      <alignment horizontal="center" vertical="center"/>
    </xf>
    <xf numFmtId="0" fontId="7" fillId="0" borderId="20" xfId="0" applyFont="1" applyBorder="1" applyAlignment="1">
      <alignment horizontal="left"/>
    </xf>
    <xf numFmtId="9" fontId="0" fillId="0" borderId="20" xfId="1" applyFont="1" applyBorder="1" applyAlignment="1">
      <alignment horizontal="center"/>
    </xf>
    <xf numFmtId="9" fontId="0" fillId="0" borderId="24" xfId="1" applyFont="1" applyBorder="1" applyAlignment="1">
      <alignment horizontal="center" vertical="center"/>
    </xf>
    <xf numFmtId="9" fontId="0" fillId="0" borderId="20" xfId="1" applyFont="1" applyBorder="1" applyAlignment="1">
      <alignment horizontal="center" vertical="center"/>
    </xf>
    <xf numFmtId="9" fontId="0" fillId="0" borderId="23" xfId="1" applyFont="1" applyBorder="1" applyAlignment="1">
      <alignment horizontal="center" vertical="center"/>
    </xf>
    <xf numFmtId="165" fontId="13" fillId="4" borderId="0" xfId="1" applyNumberFormat="1" applyFont="1" applyFill="1" applyBorder="1" applyAlignment="1">
      <alignment horizontal="center" vertical="center" wrapText="1"/>
    </xf>
    <xf numFmtId="165" fontId="12" fillId="4" borderId="0" xfId="1" applyNumberFormat="1" applyFont="1" applyFill="1" applyBorder="1" applyAlignment="1">
      <alignment horizontal="center" vertical="center" wrapText="1"/>
    </xf>
    <xf numFmtId="164" fontId="13" fillId="4" borderId="0" xfId="0" applyNumberFormat="1" applyFont="1" applyFill="1" applyAlignment="1">
      <alignment horizontal="center" vertical="center" wrapText="1"/>
    </xf>
    <xf numFmtId="164" fontId="12" fillId="4" borderId="0" xfId="0" applyNumberFormat="1" applyFont="1" applyFill="1" applyAlignment="1">
      <alignment horizontal="center" vertical="center" wrapText="1"/>
    </xf>
    <xf numFmtId="0" fontId="9" fillId="0" borderId="0" xfId="0" applyFont="1" applyAlignment="1">
      <alignment wrapText="1"/>
    </xf>
    <xf numFmtId="0" fontId="9" fillId="0" borderId="0" xfId="0" applyFont="1" applyAlignment="1">
      <alignment vertical="top" wrapText="1"/>
    </xf>
    <xf numFmtId="0" fontId="38" fillId="22" borderId="60" xfId="0" applyFont="1" applyFill="1" applyBorder="1"/>
    <xf numFmtId="0" fontId="0" fillId="0" borderId="60" xfId="0" applyBorder="1" applyAlignment="1">
      <alignment vertical="top"/>
    </xf>
    <xf numFmtId="0" fontId="0" fillId="0" borderId="60" xfId="0" applyBorder="1" applyAlignment="1">
      <alignment vertical="top" wrapText="1"/>
    </xf>
    <xf numFmtId="0" fontId="0" fillId="5" borderId="60" xfId="0" applyFill="1" applyBorder="1" applyAlignment="1">
      <alignment vertical="top"/>
    </xf>
    <xf numFmtId="0" fontId="0" fillId="5" borderId="60" xfId="0" applyFill="1" applyBorder="1" applyAlignment="1">
      <alignment vertical="top" wrapText="1"/>
    </xf>
    <xf numFmtId="0" fontId="67" fillId="23" borderId="0" xfId="0" applyFont="1" applyFill="1" applyAlignment="1">
      <alignment horizontal="center" vertical="center" wrapText="1"/>
    </xf>
    <xf numFmtId="0" fontId="54" fillId="23" borderId="0" xfId="0" applyFont="1" applyFill="1" applyAlignment="1">
      <alignment horizontal="center" vertical="center" wrapText="1"/>
    </xf>
    <xf numFmtId="0" fontId="0" fillId="0" borderId="59" xfId="0" applyBorder="1" applyAlignment="1">
      <alignment horizontal="center" vertical="center"/>
    </xf>
    <xf numFmtId="0" fontId="6" fillId="0" borderId="0" xfId="0" applyFont="1" applyAlignment="1">
      <alignment horizontal="center" vertical="center" wrapText="1"/>
    </xf>
    <xf numFmtId="9" fontId="71" fillId="0" borderId="0" xfId="1" applyFont="1" applyBorder="1" applyAlignment="1">
      <alignment horizontal="center" vertical="center"/>
    </xf>
    <xf numFmtId="9" fontId="71" fillId="0" borderId="32" xfId="1" applyFont="1" applyBorder="1" applyAlignment="1">
      <alignment horizontal="center" vertical="center"/>
    </xf>
    <xf numFmtId="164" fontId="71" fillId="0" borderId="0" xfId="0" applyNumberFormat="1" applyFont="1" applyAlignment="1">
      <alignment horizontal="center" vertical="center"/>
    </xf>
    <xf numFmtId="0" fontId="71" fillId="0" borderId="0" xfId="0" applyFont="1" applyAlignment="1">
      <alignment horizontal="center" vertical="center"/>
    </xf>
    <xf numFmtId="0" fontId="71" fillId="0" borderId="0" xfId="1" applyNumberFormat="1" applyFont="1" applyBorder="1" applyAlignment="1">
      <alignment horizontal="center" vertical="center"/>
    </xf>
    <xf numFmtId="0" fontId="71" fillId="14" borderId="0" xfId="0" applyFont="1" applyFill="1" applyAlignment="1">
      <alignment horizontal="center" vertical="center"/>
    </xf>
    <xf numFmtId="0" fontId="72" fillId="14" borderId="0" xfId="0" applyFont="1" applyFill="1" applyAlignment="1">
      <alignment horizontal="center" vertical="center"/>
    </xf>
    <xf numFmtId="2" fontId="71" fillId="0" borderId="0" xfId="1" applyNumberFormat="1" applyFont="1" applyBorder="1" applyAlignment="1">
      <alignment horizontal="center" vertical="center"/>
    </xf>
    <xf numFmtId="1" fontId="71" fillId="0" borderId="0" xfId="1" applyNumberFormat="1" applyFont="1" applyBorder="1" applyAlignment="1">
      <alignment horizontal="center" vertical="center"/>
    </xf>
    <xf numFmtId="0" fontId="72" fillId="14" borderId="32" xfId="0" applyFont="1" applyFill="1" applyBorder="1" applyAlignment="1">
      <alignment horizontal="center" vertical="center"/>
    </xf>
    <xf numFmtId="0" fontId="71" fillId="14" borderId="32" xfId="0" applyFont="1" applyFill="1" applyBorder="1" applyAlignment="1">
      <alignment horizontal="center" vertical="center"/>
    </xf>
    <xf numFmtId="1" fontId="71" fillId="0" borderId="32" xfId="1" applyNumberFormat="1" applyFont="1" applyBorder="1" applyAlignment="1">
      <alignment horizontal="center" vertical="center"/>
    </xf>
    <xf numFmtId="0" fontId="73" fillId="0" borderId="0" xfId="4" applyFont="1"/>
    <xf numFmtId="0" fontId="46" fillId="0" borderId="0" xfId="0" applyFont="1"/>
    <xf numFmtId="9" fontId="1" fillId="7" borderId="0" xfId="1" applyFont="1" applyFill="1"/>
    <xf numFmtId="0" fontId="1" fillId="17" borderId="0" xfId="4" applyFont="1" applyFill="1" applyAlignment="1">
      <alignment wrapText="1"/>
    </xf>
    <xf numFmtId="9" fontId="1" fillId="17" borderId="0" xfId="1" applyFont="1" applyFill="1"/>
    <xf numFmtId="0" fontId="1" fillId="0" borderId="0" xfId="4" applyFont="1"/>
    <xf numFmtId="0" fontId="16" fillId="0" borderId="37" xfId="0" applyFont="1" applyBorder="1" applyAlignment="1">
      <alignment horizontal="center" vertical="center" wrapText="1"/>
    </xf>
    <xf numFmtId="0" fontId="16" fillId="0" borderId="37" xfId="0" applyFont="1" applyBorder="1" applyAlignment="1">
      <alignment horizontal="left"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0" fontId="27" fillId="9" borderId="31" xfId="0" applyFont="1" applyFill="1" applyBorder="1" applyAlignment="1">
      <alignment horizontal="left" vertical="center" wrapText="1"/>
    </xf>
    <xf numFmtId="0" fontId="12" fillId="4" borderId="34"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12" fillId="4" borderId="36" xfId="0" applyFont="1" applyFill="1" applyBorder="1" applyAlignment="1">
      <alignment horizontal="center" vertical="center" wrapText="1"/>
    </xf>
    <xf numFmtId="0" fontId="54" fillId="23" borderId="44" xfId="0" applyFont="1" applyFill="1" applyBorder="1" applyAlignment="1">
      <alignment horizontal="center" vertical="center"/>
    </xf>
    <xf numFmtId="0" fontId="54" fillId="23" borderId="42" xfId="0" applyFont="1" applyFill="1" applyBorder="1" applyAlignment="1">
      <alignment horizontal="center" vertical="center"/>
    </xf>
    <xf numFmtId="0" fontId="67" fillId="23" borderId="44" xfId="0" applyFont="1" applyFill="1" applyBorder="1" applyAlignment="1">
      <alignment horizontal="center" vertical="center" wrapText="1"/>
    </xf>
    <xf numFmtId="0" fontId="67" fillId="23" borderId="42" xfId="0" applyFont="1" applyFill="1" applyBorder="1" applyAlignment="1">
      <alignment horizontal="center" vertical="center" wrapText="1"/>
    </xf>
    <xf numFmtId="0" fontId="67" fillId="23" borderId="53" xfId="0" applyFont="1" applyFill="1" applyBorder="1" applyAlignment="1">
      <alignment horizontal="center" vertical="center" wrapText="1"/>
    </xf>
    <xf numFmtId="0" fontId="54" fillId="23" borderId="51" xfId="0" applyFont="1" applyFill="1" applyBorder="1" applyAlignment="1">
      <alignment horizontal="center" vertical="center"/>
    </xf>
    <xf numFmtId="0" fontId="54" fillId="23" borderId="52" xfId="0" applyFont="1" applyFill="1" applyBorder="1" applyAlignment="1">
      <alignment horizontal="center" vertical="center"/>
    </xf>
    <xf numFmtId="0" fontId="54" fillId="23" borderId="41" xfId="0" applyFont="1" applyFill="1" applyBorder="1" applyAlignment="1">
      <alignment horizontal="center" vertical="center"/>
    </xf>
    <xf numFmtId="0" fontId="53" fillId="23" borderId="0" xfId="0" applyFont="1" applyFill="1" applyAlignment="1">
      <alignment horizontal="center" vertical="center"/>
    </xf>
    <xf numFmtId="0" fontId="54" fillId="23" borderId="29" xfId="0" applyFont="1" applyFill="1" applyBorder="1" applyAlignment="1">
      <alignment horizontal="center" vertical="center"/>
    </xf>
    <xf numFmtId="0" fontId="54" fillId="23" borderId="44" xfId="0" applyFont="1" applyFill="1" applyBorder="1" applyAlignment="1">
      <alignment horizontal="center" vertical="center" wrapText="1"/>
    </xf>
    <xf numFmtId="0" fontId="54" fillId="23" borderId="42" xfId="0" applyFont="1" applyFill="1" applyBorder="1" applyAlignment="1">
      <alignment horizontal="center" vertical="center" wrapText="1"/>
    </xf>
    <xf numFmtId="0" fontId="53" fillId="23" borderId="50" xfId="0" applyFont="1" applyFill="1" applyBorder="1" applyAlignment="1">
      <alignment horizontal="center" vertical="center"/>
    </xf>
    <xf numFmtId="0" fontId="54" fillId="23" borderId="53" xfId="0" applyFont="1" applyFill="1" applyBorder="1" applyAlignment="1">
      <alignment horizontal="center" vertical="center"/>
    </xf>
    <xf numFmtId="9" fontId="36" fillId="4" borderId="25" xfId="1" applyFont="1" applyFill="1" applyBorder="1" applyAlignment="1">
      <alignment horizontal="center" vertical="center" wrapText="1"/>
    </xf>
    <xf numFmtId="9" fontId="36" fillId="4" borderId="28" xfId="1" applyFont="1" applyFill="1" applyBorder="1" applyAlignment="1">
      <alignment horizontal="center" vertical="center" wrapText="1"/>
    </xf>
    <xf numFmtId="9" fontId="20" fillId="4" borderId="29" xfId="1" applyFont="1" applyFill="1" applyBorder="1" applyAlignment="1">
      <alignment horizontal="center" vertical="center" wrapText="1"/>
    </xf>
    <xf numFmtId="0" fontId="12" fillId="4" borderId="46"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20" fillId="4" borderId="29" xfId="0" applyFont="1" applyFill="1" applyBorder="1" applyAlignment="1">
      <alignment horizontal="center" vertical="center" wrapText="1"/>
    </xf>
    <xf numFmtId="9" fontId="20" fillId="4" borderId="29" xfId="1" applyFont="1" applyFill="1" applyBorder="1" applyAlignment="1">
      <alignment horizontal="center" vertical="center"/>
    </xf>
    <xf numFmtId="0" fontId="12" fillId="4" borderId="48" xfId="0" applyFont="1" applyFill="1" applyBorder="1" applyAlignment="1">
      <alignment horizontal="center" vertical="center" wrapText="1"/>
    </xf>
    <xf numFmtId="0" fontId="12" fillId="4" borderId="49"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51" xfId="0" applyFont="1" applyFill="1" applyBorder="1" applyAlignment="1">
      <alignment horizontal="center" vertical="center" wrapText="1"/>
    </xf>
    <xf numFmtId="0" fontId="12" fillId="4" borderId="41" xfId="0" applyFont="1" applyFill="1" applyBorder="1" applyAlignment="1">
      <alignment horizontal="center" vertical="center" wrapText="1"/>
    </xf>
    <xf numFmtId="0" fontId="12" fillId="4" borderId="29" xfId="0" applyFont="1" applyFill="1" applyBorder="1" applyAlignment="1">
      <alignment horizontal="center" vertical="center"/>
    </xf>
    <xf numFmtId="0" fontId="12" fillId="13" borderId="29" xfId="0" applyFont="1" applyFill="1" applyBorder="1" applyAlignment="1">
      <alignment horizontal="center" vertical="center"/>
    </xf>
    <xf numFmtId="0" fontId="12" fillId="4" borderId="20" xfId="0" applyFont="1" applyFill="1" applyBorder="1" applyAlignment="1">
      <alignment horizontal="center" vertical="center"/>
    </xf>
    <xf numFmtId="0" fontId="12" fillId="4" borderId="29" xfId="0" applyFont="1" applyFill="1" applyBorder="1" applyAlignment="1">
      <alignment horizontal="right" vertical="center"/>
    </xf>
    <xf numFmtId="0" fontId="6" fillId="6" borderId="21" xfId="0" applyFont="1" applyFill="1" applyBorder="1" applyAlignment="1">
      <alignment horizontal="right" vertical="center"/>
    </xf>
    <xf numFmtId="0" fontId="6" fillId="0" borderId="20" xfId="0" applyFont="1" applyBorder="1" applyAlignment="1">
      <alignment horizontal="right" vertical="center"/>
    </xf>
    <xf numFmtId="0" fontId="6" fillId="6" borderId="23" xfId="0" applyFont="1" applyFill="1" applyBorder="1" applyAlignment="1">
      <alignment horizontal="right" vertical="center"/>
    </xf>
    <xf numFmtId="0" fontId="6" fillId="6" borderId="24" xfId="0" applyFont="1" applyFill="1" applyBorder="1" applyAlignment="1">
      <alignment horizontal="right" vertical="center"/>
    </xf>
    <xf numFmtId="9" fontId="22" fillId="4" borderId="0" xfId="1" applyFont="1" applyFill="1" applyAlignment="1">
      <alignment horizontal="center" vertical="center" wrapText="1"/>
    </xf>
    <xf numFmtId="0" fontId="22" fillId="4" borderId="29" xfId="0" applyFont="1" applyFill="1" applyBorder="1" applyAlignment="1">
      <alignment horizontal="center" vertical="center" wrapText="1"/>
    </xf>
    <xf numFmtId="0" fontId="22" fillId="4" borderId="29" xfId="0" applyFont="1" applyFill="1" applyBorder="1" applyAlignment="1">
      <alignment horizontal="center" vertical="center"/>
    </xf>
    <xf numFmtId="0" fontId="24" fillId="4" borderId="29" xfId="0" applyFont="1" applyFill="1" applyBorder="1" applyAlignment="1">
      <alignment horizontal="center" vertical="center" wrapText="1"/>
    </xf>
    <xf numFmtId="0" fontId="23" fillId="4" borderId="29" xfId="0" applyFont="1" applyFill="1" applyBorder="1" applyAlignment="1">
      <alignment horizontal="center" vertical="center"/>
    </xf>
    <xf numFmtId="9" fontId="22" fillId="4" borderId="29" xfId="1" applyFont="1" applyFill="1" applyBorder="1" applyAlignment="1">
      <alignment horizontal="center" vertical="center" wrapText="1"/>
    </xf>
    <xf numFmtId="9" fontId="22" fillId="4" borderId="29" xfId="1" applyFont="1" applyFill="1" applyBorder="1" applyAlignment="1">
      <alignment horizontal="center" vertical="center"/>
    </xf>
    <xf numFmtId="0" fontId="18" fillId="4" borderId="0" xfId="0" applyFont="1" applyFill="1" applyAlignment="1">
      <alignment horizontal="center" vertical="center"/>
    </xf>
    <xf numFmtId="0" fontId="18" fillId="4" borderId="0" xfId="0" applyFont="1" applyFill="1" applyAlignment="1">
      <alignment horizontal="center" vertical="center" wrapText="1"/>
    </xf>
    <xf numFmtId="0" fontId="19" fillId="4" borderId="0" xfId="0" applyFont="1" applyFill="1" applyAlignment="1">
      <alignment horizontal="center" vertical="center"/>
    </xf>
    <xf numFmtId="0" fontId="12" fillId="4" borderId="22" xfId="0" applyFont="1" applyFill="1" applyBorder="1" applyAlignment="1">
      <alignment horizontal="center" vertical="center"/>
    </xf>
    <xf numFmtId="0" fontId="12" fillId="4" borderId="21" xfId="0" applyFont="1" applyFill="1" applyBorder="1" applyAlignment="1">
      <alignment horizontal="center" vertical="center"/>
    </xf>
    <xf numFmtId="0" fontId="12" fillId="4" borderId="20" xfId="0" applyFont="1" applyFill="1" applyBorder="1" applyAlignment="1">
      <alignment horizontal="left"/>
    </xf>
    <xf numFmtId="0" fontId="12" fillId="4" borderId="20" xfId="0" applyFont="1" applyFill="1" applyBorder="1" applyAlignment="1">
      <alignment horizontal="center" vertical="center" wrapText="1"/>
    </xf>
    <xf numFmtId="0" fontId="12" fillId="4" borderId="0" xfId="0" applyFont="1" applyFill="1" applyAlignment="1">
      <alignment horizontal="right" vertical="center"/>
    </xf>
    <xf numFmtId="0" fontId="8" fillId="2" borderId="11" xfId="0" applyFont="1" applyFill="1" applyBorder="1" applyAlignment="1">
      <alignment horizontal="left" wrapText="1"/>
    </xf>
    <xf numFmtId="0" fontId="8" fillId="2" borderId="13" xfId="0" applyFont="1" applyFill="1" applyBorder="1" applyAlignment="1">
      <alignment horizontal="left" wrapText="1"/>
    </xf>
    <xf numFmtId="0" fontId="7" fillId="2" borderId="5" xfId="0" applyFont="1" applyFill="1" applyBorder="1" applyAlignment="1">
      <alignment horizontal="left"/>
    </xf>
    <xf numFmtId="0" fontId="8" fillId="2" borderId="6" xfId="0" applyFont="1" applyFill="1" applyBorder="1" applyAlignment="1">
      <alignment horizontal="left" wrapText="1"/>
    </xf>
    <xf numFmtId="0" fontId="8" fillId="2" borderId="7" xfId="0" applyFont="1" applyFill="1" applyBorder="1" applyAlignment="1">
      <alignment horizontal="left" wrapText="1"/>
    </xf>
    <xf numFmtId="0" fontId="7" fillId="3" borderId="1" xfId="0" applyFont="1" applyFill="1" applyBorder="1" applyAlignment="1">
      <alignment horizontal="left"/>
    </xf>
    <xf numFmtId="0" fontId="7" fillId="2" borderId="8" xfId="0" applyFont="1" applyFill="1" applyBorder="1" applyAlignment="1">
      <alignment horizontal="left"/>
    </xf>
    <xf numFmtId="0" fontId="8" fillId="2" borderId="4" xfId="0" applyFont="1" applyFill="1" applyBorder="1" applyAlignment="1">
      <alignment horizontal="left"/>
    </xf>
    <xf numFmtId="0" fontId="8" fillId="2" borderId="11" xfId="0" applyFont="1" applyFill="1" applyBorder="1" applyAlignment="1">
      <alignment horizontal="left"/>
    </xf>
    <xf numFmtId="0" fontId="8" fillId="2" borderId="13" xfId="0" applyFont="1" applyFill="1" applyBorder="1" applyAlignment="1">
      <alignment horizontal="left"/>
    </xf>
    <xf numFmtId="0" fontId="8" fillId="2" borderId="6" xfId="0" applyFont="1" applyFill="1" applyBorder="1" applyAlignment="1">
      <alignment horizontal="left"/>
    </xf>
    <xf numFmtId="0" fontId="8" fillId="2" borderId="7" xfId="0" applyFont="1" applyFill="1" applyBorder="1" applyAlignment="1">
      <alignment horizontal="left"/>
    </xf>
    <xf numFmtId="0" fontId="7" fillId="3" borderId="14" xfId="0" applyFont="1" applyFill="1" applyBorder="1" applyAlignment="1">
      <alignment horizontal="left" vertical="center"/>
    </xf>
    <xf numFmtId="0" fontId="7" fillId="3" borderId="12" xfId="0" applyFont="1" applyFill="1" applyBorder="1" applyAlignment="1">
      <alignment horizontal="left" vertical="center"/>
    </xf>
    <xf numFmtId="0" fontId="7" fillId="2" borderId="10" xfId="0" applyFont="1" applyFill="1" applyBorder="1" applyAlignment="1">
      <alignment horizontal="left"/>
    </xf>
    <xf numFmtId="0" fontId="7" fillId="2" borderId="15" xfId="0" applyFont="1" applyFill="1" applyBorder="1" applyAlignment="1">
      <alignment horizontal="left"/>
    </xf>
    <xf numFmtId="0" fontId="12" fillId="4" borderId="20" xfId="0" applyFont="1" applyFill="1" applyBorder="1" applyAlignment="1">
      <alignment horizontal="left" vertical="center"/>
    </xf>
    <xf numFmtId="0" fontId="12" fillId="4" borderId="29" xfId="0" applyFont="1" applyFill="1" applyBorder="1" applyAlignment="1">
      <alignment horizontal="left" vertical="center"/>
    </xf>
    <xf numFmtId="0" fontId="33" fillId="13" borderId="29" xfId="0" applyFont="1" applyFill="1" applyBorder="1" applyAlignment="1">
      <alignment horizontal="center" vertical="center"/>
    </xf>
    <xf numFmtId="0" fontId="18" fillId="4" borderId="41" xfId="0" applyFont="1" applyFill="1" applyBorder="1" applyAlignment="1">
      <alignment horizontal="center" vertical="center"/>
    </xf>
    <xf numFmtId="0" fontId="18" fillId="4" borderId="29" xfId="0" applyFont="1" applyFill="1" applyBorder="1" applyAlignment="1">
      <alignment horizontal="center" vertical="center"/>
    </xf>
    <xf numFmtId="167" fontId="71" fillId="0" borderId="0" xfId="6" applyNumberFormat="1" applyFont="1" applyAlignment="1">
      <alignment horizontal="center" vertical="center"/>
    </xf>
    <xf numFmtId="0" fontId="41" fillId="14" borderId="0" xfId="0" applyFont="1" applyFill="1" applyAlignment="1">
      <alignment horizontal="center" vertical="center"/>
    </xf>
    <xf numFmtId="0" fontId="41" fillId="14" borderId="32" xfId="0" applyFont="1" applyFill="1" applyBorder="1" applyAlignment="1">
      <alignment horizontal="center" vertical="center"/>
    </xf>
    <xf numFmtId="164" fontId="22" fillId="4" borderId="29" xfId="0" applyNumberFormat="1" applyFont="1" applyFill="1" applyBorder="1" applyAlignment="1">
      <alignment horizontal="center" vertical="center" wrapText="1"/>
    </xf>
    <xf numFmtId="165" fontId="22" fillId="4" borderId="29" xfId="1" applyNumberFormat="1" applyFont="1" applyFill="1" applyBorder="1" applyAlignment="1">
      <alignment horizontal="center" vertical="center"/>
    </xf>
    <xf numFmtId="0" fontId="12" fillId="4" borderId="56" xfId="0" applyFont="1" applyFill="1" applyBorder="1" applyAlignment="1">
      <alignment horizontal="center" vertical="center" wrapText="1"/>
    </xf>
    <xf numFmtId="0" fontId="12" fillId="4" borderId="57" xfId="0" applyFont="1" applyFill="1" applyBorder="1" applyAlignment="1">
      <alignment horizontal="center" vertical="center" wrapText="1"/>
    </xf>
    <xf numFmtId="0" fontId="12" fillId="4" borderId="58" xfId="0" applyFont="1" applyFill="1" applyBorder="1" applyAlignment="1">
      <alignment horizontal="center" vertical="center" wrapText="1"/>
    </xf>
    <xf numFmtId="0" fontId="7" fillId="3" borderId="2" xfId="0" applyFont="1" applyFill="1" applyBorder="1" applyAlignment="1">
      <alignment horizontal="center"/>
    </xf>
    <xf numFmtId="0" fontId="7" fillId="3" borderId="16" xfId="0" applyFont="1" applyFill="1" applyBorder="1" applyAlignment="1">
      <alignment horizontal="center"/>
    </xf>
    <xf numFmtId="0" fontId="7" fillId="3" borderId="3" xfId="0" applyFont="1" applyFill="1" applyBorder="1" applyAlignment="1">
      <alignment horizontal="center"/>
    </xf>
  </cellXfs>
  <cellStyles count="10">
    <cellStyle name="Comma" xfId="6" builtinId="3"/>
    <cellStyle name="Hyperlink" xfId="2" builtinId="8"/>
    <cellStyle name="Normal" xfId="0" builtinId="0"/>
    <cellStyle name="Normal 2" xfId="4" xr:uid="{1481BD94-901F-4614-A3C1-D2D1551EA3F0}"/>
    <cellStyle name="Normal 2 2" xfId="7" xr:uid="{DF5A322E-9AB4-9E4F-9912-543AE6BABCC8}"/>
    <cellStyle name="Normal 2 3" xfId="9" xr:uid="{47B451FD-7DE3-4331-A1DC-274B192BB5E5}"/>
    <cellStyle name="Normal 3" xfId="3" xr:uid="{9B179F80-BD9D-4E7C-A652-6A53B7D31057}"/>
    <cellStyle name="Percent" xfId="1" builtinId="5"/>
    <cellStyle name="Percent 2" xfId="5" xr:uid="{7421479A-908B-41E5-8250-ACDC9CB9E6CF}"/>
    <cellStyle name="Percent 2 2" xfId="8" xr:uid="{BA0DD89A-C4F0-3A40-BE8A-A7A047CBB457}"/>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auto="1"/>
      </font>
      <fill>
        <patternFill patternType="none">
          <bgColor auto="1"/>
        </patternFill>
      </fill>
    </dxf>
    <dxf>
      <font>
        <color theme="8" tint="-0.24994659260841701"/>
      </font>
      <fill>
        <patternFill>
          <bgColor theme="8" tint="0.39994506668294322"/>
        </patternFill>
      </fill>
    </dxf>
    <dxf>
      <font>
        <color theme="4"/>
      </font>
      <fill>
        <patternFill>
          <bgColor theme="8" tint="0.79998168889431442"/>
        </patternFill>
      </fill>
    </dxf>
    <dxf>
      <font>
        <color theme="8" tint="-0.24994659260841701"/>
      </font>
      <fill>
        <patternFill>
          <bgColor theme="8" tint="0.39994506668294322"/>
        </patternFill>
      </fill>
    </dxf>
    <dxf>
      <font>
        <color auto="1"/>
      </font>
      <fill>
        <patternFill patternType="none">
          <bgColor auto="1"/>
        </patternFill>
      </fill>
    </dxf>
    <dxf>
      <font>
        <color theme="4"/>
      </font>
      <fill>
        <patternFill>
          <bgColor theme="8" tint="0.79998168889431442"/>
        </patternFill>
      </fill>
    </dxf>
    <dxf>
      <font>
        <color theme="8" tint="-0.24994659260841701"/>
      </font>
      <fill>
        <patternFill>
          <bgColor theme="8" tint="0.39994506668294322"/>
        </patternFill>
      </fill>
    </dxf>
    <dxf>
      <font>
        <color theme="1"/>
      </font>
      <fill>
        <patternFill patternType="none">
          <bgColor auto="1"/>
        </patternFill>
      </fill>
    </dxf>
    <dxf>
      <font>
        <color theme="4"/>
      </font>
      <fill>
        <patternFill>
          <bgColor theme="8" tint="0.79998168889431442"/>
        </patternFill>
      </fill>
    </dxf>
    <dxf>
      <fill>
        <patternFill>
          <bgColor theme="4" tint="0.79995117038483843"/>
        </patternFill>
      </fill>
    </dxf>
  </dxfs>
  <tableStyles count="0" defaultTableStyle="TableStyleMedium2" defaultPivotStyle="PivotStyleLight16"/>
  <colors>
    <mruColors>
      <color rgb="FF993366"/>
      <color rgb="FFEFCDDE"/>
      <color rgb="FF71254B"/>
      <color rgb="FFEED0EA"/>
      <color rgb="FFF0D0E0"/>
      <color rgb="FFD47EA9"/>
      <color rgb="FFE4AEC9"/>
      <color rgb="FFEFF6FB"/>
      <color rgb="FFCC0066"/>
      <color rgb="FFF9E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ROUND'!$K$4:$K$37</c:f>
              <c:numCache>
                <c:formatCode>0%</c:formatCode>
                <c:ptCount val="34"/>
                <c:pt idx="0">
                  <c:v>0.57699999999999996</c:v>
                </c:pt>
                <c:pt idx="2">
                  <c:v>0.49199999999999999</c:v>
                </c:pt>
                <c:pt idx="3">
                  <c:v>0.52500000000000002</c:v>
                </c:pt>
                <c:pt idx="4">
                  <c:v>0.51600000000000001</c:v>
                </c:pt>
                <c:pt idx="7">
                  <c:v>0.42699999999999999</c:v>
                </c:pt>
                <c:pt idx="8">
                  <c:v>0.52300000000000002</c:v>
                </c:pt>
                <c:pt idx="9">
                  <c:v>0.503</c:v>
                </c:pt>
                <c:pt idx="10">
                  <c:v>0.314</c:v>
                </c:pt>
                <c:pt idx="11">
                  <c:v>0.51700000000000002</c:v>
                </c:pt>
                <c:pt idx="12">
                  <c:v>0.48299999999999998</c:v>
                </c:pt>
                <c:pt idx="13">
                  <c:v>0.63400000000000001</c:v>
                </c:pt>
                <c:pt idx="14">
                  <c:v>0.434</c:v>
                </c:pt>
                <c:pt idx="17">
                  <c:v>0.60499999999999998</c:v>
                </c:pt>
                <c:pt idx="18">
                  <c:v>0.59299999999999997</c:v>
                </c:pt>
                <c:pt idx="20">
                  <c:v>0.56499999999999995</c:v>
                </c:pt>
                <c:pt idx="22">
                  <c:v>0.66</c:v>
                </c:pt>
                <c:pt idx="23">
                  <c:v>0.63900000000000001</c:v>
                </c:pt>
                <c:pt idx="24">
                  <c:v>0.39200000000000002</c:v>
                </c:pt>
                <c:pt idx="25">
                  <c:v>0.39300000000000002</c:v>
                </c:pt>
                <c:pt idx="26">
                  <c:v>0.48899999999999999</c:v>
                </c:pt>
                <c:pt idx="27">
                  <c:v>0.41099999999999998</c:v>
                </c:pt>
                <c:pt idx="28">
                  <c:v>0.58699999999999997</c:v>
                </c:pt>
                <c:pt idx="29">
                  <c:v>0.54600000000000004</c:v>
                </c:pt>
                <c:pt idx="30">
                  <c:v>0.58199999999999996</c:v>
                </c:pt>
                <c:pt idx="31">
                  <c:v>0.58399999999999996</c:v>
                </c:pt>
                <c:pt idx="32">
                  <c:v>0.45200000000000001</c:v>
                </c:pt>
              </c:numCache>
            </c:numRef>
          </c:val>
          <c:smooth val="0"/>
          <c:extLst>
            <c:ext xmlns:c16="http://schemas.microsoft.com/office/drawing/2014/chart" uri="{C3380CC4-5D6E-409C-BE32-E72D297353CC}">
              <c16:uniqueId val="{00000000-02B3-4FD7-8B22-CD9974EA1A04}"/>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ROUND'!$I$4:$I$37</c:f>
              <c:numCache>
                <c:formatCode>0%</c:formatCode>
                <c:ptCount val="34"/>
                <c:pt idx="0">
                  <c:v>0.52300000000000002</c:v>
                </c:pt>
                <c:pt idx="1">
                  <c:v>0.38100000000000001</c:v>
                </c:pt>
                <c:pt idx="2">
                  <c:v>0.42299999999999999</c:v>
                </c:pt>
                <c:pt idx="3">
                  <c:v>0.55500000000000005</c:v>
                </c:pt>
                <c:pt idx="4">
                  <c:v>0.56299999999999994</c:v>
                </c:pt>
                <c:pt idx="5">
                  <c:v>0.48899999999999999</c:v>
                </c:pt>
                <c:pt idx="6">
                  <c:v>0.44800000000000001</c:v>
                </c:pt>
                <c:pt idx="7">
                  <c:v>0.42</c:v>
                </c:pt>
                <c:pt idx="8">
                  <c:v>0.441</c:v>
                </c:pt>
                <c:pt idx="9">
                  <c:v>0.45200000000000001</c:v>
                </c:pt>
                <c:pt idx="10">
                  <c:v>0.23100000000000001</c:v>
                </c:pt>
                <c:pt idx="11">
                  <c:v>0.42099999999999999</c:v>
                </c:pt>
                <c:pt idx="12">
                  <c:v>0.46300000000000002</c:v>
                </c:pt>
                <c:pt idx="13">
                  <c:v>0.65300000000000002</c:v>
                </c:pt>
                <c:pt idx="14">
                  <c:v>0.39700000000000002</c:v>
                </c:pt>
                <c:pt idx="15">
                  <c:v>0.42199999999999999</c:v>
                </c:pt>
                <c:pt idx="16">
                  <c:v>0.64300000000000002</c:v>
                </c:pt>
                <c:pt idx="17">
                  <c:v>0.61799999999999999</c:v>
                </c:pt>
                <c:pt idx="18">
                  <c:v>0.48</c:v>
                </c:pt>
                <c:pt idx="19">
                  <c:v>0.50800000000000001</c:v>
                </c:pt>
                <c:pt idx="20">
                  <c:v>0.63800000000000001</c:v>
                </c:pt>
                <c:pt idx="21">
                  <c:v>0.39800000000000002</c:v>
                </c:pt>
                <c:pt idx="22">
                  <c:v>0.76600000000000001</c:v>
                </c:pt>
                <c:pt idx="23">
                  <c:v>0.74399999999999999</c:v>
                </c:pt>
                <c:pt idx="24">
                  <c:v>0.35899999999999999</c:v>
                </c:pt>
                <c:pt idx="25">
                  <c:v>0.38500000000000001</c:v>
                </c:pt>
                <c:pt idx="26">
                  <c:v>0.41799999999999998</c:v>
                </c:pt>
                <c:pt idx="27">
                  <c:v>0.39800000000000002</c:v>
                </c:pt>
                <c:pt idx="28">
                  <c:v>0.57299999999999995</c:v>
                </c:pt>
                <c:pt idx="29">
                  <c:v>0.42399999999999999</c:v>
                </c:pt>
                <c:pt idx="30">
                  <c:v>0.58699999999999997</c:v>
                </c:pt>
                <c:pt idx="31">
                  <c:v>0.61699999999999999</c:v>
                </c:pt>
                <c:pt idx="32">
                  <c:v>0.53600000000000003</c:v>
                </c:pt>
                <c:pt idx="33">
                  <c:v>0.32</c:v>
                </c:pt>
              </c:numCache>
            </c:numRef>
          </c:val>
          <c:smooth val="0"/>
          <c:extLst>
            <c:ext xmlns:c16="http://schemas.microsoft.com/office/drawing/2014/chart" uri="{C3380CC4-5D6E-409C-BE32-E72D297353CC}">
              <c16:uniqueId val="{00000001-02B3-4FD7-8B22-CD9974EA1A04}"/>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'!$B$52:$B$85</c:f>
              <c:numCache>
                <c:formatCode>0%</c:formatCode>
                <c:ptCount val="34"/>
                <c:pt idx="0">
                  <c:v>0</c:v>
                </c:pt>
                <c:pt idx="1">
                  <c:v>0</c:v>
                </c:pt>
                <c:pt idx="2">
                  <c:v>0.49199999999999999</c:v>
                </c:pt>
                <c:pt idx="3">
                  <c:v>0</c:v>
                </c:pt>
                <c:pt idx="4">
                  <c:v>0</c:v>
                </c:pt>
                <c:pt idx="5">
                  <c:v>0</c:v>
                </c:pt>
                <c:pt idx="6">
                  <c:v>0</c:v>
                </c:pt>
                <c:pt idx="7">
                  <c:v>0</c:v>
                </c:pt>
                <c:pt idx="8">
                  <c:v>0</c:v>
                </c:pt>
                <c:pt idx="9">
                  <c:v>0</c:v>
                </c:pt>
                <c:pt idx="10">
                  <c:v>0.314</c:v>
                </c:pt>
                <c:pt idx="11">
                  <c:v>0.51700000000000002</c:v>
                </c:pt>
                <c:pt idx="12">
                  <c:v>0</c:v>
                </c:pt>
                <c:pt idx="13">
                  <c:v>0</c:v>
                </c:pt>
                <c:pt idx="14">
                  <c:v>0</c:v>
                </c:pt>
                <c:pt idx="15">
                  <c:v>0</c:v>
                </c:pt>
                <c:pt idx="16">
                  <c:v>0</c:v>
                </c:pt>
                <c:pt idx="17">
                  <c:v>0</c:v>
                </c:pt>
                <c:pt idx="18">
                  <c:v>0.59299999999999997</c:v>
                </c:pt>
                <c:pt idx="19">
                  <c:v>0</c:v>
                </c:pt>
                <c:pt idx="20">
                  <c:v>0.56499999999999995</c:v>
                </c:pt>
                <c:pt idx="21">
                  <c:v>0</c:v>
                </c:pt>
                <c:pt idx="22">
                  <c:v>0.66</c:v>
                </c:pt>
                <c:pt idx="23">
                  <c:v>0</c:v>
                </c:pt>
                <c:pt idx="24">
                  <c:v>0</c:v>
                </c:pt>
                <c:pt idx="25">
                  <c:v>0</c:v>
                </c:pt>
                <c:pt idx="26">
                  <c:v>0.48899999999999999</c:v>
                </c:pt>
                <c:pt idx="27">
                  <c:v>0</c:v>
                </c:pt>
                <c:pt idx="28">
                  <c:v>0</c:v>
                </c:pt>
                <c:pt idx="29">
                  <c:v>0.54600000000000004</c:v>
                </c:pt>
                <c:pt idx="30">
                  <c:v>0</c:v>
                </c:pt>
                <c:pt idx="31">
                  <c:v>0</c:v>
                </c:pt>
                <c:pt idx="32">
                  <c:v>0.45200000000000001</c:v>
                </c:pt>
                <c:pt idx="33">
                  <c:v>0</c:v>
                </c:pt>
              </c:numCache>
            </c:numRef>
          </c:val>
          <c:smooth val="0"/>
          <c:extLst>
            <c:ext xmlns:c16="http://schemas.microsoft.com/office/drawing/2014/chart" uri="{C3380CC4-5D6E-409C-BE32-E72D297353CC}">
              <c16:uniqueId val="{00000002-02B3-4FD7-8B22-CD9974EA1A04}"/>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ROUND'!$Q$3:$Q$35</c15:sqref>
                        </c15:formulaRef>
                      </c:ext>
                    </c:extLst>
                    <c:numCache>
                      <c:formatCode>General</c:formatCode>
                      <c:ptCount val="33"/>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numCache>
                  </c:numRef>
                </c:val>
                <c:smooth val="0"/>
                <c:extLst>
                  <c:ext xmlns:c16="http://schemas.microsoft.com/office/drawing/2014/chart" uri="{C3380CC4-5D6E-409C-BE32-E72D297353CC}">
                    <c16:uniqueId val="{00000003-02B3-4FD7-8B22-CD9974EA1A04}"/>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7237778396671477"/>
        </c:manualLayout>
      </c:layout>
      <c:barChart>
        <c:barDir val="col"/>
        <c:grouping val="clustered"/>
        <c:varyColors val="0"/>
        <c:ser>
          <c:idx val="0"/>
          <c:order val="0"/>
          <c:spPr>
            <a:solidFill>
              <a:srgbClr val="7125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ptos" panose="020B0004020202020204" pitchFamily="34" charset="0"/>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'2-QQM_SUMMARY_SHEET'!$C$2:$L$2</c:f>
              <c:strCache>
                <c:ptCount val="10"/>
                <c:pt idx="0">
                  <c:v>Domain 1: General Management </c:v>
                </c:pt>
                <c:pt idx="1">
                  <c:v>Domain 2: Hygiene </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'2-QQM_SUMMARY_SHEET'!$C$30:$L$30</c:f>
              <c:numCache>
                <c:formatCode>0%</c:formatCode>
                <c:ptCount val="10"/>
                <c:pt idx="0">
                  <c:v>0.72321749999999996</c:v>
                </c:pt>
                <c:pt idx="1">
                  <c:v>0.62382159999999998</c:v>
                </c:pt>
                <c:pt idx="2">
                  <c:v>0.60821780000000003</c:v>
                </c:pt>
                <c:pt idx="3">
                  <c:v>0.56567860000000003</c:v>
                </c:pt>
                <c:pt idx="4">
                  <c:v>0.81040699999999999</c:v>
                </c:pt>
                <c:pt idx="5">
                  <c:v>0.62464430000000004</c:v>
                </c:pt>
                <c:pt idx="6">
                  <c:v>8.9760300000000001E-2</c:v>
                </c:pt>
                <c:pt idx="7">
                  <c:v>0.75525129999999996</c:v>
                </c:pt>
                <c:pt idx="8">
                  <c:v>0.88422820000000002</c:v>
                </c:pt>
                <c:pt idx="9">
                  <c:v>0.67452279999999998</c:v>
                </c:pt>
              </c:numCache>
            </c:numRef>
          </c:val>
          <c:extLst>
            <c:ext xmlns:c16="http://schemas.microsoft.com/office/drawing/2014/chart" uri="{C3380CC4-5D6E-409C-BE32-E72D297353CC}">
              <c16:uniqueId val="{00000000-E18E-AF4A-A091-ADC2260A6D26}"/>
            </c:ext>
          </c:extLst>
        </c:ser>
        <c:dLbls>
          <c:showLegendKey val="0"/>
          <c:showVal val="0"/>
          <c:showCatName val="0"/>
          <c:showSerName val="0"/>
          <c:showPercent val="0"/>
          <c:showBubbleSize val="0"/>
        </c:dLbls>
        <c:gapWidth val="45"/>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CC0066">
                <a:alpha val="16078"/>
              </a:srgbClr>
            </a:solidFill>
            <a:ln w="22225">
              <a:solidFill>
                <a:srgbClr val="993366"/>
              </a:solidFill>
              <a:prstDash val="sysDash"/>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71254B"/>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History</c:v>
              </c:pt>
              <c:pt idx="1">
                <c:v>Physical/Lab</c:v>
              </c:pt>
              <c:pt idx="2">
                <c:v>Diagnosis</c:v>
              </c:pt>
              <c:pt idx="3">
                <c:v>Treatment</c:v>
              </c:pt>
              <c:pt idx="4">
                <c:v>Explanation</c:v>
              </c:pt>
            </c:strLit>
          </c:cat>
          <c:val>
            <c:numRef>
              <c:f>'Annex2a-QQM_EXIT&amp;VIGNETTES_PROV'!$C$21:$C$25</c:f>
              <c:numCache>
                <c:formatCode>0%</c:formatCode>
                <c:ptCount val="5"/>
                <c:pt idx="0">
                  <c:v>0.60873909999999998</c:v>
                </c:pt>
                <c:pt idx="1">
                  <c:v>0.49913560000000001</c:v>
                </c:pt>
                <c:pt idx="2">
                  <c:v>0.57680370000000003</c:v>
                </c:pt>
                <c:pt idx="3">
                  <c:v>0.50007400000000002</c:v>
                </c:pt>
                <c:pt idx="4">
                  <c:v>0.64144710000000005</c:v>
                </c:pt>
              </c:numCache>
            </c:numRef>
          </c:val>
          <c:extLst>
            <c:ext xmlns:c16="http://schemas.microsoft.com/office/drawing/2014/chart" uri="{C3380CC4-5D6E-409C-BE32-E72D297353CC}">
              <c16:uniqueId val="{00000000-0854-FE45-8987-FE55F5125E0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41075868687485E-2"/>
          <c:y val="7.1878259071062864E-2"/>
          <c:w val="0.89399913119132213"/>
          <c:h val="0.8525258403254557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nl-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'2-QQM_SUMMARY_SHEET'!$O$2:$P$2</c:f>
              <c:strCache>
                <c:ptCount val="2"/>
                <c:pt idx="0">
                  <c:v>Exit interview with caregiver of a sick child under 5</c:v>
                </c:pt>
                <c:pt idx="1">
                  <c:v>Exit interview Family Planning</c:v>
                </c:pt>
              </c:strCache>
            </c:strRef>
          </c:cat>
          <c:val>
            <c:numRef>
              <c:f>'2-QQM_SUMMARY_SHEET'!$O$30:$P$30</c:f>
              <c:numCache>
                <c:formatCode>0%</c:formatCode>
                <c:ptCount val="2"/>
                <c:pt idx="0">
                  <c:v>0.48127330000000001</c:v>
                </c:pt>
                <c:pt idx="1">
                  <c:v>0.68497149999999996</c:v>
                </c:pt>
              </c:numCache>
            </c:numRef>
          </c:val>
          <c:extLst>
            <c:ext xmlns:c16="http://schemas.microsoft.com/office/drawing/2014/chart" uri="{C3380CC4-5D6E-409C-BE32-E72D297353CC}">
              <c16:uniqueId val="{00000000-848B-544E-AF0C-47243E3B6E09}"/>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7665040085"/>
          <c:y val="0.10649553198913719"/>
          <c:w val="0.57089296236434872"/>
          <c:h val="0.82040649543084576"/>
        </c:manualLayout>
      </c:layout>
      <c:radarChart>
        <c:radarStyle val="filled"/>
        <c:varyColors val="0"/>
        <c:ser>
          <c:idx val="0"/>
          <c:order val="0"/>
          <c:spPr>
            <a:solidFill>
              <a:srgbClr val="D47EA9"/>
            </a:solidFill>
            <a:ln>
              <a:solidFill>
                <a:srgbClr val="D47EA9"/>
              </a:solidFill>
            </a:ln>
            <a:effectLst/>
          </c:spPr>
          <c:cat>
            <c:strRef>
              <c:f>('Annex2a-QQM_EXIT&amp;VIGNETTES_PROV'!$A$28,'Annex2a-QQM_EXIT&amp;VIGNETTES_PROV'!$A$34,'Annex2a-QQM_EXIT&amp;VIGNETTES_PROV'!$A$40,'Annex2a-QQM_EXIT&amp;VIGNETTES_PROV'!$A$45,'Annex2a-QQM_EXIT&amp;VIGNETTES_PROV'!$A$50,'Annex2a-QQM_EXIT&amp;VIGNETTES_PROV'!$A$56,'Annex2a-QQM_EXIT&amp;VIGNETTES_PROV'!$A$62,'Annex2a-QQM_EXIT&amp;VIGNETTES_PROV'!$A$67,'Annex2a-QQM_EXIT&amp;VIGNETTES_PROV'!$A$72,'Annex2a-QQM_EXIT&amp;VIGNETTES_PROV'!$A$77)</c:f>
              <c:strCache>
                <c:ptCount val="10"/>
                <c:pt idx="0">
                  <c:v>Pneumonia</c:v>
                </c:pt>
                <c:pt idx="1">
                  <c:v>Diarrhea</c:v>
                </c:pt>
                <c:pt idx="2">
                  <c:v>Growth Monitoring and Promotion</c:v>
                </c:pt>
                <c:pt idx="3">
                  <c:v>TB Patient management</c:v>
                </c:pt>
                <c:pt idx="4">
                  <c:v>Labor</c:v>
                </c:pt>
                <c:pt idx="5">
                  <c:v>PNC</c:v>
                </c:pt>
                <c:pt idx="6">
                  <c:v>First ANC visit</c:v>
                </c:pt>
                <c:pt idx="7">
                  <c:v>Birth spacing/ Family planning</c:v>
                </c:pt>
                <c:pt idx="8">
                  <c:v>Changing FP method to injectable</c:v>
                </c:pt>
                <c:pt idx="9">
                  <c:v>PPH</c:v>
                </c:pt>
              </c:strCache>
            </c:strRef>
          </c:cat>
          <c:val>
            <c:numRef>
              <c:f>('Annex2a-QQM_EXIT&amp;VIGNETTES_PROV'!$C$28,'Annex2a-QQM_EXIT&amp;VIGNETTES_PROV'!$C$34,'Annex2a-QQM_EXIT&amp;VIGNETTES_PROV'!$C$40,'Annex2a-QQM_EXIT&amp;VIGNETTES_PROV'!$C$45,'Annex2a-QQM_EXIT&amp;VIGNETTES_PROV'!$C$50,'Annex2a-QQM_EXIT&amp;VIGNETTES_PROV'!$C$56,'Annex2a-QQM_EXIT&amp;VIGNETTES_PROV'!$C$62,'Annex2a-QQM_EXIT&amp;VIGNETTES_PROV'!$C$67,'Annex2a-QQM_EXIT&amp;VIGNETTES_PROV'!$C$72,'Annex2a-QQM_EXIT&amp;VIGNETTES_PROV'!$C$77)</c:f>
              <c:numCache>
                <c:formatCode>0%</c:formatCode>
                <c:ptCount val="10"/>
                <c:pt idx="0">
                  <c:v>0.54696829999999996</c:v>
                </c:pt>
                <c:pt idx="1">
                  <c:v>0.49821929999999998</c:v>
                </c:pt>
                <c:pt idx="2">
                  <c:v>0.50036380000000003</c:v>
                </c:pt>
                <c:pt idx="3">
                  <c:v>0.65052469999999996</c:v>
                </c:pt>
                <c:pt idx="4">
                  <c:v>0.52269869999999996</c:v>
                </c:pt>
                <c:pt idx="5">
                  <c:v>0.4281877</c:v>
                </c:pt>
                <c:pt idx="6">
                  <c:v>0.41778379999999998</c:v>
                </c:pt>
                <c:pt idx="7">
                  <c:v>0.43419550000000001</c:v>
                </c:pt>
                <c:pt idx="8">
                  <c:v>0.46327200000000002</c:v>
                </c:pt>
                <c:pt idx="9">
                  <c:v>0.50088670000000002</c:v>
                </c:pt>
              </c:numCache>
            </c:numRef>
          </c:val>
          <c:extLst>
            <c:ext xmlns:c16="http://schemas.microsoft.com/office/drawing/2014/chart" uri="{C3380CC4-5D6E-409C-BE32-E72D297353CC}">
              <c16:uniqueId val="{00000000-71AE-C840-BDF0-CF7EEE0E63A3}"/>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ROUND'!$AC$4:$AC$37</c:f>
              <c:numCache>
                <c:formatCode>0%</c:formatCode>
                <c:ptCount val="34"/>
                <c:pt idx="0">
                  <c:v>0.622</c:v>
                </c:pt>
                <c:pt idx="2">
                  <c:v>0.64</c:v>
                </c:pt>
                <c:pt idx="3">
                  <c:v>0.55900000000000005</c:v>
                </c:pt>
                <c:pt idx="4">
                  <c:v>0.58399999999999996</c:v>
                </c:pt>
                <c:pt idx="7">
                  <c:v>0.55000000000000004</c:v>
                </c:pt>
                <c:pt idx="8">
                  <c:v>0.56799999999999995</c:v>
                </c:pt>
                <c:pt idx="9">
                  <c:v>0.53900000000000003</c:v>
                </c:pt>
                <c:pt idx="10">
                  <c:v>0.48</c:v>
                </c:pt>
                <c:pt idx="11">
                  <c:v>0.52800000000000002</c:v>
                </c:pt>
                <c:pt idx="12">
                  <c:v>0.57599999999999996</c:v>
                </c:pt>
                <c:pt idx="13">
                  <c:v>0.505</c:v>
                </c:pt>
                <c:pt idx="14">
                  <c:v>0.53200000000000003</c:v>
                </c:pt>
                <c:pt idx="17">
                  <c:v>0.67900000000000005</c:v>
                </c:pt>
                <c:pt idx="18">
                  <c:v>0.58599999999999997</c:v>
                </c:pt>
                <c:pt idx="20">
                  <c:v>0.65700000000000003</c:v>
                </c:pt>
                <c:pt idx="22">
                  <c:v>0.59199999999999997</c:v>
                </c:pt>
                <c:pt idx="23">
                  <c:v>0.623</c:v>
                </c:pt>
                <c:pt idx="24">
                  <c:v>0.46400000000000002</c:v>
                </c:pt>
                <c:pt idx="25">
                  <c:v>0.50800000000000001</c:v>
                </c:pt>
                <c:pt idx="26">
                  <c:v>0.59399999999999997</c:v>
                </c:pt>
                <c:pt idx="27">
                  <c:v>0.53600000000000003</c:v>
                </c:pt>
                <c:pt idx="28">
                  <c:v>0.60899999999999999</c:v>
                </c:pt>
                <c:pt idx="29">
                  <c:v>0.60199999999999998</c:v>
                </c:pt>
                <c:pt idx="30">
                  <c:v>0.64800000000000002</c:v>
                </c:pt>
                <c:pt idx="31">
                  <c:v>0.69599999999999995</c:v>
                </c:pt>
                <c:pt idx="32">
                  <c:v>0.54</c:v>
                </c:pt>
              </c:numCache>
            </c:numRef>
          </c:val>
          <c:smooth val="0"/>
          <c:extLst>
            <c:ext xmlns:c16="http://schemas.microsoft.com/office/drawing/2014/chart" uri="{C3380CC4-5D6E-409C-BE32-E72D297353CC}">
              <c16:uniqueId val="{00000000-48DD-43ED-B9FA-6C411ABC8A3F}"/>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ROUND'!$AA$4:$AA$37</c:f>
              <c:numCache>
                <c:formatCode>0%</c:formatCode>
                <c:ptCount val="34"/>
                <c:pt idx="0">
                  <c:v>0.58399999999999996</c:v>
                </c:pt>
                <c:pt idx="1">
                  <c:v>0.45600000000000002</c:v>
                </c:pt>
                <c:pt idx="2">
                  <c:v>0.54800000000000004</c:v>
                </c:pt>
                <c:pt idx="3">
                  <c:v>0.53400000000000003</c:v>
                </c:pt>
                <c:pt idx="4">
                  <c:v>0.68200000000000005</c:v>
                </c:pt>
                <c:pt idx="5">
                  <c:v>0.66900000000000004</c:v>
                </c:pt>
                <c:pt idx="6">
                  <c:v>0.58799999999999997</c:v>
                </c:pt>
                <c:pt idx="7">
                  <c:v>0.629</c:v>
                </c:pt>
                <c:pt idx="8">
                  <c:v>0.57199999999999995</c:v>
                </c:pt>
                <c:pt idx="9">
                  <c:v>0.75</c:v>
                </c:pt>
                <c:pt idx="10">
                  <c:v>0.46400000000000002</c:v>
                </c:pt>
                <c:pt idx="11">
                  <c:v>0.58899999999999997</c:v>
                </c:pt>
                <c:pt idx="12">
                  <c:v>0.52800000000000002</c:v>
                </c:pt>
                <c:pt idx="13">
                  <c:v>0.54100000000000004</c:v>
                </c:pt>
                <c:pt idx="14">
                  <c:v>0.59799999999999998</c:v>
                </c:pt>
                <c:pt idx="15">
                  <c:v>0.49099999999999999</c:v>
                </c:pt>
                <c:pt idx="16">
                  <c:v>0.66900000000000004</c:v>
                </c:pt>
                <c:pt idx="17">
                  <c:v>0.63300000000000001</c:v>
                </c:pt>
                <c:pt idx="18">
                  <c:v>0.45100000000000001</c:v>
                </c:pt>
                <c:pt idx="19">
                  <c:v>0.51800000000000002</c:v>
                </c:pt>
                <c:pt idx="20">
                  <c:v>0.64700000000000002</c:v>
                </c:pt>
                <c:pt idx="21">
                  <c:v>0.55100000000000005</c:v>
                </c:pt>
                <c:pt idx="22">
                  <c:v>0.51700000000000002</c:v>
                </c:pt>
                <c:pt idx="23">
                  <c:v>0.63200000000000001</c:v>
                </c:pt>
                <c:pt idx="24">
                  <c:v>0.433</c:v>
                </c:pt>
                <c:pt idx="25">
                  <c:v>0.59199999999999997</c:v>
                </c:pt>
                <c:pt idx="26">
                  <c:v>0.56200000000000006</c:v>
                </c:pt>
                <c:pt idx="27">
                  <c:v>0.59</c:v>
                </c:pt>
                <c:pt idx="28">
                  <c:v>0.54</c:v>
                </c:pt>
                <c:pt idx="29">
                  <c:v>0.504</c:v>
                </c:pt>
                <c:pt idx="30">
                  <c:v>0.58799999999999997</c:v>
                </c:pt>
                <c:pt idx="31">
                  <c:v>0.67300000000000004</c:v>
                </c:pt>
                <c:pt idx="32">
                  <c:v>0.39600000000000002</c:v>
                </c:pt>
                <c:pt idx="33">
                  <c:v>0.45400000000000001</c:v>
                </c:pt>
              </c:numCache>
            </c:numRef>
          </c:val>
          <c:smooth val="0"/>
          <c:extLst>
            <c:ext xmlns:c16="http://schemas.microsoft.com/office/drawing/2014/chart" uri="{C3380CC4-5D6E-409C-BE32-E72D297353CC}">
              <c16:uniqueId val="{00000001-48DD-43ED-B9FA-6C411ABC8A3F}"/>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'!$C$52:$C$85</c:f>
              <c:numCache>
                <c:formatCode>0%</c:formatCode>
                <c:ptCount val="34"/>
                <c:pt idx="0">
                  <c:v>0</c:v>
                </c:pt>
                <c:pt idx="1">
                  <c:v>0</c:v>
                </c:pt>
                <c:pt idx="2">
                  <c:v>0.64</c:v>
                </c:pt>
                <c:pt idx="3">
                  <c:v>0</c:v>
                </c:pt>
                <c:pt idx="4">
                  <c:v>0.58399999999999996</c:v>
                </c:pt>
                <c:pt idx="5">
                  <c:v>0</c:v>
                </c:pt>
                <c:pt idx="6">
                  <c:v>0</c:v>
                </c:pt>
                <c:pt idx="7">
                  <c:v>0</c:v>
                </c:pt>
                <c:pt idx="8">
                  <c:v>0</c:v>
                </c:pt>
                <c:pt idx="9">
                  <c:v>0.53900000000000003</c:v>
                </c:pt>
                <c:pt idx="10">
                  <c:v>0</c:v>
                </c:pt>
                <c:pt idx="11">
                  <c:v>0</c:v>
                </c:pt>
                <c:pt idx="12">
                  <c:v>0</c:v>
                </c:pt>
                <c:pt idx="13">
                  <c:v>0</c:v>
                </c:pt>
                <c:pt idx="14">
                  <c:v>0.53200000000000003</c:v>
                </c:pt>
                <c:pt idx="15">
                  <c:v>0</c:v>
                </c:pt>
                <c:pt idx="16">
                  <c:v>0</c:v>
                </c:pt>
                <c:pt idx="17">
                  <c:v>0</c:v>
                </c:pt>
                <c:pt idx="18">
                  <c:v>0.58599999999999997</c:v>
                </c:pt>
                <c:pt idx="19">
                  <c:v>0</c:v>
                </c:pt>
                <c:pt idx="20">
                  <c:v>0</c:v>
                </c:pt>
                <c:pt idx="21">
                  <c:v>0</c:v>
                </c:pt>
                <c:pt idx="22">
                  <c:v>0</c:v>
                </c:pt>
                <c:pt idx="23">
                  <c:v>0</c:v>
                </c:pt>
                <c:pt idx="24">
                  <c:v>0</c:v>
                </c:pt>
                <c:pt idx="25">
                  <c:v>0</c:v>
                </c:pt>
                <c:pt idx="26">
                  <c:v>0</c:v>
                </c:pt>
                <c:pt idx="27">
                  <c:v>0</c:v>
                </c:pt>
                <c:pt idx="28">
                  <c:v>0.60899999999999999</c:v>
                </c:pt>
                <c:pt idx="29">
                  <c:v>0.60199999999999998</c:v>
                </c:pt>
                <c:pt idx="30">
                  <c:v>0</c:v>
                </c:pt>
                <c:pt idx="31">
                  <c:v>0</c:v>
                </c:pt>
                <c:pt idx="32">
                  <c:v>0.54</c:v>
                </c:pt>
                <c:pt idx="33">
                  <c:v>0</c:v>
                </c:pt>
              </c:numCache>
            </c:numRef>
          </c:val>
          <c:smooth val="0"/>
          <c:extLst>
            <c:ext xmlns:c16="http://schemas.microsoft.com/office/drawing/2014/chart" uri="{C3380CC4-5D6E-409C-BE32-E72D297353CC}">
              <c16:uniqueId val="{00000002-48DD-43ED-B9FA-6C411ABC8A3F}"/>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'[1]3-QQM_BY ROUND'!$Q$3:$Q$35</c15:sqref>
                        </c15:formulaRef>
                      </c:ext>
                    </c:extLst>
                    <c:numCache>
                      <c:formatCode>General</c:formatCode>
                      <c:ptCount val="33"/>
                      <c:pt idx="0">
                        <c:v>0.58299999999999996</c:v>
                      </c:pt>
                      <c:pt idx="1">
                        <c:v>0.53700000000000003</c:v>
                      </c:pt>
                      <c:pt idx="2">
                        <c:v>0.628</c:v>
                      </c:pt>
                      <c:pt idx="3">
                        <c:v>0.56799999999999995</c:v>
                      </c:pt>
                      <c:pt idx="4">
                        <c:v>0.627</c:v>
                      </c:pt>
                      <c:pt idx="5">
                        <c:v>0.52300000000000002</c:v>
                      </c:pt>
                      <c:pt idx="6">
                        <c:v>0.63200000000000001</c:v>
                      </c:pt>
                      <c:pt idx="7">
                        <c:v>0.52300000000000002</c:v>
                      </c:pt>
                      <c:pt idx="8">
                        <c:v>0.64</c:v>
                      </c:pt>
                      <c:pt idx="9">
                        <c:v>0.66800000000000004</c:v>
                      </c:pt>
                      <c:pt idx="10">
                        <c:v>0.443</c:v>
                      </c:pt>
                      <c:pt idx="11">
                        <c:v>0.55800000000000005</c:v>
                      </c:pt>
                      <c:pt idx="12">
                        <c:v>0.57399999999999995</c:v>
                      </c:pt>
                      <c:pt idx="13">
                        <c:v>0.55300000000000005</c:v>
                      </c:pt>
                      <c:pt idx="14">
                        <c:v>0.505</c:v>
                      </c:pt>
                      <c:pt idx="15">
                        <c:v>0.48499999999999999</c:v>
                      </c:pt>
                      <c:pt idx="16">
                        <c:v>0.57299999999999995</c:v>
                      </c:pt>
                      <c:pt idx="17">
                        <c:v>0.66</c:v>
                      </c:pt>
                      <c:pt idx="18">
                        <c:v>0.497</c:v>
                      </c:pt>
                      <c:pt idx="19">
                        <c:v>0.59699999999999998</c:v>
                      </c:pt>
                      <c:pt idx="20">
                        <c:v>0.61499999999999999</c:v>
                      </c:pt>
                      <c:pt idx="21">
                        <c:v>0.55400000000000005</c:v>
                      </c:pt>
                      <c:pt idx="22">
                        <c:v>0.60799999999999998</c:v>
                      </c:pt>
                      <c:pt idx="23">
                        <c:v>0.32800000000000001</c:v>
                      </c:pt>
                      <c:pt idx="24">
                        <c:v>0.61599999999999999</c:v>
                      </c:pt>
                      <c:pt idx="25">
                        <c:v>0.53</c:v>
                      </c:pt>
                      <c:pt idx="26">
                        <c:v>0.623</c:v>
                      </c:pt>
                      <c:pt idx="27">
                        <c:v>0.52800000000000002</c:v>
                      </c:pt>
                      <c:pt idx="28">
                        <c:v>0.58899999999999997</c:v>
                      </c:pt>
                      <c:pt idx="29">
                        <c:v>0.53500000000000003</c:v>
                      </c:pt>
                      <c:pt idx="30">
                        <c:v>0.55000000000000004</c:v>
                      </c:pt>
                      <c:pt idx="31">
                        <c:v>0.50800000000000001</c:v>
                      </c:pt>
                      <c:pt idx="32">
                        <c:v>0.47399999999999998</c:v>
                      </c:pt>
                    </c:numCache>
                  </c:numRef>
                </c:val>
                <c:smooth val="0"/>
                <c:extLst>
                  <c:ext xmlns:c16="http://schemas.microsoft.com/office/drawing/2014/chart" uri="{C3380CC4-5D6E-409C-BE32-E72D297353CC}">
                    <c16:uniqueId val="{00000003-48DD-43ED-B9FA-6C411ABC8A3F}"/>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191151822376907E-2"/>
          <c:y val="4.7599226945506411E-2"/>
          <c:w val="0.92119754674245002"/>
          <c:h val="0.67966984256024432"/>
        </c:manualLayout>
      </c:layout>
      <c:lineChart>
        <c:grouping val="standard"/>
        <c:varyColors val="0"/>
        <c:ser>
          <c:idx val="0"/>
          <c:order val="0"/>
          <c:tx>
            <c:v>HER2 R4</c:v>
          </c:tx>
          <c:spPr>
            <a:ln w="19050">
              <a:noFill/>
            </a:ln>
          </c:spPr>
          <c:marker>
            <c:symbol val="circle"/>
            <c:size val="13"/>
            <c:spPr>
              <a:solidFill>
                <a:schemeClr val="bg1"/>
              </a:solidFill>
              <a:ln w="25400">
                <a:solidFill>
                  <a:srgbClr val="F0D0E0"/>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ROUND'!$AU$4:$AU$37</c:f>
              <c:numCache>
                <c:formatCode>0%</c:formatCode>
                <c:ptCount val="34"/>
                <c:pt idx="0">
                  <c:v>0.63500000000000001</c:v>
                </c:pt>
                <c:pt idx="2">
                  <c:v>0.68700000000000006</c:v>
                </c:pt>
                <c:pt idx="3">
                  <c:v>0.46200000000000002</c:v>
                </c:pt>
                <c:pt idx="4">
                  <c:v>0.58899999999999997</c:v>
                </c:pt>
                <c:pt idx="7">
                  <c:v>0.52400000000000002</c:v>
                </c:pt>
                <c:pt idx="8">
                  <c:v>0.441</c:v>
                </c:pt>
                <c:pt idx="9">
                  <c:v>0.622</c:v>
                </c:pt>
                <c:pt idx="10">
                  <c:v>0.24099999999999999</c:v>
                </c:pt>
                <c:pt idx="11">
                  <c:v>0.45900000000000002</c:v>
                </c:pt>
                <c:pt idx="12">
                  <c:v>0.56000000000000005</c:v>
                </c:pt>
                <c:pt idx="13">
                  <c:v>0.46500000000000002</c:v>
                </c:pt>
                <c:pt idx="14">
                  <c:v>0.38300000000000001</c:v>
                </c:pt>
                <c:pt idx="17">
                  <c:v>0.72499999999999998</c:v>
                </c:pt>
                <c:pt idx="18">
                  <c:v>0.53600000000000003</c:v>
                </c:pt>
                <c:pt idx="20">
                  <c:v>0.52200000000000002</c:v>
                </c:pt>
                <c:pt idx="22">
                  <c:v>0.621</c:v>
                </c:pt>
                <c:pt idx="23">
                  <c:v>0.54200000000000004</c:v>
                </c:pt>
                <c:pt idx="24">
                  <c:v>0.34300000000000003</c:v>
                </c:pt>
                <c:pt idx="25">
                  <c:v>0.41899999999999998</c:v>
                </c:pt>
                <c:pt idx="26">
                  <c:v>0.49399999999999999</c:v>
                </c:pt>
                <c:pt idx="27">
                  <c:v>0.33200000000000002</c:v>
                </c:pt>
                <c:pt idx="28">
                  <c:v>0.48099999999999998</c:v>
                </c:pt>
                <c:pt idx="29">
                  <c:v>0.33900000000000002</c:v>
                </c:pt>
                <c:pt idx="30">
                  <c:v>0.67300000000000004</c:v>
                </c:pt>
                <c:pt idx="31">
                  <c:v>0.377</c:v>
                </c:pt>
                <c:pt idx="32">
                  <c:v>0.50600000000000001</c:v>
                </c:pt>
              </c:numCache>
            </c:numRef>
          </c:val>
          <c:smooth val="0"/>
          <c:extLst>
            <c:ext xmlns:c16="http://schemas.microsoft.com/office/drawing/2014/chart" uri="{C3380CC4-5D6E-409C-BE32-E72D297353CC}">
              <c16:uniqueId val="{00000000-DE88-4DFB-970D-E3559F7C0CD2}"/>
            </c:ext>
          </c:extLst>
        </c:ser>
        <c:ser>
          <c:idx val="2"/>
          <c:order val="2"/>
          <c:tx>
            <c:v>HER2 R3</c:v>
          </c:tx>
          <c:spPr>
            <a:ln w="19050">
              <a:noFill/>
            </a:ln>
          </c:spPr>
          <c:marker>
            <c:symbol val="circle"/>
            <c:size val="13"/>
            <c:spPr>
              <a:solidFill>
                <a:schemeClr val="bg1"/>
              </a:solidFill>
              <a:ln w="25400">
                <a:solidFill>
                  <a:srgbClr val="71254B"/>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'3-QQM_BY ROUND'!$AS$4:$AS$37</c:f>
              <c:numCache>
                <c:formatCode>0%</c:formatCode>
                <c:ptCount val="34"/>
                <c:pt idx="0">
                  <c:v>0.46200000000000002</c:v>
                </c:pt>
                <c:pt idx="1">
                  <c:v>0.46600000000000003</c:v>
                </c:pt>
                <c:pt idx="2">
                  <c:v>0.52900000000000003</c:v>
                </c:pt>
                <c:pt idx="3">
                  <c:v>0.58399999999999996</c:v>
                </c:pt>
                <c:pt idx="4">
                  <c:v>0.57299999999999995</c:v>
                </c:pt>
                <c:pt idx="5">
                  <c:v>0.6</c:v>
                </c:pt>
                <c:pt idx="6">
                  <c:v>0.39400000000000002</c:v>
                </c:pt>
                <c:pt idx="7">
                  <c:v>0.442</c:v>
                </c:pt>
                <c:pt idx="8">
                  <c:v>0.32200000000000001</c:v>
                </c:pt>
                <c:pt idx="9">
                  <c:v>0.60499999999999998</c:v>
                </c:pt>
                <c:pt idx="10">
                  <c:v>0.20200000000000001</c:v>
                </c:pt>
                <c:pt idx="11">
                  <c:v>0.40200000000000002</c:v>
                </c:pt>
                <c:pt idx="12">
                  <c:v>0.56399999999999995</c:v>
                </c:pt>
                <c:pt idx="13">
                  <c:v>0.49299999999999999</c:v>
                </c:pt>
                <c:pt idx="14">
                  <c:v>0.45</c:v>
                </c:pt>
                <c:pt idx="15">
                  <c:v>0.38300000000000001</c:v>
                </c:pt>
                <c:pt idx="16">
                  <c:v>0.61599999999999999</c:v>
                </c:pt>
                <c:pt idx="17">
                  <c:v>0.749</c:v>
                </c:pt>
                <c:pt idx="18">
                  <c:v>0.47799999999999998</c:v>
                </c:pt>
                <c:pt idx="19">
                  <c:v>0.53600000000000003</c:v>
                </c:pt>
                <c:pt idx="20">
                  <c:v>0.57299999999999995</c:v>
                </c:pt>
                <c:pt idx="21">
                  <c:v>0.35</c:v>
                </c:pt>
                <c:pt idx="22">
                  <c:v>0.60499999999999998</c:v>
                </c:pt>
                <c:pt idx="23">
                  <c:v>0.46899999999999997</c:v>
                </c:pt>
                <c:pt idx="24">
                  <c:v>0.39800000000000002</c:v>
                </c:pt>
                <c:pt idx="25">
                  <c:v>0.51400000000000001</c:v>
                </c:pt>
                <c:pt idx="26">
                  <c:v>0.38</c:v>
                </c:pt>
                <c:pt idx="27">
                  <c:v>0.33800000000000002</c:v>
                </c:pt>
                <c:pt idx="28">
                  <c:v>0.52200000000000002</c:v>
                </c:pt>
                <c:pt idx="29">
                  <c:v>0.25700000000000001</c:v>
                </c:pt>
                <c:pt idx="30">
                  <c:v>0.66300000000000003</c:v>
                </c:pt>
                <c:pt idx="31">
                  <c:v>0.58399999999999996</c:v>
                </c:pt>
                <c:pt idx="32">
                  <c:v>0.52</c:v>
                </c:pt>
                <c:pt idx="33">
                  <c:v>0.26300000000000001</c:v>
                </c:pt>
              </c:numCache>
            </c:numRef>
          </c:val>
          <c:smooth val="0"/>
          <c:extLst>
            <c:ext xmlns:c16="http://schemas.microsoft.com/office/drawing/2014/chart" uri="{C3380CC4-5D6E-409C-BE32-E72D297353CC}">
              <c16:uniqueId val="{00000001-DE88-4DFB-970D-E3559F7C0CD2}"/>
            </c:ext>
          </c:extLst>
        </c:ser>
        <c:ser>
          <c:idx val="3"/>
          <c:order val="3"/>
          <c:tx>
            <c:v>Significant +/-</c:v>
          </c:tx>
          <c:spPr>
            <a:ln w="19050">
              <a:noFill/>
            </a:ln>
          </c:spPr>
          <c:marker>
            <c:symbol val="x"/>
            <c:size val="3"/>
            <c:spPr>
              <a:solidFill>
                <a:schemeClr val="bg1"/>
              </a:solidFill>
              <a:ln>
                <a:solidFill>
                  <a:schemeClr val="tx1"/>
                </a:solidFill>
              </a:ln>
            </c:spPr>
          </c:marker>
          <c:cat>
            <c:strRef>
              <c:f>'3-QQM_BY ROUND'!$A$4:$A$37</c:f>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f>'0 - GRAPHS '!$D$52:$D$85</c:f>
              <c:numCache>
                <c:formatCode>0%</c:formatCode>
                <c:ptCount val="34"/>
                <c:pt idx="0">
                  <c:v>0.63500000000000001</c:v>
                </c:pt>
                <c:pt idx="1">
                  <c:v>0</c:v>
                </c:pt>
                <c:pt idx="2">
                  <c:v>0</c:v>
                </c:pt>
                <c:pt idx="3">
                  <c:v>0.46200000000000002</c:v>
                </c:pt>
                <c:pt idx="4">
                  <c:v>0</c:v>
                </c:pt>
                <c:pt idx="5">
                  <c:v>0</c:v>
                </c:pt>
                <c:pt idx="6">
                  <c:v>0</c:v>
                </c:pt>
                <c:pt idx="7">
                  <c:v>0</c:v>
                </c:pt>
                <c:pt idx="8">
                  <c:v>0.441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0.41899999999999998</c:v>
                </c:pt>
                <c:pt idx="26">
                  <c:v>0.49399999999999999</c:v>
                </c:pt>
                <c:pt idx="27">
                  <c:v>0</c:v>
                </c:pt>
                <c:pt idx="28">
                  <c:v>0</c:v>
                </c:pt>
                <c:pt idx="29">
                  <c:v>0</c:v>
                </c:pt>
                <c:pt idx="30">
                  <c:v>0</c:v>
                </c:pt>
                <c:pt idx="31">
                  <c:v>0.377</c:v>
                </c:pt>
                <c:pt idx="32">
                  <c:v>0</c:v>
                </c:pt>
                <c:pt idx="33">
                  <c:v>0</c:v>
                </c:pt>
              </c:numCache>
            </c:numRef>
          </c:val>
          <c:smooth val="0"/>
          <c:extLst>
            <c:ext xmlns:c16="http://schemas.microsoft.com/office/drawing/2014/chart" uri="{C3380CC4-5D6E-409C-BE32-E72D297353CC}">
              <c16:uniqueId val="{00000002-DE88-4DFB-970D-E3559F7C0CD2}"/>
            </c:ext>
          </c:extLst>
        </c:ser>
        <c:dLbls>
          <c:showLegendKey val="0"/>
          <c:showVal val="0"/>
          <c:showCatName val="0"/>
          <c:showSerName val="0"/>
          <c:showPercent val="0"/>
          <c:showBubbleSize val="0"/>
        </c:dLbls>
        <c:marker val="1"/>
        <c:smooth val="0"/>
        <c:axId val="669890128"/>
        <c:axId val="669888488"/>
        <c:extLst>
          <c:ext xmlns:c15="http://schemas.microsoft.com/office/drawing/2012/chart" uri="{02D57815-91ED-43cb-92C2-25804820EDAC}">
            <c15:filteredLineSeries>
              <c15:ser>
                <c:idx val="1"/>
                <c:order val="1"/>
                <c:tx>
                  <c:v>HER2 R1</c:v>
                </c:tx>
                <c:spPr>
                  <a:ln w="19050">
                    <a:noFill/>
                  </a:ln>
                </c:spPr>
                <c:marker>
                  <c:symbol val="circle"/>
                  <c:size val="13"/>
                  <c:spPr>
                    <a:solidFill>
                      <a:schemeClr val="bg1"/>
                    </a:solidFill>
                    <a:ln w="25400">
                      <a:solidFill>
                        <a:srgbClr val="F0D0E0"/>
                      </a:solidFill>
                    </a:ln>
                  </c:spPr>
                </c:marker>
                <c:cat>
                  <c:strRef>
                    <c:extLst>
                      <c:ext uri="{02D57815-91ED-43cb-92C2-25804820EDAC}">
                        <c15:formulaRef>
                          <c15:sqref>'3-QQM_BY ROUND'!$A$4:$A$37</c15:sqref>
                        </c15:formulaRef>
                      </c:ext>
                    </c:extLst>
                    <c:strCache>
                      <c:ptCount val="34"/>
                      <c:pt idx="0">
                        <c:v>Badakhshan</c:v>
                      </c:pt>
                      <c:pt idx="1">
                        <c:v>Badghis</c:v>
                      </c:pt>
                      <c:pt idx="2">
                        <c:v>Baghlan</c:v>
                      </c:pt>
                      <c:pt idx="3">
                        <c:v>Balkh</c:v>
                      </c:pt>
                      <c:pt idx="4">
                        <c:v>Bamyan</c:v>
                      </c:pt>
                      <c:pt idx="5">
                        <c:v>Daykundi</c:v>
                      </c:pt>
                      <c:pt idx="6">
                        <c:v>Farah</c:v>
                      </c:pt>
                      <c:pt idx="7">
                        <c:v>Faryab</c:v>
                      </c:pt>
                      <c:pt idx="8">
                        <c:v>Ghazni</c:v>
                      </c:pt>
                      <c:pt idx="9">
                        <c:v>Ghor</c:v>
                      </c:pt>
                      <c:pt idx="10">
                        <c:v>Helmand</c:v>
                      </c:pt>
                      <c:pt idx="11">
                        <c:v>Herat</c:v>
                      </c:pt>
                      <c:pt idx="12">
                        <c:v>Jawzjan</c:v>
                      </c:pt>
                      <c:pt idx="13">
                        <c:v>Kabul</c:v>
                      </c:pt>
                      <c:pt idx="14">
                        <c:v>Kandahar</c:v>
                      </c:pt>
                      <c:pt idx="15">
                        <c:v>Kapisa</c:v>
                      </c:pt>
                      <c:pt idx="16">
                        <c:v>Khost</c:v>
                      </c:pt>
                      <c:pt idx="17">
                        <c:v>Kunar</c:v>
                      </c:pt>
                      <c:pt idx="18">
                        <c:v>Kunduz</c:v>
                      </c:pt>
                      <c:pt idx="19">
                        <c:v>Laghman</c:v>
                      </c:pt>
                      <c:pt idx="20">
                        <c:v>Logar</c:v>
                      </c:pt>
                      <c:pt idx="21">
                        <c:v>Nangarhar</c:v>
                      </c:pt>
                      <c:pt idx="22">
                        <c:v>Nimroz</c:v>
                      </c:pt>
                      <c:pt idx="23">
                        <c:v>Nuristan</c:v>
                      </c:pt>
                      <c:pt idx="24">
                        <c:v>Paktika</c:v>
                      </c:pt>
                      <c:pt idx="25">
                        <c:v>Paktya</c:v>
                      </c:pt>
                      <c:pt idx="26">
                        <c:v>Panjsher</c:v>
                      </c:pt>
                      <c:pt idx="27">
                        <c:v>Parwan</c:v>
                      </c:pt>
                      <c:pt idx="28">
                        <c:v>Samangan</c:v>
                      </c:pt>
                      <c:pt idx="29">
                        <c:v>Sar-e-Pul</c:v>
                      </c:pt>
                      <c:pt idx="30">
                        <c:v>Takhar</c:v>
                      </c:pt>
                      <c:pt idx="31">
                        <c:v>Uruzgan</c:v>
                      </c:pt>
                      <c:pt idx="32">
                        <c:v>Wardak</c:v>
                      </c:pt>
                      <c:pt idx="33">
                        <c:v>Zabul</c:v>
                      </c:pt>
                    </c:strCache>
                  </c:strRef>
                </c:cat>
                <c:val>
                  <c:numRef>
                    <c:extLst>
                      <c:ext uri="{02D57815-91ED-43cb-92C2-25804820EDAC}">
                        <c15:formulaRef>
                          <c15:sqref>'[2]3-QQM_BY ROUND'!$Q$3:$Q$35</c15:sqref>
                        </c15:formulaRef>
                      </c:ext>
                    </c:extLst>
                    <c:numCache>
                      <c:formatCode>General</c:formatCode>
                      <c:ptCount val="33"/>
                    </c:numCache>
                  </c:numRef>
                </c:val>
                <c:smooth val="0"/>
                <c:extLst>
                  <c:ext xmlns:c16="http://schemas.microsoft.com/office/drawing/2014/chart" uri="{C3380CC4-5D6E-409C-BE32-E72D297353CC}">
                    <c16:uniqueId val="{00000003-DE88-4DFB-970D-E3559F7C0CD2}"/>
                  </c:ext>
                </c:extLst>
              </c15:ser>
            </c15:filteredLineSeries>
          </c:ext>
        </c:extLst>
      </c:lineChart>
      <c:catAx>
        <c:axId val="669890128"/>
        <c:scaling>
          <c:orientation val="minMax"/>
        </c:scaling>
        <c:delete val="0"/>
        <c:axPos val="b"/>
        <c:majorGridlines>
          <c:spPr>
            <a:ln w="9525">
              <a:solidFill>
                <a:schemeClr val="bg1">
                  <a:lumMod val="85000"/>
                </a:schemeClr>
              </a:solidFill>
            </a:ln>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ptos" panose="020B0004020202020204" pitchFamily="34" charset="0"/>
                <a:ea typeface="+mn-ea"/>
                <a:cs typeface="Arial" panose="020B0604020202020204" pitchFamily="34" charset="0"/>
              </a:defRPr>
            </a:pPr>
            <a:endParaRPr lang="nl-NL"/>
          </a:p>
        </c:txPr>
        <c:crossAx val="669890128"/>
        <c:crosses val="autoZero"/>
        <c:crossBetween val="between"/>
      </c:valAx>
      <c:spPr>
        <a:ln w="15875">
          <a:solidFill>
            <a:schemeClr val="bg1">
              <a:lumMod val="85000"/>
            </a:schemeClr>
          </a:solidFill>
        </a:ln>
      </c:spPr>
    </c:plotArea>
    <c:legend>
      <c:legendPos val="r"/>
      <c:layout>
        <c:manualLayout>
          <c:xMode val="edge"/>
          <c:yMode val="edge"/>
          <c:x val="0.82381179432192209"/>
          <c:y val="5.1939378497300161E-2"/>
          <c:w val="0.12320231782877117"/>
          <c:h val="0.18505935949840077"/>
        </c:manualLayout>
      </c:layout>
      <c:overlay val="0"/>
      <c:spPr>
        <a:solidFill>
          <a:schemeClr val="bg1"/>
        </a:solidFill>
      </c:spPr>
      <c:txPr>
        <a:bodyPr/>
        <a:lstStyle/>
        <a:p>
          <a:pPr>
            <a:defRPr sz="1100" b="0">
              <a:solidFill>
                <a:sysClr val="windowText" lastClr="000000"/>
              </a:solidFill>
              <a:latin typeface="Aptos" panose="020B0004020202020204" pitchFamily="34" charset="0"/>
            </a:defRPr>
          </a:pPr>
          <a:endParaRPr lang="nl-NL"/>
        </a:p>
      </c:txPr>
    </c:legend>
    <c:plotVisOnly val="1"/>
    <c:dispBlanksAs val="gap"/>
    <c:showDLblsOverMax val="0"/>
  </c:chart>
  <c:spPr>
    <a:solidFill>
      <a:schemeClr val="bg1"/>
    </a:solid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93345909744143"/>
          <c:y val="0.14814704732465597"/>
          <c:w val="0.55093990659143577"/>
          <c:h val="0.7540573562685009"/>
        </c:manualLayout>
      </c:layout>
      <c:radarChart>
        <c:radarStyle val="filled"/>
        <c:varyColors val="0"/>
        <c:ser>
          <c:idx val="1"/>
          <c:order val="0"/>
          <c:tx>
            <c:strRef>
              <c:f>'GRAPHS -SI - ADB non ADB'!$B$7</c:f>
              <c:strCache>
                <c:ptCount val="1"/>
                <c:pt idx="0">
                  <c:v>Non ADB</c:v>
                </c:pt>
              </c:strCache>
            </c:strRef>
          </c:tx>
          <c:spPr>
            <a:noFill/>
            <a:ln w="38100">
              <a:solidFill>
                <a:schemeClr val="bg2">
                  <a:lumMod val="50000"/>
                </a:schemeClr>
              </a:solidFill>
              <a:prstDash val="dash"/>
            </a:ln>
            <a:effectLst/>
          </c:spPr>
          <c:dLbls>
            <c:dLbl>
              <c:idx val="1"/>
              <c:layout>
                <c:manualLayout>
                  <c:x val="2.3834437711188705E-2"/>
                  <c:y val="-4.279065955639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F8-42B2-B9C3-16B5B856424A}"/>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8-42B2-B9C3-16B5B856424A}"/>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F8-42B2-B9C3-16B5B856424A}"/>
                </c:ext>
              </c:extLst>
            </c:dLbl>
            <c:dLbl>
              <c:idx val="4"/>
              <c:layout>
                <c:manualLayout>
                  <c:x val="-3.9825357761017484E-2"/>
                  <c:y val="-9.849897406339175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AB-4479-8B77-93DA579CE265}"/>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F8-42B2-B9C3-16B5B856424A}"/>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F8-42B2-B9C3-16B5B856424A}"/>
                </c:ext>
              </c:extLst>
            </c:dLbl>
            <c:dLbl>
              <c:idx val="7"/>
              <c:layout>
                <c:manualLayout>
                  <c:x val="2.0273570819680127E-2"/>
                  <c:y val="-5.6298381421534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AB-4479-8B77-93DA579CE265}"/>
                </c:ext>
              </c:extLst>
            </c:dLbl>
            <c:dLbl>
              <c:idx val="8"/>
              <c:layout>
                <c:manualLayout>
                  <c:x val="3.5606334126973498E-2"/>
                  <c:y val="-5.65764779724466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A-43A9-93AE-3BA654FDBBFF}"/>
                </c:ext>
              </c:extLst>
            </c:dLbl>
            <c:dLbl>
              <c:idx val="9"/>
              <c:layout>
                <c:manualLayout>
                  <c:x val="-7.253058349027107E-17"/>
                  <c:y val="-1.1315417256011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A-43A9-93AE-3BA654FDBB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c:v>
                </c:pt>
                <c:pt idx="1">
                  <c:v>Domain 2: Hygiene</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ADB'!$C$7:$L$7</c:f>
              <c:numCache>
                <c:formatCode>0%</c:formatCode>
                <c:ptCount val="10"/>
                <c:pt idx="0">
                  <c:v>0.73754160000000002</c:v>
                </c:pt>
                <c:pt idx="1">
                  <c:v>0.62733700000000003</c:v>
                </c:pt>
                <c:pt idx="2">
                  <c:v>0.61293169999999997</c:v>
                </c:pt>
                <c:pt idx="3">
                  <c:v>0.56858779999999998</c:v>
                </c:pt>
                <c:pt idx="4">
                  <c:v>0.78755560000000002</c:v>
                </c:pt>
                <c:pt idx="5">
                  <c:v>0.63893860000000002</c:v>
                </c:pt>
                <c:pt idx="6">
                  <c:v>9.2627000000000001E-2</c:v>
                </c:pt>
                <c:pt idx="7">
                  <c:v>0.75915529999999998</c:v>
                </c:pt>
                <c:pt idx="8">
                  <c:v>0.88601779999999997</c:v>
                </c:pt>
                <c:pt idx="9">
                  <c:v>0.68872990000000001</c:v>
                </c:pt>
              </c:numCache>
            </c:numRef>
          </c:val>
          <c:extLst>
            <c:ext xmlns:c16="http://schemas.microsoft.com/office/drawing/2014/chart" uri="{C3380CC4-5D6E-409C-BE32-E72D297353CC}">
              <c16:uniqueId val="{00000008-39F8-42B2-B9C3-16B5B856424A}"/>
            </c:ext>
          </c:extLst>
        </c:ser>
        <c:ser>
          <c:idx val="0"/>
          <c:order val="1"/>
          <c:tx>
            <c:strRef>
              <c:f>'GRAPHS -SI - ADB non ADB'!$B$8</c:f>
              <c:strCache>
                <c:ptCount val="1"/>
                <c:pt idx="0">
                  <c:v>ADB</c:v>
                </c:pt>
              </c:strCache>
            </c:strRef>
          </c:tx>
          <c:spPr>
            <a:solidFill>
              <a:srgbClr val="993366">
                <a:alpha val="27843"/>
              </a:srgbClr>
            </a:solidFill>
            <a:ln w="28575">
              <a:solidFill>
                <a:srgbClr val="71254B"/>
              </a:solidFill>
            </a:ln>
            <a:effectLst/>
          </c:spPr>
          <c:dLbls>
            <c:dLbl>
              <c:idx val="0"/>
              <c:layout>
                <c:manualLayout>
                  <c:x val="2.3737556084648996E-2"/>
                  <c:y val="5.38346502106852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A-43A9-93AE-3BA654FDBBFF}"/>
                </c:ext>
              </c:extLst>
            </c:dLbl>
            <c:dLbl>
              <c:idx val="1"/>
              <c:layout>
                <c:manualLayout>
                  <c:x val="1.9370873769470949E-2"/>
                  <c:y val="-1.6256809601880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F8-42B2-B9C3-16B5B856424A}"/>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F8-42B2-B9C3-16B5B856424A}"/>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F8-42B2-B9C3-16B5B856424A}"/>
                </c:ext>
              </c:extLst>
            </c:dLbl>
            <c:dLbl>
              <c:idx val="4"/>
              <c:layout>
                <c:manualLayout>
                  <c:x val="1.6016087816109258E-2"/>
                  <c:y val="-4.5808474746566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F8-42B2-B9C3-16B5B856424A}"/>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F8-42B2-B9C3-16B5B856424A}"/>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9F8-42B2-B9C3-16B5B856424A}"/>
                </c:ext>
              </c:extLst>
            </c:dLbl>
            <c:dLbl>
              <c:idx val="7"/>
              <c:layout>
                <c:manualLayout>
                  <c:x val="4.1533402510760556E-2"/>
                  <c:y val="2.39906892826515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F8-42B2-B9C3-16B5B856424A}"/>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9F8-42B2-B9C3-16B5B856424A}"/>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F8-42B2-B9C3-16B5B856424A}"/>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-SI - ADB non ADB'!$C$5:$L$5</c:f>
              <c:strCache>
                <c:ptCount val="10"/>
                <c:pt idx="0">
                  <c:v>Domain 1: General Management*</c:v>
                </c:pt>
                <c:pt idx="1">
                  <c:v>Domain 2: Hygiene</c:v>
                </c:pt>
                <c:pt idx="2">
                  <c:v>Domain 3: OPD / Curative Consultations</c:v>
                </c:pt>
                <c:pt idx="3">
                  <c:v>Domain 4: Family planning</c:v>
                </c:pt>
                <c:pt idx="4">
                  <c:v>Domain 5: Laboratory</c:v>
                </c:pt>
                <c:pt idx="5">
                  <c:v>Domain 6: Essential Drugs Management*</c:v>
                </c:pt>
                <c:pt idx="6">
                  <c:v>Domain 7: Tracer drugs</c:v>
                </c:pt>
                <c:pt idx="7">
                  <c:v>Domain 8: Maternity</c:v>
                </c:pt>
                <c:pt idx="8">
                  <c:v>Domain 9: 
EPI</c:v>
                </c:pt>
                <c:pt idx="9">
                  <c:v>Domain 10: Antenatal Care</c:v>
                </c:pt>
              </c:strCache>
            </c:strRef>
          </c:cat>
          <c:val>
            <c:numRef>
              <c:f>'GRAPHS -SI - ADB non ADB'!$C$8:$L$8</c:f>
              <c:numCache>
                <c:formatCode>0%</c:formatCode>
                <c:ptCount val="10"/>
                <c:pt idx="0">
                  <c:v>0.64368769999999997</c:v>
                </c:pt>
                <c:pt idx="1">
                  <c:v>0.59781119999999999</c:v>
                </c:pt>
                <c:pt idx="2">
                  <c:v>0.57584570000000002</c:v>
                </c:pt>
                <c:pt idx="3">
                  <c:v>0.54600610000000005</c:v>
                </c:pt>
                <c:pt idx="4">
                  <c:v>0.83055559999999995</c:v>
                </c:pt>
                <c:pt idx="5">
                  <c:v>0.56082290000000001</c:v>
                </c:pt>
                <c:pt idx="6">
                  <c:v>6.6253199999999998E-2</c:v>
                </c:pt>
                <c:pt idx="7">
                  <c:v>0.7377707</c:v>
                </c:pt>
                <c:pt idx="8">
                  <c:v>0.86907840000000003</c:v>
                </c:pt>
                <c:pt idx="9">
                  <c:v>0.64221819999999996</c:v>
                </c:pt>
              </c:numCache>
            </c:numRef>
          </c:val>
          <c:extLst>
            <c:ext xmlns:c16="http://schemas.microsoft.com/office/drawing/2014/chart" uri="{C3380CC4-5D6E-409C-BE32-E72D297353CC}">
              <c16:uniqueId val="{00000013-39F8-42B2-B9C3-16B5B856424A}"/>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79478945680721946"/>
          <c:y val="4.7007789797184861E-2"/>
          <c:w val="0.17410074971629744"/>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7795275590554"/>
          <c:y val="0.10701187164256412"/>
          <c:w val="0.58350505687015075"/>
          <c:h val="0.82576408657667066"/>
        </c:manualLayout>
      </c:layout>
      <c:radarChart>
        <c:radarStyle val="filled"/>
        <c:varyColors val="0"/>
        <c:ser>
          <c:idx val="1"/>
          <c:order val="0"/>
          <c:tx>
            <c:strRef>
              <c:f>'GRAPHS -Exit - ADB non ADB'!$N$4</c:f>
              <c:strCache>
                <c:ptCount val="1"/>
                <c:pt idx="0">
                  <c:v>Non-ADB</c:v>
                </c:pt>
              </c:strCache>
            </c:strRef>
          </c:tx>
          <c:spPr>
            <a:noFill/>
            <a:ln w="38100">
              <a:solidFill>
                <a:schemeClr val="bg2">
                  <a:lumMod val="50000"/>
                </a:schemeClr>
              </a:solidFill>
              <a:prstDash val="dash"/>
            </a:ln>
            <a:effectLst/>
          </c:spPr>
          <c:dLbls>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7-4AA4-9E8C-00D79063D6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ADB'!$Q$4,'GRAPHS -Exit - ADB non ADB'!$S$4,'GRAPHS -Exit - ADB non ADB'!$T$4)</c:f>
              <c:numCache>
                <c:formatCode>0%</c:formatCode>
                <c:ptCount val="3"/>
                <c:pt idx="0">
                  <c:v>0.48643730000000002</c:v>
                </c:pt>
                <c:pt idx="1">
                  <c:v>0.76621419999999996</c:v>
                </c:pt>
                <c:pt idx="2">
                  <c:v>0.60067870000000001</c:v>
                </c:pt>
              </c:numCache>
            </c:numRef>
          </c:val>
          <c:extLst>
            <c:ext xmlns:c16="http://schemas.microsoft.com/office/drawing/2014/chart" uri="{C3380CC4-5D6E-409C-BE32-E72D297353CC}">
              <c16:uniqueId val="{00000004-AF47-4AA4-9E8C-00D79063D622}"/>
            </c:ext>
          </c:extLst>
        </c:ser>
        <c:ser>
          <c:idx val="0"/>
          <c:order val="1"/>
          <c:tx>
            <c:strRef>
              <c:f>'GRAPHS -Exit - ADB non ADB'!$N$5</c:f>
              <c:strCache>
                <c:ptCount val="1"/>
                <c:pt idx="0">
                  <c:v>ADB</c:v>
                </c:pt>
              </c:strCache>
            </c:strRef>
          </c:tx>
          <c:spPr>
            <a:solidFill>
              <a:srgbClr val="993366">
                <a:alpha val="27843"/>
              </a:srgbClr>
            </a:solidFill>
            <a:ln w="28575">
              <a:solidFill>
                <a:srgbClr val="71254B"/>
              </a:solidFill>
            </a:ln>
            <a:effectLst/>
          </c:spPr>
          <c:dLbls>
            <c:dLbl>
              <c:idx val="0"/>
              <c:layout>
                <c:manualLayout>
                  <c:x val="2.4238597886813255E-3"/>
                  <c:y val="4.598940878679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F-4CEF-8DD5-1565922A040D}"/>
                </c:ext>
              </c:extLst>
            </c:dLbl>
            <c:dLbl>
              <c:idx val="1"/>
              <c:layout>
                <c:manualLayout>
                  <c:x val="7.257065431814759E-17"/>
                  <c:y val="-3.898074772002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7-4AA4-9E8C-00D79063D622}"/>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7-4AA4-9E8C-00D79063D622}"/>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47-4AA4-9E8C-00D79063D622}"/>
                </c:ext>
              </c:extLst>
            </c:dLbl>
            <c:dLbl>
              <c:idx val="4"/>
              <c:layout>
                <c:manualLayout>
                  <c:x val="-3.9906104392797986E-2"/>
                  <c:y val="-1.0923692844680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47-4AA4-9E8C-00D79063D622}"/>
                </c:ext>
              </c:extLst>
            </c:dLbl>
            <c:dLbl>
              <c:idx val="5"/>
              <c:layout>
                <c:manualLayout>
                  <c:x val="-3.9906104392797986E-3"/>
                  <c:y val="2.730923211170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47-4AA4-9E8C-00D79063D622}"/>
                </c:ext>
              </c:extLst>
            </c:dLbl>
            <c:dLbl>
              <c:idx val="6"/>
              <c:layout>
                <c:manualLayout>
                  <c:x val="4.78873252713575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47-4AA4-9E8C-00D79063D622}"/>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47-4AA4-9E8C-00D79063D622}"/>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47-4AA4-9E8C-00D79063D622}"/>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47-4AA4-9E8C-00D79063D622}"/>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Lit>
              <c:ptCount val="3"/>
              <c:pt idx="0">
                <c:v>U5 Outcome</c:v>
              </c:pt>
              <c:pt idx="1">
                <c:v> FP Outcome</c:v>
              </c:pt>
              <c:pt idx="2">
                <c:v> FP satisfaction</c:v>
              </c:pt>
            </c:strLit>
          </c:cat>
          <c:val>
            <c:numRef>
              <c:f>('GRAPHS -Exit - ADB non ADB'!$Q$5,'GRAPHS -Exit - ADB non ADB'!$S$5,'GRAPHS -Exit - ADB non ADB'!$T$5)</c:f>
              <c:numCache>
                <c:formatCode>0%</c:formatCode>
                <c:ptCount val="3"/>
                <c:pt idx="0">
                  <c:v>0.44595240000000003</c:v>
                </c:pt>
                <c:pt idx="1">
                  <c:v>0.70156689999999999</c:v>
                </c:pt>
                <c:pt idx="2">
                  <c:v>0.62653289999999995</c:v>
                </c:pt>
              </c:numCache>
            </c:numRef>
          </c:val>
          <c:extLst>
            <c:ext xmlns:c16="http://schemas.microsoft.com/office/drawing/2014/chart" uri="{C3380CC4-5D6E-409C-BE32-E72D297353CC}">
              <c16:uniqueId val="{0000000F-AF47-4AA4-9E8C-00D79063D622}"/>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56615274339657062"/>
          <c:y val="0.10810333727069454"/>
          <c:w val="0.18229393699274429"/>
          <c:h val="0.183963162900301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tx>
            <c:strRef>
              <c:f>'GRAPHS -Exit - ADB non ADB'!$D$3</c:f>
              <c:strCache>
                <c:ptCount val="1"/>
                <c:pt idx="0">
                  <c:v>U5</c:v>
                </c:pt>
              </c:strCache>
            </c:strRef>
          </c:tx>
          <c:spPr>
            <a:solidFill>
              <a:srgbClr val="EFCDDE"/>
            </a:solidFill>
          </c:spPr>
          <c:invertIfNegative val="0"/>
          <c:dLbls>
            <c:dLbl>
              <c:idx val="0"/>
              <c:tx>
                <c:rich>
                  <a:bodyPr/>
                  <a:lstStyle/>
                  <a:p>
                    <a:fld id="{B7396488-CFC0-48E2-B885-30C165B15094}"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ED0-4FA0-9606-DBAD571F988D}"/>
                </c:ext>
              </c:extLst>
            </c:dLbl>
            <c:dLbl>
              <c:idx val="1"/>
              <c:tx>
                <c:rich>
                  <a:bodyPr/>
                  <a:lstStyle/>
                  <a:p>
                    <a:fld id="{5A19415F-1D77-4161-885E-6926901566FB}"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ED0-4FA0-9606-DBAD571F988D}"/>
                </c:ext>
              </c:extLst>
            </c:dLbl>
            <c:dLbl>
              <c:idx val="2"/>
              <c:tx>
                <c:rich>
                  <a:bodyPr/>
                  <a:lstStyle/>
                  <a:p>
                    <a:fld id="{2357B5F7-1D37-4B3C-A3FB-48BBD8758C32}"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ED0-4FA0-9606-DBAD571F988D}"/>
                </c:ext>
              </c:extLst>
            </c:dLbl>
            <c:dLbl>
              <c:idx val="9"/>
              <c:tx>
                <c:rich>
                  <a:bodyPr/>
                  <a:lstStyle/>
                  <a:p>
                    <a:fld id="{BF7CD6EE-0D5B-43AC-9930-00D852EA4402}" type="VALUE">
                      <a:rPr lang="en-US">
                        <a:solidFill>
                          <a:schemeClr val="bg1"/>
                        </a:solidFill>
                      </a:rPr>
                      <a:pPr/>
                      <a:t>[VALUE]</a:t>
                    </a:fld>
                    <a:endParaRPr lang="en-US"/>
                  </a:p>
                </c:rich>
              </c:tx>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ED0-4FA0-9606-DBAD571F988D}"/>
                </c:ext>
              </c:extLst>
            </c:dLbl>
            <c:spPr>
              <a:noFill/>
              <a:ln>
                <a:noFill/>
              </a:ln>
              <a:effectLst/>
            </c:spPr>
            <c:txPr>
              <a:bodyPr rot="-5400000" vert="horz" wrap="square" lIns="38100" tIns="19050" rIns="38100" bIns="19050" anchor="ctr">
                <a:spAutoFit/>
              </a:bodyPr>
              <a:lstStyle/>
              <a:p>
                <a:pPr>
                  <a:defRPr sz="9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ADB'!$D$4:$D$13</c:f>
              <c:numCache>
                <c:formatCode>0%</c:formatCode>
                <c:ptCount val="10"/>
                <c:pt idx="0">
                  <c:v>#N/A</c:v>
                </c:pt>
                <c:pt idx="1">
                  <c:v>#N/A</c:v>
                </c:pt>
                <c:pt idx="2">
                  <c:v>#N/A</c:v>
                </c:pt>
                <c:pt idx="3">
                  <c:v>0.46</c:v>
                </c:pt>
                <c:pt idx="4">
                  <c:v>0.37</c:v>
                </c:pt>
                <c:pt idx="5">
                  <c:v>0.37687500000000002</c:v>
                </c:pt>
                <c:pt idx="6">
                  <c:v>0.43187500000000001</c:v>
                </c:pt>
                <c:pt idx="7">
                  <c:v>0.51500000000000001</c:v>
                </c:pt>
                <c:pt idx="8">
                  <c:v>0.60181819999999997</c:v>
                </c:pt>
                <c:pt idx="9">
                  <c:v>#N/A</c:v>
                </c:pt>
              </c:numCache>
            </c:numRef>
          </c:val>
          <c:extLst>
            <c:ext xmlns:c16="http://schemas.microsoft.com/office/drawing/2014/chart" uri="{C3380CC4-5D6E-409C-BE32-E72D297353CC}">
              <c16:uniqueId val="{00000001-0EDE-4CC9-85A5-CCA8C893A3B3}"/>
            </c:ext>
          </c:extLst>
        </c:ser>
        <c:ser>
          <c:idx val="1"/>
          <c:order val="1"/>
          <c:tx>
            <c:strRef>
              <c:f>'GRAPHS -Exit - ADB non ADB'!$E$3</c:f>
              <c:strCache>
                <c:ptCount val="1"/>
                <c:pt idx="0">
                  <c:v>FP</c:v>
                </c:pt>
              </c:strCache>
            </c:strRef>
          </c:tx>
          <c:spPr>
            <a:solidFill>
              <a:srgbClr val="71254B"/>
            </a:solidFill>
          </c:spPr>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ADB'!$E$4:$E$13</c:f>
              <c:numCache>
                <c:formatCode>0%</c:formatCode>
                <c:ptCount val="10"/>
                <c:pt idx="0">
                  <c:v>#N/A</c:v>
                </c:pt>
                <c:pt idx="1">
                  <c:v>#N/A</c:v>
                </c:pt>
                <c:pt idx="2">
                  <c:v>#N/A</c:v>
                </c:pt>
                <c:pt idx="3">
                  <c:v>0.6181818</c:v>
                </c:pt>
                <c:pt idx="4">
                  <c:v>0.62142850000000005</c:v>
                </c:pt>
                <c:pt idx="5">
                  <c:v>0.67937499999999995</c:v>
                </c:pt>
                <c:pt idx="6">
                  <c:v>0.63249999999999995</c:v>
                </c:pt>
                <c:pt idx="7">
                  <c:v>0.68500000000000005</c:v>
                </c:pt>
                <c:pt idx="8">
                  <c:v>0.79</c:v>
                </c:pt>
                <c:pt idx="9">
                  <c:v>#N/A</c:v>
                </c:pt>
              </c:numCache>
            </c:numRef>
          </c:val>
          <c:extLst>
            <c:ext xmlns:c16="http://schemas.microsoft.com/office/drawing/2014/chart" uri="{C3380CC4-5D6E-409C-BE32-E72D297353CC}">
              <c16:uniqueId val="{00000003-0EDE-4CC9-85A5-CCA8C893A3B3}"/>
            </c:ext>
          </c:extLst>
        </c:ser>
        <c:ser>
          <c:idx val="2"/>
          <c:order val="2"/>
          <c:tx>
            <c:strRef>
              <c:f>'GRAPHS -Exit - ADB non ADB'!$F$3</c:f>
              <c:strCache>
                <c:ptCount val="1"/>
                <c:pt idx="0">
                  <c:v>Overall</c:v>
                </c:pt>
              </c:strCache>
            </c:strRef>
          </c:tx>
          <c:invertIfNegative val="0"/>
          <c:dLbls>
            <c:spPr>
              <a:noFill/>
              <a:ln>
                <a:noFill/>
              </a:ln>
              <a:effectLst/>
            </c:spPr>
            <c:txPr>
              <a:bodyPr rot="-5400000" vert="horz" wrap="square" lIns="38100" tIns="19050" rIns="38100" bIns="19050" anchor="ctr">
                <a:spAutoFit/>
              </a:bodyPr>
              <a:lstStyle/>
              <a:p>
                <a:pPr>
                  <a:defRPr sz="9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'GRAPHS -Exit - ADB non ADB'!$C$4:$C$13</c:f>
              <c:strCache>
                <c:ptCount val="10"/>
                <c:pt idx="0">
                  <c:v>Badghis</c:v>
                </c:pt>
                <c:pt idx="1">
                  <c:v>Daykundi</c:v>
                </c:pt>
                <c:pt idx="2">
                  <c:v>Farah</c:v>
                </c:pt>
                <c:pt idx="3">
                  <c:v>Ghor</c:v>
                </c:pt>
                <c:pt idx="4">
                  <c:v>Helmand</c:v>
                </c:pt>
                <c:pt idx="5">
                  <c:v>Herat</c:v>
                </c:pt>
                <c:pt idx="6">
                  <c:v>Kandahar</c:v>
                </c:pt>
                <c:pt idx="7">
                  <c:v>Nimroz</c:v>
                </c:pt>
                <c:pt idx="8">
                  <c:v>Uruzgan</c:v>
                </c:pt>
                <c:pt idx="9">
                  <c:v>Zabul</c:v>
                </c:pt>
              </c:strCache>
            </c:strRef>
          </c:cat>
          <c:val>
            <c:numRef>
              <c:f>'GRAPHS -Exit - ADB non ADB'!$F$4:$F$13</c:f>
              <c:numCache>
                <c:formatCode>0%</c:formatCode>
                <c:ptCount val="10"/>
                <c:pt idx="0">
                  <c:v>#N/A</c:v>
                </c:pt>
                <c:pt idx="1">
                  <c:v>#N/A</c:v>
                </c:pt>
                <c:pt idx="2">
                  <c:v>#N/A</c:v>
                </c:pt>
                <c:pt idx="3">
                  <c:v>0.53909090000000004</c:v>
                </c:pt>
                <c:pt idx="4">
                  <c:v>0.48</c:v>
                </c:pt>
                <c:pt idx="5">
                  <c:v>0.52812499999999996</c:v>
                </c:pt>
                <c:pt idx="6">
                  <c:v>0.53218750000000004</c:v>
                </c:pt>
                <c:pt idx="7">
                  <c:v>0.59227269999999999</c:v>
                </c:pt>
                <c:pt idx="8">
                  <c:v>0.69590909999999995</c:v>
                </c:pt>
                <c:pt idx="9">
                  <c:v>#N/A</c:v>
                </c:pt>
              </c:numCache>
            </c:numRef>
          </c:val>
          <c:extLst>
            <c:ext xmlns:c16="http://schemas.microsoft.com/office/drawing/2014/chart" uri="{C3380CC4-5D6E-409C-BE32-E72D297353CC}">
              <c16:uniqueId val="{00000005-0EDE-4CC9-85A5-CCA8C893A3B3}"/>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legend>
      <c:legendPos val="r"/>
      <c:layout>
        <c:manualLayout>
          <c:xMode val="edge"/>
          <c:yMode val="edge"/>
          <c:x val="0.72589823730966341"/>
          <c:y val="3.2081409400616184E-2"/>
          <c:w val="0.26628645502567361"/>
          <c:h val="0.12734349356252234"/>
        </c:manualLayout>
      </c:layout>
      <c:overlay val="0"/>
      <c:txPr>
        <a:bodyPr/>
        <a:lstStyle/>
        <a:p>
          <a:pPr>
            <a:defRPr b="1">
              <a:latin typeface="Aptos" panose="020B0004020202020204" pitchFamily="34" charset="0"/>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8091950363143"/>
          <c:y val="8.4866765539736461E-2"/>
          <c:w val="0.68824032302190397"/>
          <c:h val="0.80019800317524781"/>
        </c:manualLayout>
      </c:layout>
      <c:radarChart>
        <c:radarStyle val="filled"/>
        <c:varyColors val="0"/>
        <c:ser>
          <c:idx val="1"/>
          <c:order val="0"/>
          <c:tx>
            <c:strRef>
              <c:f>'GRAPHS -Vignettes - ADB non ADB'!$A$29</c:f>
              <c:strCache>
                <c:ptCount val="1"/>
                <c:pt idx="0">
                  <c:v>Non ADB</c:v>
                </c:pt>
              </c:strCache>
            </c:strRef>
          </c:tx>
          <c:spPr>
            <a:noFill/>
            <a:ln w="38100">
              <a:solidFill>
                <a:schemeClr val="bg2">
                  <a:lumMod val="50000"/>
                </a:schemeClr>
              </a:solidFill>
              <a:prstDash val="dash"/>
            </a:ln>
            <a:effectLst/>
          </c:spPr>
          <c:dLbls>
            <c:dLbl>
              <c:idx val="1"/>
              <c:layout>
                <c:manualLayout>
                  <c:x val="9.9875169145545641E-3"/>
                  <c:y val="-1.172161172161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C64-4EA4-B84B-ED33E3000D04}"/>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64-4EA4-B84B-ED33E3000D04}"/>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4-4EA4-B84B-ED33E3000D04}"/>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C64-4EA4-B84B-ED33E3000D04}"/>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64-4EA4-B84B-ED33E3000D0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ADB'!$B$29:$K$29</c:f>
              <c:numCache>
                <c:formatCode>0%</c:formatCode>
                <c:ptCount val="10"/>
                <c:pt idx="0">
                  <c:v>0.56575759999999997</c:v>
                </c:pt>
                <c:pt idx="1">
                  <c:v>0.51896299999999995</c:v>
                </c:pt>
                <c:pt idx="2">
                  <c:v>0.50607999999999997</c:v>
                </c:pt>
                <c:pt idx="3">
                  <c:v>0.66581080000000004</c:v>
                </c:pt>
                <c:pt idx="4">
                  <c:v>0.53206520000000002</c:v>
                </c:pt>
                <c:pt idx="5">
                  <c:v>0.45741179999999998</c:v>
                </c:pt>
                <c:pt idx="6">
                  <c:v>0.42312499999999997</c:v>
                </c:pt>
                <c:pt idx="7">
                  <c:v>0.48647889999999999</c:v>
                </c:pt>
                <c:pt idx="8">
                  <c:v>0.46975</c:v>
                </c:pt>
                <c:pt idx="9">
                  <c:v>0.48362070000000001</c:v>
                </c:pt>
              </c:numCache>
            </c:numRef>
          </c:val>
          <c:extLst>
            <c:ext xmlns:c16="http://schemas.microsoft.com/office/drawing/2014/chart" uri="{C3380CC4-5D6E-409C-BE32-E72D297353CC}">
              <c16:uniqueId val="{00000004-CC64-4EA4-B84B-ED33E3000D04}"/>
            </c:ext>
          </c:extLst>
        </c:ser>
        <c:ser>
          <c:idx val="0"/>
          <c:order val="1"/>
          <c:tx>
            <c:strRef>
              <c:f>'GRAPHS -Vignettes - ADB non ADB'!$A$30</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64-4EA4-B84B-ED33E3000D04}"/>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64-4EA4-B84B-ED33E3000D04}"/>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64-4EA4-B84B-ED33E3000D04}"/>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64-4EA4-B84B-ED33E3000D04}"/>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C64-4EA4-B84B-ED33E3000D04}"/>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64-4EA4-B84B-ED33E3000D04}"/>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C64-4EA4-B84B-ED33E3000D04}"/>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C64-4EA4-B84B-ED33E3000D04}"/>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C64-4EA4-B84B-ED33E3000D04}"/>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ADB'!$B$27:$K$27</c:f>
              <c:strCache>
                <c:ptCount val="10"/>
                <c:pt idx="0">
                  <c:v>Pneumonia</c:v>
                </c:pt>
                <c:pt idx="1">
                  <c:v>Diarrhea</c:v>
                </c:pt>
                <c:pt idx="2">
                  <c:v>GMP (Well child visit)</c:v>
                </c:pt>
                <c:pt idx="3">
                  <c:v>Tuberculosis</c:v>
                </c:pt>
                <c:pt idx="4">
                  <c:v>Labor</c:v>
                </c:pt>
                <c:pt idx="5">
                  <c:v>PNC</c:v>
                </c:pt>
                <c:pt idx="6">
                  <c:v>Antenatal Care</c:v>
                </c:pt>
                <c:pt idx="7">
                  <c:v>FP Counseling</c:v>
                </c:pt>
                <c:pt idx="8">
                  <c:v>DMPA Counseling</c:v>
                </c:pt>
                <c:pt idx="9">
                  <c:v>Postpartum Hemorrhage</c:v>
                </c:pt>
              </c:strCache>
            </c:strRef>
          </c:cat>
          <c:val>
            <c:numRef>
              <c:f>'GRAPHS -Vignettes - ADB non ADB'!$B$30:$K$30</c:f>
              <c:numCache>
                <c:formatCode>0%</c:formatCode>
                <c:ptCount val="10"/>
                <c:pt idx="0">
                  <c:v>0.46750000000000003</c:v>
                </c:pt>
                <c:pt idx="1">
                  <c:v>0.43085109999999999</c:v>
                </c:pt>
                <c:pt idx="2">
                  <c:v>0.39711109999999999</c:v>
                </c:pt>
                <c:pt idx="3">
                  <c:v>0.57333330000000005</c:v>
                </c:pt>
                <c:pt idx="4">
                  <c:v>0.51959999999999995</c:v>
                </c:pt>
                <c:pt idx="5">
                  <c:v>0.37225809999999998</c:v>
                </c:pt>
                <c:pt idx="6">
                  <c:v>0.2828</c:v>
                </c:pt>
                <c:pt idx="7">
                  <c:v>0.37605260000000001</c:v>
                </c:pt>
                <c:pt idx="8">
                  <c:v>0.48130430000000002</c:v>
                </c:pt>
                <c:pt idx="9">
                  <c:v>0.54249999999999998</c:v>
                </c:pt>
              </c:numCache>
            </c:numRef>
          </c:val>
          <c:extLst>
            <c:ext xmlns:c16="http://schemas.microsoft.com/office/drawing/2014/chart" uri="{C3380CC4-5D6E-409C-BE32-E72D297353CC}">
              <c16:uniqueId val="{0000000F-CC64-4EA4-B84B-ED33E3000D04}"/>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4414859831827698"/>
          <c:y val="3.8426697945861406E-2"/>
          <c:w val="0.32727355691347398"/>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24377805424894"/>
          <c:y val="9.3599283501884539E-2"/>
          <c:w val="0.64836640436844661"/>
          <c:h val="0.80344118122675423"/>
        </c:manualLayout>
      </c:layout>
      <c:radarChart>
        <c:radarStyle val="filled"/>
        <c:varyColors val="0"/>
        <c:ser>
          <c:idx val="1"/>
          <c:order val="0"/>
          <c:tx>
            <c:strRef>
              <c:f>'GRAPHS -Vignettes - ADB non ADB'!$O$6</c:f>
              <c:strCache>
                <c:ptCount val="1"/>
                <c:pt idx="0">
                  <c:v>Non-ADB</c:v>
                </c:pt>
              </c:strCache>
            </c:strRef>
          </c:tx>
          <c:spPr>
            <a:noFill/>
            <a:ln w="38100">
              <a:solidFill>
                <a:schemeClr val="bg2">
                  <a:lumMod val="50000"/>
                </a:schemeClr>
              </a:solidFill>
              <a:prstDash val="dash"/>
            </a:ln>
            <a:effectLst/>
          </c:spPr>
          <c:dLbls>
            <c:dLbl>
              <c:idx val="0"/>
              <c:layout>
                <c:manualLayout>
                  <c:x val="-5.0925337632079971E-17"/>
                  <c:y val="-2.5518341307814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79A-4815-B212-4563B7DFA18D}"/>
                </c:ext>
              </c:extLst>
            </c:dLbl>
            <c:dLbl>
              <c:idx val="1"/>
              <c:layout>
                <c:manualLayout>
                  <c:x val="4.6098643919509956E-2"/>
                  <c:y val="-1.1721608961559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815-B212-4563B7DFA18D}"/>
                </c:ext>
              </c:extLst>
            </c:dLbl>
            <c:dLbl>
              <c:idx val="2"/>
              <c:layout>
                <c:manualLayout>
                  <c:x val="4.993758457277160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815-B212-4563B7DFA18D}"/>
                </c:ext>
              </c:extLst>
            </c:dLbl>
            <c:dLbl>
              <c:idx val="3"/>
              <c:layout>
                <c:manualLayout>
                  <c:x val="-7.257065431814759E-17"/>
                  <c:y val="1.113735649143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815-B212-4563B7DFA18D}"/>
                </c:ext>
              </c:extLst>
            </c:dLbl>
            <c:dLbl>
              <c:idx val="5"/>
              <c:layout>
                <c:manualLayout>
                  <c:x val="-3.3291723048515824E-3"/>
                  <c:y val="2.0512820512820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815-B212-4563B7DFA18D}"/>
                </c:ext>
              </c:extLst>
            </c:dLbl>
            <c:dLbl>
              <c:idx val="6"/>
              <c:layout>
                <c:manualLayout>
                  <c:x val="-1.6645861524257607E-2"/>
                  <c:y val="2.3443223443223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9A-4815-B212-4563B7DFA1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50000"/>
                        <a:lumOff val="50000"/>
                      </a:schemeClr>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ADB'!$P$10:$T$10</c:f>
              <c:numCache>
                <c:formatCode>0%</c:formatCode>
                <c:ptCount val="5"/>
                <c:pt idx="0">
                  <c:v>0.5956735246803827</c:v>
                </c:pt>
                <c:pt idx="1">
                  <c:v>0.51800157138235425</c:v>
                </c:pt>
                <c:pt idx="2">
                  <c:v>0.65455786958006146</c:v>
                </c:pt>
                <c:pt idx="3">
                  <c:v>0.40529801324503312</c:v>
                </c:pt>
                <c:pt idx="4">
                  <c:v>0.3855935932412215</c:v>
                </c:pt>
              </c:numCache>
            </c:numRef>
          </c:val>
          <c:extLst>
            <c:ext xmlns:c16="http://schemas.microsoft.com/office/drawing/2014/chart" uri="{C3380CC4-5D6E-409C-BE32-E72D297353CC}">
              <c16:uniqueId val="{00000008-D79A-4815-B212-4563B7DFA18D}"/>
            </c:ext>
          </c:extLst>
        </c:ser>
        <c:ser>
          <c:idx val="0"/>
          <c:order val="1"/>
          <c:tx>
            <c:strRef>
              <c:f>'GRAPHS -Vignettes - ADB non ADB'!$O$7</c:f>
              <c:strCache>
                <c:ptCount val="1"/>
                <c:pt idx="0">
                  <c:v>ADB</c:v>
                </c:pt>
              </c:strCache>
            </c:strRef>
          </c:tx>
          <c:spPr>
            <a:solidFill>
              <a:srgbClr val="993366">
                <a:alpha val="27843"/>
              </a:srgbClr>
            </a:solidFill>
            <a:ln w="28575">
              <a:solidFill>
                <a:srgbClr val="71254B"/>
              </a:solidFill>
            </a:ln>
            <a:effectLst/>
          </c:spPr>
          <c:dLbls>
            <c:dLbl>
              <c:idx val="1"/>
              <c:layout>
                <c:manualLayout>
                  <c:x val="-8.3229307621288037E-3"/>
                  <c:y val="-1.5537596262005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9A-4815-B212-4563B7DFA18D}"/>
                </c:ext>
              </c:extLst>
            </c:dLbl>
            <c:dLbl>
              <c:idx val="2"/>
              <c:layout>
                <c:manualLayout>
                  <c:x val="9.896112635528042E-3"/>
                  <c:y val="-4.1765086842879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9A-4815-B212-4563B7DFA18D}"/>
                </c:ext>
              </c:extLst>
            </c:dLbl>
            <c:dLbl>
              <c:idx val="3"/>
              <c:layout>
                <c:manualLayout>
                  <c:x val="0"/>
                  <c:y val="-3.0040155322870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9A-4815-B212-4563B7DFA18D}"/>
                </c:ext>
              </c:extLst>
            </c:dLbl>
            <c:dLbl>
              <c:idx val="4"/>
              <c:layout>
                <c:manualLayout>
                  <c:x val="4.3908374886760212E-5"/>
                  <c:y val="-3.7297337832771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9A-4815-B212-4563B7DFA18D}"/>
                </c:ext>
              </c:extLst>
            </c:dLbl>
            <c:dLbl>
              <c:idx val="5"/>
              <c:layout>
                <c:manualLayout>
                  <c:x val="9.3261388259607714E-3"/>
                  <c:y val="-2.836837702979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9A-4815-B212-4563B7DFA18D}"/>
                </c:ext>
              </c:extLst>
            </c:dLbl>
            <c:dLbl>
              <c:idx val="6"/>
              <c:layout>
                <c:manualLayout>
                  <c:x val="1.2930950869280906E-2"/>
                  <c:y val="-1.074468662127401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9A-4815-B212-4563B7DFA18D}"/>
                </c:ext>
              </c:extLst>
            </c:dLbl>
            <c:dLbl>
              <c:idx val="7"/>
              <c:layout>
                <c:manualLayout>
                  <c:x val="1.5817728254617122E-2"/>
                  <c:y val="4.0963767197678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79A-4815-B212-4563B7DFA18D}"/>
                </c:ext>
              </c:extLst>
            </c:dLbl>
            <c:dLbl>
              <c:idx val="8"/>
              <c:layout>
                <c:manualLayout>
                  <c:x val="-8.9502624752564007E-3"/>
                  <c:y val="3.5698880233875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9A-4815-B212-4563B7DFA18D}"/>
                </c:ext>
              </c:extLst>
            </c:dLbl>
            <c:dLbl>
              <c:idx val="9"/>
              <c:layout>
                <c:manualLayout>
                  <c:x val="0"/>
                  <c:y val="2.1777252430935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79A-4815-B212-4563B7DFA18D}"/>
                </c:ext>
              </c:extLst>
            </c:dLbl>
            <c:spPr>
              <a:noFill/>
              <a:ln>
                <a:noFill/>
              </a:ln>
              <a:effectLst/>
            </c:spPr>
            <c:txPr>
              <a:bodyPr rot="0" spcFirstLastPara="1" vertOverflow="ellipsis" horzOverflow="clip" vert="horz" wrap="square" lIns="38100" tIns="0" rIns="36000" bIns="0" anchor="ctr" anchorCtr="1">
                <a:spAutoFit/>
              </a:bodyPr>
              <a:lstStyle/>
              <a:p>
                <a:pPr>
                  <a:defRPr sz="1100" b="1" i="0" u="none" strike="noStrike" kern="1200" baseline="0">
                    <a:solidFill>
                      <a:srgbClr val="993366"/>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'GRAPHS -Vignettes - ADB non ADB'!$P$9:$T$9</c:f>
              <c:strCache>
                <c:ptCount val="5"/>
                <c:pt idx="0">
                  <c:v>History</c:v>
                </c:pt>
                <c:pt idx="1">
                  <c:v>Physical/Lab</c:v>
                </c:pt>
                <c:pt idx="2">
                  <c:v>Diagnosis/Classification</c:v>
                </c:pt>
                <c:pt idx="3">
                  <c:v>Treatment</c:v>
                </c:pt>
                <c:pt idx="4">
                  <c:v>Explanation and advice</c:v>
                </c:pt>
              </c:strCache>
            </c:strRef>
          </c:cat>
          <c:val>
            <c:numRef>
              <c:f>'GRAPHS -Vignettes - ADB non ADB'!$P$11:$T$11</c:f>
              <c:numCache>
                <c:formatCode>0%</c:formatCode>
                <c:ptCount val="5"/>
                <c:pt idx="0">
                  <c:v>0.50523205712175301</c:v>
                </c:pt>
                <c:pt idx="1">
                  <c:v>0.43277031520148956</c:v>
                </c:pt>
                <c:pt idx="2">
                  <c:v>0.58244365361803085</c:v>
                </c:pt>
                <c:pt idx="3">
                  <c:v>0.33003597122302158</c:v>
                </c:pt>
                <c:pt idx="4">
                  <c:v>0.3215720743345053</c:v>
                </c:pt>
              </c:numCache>
            </c:numRef>
          </c:val>
          <c:extLst>
            <c:ext xmlns:c16="http://schemas.microsoft.com/office/drawing/2014/chart" uri="{C3380CC4-5D6E-409C-BE32-E72D297353CC}">
              <c16:uniqueId val="{00000013-D79A-4815-B212-4563B7DFA18D}"/>
            </c:ext>
          </c:extLst>
        </c:ser>
        <c:dLbls>
          <c:showLegendKey val="0"/>
          <c:showVal val="0"/>
          <c:showCatName val="0"/>
          <c:showSerName val="0"/>
          <c:showPercent val="0"/>
          <c:showBubbleSize val="0"/>
        </c:dLbls>
        <c:axId val="669887832"/>
        <c:axId val="669888160"/>
      </c:radarChart>
      <c:catAx>
        <c:axId val="669887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160"/>
        <c:crosses val="autoZero"/>
        <c:auto val="1"/>
        <c:lblAlgn val="ctr"/>
        <c:lblOffset val="100"/>
        <c:noMultiLvlLbl val="0"/>
      </c:catAx>
      <c:valAx>
        <c:axId val="669888160"/>
        <c:scaling>
          <c:orientation val="minMax"/>
          <c:max val="1"/>
        </c:scaling>
        <c:delete val="1"/>
        <c:axPos val="l"/>
        <c:majorGridlines>
          <c:spPr>
            <a:ln w="9525" cap="flat" cmpd="sng" algn="ctr">
              <a:solidFill>
                <a:schemeClr val="bg1">
                  <a:lumMod val="85000"/>
                </a:schemeClr>
              </a:solidFill>
              <a:round/>
            </a:ln>
            <a:effectLst/>
          </c:spPr>
        </c:majorGridlines>
        <c:numFmt formatCode="0%" sourceLinked="1"/>
        <c:majorTickMark val="none"/>
        <c:minorTickMark val="none"/>
        <c:tickLblPos val="nextTo"/>
        <c:crossAx val="669887832"/>
        <c:crosses val="autoZero"/>
        <c:crossBetween val="between"/>
        <c:majorUnit val="0.2"/>
      </c:valAx>
      <c:spPr>
        <a:noFill/>
      </c:spPr>
    </c:plotArea>
    <c:legend>
      <c:legendPos val="r"/>
      <c:layout>
        <c:manualLayout>
          <c:xMode val="edge"/>
          <c:yMode val="edge"/>
          <c:x val="0.69201159230096243"/>
          <c:y val="0.10123422371246657"/>
          <c:w val="0.23521194225721781"/>
          <c:h val="0.1251799291336178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nl-NL"/>
        </a:p>
      </c:txPr>
    </c:legend>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26987278148306E-2"/>
          <c:y val="6.9444444444444448E-2"/>
          <c:w val="0.91269992200771377"/>
          <c:h val="0.84731481481481485"/>
        </c:manualLayout>
      </c:layout>
      <c:barChart>
        <c:barDir val="col"/>
        <c:grouping val="clustered"/>
        <c:varyColors val="0"/>
        <c:ser>
          <c:idx val="0"/>
          <c:order val="0"/>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-Vignettes - ADB non ADB'!$AD$5:$AD$13</c:f>
              <c:strCache>
                <c:ptCount val="9"/>
                <c:pt idx="0">
                  <c:v>Badghis</c:v>
                </c:pt>
                <c:pt idx="1">
                  <c:v>Farah</c:v>
                </c:pt>
                <c:pt idx="2">
                  <c:v>Ghor</c:v>
                </c:pt>
                <c:pt idx="3">
                  <c:v>Helmand</c:v>
                </c:pt>
                <c:pt idx="4">
                  <c:v>Herat</c:v>
                </c:pt>
                <c:pt idx="5">
                  <c:v>Kandahar</c:v>
                </c:pt>
                <c:pt idx="6">
                  <c:v>Nimroz</c:v>
                </c:pt>
                <c:pt idx="7">
                  <c:v>Uruzgan</c:v>
                </c:pt>
                <c:pt idx="8">
                  <c:v>Zabul</c:v>
                </c:pt>
              </c:strCache>
            </c:strRef>
          </c:cat>
          <c:val>
            <c:numRef>
              <c:f>'GRAPHS -Vignettes - ADB non ADB'!$AE$5:$AE$13</c:f>
              <c:numCache>
                <c:formatCode>0%</c:formatCode>
                <c:ptCount val="9"/>
                <c:pt idx="0">
                  <c:v>#N/A</c:v>
                </c:pt>
                <c:pt idx="1">
                  <c:v>#N/A</c:v>
                </c:pt>
                <c:pt idx="2">
                  <c:v>0.62238629999999995</c:v>
                </c:pt>
                <c:pt idx="3">
                  <c:v>0.2405833</c:v>
                </c:pt>
                <c:pt idx="4">
                  <c:v>0.45937499999999998</c:v>
                </c:pt>
                <c:pt idx="5">
                  <c:v>0.38312499999999999</c:v>
                </c:pt>
                <c:pt idx="6">
                  <c:v>0.62136360000000002</c:v>
                </c:pt>
                <c:pt idx="7">
                  <c:v>0.37681819999999999</c:v>
                </c:pt>
                <c:pt idx="8">
                  <c:v>#N/A</c:v>
                </c:pt>
              </c:numCache>
            </c:numRef>
          </c:val>
          <c:extLst>
            <c:ext xmlns:c16="http://schemas.microsoft.com/office/drawing/2014/chart" uri="{C3380CC4-5D6E-409C-BE32-E72D297353CC}">
              <c16:uniqueId val="{00000005-EE30-4363-B4BB-060A06DE693E}"/>
            </c:ext>
          </c:extLst>
        </c:ser>
        <c:dLbls>
          <c:showLegendKey val="0"/>
          <c:showVal val="0"/>
          <c:showCatName val="0"/>
          <c:showSerName val="0"/>
          <c:showPercent val="0"/>
          <c:showBubbleSize val="0"/>
        </c:dLbls>
        <c:gapWidth val="113"/>
        <c:overlap val="-27"/>
        <c:axId val="669890128"/>
        <c:axId val="669888488"/>
      </c:barChart>
      <c:catAx>
        <c:axId val="6698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88488"/>
        <c:crosses val="autoZero"/>
        <c:auto val="1"/>
        <c:lblAlgn val="ctr"/>
        <c:lblOffset val="100"/>
        <c:noMultiLvlLbl val="0"/>
      </c:catAx>
      <c:valAx>
        <c:axId val="6698884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669890128"/>
        <c:crosses val="autoZero"/>
        <c:crossBetween val="between"/>
      </c:valAx>
      <c:spPr>
        <a:noFill/>
      </c:spPr>
    </c:plotArea>
    <c:plotVisOnly val="1"/>
    <c:dispBlanksAs val="gap"/>
    <c:showDLblsOverMax val="0"/>
  </c:chart>
  <c:spPr>
    <a:noFill/>
    <a:ln w="9525" cap="flat" cmpd="sng" algn="ctr">
      <a:noFill/>
      <a:round/>
    </a:ln>
    <a:effectLst/>
  </c:spPr>
  <c:txPr>
    <a:bodyPr/>
    <a:lstStyle/>
    <a:p>
      <a:pPr>
        <a:defRPr/>
      </a:pPr>
      <a:endParaRPr lang="nl-NL"/>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ADB</c:v>
          </c:tx>
          <c:spPr>
            <a:solidFill>
              <a:srgbClr val="71254B"/>
            </a:solidFill>
            <a:ln>
              <a:noFill/>
            </a:ln>
            <a:effectLst/>
          </c:spPr>
          <c:invertIfNegative val="0"/>
          <c:dLbls>
            <c:dLbl>
              <c:idx val="0"/>
              <c:tx>
                <c:rich>
                  <a:bodyPr/>
                  <a:lstStyle/>
                  <a:p>
                    <a:fld id="{EBF4256B-BFB3-4223-AEBA-F3EF497B0F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A1F-4631-8EAC-0EB8565FB538}"/>
                </c:ext>
              </c:extLst>
            </c:dLbl>
            <c:dLbl>
              <c:idx val="1"/>
              <c:layout>
                <c:manualLayout>
                  <c:x val="-3.0577674360930557E-17"/>
                  <c:y val="-5.5419733570722055E-3"/>
                </c:manualLayout>
              </c:layout>
              <c:tx>
                <c:rich>
                  <a:bodyPr/>
                  <a:lstStyle/>
                  <a:p>
                    <a:fld id="{85B413A1-B6C1-4567-88C8-D2E0313B165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A1F-4631-8EAC-0EB8565FB538}"/>
                </c:ext>
              </c:extLst>
            </c:dLbl>
            <c:dLbl>
              <c:idx val="2"/>
              <c:layout>
                <c:manualLayout>
                  <c:x val="0"/>
                  <c:y val="-2.4938880106824809E-2"/>
                </c:manualLayout>
              </c:layout>
              <c:tx>
                <c:rich>
                  <a:bodyPr/>
                  <a:lstStyle/>
                  <a:p>
                    <a:fld id="{1D09BDBF-3DB0-438E-A3A3-76D9BB0822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A1F-4631-8EAC-0EB8565FB538}"/>
                </c:ext>
              </c:extLst>
            </c:dLbl>
            <c:dLbl>
              <c:idx val="3"/>
              <c:layout>
                <c:manualLayout>
                  <c:x val="1.6678924143727063E-3"/>
                  <c:y val="-1.1083946714144359E-2"/>
                </c:manualLayout>
              </c:layout>
              <c:tx>
                <c:rich>
                  <a:bodyPr/>
                  <a:lstStyle/>
                  <a:p>
                    <a:fld id="{45A199B9-995D-4A7F-B966-C8ADFAB43D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A1F-4631-8EAC-0EB8565FB538}"/>
                </c:ext>
              </c:extLst>
            </c:dLbl>
            <c:dLbl>
              <c:idx val="4"/>
              <c:layout>
                <c:manualLayout>
                  <c:x val="1.6678924143726452E-3"/>
                  <c:y val="-2.7709866785360898E-3"/>
                </c:manualLayout>
              </c:layout>
              <c:tx>
                <c:rich>
                  <a:bodyPr/>
                  <a:lstStyle/>
                  <a:p>
                    <a:fld id="{CE26DFAD-B44D-42DD-92B0-6AD3FB13C2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A1F-4631-8EAC-0EB8565FB538}"/>
                </c:ext>
              </c:extLst>
            </c:dLbl>
            <c:dLbl>
              <c:idx val="5"/>
              <c:layout>
                <c:manualLayout>
                  <c:x val="-3.3357848287455349E-3"/>
                  <c:y val="-8.3129600356082693E-3"/>
                </c:manualLayout>
              </c:layout>
              <c:tx>
                <c:rich>
                  <a:bodyPr/>
                  <a:lstStyle/>
                  <a:p>
                    <a:fld id="{36F1DE28-A07B-44B5-A32E-1D3B3A22EB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A1F-4631-8EAC-0EB8565FB538}"/>
                </c:ext>
              </c:extLst>
            </c:dLbl>
            <c:dLbl>
              <c:idx val="6"/>
              <c:layout>
                <c:manualLayout>
                  <c:x val="0"/>
                  <c:y val="-1.9396906749752679E-2"/>
                </c:manualLayout>
              </c:layout>
              <c:tx>
                <c:rich>
                  <a:bodyPr/>
                  <a:lstStyle/>
                  <a:p>
                    <a:fld id="{31AE74F4-5DC4-46C4-B465-BE49752CDE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A1F-4631-8EAC-0EB8565FB53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'Significances_ADB-nonADB'!$C$51:$C$57</c:f>
              <c:strCache>
                <c:ptCount val="7"/>
                <c:pt idx="0">
                  <c:v>Qualified staff trained in Family Planning</c:v>
                </c:pt>
                <c:pt idx="1">
                  <c:v>Confidentiality in consultancy room assured*</c:v>
                </c:pt>
                <c:pt idx="2">
                  <c:v>Family planning methods available and visible</c:v>
                </c:pt>
                <c:pt idx="3">
                  <c:v>IUD available and staff trained to use it</c:v>
                </c:pt>
                <c:pt idx="4">
                  <c:v>Implant method available and staff trained to use it</c:v>
                </c:pt>
                <c:pt idx="5">
                  <c:v>Post Partum and Post Abortion Family Planning Services available</c:v>
                </c:pt>
                <c:pt idx="6">
                  <c:v>Family planning individual cards</c:v>
                </c:pt>
              </c:strCache>
            </c:strRef>
          </c:cat>
          <c:val>
            <c:numRef>
              <c:f>'Significances_ADB-nonADB'!$E$51:$E$57</c:f>
              <c:numCache>
                <c:formatCode>General</c:formatCode>
                <c:ptCount val="7"/>
                <c:pt idx="0">
                  <c:v>67</c:v>
                </c:pt>
                <c:pt idx="1">
                  <c:v>65</c:v>
                </c:pt>
                <c:pt idx="2">
                  <c:v>63</c:v>
                </c:pt>
                <c:pt idx="3">
                  <c:v>47</c:v>
                </c:pt>
                <c:pt idx="4">
                  <c:v>42</c:v>
                </c:pt>
                <c:pt idx="5">
                  <c:v>33</c:v>
                </c:pt>
                <c:pt idx="6">
                  <c:v>63</c:v>
                </c:pt>
              </c:numCache>
            </c:numRef>
          </c:val>
          <c:extLst>
            <c:ext xmlns:c15="http://schemas.microsoft.com/office/drawing/2012/chart" uri="{02D57815-91ED-43cb-92C2-25804820EDAC}">
              <c15:datalabelsRange>
                <c15:f>'Significances_ADB-nonADB'!$I$51:$I$57</c15:f>
                <c15:dlblRangeCache>
                  <c:ptCount val="7"/>
                  <c:pt idx="0">
                    <c:v>6</c:v>
                  </c:pt>
                  <c:pt idx="1">
                    <c:v>-20</c:v>
                  </c:pt>
                  <c:pt idx="2">
                    <c:v>-7</c:v>
                  </c:pt>
                  <c:pt idx="3">
                    <c:v>11</c:v>
                  </c:pt>
                  <c:pt idx="4">
                    <c:v>14</c:v>
                  </c:pt>
                  <c:pt idx="5">
                    <c:v>6</c:v>
                  </c:pt>
                  <c:pt idx="6">
                    <c:v>-8</c:v>
                  </c:pt>
                </c15:dlblRangeCache>
              </c15:datalabelsRange>
            </c:ext>
            <c:ext xmlns:c16="http://schemas.microsoft.com/office/drawing/2014/chart" uri="{C3380CC4-5D6E-409C-BE32-E72D297353CC}">
              <c16:uniqueId val="{00000000-4A1F-4631-8EAC-0EB8565FB538}"/>
            </c:ext>
          </c:extLst>
        </c:ser>
        <c:ser>
          <c:idx val="1"/>
          <c:order val="1"/>
          <c:tx>
            <c:v>Non-ADB</c:v>
          </c:tx>
          <c:spPr>
            <a:solidFill>
              <a:srgbClr val="EFCDDE"/>
            </a:solidFill>
            <a:ln>
              <a:noFill/>
            </a:ln>
            <a:effectLst/>
          </c:spPr>
          <c:invertIfNegative val="0"/>
          <c:dLbls>
            <c:delete val="1"/>
          </c:dLbls>
          <c:cat>
            <c:strRef>
              <c:f>'Significances_ADB-nonADB'!$C$51:$C$57</c:f>
              <c:strCache>
                <c:ptCount val="7"/>
                <c:pt idx="0">
                  <c:v>Qualified staff trained in Family Planning</c:v>
                </c:pt>
                <c:pt idx="1">
                  <c:v>Confidentiality in consultancy room assured*</c:v>
                </c:pt>
                <c:pt idx="2">
                  <c:v>Family planning methods available and visible</c:v>
                </c:pt>
                <c:pt idx="3">
                  <c:v>IUD available and staff trained to use it</c:v>
                </c:pt>
                <c:pt idx="4">
                  <c:v>Implant method available and staff trained to use it</c:v>
                </c:pt>
                <c:pt idx="5">
                  <c:v>Post Partum and Post Abortion Family Planning Services available</c:v>
                </c:pt>
                <c:pt idx="6">
                  <c:v>Family planning individual cards</c:v>
                </c:pt>
              </c:strCache>
            </c:strRef>
          </c:cat>
          <c:val>
            <c:numRef>
              <c:f>'Significances_ADB-nonADB'!$G$51:$G$57</c:f>
              <c:numCache>
                <c:formatCode>General</c:formatCode>
                <c:ptCount val="7"/>
                <c:pt idx="0">
                  <c:v>61</c:v>
                </c:pt>
                <c:pt idx="1">
                  <c:v>85</c:v>
                </c:pt>
                <c:pt idx="2">
                  <c:v>70</c:v>
                </c:pt>
                <c:pt idx="3">
                  <c:v>36</c:v>
                </c:pt>
                <c:pt idx="4">
                  <c:v>28</c:v>
                </c:pt>
                <c:pt idx="5">
                  <c:v>27</c:v>
                </c:pt>
                <c:pt idx="6">
                  <c:v>71</c:v>
                </c:pt>
              </c:numCache>
            </c:numRef>
          </c:val>
          <c:extLst>
            <c:ext xmlns:c16="http://schemas.microsoft.com/office/drawing/2014/chart" uri="{C3380CC4-5D6E-409C-BE32-E72D297353CC}">
              <c16:uniqueId val="{00000003-4A1F-4631-8EAC-0EB8565FB538}"/>
            </c:ext>
          </c:extLst>
        </c:ser>
        <c:dLbls>
          <c:dLblPos val="outEnd"/>
          <c:showLegendKey val="0"/>
          <c:showVal val="1"/>
          <c:showCatName val="0"/>
          <c:showSerName val="0"/>
          <c:showPercent val="0"/>
          <c:showBubbleSize val="0"/>
        </c:dLbls>
        <c:gapWidth val="219"/>
        <c:overlap val="-27"/>
        <c:axId val="2105159024"/>
        <c:axId val="2105159504"/>
      </c:barChart>
      <c:catAx>
        <c:axId val="2105159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nl-NL"/>
          </a:p>
        </c:txPr>
        <c:crossAx val="2105159504"/>
        <c:crosses val="autoZero"/>
        <c:auto val="1"/>
        <c:lblAlgn val="ctr"/>
        <c:lblOffset val="100"/>
        <c:noMultiLvlLbl val="0"/>
      </c:catAx>
      <c:valAx>
        <c:axId val="2105159504"/>
        <c:scaling>
          <c:orientation val="minMax"/>
          <c:max val="100"/>
        </c:scaling>
        <c:delete val="0"/>
        <c:axPos val="l"/>
        <c:numFmt formatCode="0\%" sourceLinked="0"/>
        <c:majorTickMark val="out"/>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crossAx val="210515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ADB</c:v>
          </c:tx>
          <c:spPr>
            <a:solidFill>
              <a:srgbClr val="71254B"/>
            </a:solidFill>
            <a:ln>
              <a:noFill/>
            </a:ln>
            <a:effectLst/>
          </c:spPr>
          <c:invertIfNegative val="0"/>
          <c:dLbls>
            <c:dLbl>
              <c:idx val="0"/>
              <c:tx>
                <c:rich>
                  <a:bodyPr/>
                  <a:lstStyle/>
                  <a:p>
                    <a:fld id="{CB64230B-4F15-450D-B858-63F95961FD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C8-4708-B814-7579B935B264}"/>
                </c:ext>
              </c:extLst>
            </c:dLbl>
            <c:dLbl>
              <c:idx val="1"/>
              <c:tx>
                <c:rich>
                  <a:bodyPr/>
                  <a:lstStyle/>
                  <a:p>
                    <a:fld id="{DBB41D50-AB36-4D85-AFBD-D4F89185FC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8C8-4708-B814-7579B935B264}"/>
                </c:ext>
              </c:extLst>
            </c:dLbl>
            <c:dLbl>
              <c:idx val="2"/>
              <c:tx>
                <c:rich>
                  <a:bodyPr/>
                  <a:lstStyle/>
                  <a:p>
                    <a:fld id="{1EA31280-7149-4AA4-A331-C582A8EE86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8C8-4708-B814-7579B935B264}"/>
                </c:ext>
              </c:extLst>
            </c:dLbl>
            <c:dLbl>
              <c:idx val="3"/>
              <c:tx>
                <c:rich>
                  <a:bodyPr/>
                  <a:lstStyle/>
                  <a:p>
                    <a:fld id="{22911CDB-A1F4-4B02-A86C-B9560922CA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8C8-4708-B814-7579B935B264}"/>
                </c:ext>
              </c:extLst>
            </c:dLbl>
            <c:dLbl>
              <c:idx val="4"/>
              <c:tx>
                <c:rich>
                  <a:bodyPr/>
                  <a:lstStyle/>
                  <a:p>
                    <a:fld id="{5346A96F-0868-4F82-A07B-C808FE56ED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8C8-4708-B814-7579B935B264}"/>
                </c:ext>
              </c:extLst>
            </c:dLbl>
            <c:dLbl>
              <c:idx val="5"/>
              <c:tx>
                <c:rich>
                  <a:bodyPr/>
                  <a:lstStyle/>
                  <a:p>
                    <a:fld id="{CCF545F4-B85A-43CB-98C7-D941653A19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8C8-4708-B814-7579B935B264}"/>
                </c:ext>
              </c:extLst>
            </c:dLbl>
            <c:dLbl>
              <c:idx val="6"/>
              <c:tx>
                <c:rich>
                  <a:bodyPr/>
                  <a:lstStyle/>
                  <a:p>
                    <a:fld id="{F29E9784-9782-4076-8824-0DF9A89165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8C8-4708-B814-7579B935B264}"/>
                </c:ext>
              </c:extLst>
            </c:dLbl>
            <c:dLbl>
              <c:idx val="7"/>
              <c:tx>
                <c:rich>
                  <a:bodyPr/>
                  <a:lstStyle/>
                  <a:p>
                    <a:fld id="{35A048C1-3240-4852-968A-AC2CC92BE4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8C8-4708-B814-7579B935B264}"/>
                </c:ext>
              </c:extLst>
            </c:dLbl>
            <c:dLbl>
              <c:idx val="8"/>
              <c:tx>
                <c:rich>
                  <a:bodyPr/>
                  <a:lstStyle/>
                  <a:p>
                    <a:fld id="{47D9E6D0-71BE-4B31-976C-605B6F4E2A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8C8-4708-B814-7579B935B264}"/>
                </c:ext>
              </c:extLst>
            </c:dLbl>
            <c:dLbl>
              <c:idx val="9"/>
              <c:tx>
                <c:rich>
                  <a:bodyPr/>
                  <a:lstStyle/>
                  <a:p>
                    <a:fld id="{E95ACFDC-79E6-4930-957E-E4DD5391D9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8C8-4708-B814-7579B935B264}"/>
                </c:ext>
              </c:extLst>
            </c:dLbl>
            <c:dLbl>
              <c:idx val="10"/>
              <c:tx>
                <c:rich>
                  <a:bodyPr/>
                  <a:lstStyle/>
                  <a:p>
                    <a:fld id="{9158144D-2986-4C68-BCEE-E675C426FE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8C8-4708-B814-7579B935B26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'Significances_ADB-nonADB'!$C$80:$C$90</c:f>
              <c:strCache>
                <c:ptCount val="11"/>
                <c:pt idx="0">
                  <c:v>Sufficient water with antiseptic soap and liquid antiseptic in delivery room</c:v>
                </c:pt>
                <c:pt idx="1">
                  <c:v>Light and heating in delivery room 24 hours</c:v>
                </c:pt>
                <c:pt idx="2">
                  <c:v>Waste from Maternity correctly handled</c:v>
                </c:pt>
                <c:pt idx="3">
                  <c:v>Delivery room is well-maintained</c:v>
                </c:pt>
                <c:pt idx="4">
                  <c:v>Availability and use of the partograph</c:v>
                </c:pt>
                <c:pt idx="5">
                  <c:v>Deliveries performed by skilled personnel</c:v>
                </c:pt>
                <c:pt idx="6">
                  <c:v>Availability of scales for weight/length, and obstrectical stethoscope</c:v>
                </c:pt>
                <c:pt idx="7">
                  <c:v>Availability of at least one episiotomy/perineal repair box</c:v>
                </c:pt>
                <c:pt idx="8">
                  <c:v>Delivery table in good state</c:v>
                </c:pt>
                <c:pt idx="9">
                  <c:v>Available equipment for care of the newborn</c:v>
                </c:pt>
                <c:pt idx="10">
                  <c:v>Adequate in-patient rooms***</c:v>
                </c:pt>
              </c:strCache>
            </c:strRef>
          </c:cat>
          <c:val>
            <c:numRef>
              <c:f>'Significances_ADB-nonADB'!$E$80:$E$90</c:f>
              <c:numCache>
                <c:formatCode>General</c:formatCode>
                <c:ptCount val="11"/>
                <c:pt idx="0">
                  <c:v>84</c:v>
                </c:pt>
                <c:pt idx="1">
                  <c:v>88</c:v>
                </c:pt>
                <c:pt idx="2">
                  <c:v>30</c:v>
                </c:pt>
                <c:pt idx="3">
                  <c:v>73</c:v>
                </c:pt>
                <c:pt idx="4">
                  <c:v>95</c:v>
                </c:pt>
                <c:pt idx="5">
                  <c:v>92</c:v>
                </c:pt>
                <c:pt idx="6">
                  <c:v>82</c:v>
                </c:pt>
                <c:pt idx="7">
                  <c:v>84</c:v>
                </c:pt>
                <c:pt idx="8">
                  <c:v>77</c:v>
                </c:pt>
                <c:pt idx="9">
                  <c:v>21</c:v>
                </c:pt>
                <c:pt idx="10">
                  <c:v>21</c:v>
                </c:pt>
              </c:numCache>
            </c:numRef>
          </c:val>
          <c:extLst>
            <c:ext xmlns:c15="http://schemas.microsoft.com/office/drawing/2012/chart" uri="{02D57815-91ED-43cb-92C2-25804820EDAC}">
              <c15:datalabelsRange>
                <c15:f>'Significances_ADB-nonADB'!$I$80:$I$90</c15:f>
                <c15:dlblRangeCache>
                  <c:ptCount val="11"/>
                  <c:pt idx="0">
                    <c:v>0</c:v>
                  </c:pt>
                  <c:pt idx="1">
                    <c:v>-2</c:v>
                  </c:pt>
                  <c:pt idx="2">
                    <c:v>-15</c:v>
                  </c:pt>
                  <c:pt idx="3">
                    <c:v>3</c:v>
                  </c:pt>
                  <c:pt idx="4">
                    <c:v>-5</c:v>
                  </c:pt>
                  <c:pt idx="5">
                    <c:v>-5</c:v>
                  </c:pt>
                  <c:pt idx="6">
                    <c:v>-1</c:v>
                  </c:pt>
                  <c:pt idx="7">
                    <c:v>13</c:v>
                  </c:pt>
                  <c:pt idx="8">
                    <c:v>-7</c:v>
                  </c:pt>
                  <c:pt idx="9">
                    <c:v>-3</c:v>
                  </c:pt>
                  <c:pt idx="10">
                    <c:v>-26</c:v>
                  </c:pt>
                </c15:dlblRangeCache>
              </c15:datalabelsRange>
            </c:ext>
            <c:ext xmlns:c16="http://schemas.microsoft.com/office/drawing/2014/chart" uri="{C3380CC4-5D6E-409C-BE32-E72D297353CC}">
              <c16:uniqueId val="{00000000-C8C8-4708-B814-7579B935B264}"/>
            </c:ext>
          </c:extLst>
        </c:ser>
        <c:ser>
          <c:idx val="1"/>
          <c:order val="1"/>
          <c:tx>
            <c:v>Non-ADB</c:v>
          </c:tx>
          <c:spPr>
            <a:solidFill>
              <a:srgbClr val="EFCDDE"/>
            </a:solidFill>
            <a:ln>
              <a:noFill/>
            </a:ln>
            <a:effectLst/>
          </c:spPr>
          <c:invertIfNegative val="0"/>
          <c:cat>
            <c:strRef>
              <c:f>'Significances_ADB-nonADB'!$C$80:$C$90</c:f>
              <c:strCache>
                <c:ptCount val="11"/>
                <c:pt idx="0">
                  <c:v>Sufficient water with antiseptic soap and liquid antiseptic in delivery room</c:v>
                </c:pt>
                <c:pt idx="1">
                  <c:v>Light and heating in delivery room 24 hours</c:v>
                </c:pt>
                <c:pt idx="2">
                  <c:v>Waste from Maternity correctly handled</c:v>
                </c:pt>
                <c:pt idx="3">
                  <c:v>Delivery room is well-maintained</c:v>
                </c:pt>
                <c:pt idx="4">
                  <c:v>Availability and use of the partograph</c:v>
                </c:pt>
                <c:pt idx="5">
                  <c:v>Deliveries performed by skilled personnel</c:v>
                </c:pt>
                <c:pt idx="6">
                  <c:v>Availability of scales for weight/length, and obstrectical stethoscope</c:v>
                </c:pt>
                <c:pt idx="7">
                  <c:v>Availability of at least one episiotomy/perineal repair box</c:v>
                </c:pt>
                <c:pt idx="8">
                  <c:v>Delivery table in good state</c:v>
                </c:pt>
                <c:pt idx="9">
                  <c:v>Available equipment for care of the newborn</c:v>
                </c:pt>
                <c:pt idx="10">
                  <c:v>Adequate in-patient rooms***</c:v>
                </c:pt>
              </c:strCache>
            </c:strRef>
          </c:cat>
          <c:val>
            <c:numRef>
              <c:f>'Significances_ADB-nonADB'!$G$80:$G$90</c:f>
              <c:numCache>
                <c:formatCode>General</c:formatCode>
                <c:ptCount val="11"/>
                <c:pt idx="0">
                  <c:v>84</c:v>
                </c:pt>
                <c:pt idx="1">
                  <c:v>90</c:v>
                </c:pt>
                <c:pt idx="2">
                  <c:v>45</c:v>
                </c:pt>
                <c:pt idx="3">
                  <c:v>70</c:v>
                </c:pt>
                <c:pt idx="4">
                  <c:v>100</c:v>
                </c:pt>
                <c:pt idx="5">
                  <c:v>97</c:v>
                </c:pt>
                <c:pt idx="6">
                  <c:v>83</c:v>
                </c:pt>
                <c:pt idx="7">
                  <c:v>71</c:v>
                </c:pt>
                <c:pt idx="8">
                  <c:v>84</c:v>
                </c:pt>
                <c:pt idx="9">
                  <c:v>24</c:v>
                </c:pt>
                <c:pt idx="10">
                  <c:v>47</c:v>
                </c:pt>
              </c:numCache>
            </c:numRef>
          </c:val>
          <c:extLst>
            <c:ext xmlns:c16="http://schemas.microsoft.com/office/drawing/2014/chart" uri="{C3380CC4-5D6E-409C-BE32-E72D297353CC}">
              <c16:uniqueId val="{00000002-C8C8-4708-B814-7579B935B264}"/>
            </c:ext>
          </c:extLst>
        </c:ser>
        <c:dLbls>
          <c:showLegendKey val="0"/>
          <c:showVal val="0"/>
          <c:showCatName val="0"/>
          <c:showSerName val="0"/>
          <c:showPercent val="0"/>
          <c:showBubbleSize val="0"/>
        </c:dLbls>
        <c:gapWidth val="219"/>
        <c:overlap val="-27"/>
        <c:axId val="1943026784"/>
        <c:axId val="1943029664"/>
      </c:barChart>
      <c:catAx>
        <c:axId val="19430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nl-NL"/>
          </a:p>
        </c:txPr>
        <c:crossAx val="1943029664"/>
        <c:crosses val="autoZero"/>
        <c:auto val="1"/>
        <c:lblAlgn val="ctr"/>
        <c:lblOffset val="100"/>
        <c:noMultiLvlLbl val="0"/>
      </c:catAx>
      <c:valAx>
        <c:axId val="1943029664"/>
        <c:scaling>
          <c:orientation val="minMax"/>
          <c:max val="100"/>
        </c:scaling>
        <c:delete val="0"/>
        <c:axPos val="l"/>
        <c:numFmt formatCode="0\%" sourceLinked="0"/>
        <c:majorTickMark val="out"/>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94302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ADB</c:v>
          </c:tx>
          <c:spPr>
            <a:solidFill>
              <a:srgbClr val="71254B"/>
            </a:solidFill>
            <a:ln>
              <a:noFill/>
            </a:ln>
            <a:effectLst/>
          </c:spPr>
          <c:invertIfNegative val="0"/>
          <c:dLbls>
            <c:dLbl>
              <c:idx val="0"/>
              <c:tx>
                <c:rich>
                  <a:bodyPr/>
                  <a:lstStyle/>
                  <a:p>
                    <a:fld id="{9FF351E3-7D3A-41EC-B65F-68AF8FC1A8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9ED-4B8B-BD96-2DFB79AB27DD}"/>
                </c:ext>
              </c:extLst>
            </c:dLbl>
            <c:dLbl>
              <c:idx val="1"/>
              <c:tx>
                <c:rich>
                  <a:bodyPr/>
                  <a:lstStyle/>
                  <a:p>
                    <a:fld id="{BD2BEDEB-158D-4C08-96A2-32A7A85EE6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9ED-4B8B-BD96-2DFB79AB27DD}"/>
                </c:ext>
              </c:extLst>
            </c:dLbl>
            <c:dLbl>
              <c:idx val="2"/>
              <c:tx>
                <c:rich>
                  <a:bodyPr/>
                  <a:lstStyle/>
                  <a:p>
                    <a:fld id="{56083CC3-C690-4CFC-B3DD-A4B33AC234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9ED-4B8B-BD96-2DFB79AB27DD}"/>
                </c:ext>
              </c:extLst>
            </c:dLbl>
            <c:dLbl>
              <c:idx val="3"/>
              <c:tx>
                <c:rich>
                  <a:bodyPr/>
                  <a:lstStyle/>
                  <a:p>
                    <a:fld id="{FBF5D695-8942-4176-A2D4-8285B2EBE50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9ED-4B8B-BD96-2DFB79AB27DD}"/>
                </c:ext>
              </c:extLst>
            </c:dLbl>
            <c:dLbl>
              <c:idx val="4"/>
              <c:tx>
                <c:rich>
                  <a:bodyPr/>
                  <a:lstStyle/>
                  <a:p>
                    <a:fld id="{5F87A368-2809-4184-9514-F5AA51BD980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9ED-4B8B-BD96-2DFB79AB27DD}"/>
                </c:ext>
              </c:extLst>
            </c:dLbl>
            <c:dLbl>
              <c:idx val="5"/>
              <c:tx>
                <c:rich>
                  <a:bodyPr/>
                  <a:lstStyle/>
                  <a:p>
                    <a:fld id="{8D0A9B16-F082-40BD-9059-76132F4E05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9ED-4B8B-BD96-2DFB79AB27DD}"/>
                </c:ext>
              </c:extLst>
            </c:dLbl>
            <c:dLbl>
              <c:idx val="6"/>
              <c:tx>
                <c:rich>
                  <a:bodyPr/>
                  <a:lstStyle/>
                  <a:p>
                    <a:fld id="{17D876C6-3B0C-4068-9506-D4A64ECFC5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9ED-4B8B-BD96-2DFB79AB27DD}"/>
                </c:ext>
              </c:extLst>
            </c:dLbl>
            <c:dLbl>
              <c:idx val="7"/>
              <c:tx>
                <c:rich>
                  <a:bodyPr/>
                  <a:lstStyle/>
                  <a:p>
                    <a:fld id="{418781BD-F00F-4C62-A588-C08341EDDF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9ED-4B8B-BD96-2DFB79AB27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nl-NL"/>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'Significances_ADB-nonADB'!$C$106:$C$113</c:f>
              <c:strCache>
                <c:ptCount val="8"/>
                <c:pt idx="0">
                  <c:v>ANC plan for catchment area</c:v>
                </c:pt>
                <c:pt idx="1">
                  <c:v>Essential equipment**</c:v>
                </c:pt>
                <c:pt idx="2">
                  <c:v>ANC form available</c:v>
                </c:pt>
                <c:pt idx="3">
                  <c:v>IFA/MNPs and Mebenzale</c:v>
                </c:pt>
                <c:pt idx="4">
                  <c:v>MCH-HB cards</c:v>
                </c:pt>
                <c:pt idx="5">
                  <c:v>ANC register available and well filled</c:v>
                </c:pt>
                <c:pt idx="6">
                  <c:v>Qualified personnel</c:v>
                </c:pt>
                <c:pt idx="7">
                  <c:v>Individual IEC/BCC</c:v>
                </c:pt>
              </c:strCache>
            </c:strRef>
          </c:cat>
          <c:val>
            <c:numRef>
              <c:f>'Significances_ADB-nonADB'!$E$106:$E$113</c:f>
              <c:numCache>
                <c:formatCode>General</c:formatCode>
                <c:ptCount val="8"/>
                <c:pt idx="0">
                  <c:v>60</c:v>
                </c:pt>
                <c:pt idx="1">
                  <c:v>40</c:v>
                </c:pt>
                <c:pt idx="2">
                  <c:v>42</c:v>
                </c:pt>
                <c:pt idx="3">
                  <c:v>40</c:v>
                </c:pt>
                <c:pt idx="4">
                  <c:v>79</c:v>
                </c:pt>
                <c:pt idx="5">
                  <c:v>84</c:v>
                </c:pt>
                <c:pt idx="6">
                  <c:v>95</c:v>
                </c:pt>
                <c:pt idx="7">
                  <c:v>79</c:v>
                </c:pt>
              </c:numCache>
            </c:numRef>
          </c:val>
          <c:extLst>
            <c:ext xmlns:c15="http://schemas.microsoft.com/office/drawing/2012/chart" uri="{02D57815-91ED-43cb-92C2-25804820EDAC}">
              <c15:datalabelsRange>
                <c15:f>'Significances_ADB-nonADB'!$I$106:$I$113</c15:f>
                <c15:dlblRangeCache>
                  <c:ptCount val="8"/>
                  <c:pt idx="0">
                    <c:v>5</c:v>
                  </c:pt>
                  <c:pt idx="1">
                    <c:v>-27</c:v>
                  </c:pt>
                  <c:pt idx="2">
                    <c:v>-11</c:v>
                  </c:pt>
                  <c:pt idx="3">
                    <c:v>4</c:v>
                  </c:pt>
                  <c:pt idx="4">
                    <c:v>-4</c:v>
                  </c:pt>
                  <c:pt idx="5">
                    <c:v>-4</c:v>
                  </c:pt>
                  <c:pt idx="6">
                    <c:v>-1</c:v>
                  </c:pt>
                  <c:pt idx="7">
                    <c:v>5</c:v>
                  </c:pt>
                </c15:dlblRangeCache>
              </c15:datalabelsRange>
            </c:ext>
            <c:ext xmlns:c16="http://schemas.microsoft.com/office/drawing/2014/chart" uri="{C3380CC4-5D6E-409C-BE32-E72D297353CC}">
              <c16:uniqueId val="{00000000-59ED-4B8B-BD96-2DFB79AB27DD}"/>
            </c:ext>
          </c:extLst>
        </c:ser>
        <c:ser>
          <c:idx val="1"/>
          <c:order val="1"/>
          <c:tx>
            <c:v>Non-ADB</c:v>
          </c:tx>
          <c:spPr>
            <a:solidFill>
              <a:srgbClr val="EFCDDE"/>
            </a:solidFill>
            <a:ln>
              <a:noFill/>
            </a:ln>
            <a:effectLst/>
          </c:spPr>
          <c:invertIfNegative val="0"/>
          <c:cat>
            <c:strRef>
              <c:f>'Significances_ADB-nonADB'!$C$106:$C$113</c:f>
              <c:strCache>
                <c:ptCount val="8"/>
                <c:pt idx="0">
                  <c:v>ANC plan for catchment area</c:v>
                </c:pt>
                <c:pt idx="1">
                  <c:v>Essential equipment**</c:v>
                </c:pt>
                <c:pt idx="2">
                  <c:v>ANC form available</c:v>
                </c:pt>
                <c:pt idx="3">
                  <c:v>IFA/MNPs and Mebenzale</c:v>
                </c:pt>
                <c:pt idx="4">
                  <c:v>MCH-HB cards</c:v>
                </c:pt>
                <c:pt idx="5">
                  <c:v>ANC register available and well filled</c:v>
                </c:pt>
                <c:pt idx="6">
                  <c:v>Qualified personnel</c:v>
                </c:pt>
                <c:pt idx="7">
                  <c:v>Individual IEC/BCC</c:v>
                </c:pt>
              </c:strCache>
            </c:strRef>
          </c:cat>
          <c:val>
            <c:numRef>
              <c:f>'Significances_ADB-nonADB'!$G$106:$G$113</c:f>
              <c:numCache>
                <c:formatCode>General</c:formatCode>
                <c:ptCount val="8"/>
                <c:pt idx="0">
                  <c:v>55</c:v>
                </c:pt>
                <c:pt idx="1">
                  <c:v>67</c:v>
                </c:pt>
                <c:pt idx="2">
                  <c:v>53</c:v>
                </c:pt>
                <c:pt idx="3">
                  <c:v>36</c:v>
                </c:pt>
                <c:pt idx="4">
                  <c:v>83</c:v>
                </c:pt>
                <c:pt idx="5">
                  <c:v>88</c:v>
                </c:pt>
                <c:pt idx="6">
                  <c:v>96</c:v>
                </c:pt>
                <c:pt idx="7">
                  <c:v>74</c:v>
                </c:pt>
              </c:numCache>
            </c:numRef>
          </c:val>
          <c:extLst>
            <c:ext xmlns:c16="http://schemas.microsoft.com/office/drawing/2014/chart" uri="{C3380CC4-5D6E-409C-BE32-E72D297353CC}">
              <c16:uniqueId val="{00000001-59ED-4B8B-BD96-2DFB79AB27DD}"/>
            </c:ext>
          </c:extLst>
        </c:ser>
        <c:dLbls>
          <c:showLegendKey val="0"/>
          <c:showVal val="0"/>
          <c:showCatName val="0"/>
          <c:showSerName val="0"/>
          <c:showPercent val="0"/>
          <c:showBubbleSize val="0"/>
        </c:dLbls>
        <c:gapWidth val="182"/>
        <c:axId val="2105141744"/>
        <c:axId val="2105147024"/>
      </c:barChart>
      <c:catAx>
        <c:axId val="2105141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NL"/>
          </a:p>
        </c:txPr>
        <c:crossAx val="2105147024"/>
        <c:crosses val="autoZero"/>
        <c:auto val="1"/>
        <c:lblAlgn val="ctr"/>
        <c:lblOffset val="100"/>
        <c:noMultiLvlLbl val="0"/>
      </c:catAx>
      <c:valAx>
        <c:axId val="2105147024"/>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5141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nl-NL"/>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79429537159665E-2"/>
          <c:y val="4.46749258842127E-2"/>
          <c:w val="0.89110599196522056"/>
          <c:h val="0.87853049501213099"/>
        </c:manualLayout>
      </c:layout>
      <c:barChart>
        <c:barDir val="col"/>
        <c:grouping val="clustered"/>
        <c:varyColors val="0"/>
        <c:ser>
          <c:idx val="2"/>
          <c:order val="0"/>
          <c:tx>
            <c:strRef>
              <c:f>'MSS Graph'!$G$8</c:f>
              <c:strCache>
                <c:ptCount val="1"/>
                <c:pt idx="0">
                  <c:v>HER2 R2</c:v>
                </c:pt>
              </c:strCache>
            </c:strRef>
          </c:tx>
          <c:invertIfNegative val="0"/>
          <c:dLbls>
            <c:spPr>
              <a:noFill/>
              <a:ln>
                <a:noFill/>
              </a:ln>
              <a:effectLst/>
            </c:spPr>
            <c:txPr>
              <a:bodyPr vertOverflow="overflow" horzOverflow="overflow" lIns="38100" tIns="19050" rIns="38100" bIns="19050">
                <a:spAutoFit/>
              </a:bodyPr>
              <a:lstStyle/>
              <a:p>
                <a:pPr>
                  <a:defRPr sz="2000" b="1"/>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Graph'!$H$8:$J$8</c:f>
              <c:numCache>
                <c:formatCode>0%</c:formatCode>
                <c:ptCount val="3"/>
                <c:pt idx="0">
                  <c:v>0.13930348258706468</c:v>
                </c:pt>
                <c:pt idx="1">
                  <c:v>0.2153846153846154</c:v>
                </c:pt>
                <c:pt idx="2">
                  <c:v>0.70256410256410251</c:v>
                </c:pt>
              </c:numCache>
            </c:numRef>
          </c:val>
          <c:extLst>
            <c:ext xmlns:c16="http://schemas.microsoft.com/office/drawing/2014/chart" uri="{C3380CC4-5D6E-409C-BE32-E72D297353CC}">
              <c16:uniqueId val="{00000000-A358-294D-9212-AB102CE30DCD}"/>
            </c:ext>
          </c:extLst>
        </c:ser>
        <c:ser>
          <c:idx val="3"/>
          <c:order val="1"/>
          <c:tx>
            <c:strRef>
              <c:f>'MSS Graph'!$G$9</c:f>
              <c:strCache>
                <c:ptCount val="1"/>
                <c:pt idx="0">
                  <c:v>HER2 R3</c:v>
                </c:pt>
              </c:strCache>
            </c:strRef>
          </c:tx>
          <c:spPr>
            <a:solidFill>
              <a:srgbClr val="71254B"/>
            </a:solidFill>
          </c:spPr>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'MSS Graph'!$H$2:$J$2</c:f>
              <c:strCache>
                <c:ptCount val="3"/>
                <c:pt idx="0">
                  <c:v>MSS drug availability</c:v>
                </c:pt>
                <c:pt idx="1">
                  <c:v>MSS equipment availability</c:v>
                </c:pt>
                <c:pt idx="2">
                  <c:v>MSS non-P4P availability</c:v>
                </c:pt>
              </c:strCache>
            </c:strRef>
          </c:cat>
          <c:val>
            <c:numRef>
              <c:f>'MSS Graph'!$H$9:$J$9</c:f>
              <c:numCache>
                <c:formatCode>0%</c:formatCode>
                <c:ptCount val="3"/>
                <c:pt idx="0">
                  <c:v>0.2</c:v>
                </c:pt>
                <c:pt idx="1">
                  <c:v>0.1751412429378531</c:v>
                </c:pt>
                <c:pt idx="2">
                  <c:v>0.65536723163841804</c:v>
                </c:pt>
              </c:numCache>
            </c:numRef>
          </c:val>
          <c:extLst>
            <c:ext xmlns:c16="http://schemas.microsoft.com/office/drawing/2014/chart" uri="{C3380CC4-5D6E-409C-BE32-E72D297353CC}">
              <c16:uniqueId val="{00000001-A358-294D-9212-AB102CE30DCD}"/>
            </c:ext>
          </c:extLst>
        </c:ser>
        <c:ser>
          <c:idx val="0"/>
          <c:order val="2"/>
          <c:tx>
            <c:strRef>
              <c:f>'MSS Graph'!$G$10</c:f>
              <c:strCache>
                <c:ptCount val="1"/>
                <c:pt idx="0">
                  <c:v>HER2 R4</c:v>
                </c:pt>
              </c:strCache>
            </c:strRef>
          </c:tx>
          <c:invertIfNegative val="0"/>
          <c:dLbls>
            <c:spPr>
              <a:noFill/>
              <a:ln>
                <a:noFill/>
              </a:ln>
              <a:effectLst/>
            </c:spPr>
            <c:txPr>
              <a:bodyPr wrap="square" lIns="38100" tIns="19050" rIns="38100" bIns="19050" anchor="ctr">
                <a:spAutoFit/>
              </a:bodyPr>
              <a:lstStyle/>
              <a:p>
                <a:pPr>
                  <a:defRPr sz="2000" b="1">
                    <a:solidFill>
                      <a:schemeClr val="bg1"/>
                    </a:solidFill>
                  </a:defRPr>
                </a:pPr>
                <a:endParaRPr lang="nl-NL"/>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'MSS Graph'!$H$10:$J$10</c:f>
              <c:numCache>
                <c:formatCode>0%</c:formatCode>
                <c:ptCount val="3"/>
                <c:pt idx="0">
                  <c:v>0.1388888888888889</c:v>
                </c:pt>
                <c:pt idx="1">
                  <c:v>0.1875</c:v>
                </c:pt>
                <c:pt idx="2">
                  <c:v>0.70833333333333337</c:v>
                </c:pt>
              </c:numCache>
            </c:numRef>
          </c:val>
          <c:extLst>
            <c:ext xmlns:c16="http://schemas.microsoft.com/office/drawing/2014/chart" uri="{C3380CC4-5D6E-409C-BE32-E72D297353CC}">
              <c16:uniqueId val="{00000000-DF3D-4C2C-9120-3F51AA3B68F7}"/>
            </c:ext>
          </c:extLst>
        </c:ser>
        <c:dLbls>
          <c:dLblPos val="inBase"/>
          <c:showLegendKey val="0"/>
          <c:showVal val="1"/>
          <c:showCatName val="0"/>
          <c:showSerName val="0"/>
          <c:showPercent val="0"/>
          <c:showBubbleSize val="0"/>
        </c:dLbls>
        <c:gapWidth val="36"/>
        <c:axId val="1069237304"/>
        <c:axId val="1069242344"/>
      </c:barChart>
      <c:catAx>
        <c:axId val="106923730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nl-NL"/>
          </a:p>
        </c:txPr>
        <c:crossAx val="1069242344"/>
        <c:crosses val="autoZero"/>
        <c:auto val="1"/>
        <c:lblAlgn val="ctr"/>
        <c:lblOffset val="100"/>
        <c:noMultiLvlLbl val="0"/>
      </c:catAx>
      <c:valAx>
        <c:axId val="10692423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nl-NL"/>
          </a:p>
        </c:txPr>
        <c:crossAx val="1069237304"/>
        <c:crosses val="autoZero"/>
        <c:crossBetween val="between"/>
        <c:majorUnit val="0.1"/>
      </c:valAx>
      <c:spPr>
        <a:solidFill>
          <a:schemeClr val="bg1"/>
        </a:solidFill>
      </c:spPr>
    </c:plotArea>
    <c:legend>
      <c:legendPos val="r"/>
      <c:layout>
        <c:manualLayout>
          <c:xMode val="edge"/>
          <c:yMode val="edge"/>
          <c:x val="8.0179539299170099E-2"/>
          <c:y val="3.1310806293962143E-2"/>
          <c:w val="0.12370681068516279"/>
          <c:h val="0.20315762071857196"/>
        </c:manualLayout>
      </c:layout>
      <c:overlay val="0"/>
      <c:txPr>
        <a:bodyPr/>
        <a:lstStyle/>
        <a:p>
          <a:pPr>
            <a:defRPr sz="1800" b="1"/>
          </a:pPr>
          <a:endParaRPr lang="nl-NL"/>
        </a:p>
      </c:txPr>
    </c:legend>
    <c:plotVisOnly val="1"/>
    <c:dispBlanksAs val="gap"/>
    <c:showDLblsOverMax val="0"/>
    <c:extLst/>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29882</xdr:colOff>
      <xdr:row>27</xdr:row>
      <xdr:rowOff>37353</xdr:rowOff>
    </xdr:from>
    <xdr:to>
      <xdr:col>10</xdr:col>
      <xdr:colOff>595658</xdr:colOff>
      <xdr:row>46</xdr:row>
      <xdr:rowOff>176394</xdr:rowOff>
    </xdr:to>
    <xdr:graphicFrame macro="">
      <xdr:nvGraphicFramePr>
        <xdr:cNvPr id="11" name="Chart 2">
          <a:extLst>
            <a:ext uri="{FF2B5EF4-FFF2-40B4-BE49-F238E27FC236}">
              <a16:creationId xmlns:a16="http://schemas.microsoft.com/office/drawing/2014/main" id="{3A4CAA6B-A3E9-4DE6-AE03-7E3017413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xdr:row>
      <xdr:rowOff>0</xdr:rowOff>
    </xdr:from>
    <xdr:to>
      <xdr:col>10</xdr:col>
      <xdr:colOff>702945</xdr:colOff>
      <xdr:row>17</xdr:row>
      <xdr:rowOff>161925</xdr:rowOff>
    </xdr:to>
    <xdr:graphicFrame macro="">
      <xdr:nvGraphicFramePr>
        <xdr:cNvPr id="2" name="Chart 1">
          <a:extLst>
            <a:ext uri="{FF2B5EF4-FFF2-40B4-BE49-F238E27FC236}">
              <a16:creationId xmlns:a16="http://schemas.microsoft.com/office/drawing/2014/main" id="{C40D489D-3D9C-E54A-8ACE-4CD509F47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711200</xdr:colOff>
      <xdr:row>5</xdr:row>
      <xdr:rowOff>114300</xdr:rowOff>
    </xdr:from>
    <xdr:to>
      <xdr:col>19</xdr:col>
      <xdr:colOff>773137</xdr:colOff>
      <xdr:row>23</xdr:row>
      <xdr:rowOff>36146</xdr:rowOff>
    </xdr:to>
    <xdr:graphicFrame macro="">
      <xdr:nvGraphicFramePr>
        <xdr:cNvPr id="3" name="Chart 2">
          <a:extLst>
            <a:ext uri="{FF2B5EF4-FFF2-40B4-BE49-F238E27FC236}">
              <a16:creationId xmlns:a16="http://schemas.microsoft.com/office/drawing/2014/main" id="{5CC92EBD-6674-D34A-954C-E4CF7D7B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254000</xdr:colOff>
      <xdr:row>4</xdr:row>
      <xdr:rowOff>114300</xdr:rowOff>
    </xdr:from>
    <xdr:to>
      <xdr:col>30</xdr:col>
      <xdr:colOff>239444</xdr:colOff>
      <xdr:row>18</xdr:row>
      <xdr:rowOff>122115</xdr:rowOff>
    </xdr:to>
    <xdr:graphicFrame macro="">
      <xdr:nvGraphicFramePr>
        <xdr:cNvPr id="4" name="Chart 3">
          <a:extLst>
            <a:ext uri="{FF2B5EF4-FFF2-40B4-BE49-F238E27FC236}">
              <a16:creationId xmlns:a16="http://schemas.microsoft.com/office/drawing/2014/main" id="{C5621A7D-9032-CA4A-9E59-36BC12CD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482600</xdr:colOff>
      <xdr:row>29</xdr:row>
      <xdr:rowOff>152400</xdr:rowOff>
    </xdr:from>
    <xdr:to>
      <xdr:col>20</xdr:col>
      <xdr:colOff>4132</xdr:colOff>
      <xdr:row>51</xdr:row>
      <xdr:rowOff>137741</xdr:rowOff>
    </xdr:to>
    <xdr:graphicFrame macro="">
      <xdr:nvGraphicFramePr>
        <xdr:cNvPr id="5" name="Chart 9">
          <a:extLst>
            <a:ext uri="{FF2B5EF4-FFF2-40B4-BE49-F238E27FC236}">
              <a16:creationId xmlns:a16="http://schemas.microsoft.com/office/drawing/2014/main" id="{A7C43C12-E424-9F41-9AF2-24BDD3371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29</xdr:row>
      <xdr:rowOff>0</xdr:rowOff>
    </xdr:from>
    <xdr:to>
      <xdr:col>31</xdr:col>
      <xdr:colOff>565776</xdr:colOff>
      <xdr:row>48</xdr:row>
      <xdr:rowOff>139042</xdr:rowOff>
    </xdr:to>
    <xdr:graphicFrame macro="">
      <xdr:nvGraphicFramePr>
        <xdr:cNvPr id="7" name="Chart 2">
          <a:extLst>
            <a:ext uri="{FF2B5EF4-FFF2-40B4-BE49-F238E27FC236}">
              <a16:creationId xmlns:a16="http://schemas.microsoft.com/office/drawing/2014/main" id="{2DD309DB-715B-43F2-8934-0C1A35D84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448236</xdr:colOff>
      <xdr:row>59</xdr:row>
      <xdr:rowOff>44824</xdr:rowOff>
    </xdr:from>
    <xdr:to>
      <xdr:col>21</xdr:col>
      <xdr:colOff>207188</xdr:colOff>
      <xdr:row>78</xdr:row>
      <xdr:rowOff>183865</xdr:rowOff>
    </xdr:to>
    <xdr:graphicFrame macro="">
      <xdr:nvGraphicFramePr>
        <xdr:cNvPr id="8" name="Chart 2">
          <a:extLst>
            <a:ext uri="{FF2B5EF4-FFF2-40B4-BE49-F238E27FC236}">
              <a16:creationId xmlns:a16="http://schemas.microsoft.com/office/drawing/2014/main" id="{E008B070-9FDD-454E-8239-B4715066B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0.05528</cdr:x>
      <cdr:y>0.72689</cdr:y>
    </cdr:from>
    <cdr:to>
      <cdr:x>0.9801</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77277" y="2783617"/>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45" y="2783624"/>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0.05614</cdr:x>
      <cdr:y>0.72689</cdr:y>
    </cdr:from>
    <cdr:to>
      <cdr:x>0.98096</cdr:x>
      <cdr:y>0.72689</cdr:y>
    </cdr:to>
    <cdr:cxnSp macro="">
      <cdr:nvCxnSpPr>
        <cdr:cNvPr id="2" name="Straight Connector 1">
          <a:extLst xmlns:a="http://schemas.openxmlformats.org/drawingml/2006/main">
            <a:ext uri="{FF2B5EF4-FFF2-40B4-BE49-F238E27FC236}">
              <a16:creationId xmlns:a16="http://schemas.microsoft.com/office/drawing/2014/main" id="{10AF687E-98B4-9528-E15C-5B8902475326}"/>
            </a:ext>
          </a:extLst>
        </cdr:cNvPr>
        <cdr:cNvCxnSpPr/>
      </cdr:nvCxnSpPr>
      <cdr:spPr>
        <a:xfrm xmlns:a="http://schemas.openxmlformats.org/drawingml/2006/main">
          <a:off x="484753" y="2783619"/>
          <a:ext cx="7984906" cy="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14</xdr:col>
      <xdr:colOff>201249</xdr:colOff>
      <xdr:row>4</xdr:row>
      <xdr:rowOff>752474</xdr:rowOff>
    </xdr:from>
    <xdr:to>
      <xdr:col>23</xdr:col>
      <xdr:colOff>114300</xdr:colOff>
      <xdr:row>28</xdr:row>
      <xdr:rowOff>146049</xdr:rowOff>
    </xdr:to>
    <xdr:graphicFrame macro="">
      <xdr:nvGraphicFramePr>
        <xdr:cNvPr id="3" name="Chart 2">
          <a:extLst>
            <a:ext uri="{FF2B5EF4-FFF2-40B4-BE49-F238E27FC236}">
              <a16:creationId xmlns:a16="http://schemas.microsoft.com/office/drawing/2014/main" id="{3CA15A6B-C479-5756-A26D-112FC95C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437736</xdr:colOff>
      <xdr:row>10</xdr:row>
      <xdr:rowOff>54666</xdr:rowOff>
    </xdr:from>
    <xdr:to>
      <xdr:col>20</xdr:col>
      <xdr:colOff>190913</xdr:colOff>
      <xdr:row>29</xdr:row>
      <xdr:rowOff>145773</xdr:rowOff>
    </xdr:to>
    <xdr:graphicFrame macro="">
      <xdr:nvGraphicFramePr>
        <xdr:cNvPr id="3" name="Chart 2">
          <a:extLst>
            <a:ext uri="{FF2B5EF4-FFF2-40B4-BE49-F238E27FC236}">
              <a16:creationId xmlns:a16="http://schemas.microsoft.com/office/drawing/2014/main" id="{E665F752-E264-7FE2-4557-57C5B8D3C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587236</xdr:colOff>
      <xdr:row>16</xdr:row>
      <xdr:rowOff>103015</xdr:rowOff>
    </xdr:from>
    <xdr:to>
      <xdr:col>11</xdr:col>
      <xdr:colOff>156542</xdr:colOff>
      <xdr:row>30</xdr:row>
      <xdr:rowOff>179215</xdr:rowOff>
    </xdr:to>
    <xdr:graphicFrame macro="">
      <xdr:nvGraphicFramePr>
        <xdr:cNvPr id="4" name="Chart 3">
          <a:extLst>
            <a:ext uri="{FF2B5EF4-FFF2-40B4-BE49-F238E27FC236}">
              <a16:creationId xmlns:a16="http://schemas.microsoft.com/office/drawing/2014/main" id="{1DE044FF-866F-10F9-8686-FE5E0F393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0.06378</cdr:x>
      <cdr:y>0.24935</cdr:y>
    </cdr:from>
    <cdr:to>
      <cdr:x>0.98395</cdr:x>
      <cdr:y>0.4312</cdr:y>
    </cdr:to>
    <cdr:grpSp>
      <cdr:nvGrpSpPr>
        <cdr:cNvPr id="6" name="Group 5">
          <a:extLst xmlns:a="http://schemas.openxmlformats.org/drawingml/2006/main">
            <a:ext uri="{FF2B5EF4-FFF2-40B4-BE49-F238E27FC236}">
              <a16:creationId xmlns:a16="http://schemas.microsoft.com/office/drawing/2014/main" id="{4BBCC597-DFF8-E8C5-A1D1-AAE30D94EE1C}"/>
            </a:ext>
          </a:extLst>
        </cdr:cNvPr>
        <cdr:cNvGrpSpPr/>
      </cdr:nvGrpSpPr>
      <cdr:grpSpPr>
        <a:xfrm xmlns:a="http://schemas.openxmlformats.org/drawingml/2006/main">
          <a:off x="409229" y="655103"/>
          <a:ext cx="5904052" cy="477765"/>
          <a:chOff x="397589" y="1639503"/>
          <a:chExt cx="6459514" cy="498877"/>
        </a:xfrm>
      </cdr:grpSpPr>
      <cdr:cxnSp macro="">
        <cdr:nvCxnSpPr>
          <cdr:cNvPr id="3"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397589" y="2138380"/>
            <a:ext cx="6324600" cy="0"/>
          </a:xfrm>
          <a:prstGeom xmlns:a="http://schemas.openxmlformats.org/drawingml/2006/main" prst="line">
            <a:avLst/>
          </a:prstGeom>
          <a:ln xmlns:a="http://schemas.openxmlformats.org/drawingml/2006/main" w="28575">
            <a:solidFill>
              <a:schemeClr val="bg1">
                <a:lumMod val="6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5"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4976749" y="1639503"/>
            <a:ext cx="1880354"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65000"/>
                  </a:schemeClr>
                </a:solidFill>
              </a:rPr>
              <a:t>National average (58%)*</a:t>
            </a:r>
          </a:p>
        </cdr:txBody>
      </cdr:sp>
    </cdr:grpSp>
  </cdr:relSizeAnchor>
</c:userShapes>
</file>

<file path=xl/drawings/drawing8.xml><?xml version="1.0" encoding="utf-8"?>
<xdr:wsDr xmlns:xdr="http://schemas.openxmlformats.org/drawingml/2006/spreadsheetDrawing" xmlns:a="http://schemas.openxmlformats.org/drawingml/2006/main">
  <xdr:twoCellAnchor>
    <xdr:from>
      <xdr:col>0</xdr:col>
      <xdr:colOff>413658</xdr:colOff>
      <xdr:row>29</xdr:row>
      <xdr:rowOff>189138</xdr:rowOff>
    </xdr:from>
    <xdr:to>
      <xdr:col>7</xdr:col>
      <xdr:colOff>625929</xdr:colOff>
      <xdr:row>54</xdr:row>
      <xdr:rowOff>95250</xdr:rowOff>
    </xdr:to>
    <xdr:graphicFrame macro="">
      <xdr:nvGraphicFramePr>
        <xdr:cNvPr id="3" name="Chart 2">
          <a:extLst>
            <a:ext uri="{FF2B5EF4-FFF2-40B4-BE49-F238E27FC236}">
              <a16:creationId xmlns:a16="http://schemas.microsoft.com/office/drawing/2014/main" id="{5C3412ED-0D4C-620A-EE32-042BE1B98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289151</xdr:colOff>
      <xdr:row>12</xdr:row>
      <xdr:rowOff>59872</xdr:rowOff>
    </xdr:from>
    <xdr:to>
      <xdr:col>20</xdr:col>
      <xdr:colOff>322489</xdr:colOff>
      <xdr:row>33</xdr:row>
      <xdr:rowOff>69397</xdr:rowOff>
    </xdr:to>
    <xdr:graphicFrame macro="">
      <xdr:nvGraphicFramePr>
        <xdr:cNvPr id="4" name="Chart 3">
          <a:extLst>
            <a:ext uri="{FF2B5EF4-FFF2-40B4-BE49-F238E27FC236}">
              <a16:creationId xmlns:a16="http://schemas.microsoft.com/office/drawing/2014/main" id="{19DB423C-AF98-BE99-A6E5-594A99CE4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575582</xdr:colOff>
      <xdr:row>15</xdr:row>
      <xdr:rowOff>17688</xdr:rowOff>
    </xdr:from>
    <xdr:to>
      <xdr:col>39</xdr:col>
      <xdr:colOff>561294</xdr:colOff>
      <xdr:row>29</xdr:row>
      <xdr:rowOff>80281</xdr:rowOff>
    </xdr:to>
    <xdr:graphicFrame macro="">
      <xdr:nvGraphicFramePr>
        <xdr:cNvPr id="9" name="Chart 8">
          <a:extLst>
            <a:ext uri="{FF2B5EF4-FFF2-40B4-BE49-F238E27FC236}">
              <a16:creationId xmlns:a16="http://schemas.microsoft.com/office/drawing/2014/main" id="{2C7A6629-17A1-289A-F34F-14CF24D9D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0.06824</cdr:x>
      <cdr:y>0.5134</cdr:y>
    </cdr:from>
    <cdr:to>
      <cdr:x>0.99884</cdr:x>
      <cdr:y>0.63889</cdr:y>
    </cdr:to>
    <cdr:grpSp>
      <cdr:nvGrpSpPr>
        <cdr:cNvPr id="3" name="Group 2">
          <a:extLst xmlns:a="http://schemas.openxmlformats.org/drawingml/2006/main">
            <a:ext uri="{FF2B5EF4-FFF2-40B4-BE49-F238E27FC236}">
              <a16:creationId xmlns:a16="http://schemas.microsoft.com/office/drawing/2014/main" id="{89522F36-85DC-AAB8-7900-A2FCD7E0B3AC}"/>
            </a:ext>
          </a:extLst>
        </cdr:cNvPr>
        <cdr:cNvGrpSpPr/>
      </cdr:nvGrpSpPr>
      <cdr:grpSpPr>
        <a:xfrm xmlns:a="http://schemas.openxmlformats.org/drawingml/2006/main">
          <a:off x="560613" y="1344321"/>
          <a:ext cx="7645169" cy="328592"/>
          <a:chOff x="561836" y="1435198"/>
          <a:chExt cx="7661860" cy="350815"/>
        </a:xfrm>
      </cdr:grpSpPr>
      <cdr:cxnSp macro="">
        <cdr:nvCxnSpPr>
          <cdr:cNvPr id="4" name="Straight Connector 2">
            <a:extLst xmlns:a="http://schemas.openxmlformats.org/drawingml/2006/main">
              <a:ext uri="{FF2B5EF4-FFF2-40B4-BE49-F238E27FC236}">
                <a16:creationId xmlns:a16="http://schemas.microsoft.com/office/drawing/2014/main" id="{084D18F9-FDB0-26CC-E1EA-F61404563DCE}"/>
              </a:ext>
            </a:extLst>
          </cdr:cNvPr>
          <cdr:cNvCxnSpPr/>
        </cdr:nvCxnSpPr>
        <cdr:spPr>
          <a:xfrm xmlns:a="http://schemas.openxmlformats.org/drawingml/2006/main">
            <a:off x="561836" y="1786013"/>
            <a:ext cx="7417757" cy="0"/>
          </a:xfrm>
          <a:prstGeom xmlns:a="http://schemas.openxmlformats.org/drawingml/2006/main" prst="line">
            <a:avLst/>
          </a:prstGeom>
          <a:ln xmlns:a="http://schemas.openxmlformats.org/drawingml/2006/main" w="28575">
            <a:solidFill>
              <a:schemeClr val="bg2">
                <a:lumMod val="75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7" name="TextBox 4">
            <a:extLst xmlns:a="http://schemas.openxmlformats.org/drawingml/2006/main">
              <a:ext uri="{FF2B5EF4-FFF2-40B4-BE49-F238E27FC236}">
                <a16:creationId xmlns:a16="http://schemas.microsoft.com/office/drawing/2014/main" id="{DB1D6CF6-4CCC-C2C5-19E1-011AE2928C04}"/>
              </a:ext>
            </a:extLst>
          </cdr:cNvPr>
          <cdr:cNvSpPr txBox="1"/>
        </cdr:nvSpPr>
        <cdr:spPr>
          <a:xfrm xmlns:a="http://schemas.openxmlformats.org/drawingml/2006/main">
            <a:off x="6346914" y="1435198"/>
            <a:ext cx="1876782" cy="320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nl-NL" sz="1100" b="1" i="1">
                <a:solidFill>
                  <a:schemeClr val="bg1">
                    <a:lumMod val="50000"/>
                  </a:schemeClr>
                </a:solidFill>
              </a:rPr>
              <a:t>National average (44%)</a:t>
            </a:r>
          </a:p>
        </cdr:txBody>
      </cdr:sp>
    </cdr:grpSp>
  </cdr:relSizeAnchor>
</c:userShapes>
</file>

<file path=xl/drawings/drawing10.xml><?xml version="1.0" encoding="utf-8"?>
<xdr:wsDr xmlns:xdr="http://schemas.openxmlformats.org/drawingml/2006/spreadsheetDrawing" xmlns:a="http://schemas.openxmlformats.org/drawingml/2006/main">
  <xdr:twoCellAnchor>
    <xdr:from>
      <xdr:col>13</xdr:col>
      <xdr:colOff>1500</xdr:colOff>
      <xdr:row>67</xdr:row>
      <xdr:rowOff>56028</xdr:rowOff>
    </xdr:from>
    <xdr:to>
      <xdr:col>19</xdr:col>
      <xdr:colOff>1034144</xdr:colOff>
      <xdr:row>80</xdr:row>
      <xdr:rowOff>285750</xdr:rowOff>
    </xdr:to>
    <xdr:graphicFrame macro="">
      <xdr:nvGraphicFramePr>
        <xdr:cNvPr id="4" name="Chart 3">
          <a:extLst>
            <a:ext uri="{FF2B5EF4-FFF2-40B4-BE49-F238E27FC236}">
              <a16:creationId xmlns:a16="http://schemas.microsoft.com/office/drawing/2014/main" id="{76DEBB56-DAF0-E1DB-6392-DAC2F702F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7203</xdr:colOff>
      <xdr:row>83</xdr:row>
      <xdr:rowOff>81642</xdr:rowOff>
    </xdr:from>
    <xdr:to>
      <xdr:col>22</xdr:col>
      <xdr:colOff>408215</xdr:colOff>
      <xdr:row>98</xdr:row>
      <xdr:rowOff>142874</xdr:rowOff>
    </xdr:to>
    <xdr:graphicFrame macro="">
      <xdr:nvGraphicFramePr>
        <xdr:cNvPr id="5" name="Chart 4">
          <a:extLst>
            <a:ext uri="{FF2B5EF4-FFF2-40B4-BE49-F238E27FC236}">
              <a16:creationId xmlns:a16="http://schemas.microsoft.com/office/drawing/2014/main" id="{9C631ADB-4048-6F18-12F6-228019AE2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12002</xdr:colOff>
      <xdr:row>101</xdr:row>
      <xdr:rowOff>73319</xdr:rowOff>
    </xdr:from>
    <xdr:to>
      <xdr:col>18</xdr:col>
      <xdr:colOff>544285</xdr:colOff>
      <xdr:row>111</xdr:row>
      <xdr:rowOff>40822</xdr:rowOff>
    </xdr:to>
    <xdr:graphicFrame macro="">
      <xdr:nvGraphicFramePr>
        <xdr:cNvPr id="6" name="Chart 5">
          <a:extLst>
            <a:ext uri="{FF2B5EF4-FFF2-40B4-BE49-F238E27FC236}">
              <a16:creationId xmlns:a16="http://schemas.microsoft.com/office/drawing/2014/main" id="{EB6054AA-C22B-4FA2-2F08-F20B9582B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438804</xdr:colOff>
      <xdr:row>20</xdr:row>
      <xdr:rowOff>201334</xdr:rowOff>
    </xdr:from>
    <xdr:to>
      <xdr:col>13</xdr:col>
      <xdr:colOff>601563</xdr:colOff>
      <xdr:row>46</xdr:row>
      <xdr:rowOff>96558</xdr:rowOff>
    </xdr:to>
    <xdr:graphicFrame macro="">
      <xdr:nvGraphicFramePr>
        <xdr:cNvPr id="2" name="Chart 1">
          <a:extLst>
            <a:ext uri="{FF2B5EF4-FFF2-40B4-BE49-F238E27FC236}">
              <a16:creationId xmlns:a16="http://schemas.microsoft.com/office/drawing/2014/main" id="{C0AD2F41-B64C-3A47-A15C-BD3B308DB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itnl.sharepoint.com/sites/thirdpartyafghanistan/Shared%20Documents/General/HER/5.%20Data%20analysis/HER2/HER2%20R2/3.%20Output/1.%20FV%20&amp;%20QQM/Annex%202%20TPM%20HER2%20R2%20-%20QQM%20HW%20MSS_20241122.xlsx" TargetMode="External"/><Relationship Id="rId1" Type="http://schemas.openxmlformats.org/officeDocument/2006/relationships/externalLinkPath" Target="https://unicef-my.sharepoint.com/sites/thirdpartyafghanistan/Shared%20Documents/General/HER/5.%20Data%20analysis/HER2/HER2%20R2/3.%20Output/1.%20FV%20&amp;%20QQM/Annex%202%20TPM%20HER2%20R2%20-%20QQM%20HW%20MSS_2024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kitnl.sharepoint.com/sites/thirdpartyafghanistan/Shared%20Documents/General/HER/5.%20Data%20analysis/HER2/HER2%20R4/3.%20Output/1.%20FV%20&amp;%20QQM/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Indicator list"/>
      <sheetName val="1-SAMPLE"/>
      <sheetName val="2-QQM_SUMMARY_SHEET"/>
      <sheetName val="3-QQM_BY ROUND"/>
      <sheetName val="Annex 1a - Structural_PROV"/>
      <sheetName val="Annex1b-Structural_FAC"/>
      <sheetName val="Annex1c-Tracerdrugs_PROV"/>
      <sheetName val="QQC_SI_PROV_LONG"/>
      <sheetName val="QQC_SI_FAC_WIDE"/>
      <sheetName val="QCC_SI_PROV"/>
      <sheetName val="QCC_EXIT&amp;VIGNETTES_FACILITY"/>
      <sheetName val="QQC_EXIT&amp;VIGNETTES_PROV_LONG"/>
      <sheetName val="QQC_EXIT&amp;VIGNETTES_FAC_WIDE"/>
      <sheetName val="QQC_SUMMARY_SHEET"/>
      <sheetName val="Annex2a-QQM_EXIT&amp;VIGNETTES_PROV"/>
      <sheetName val="Annex 2b-QQC_EXIT&amp;VIGNETTES_FAC"/>
      <sheetName val="Annex 3a-HEALTHWORKFORCE - PROV"/>
      <sheetName val="Annex 3b-HEALTHWORKFORCE - FAC"/>
      <sheetName val="Annex 4a-MSS - PROV"/>
      <sheetName val="Annex 4b-MSS - FAC"/>
      <sheetName val="0 - GRAPHS "/>
      <sheetName val="GRAPHS -SI - ADB non ADB"/>
      <sheetName val="GRAPHS -Exit - ADB non ADB"/>
      <sheetName val="GRAPHS -Vignettes - ADB non ADB"/>
      <sheetName val="MSS Graph"/>
      <sheetName val="SUMMARY_SHEET_MULTIPLEROUNDS"/>
    </sheetNames>
    <sheetDataSet>
      <sheetData sheetId="0"/>
      <sheetData sheetId="1"/>
      <sheetData sheetId="2"/>
      <sheetData sheetId="3"/>
      <sheetData sheetId="4">
        <row r="3">
          <cell r="Q3">
            <v>0.58299999999999996</v>
          </cell>
        </row>
        <row r="4">
          <cell r="Q4">
            <v>0.53700000000000003</v>
          </cell>
        </row>
        <row r="5">
          <cell r="Q5">
            <v>0.628</v>
          </cell>
        </row>
        <row r="6">
          <cell r="Q6">
            <v>0.56799999999999995</v>
          </cell>
        </row>
        <row r="7">
          <cell r="Q7">
            <v>0.627</v>
          </cell>
        </row>
        <row r="8">
          <cell r="Q8">
            <v>0.52300000000000002</v>
          </cell>
        </row>
        <row r="9">
          <cell r="Q9">
            <v>0.63200000000000001</v>
          </cell>
        </row>
        <row r="10">
          <cell r="Q10">
            <v>0.52300000000000002</v>
          </cell>
        </row>
        <row r="11">
          <cell r="Q11">
            <v>0.64</v>
          </cell>
        </row>
        <row r="12">
          <cell r="Q12">
            <v>0.66800000000000004</v>
          </cell>
        </row>
        <row r="13">
          <cell r="Q13">
            <v>0.443</v>
          </cell>
        </row>
        <row r="14">
          <cell r="Q14">
            <v>0.55800000000000005</v>
          </cell>
        </row>
        <row r="15">
          <cell r="Q15">
            <v>0.57399999999999995</v>
          </cell>
        </row>
        <row r="16">
          <cell r="Q16">
            <v>0.55300000000000005</v>
          </cell>
        </row>
        <row r="17">
          <cell r="Q17">
            <v>0.505</v>
          </cell>
        </row>
        <row r="18">
          <cell r="Q18">
            <v>0.48499999999999999</v>
          </cell>
        </row>
        <row r="19">
          <cell r="Q19">
            <v>0.57299999999999995</v>
          </cell>
        </row>
        <row r="20">
          <cell r="Q20">
            <v>0.66</v>
          </cell>
        </row>
        <row r="21">
          <cell r="Q21">
            <v>0.497</v>
          </cell>
        </row>
        <row r="22">
          <cell r="Q22">
            <v>0.59699999999999998</v>
          </cell>
        </row>
        <row r="23">
          <cell r="Q23">
            <v>0.61499999999999999</v>
          </cell>
        </row>
        <row r="24">
          <cell r="Q24">
            <v>0.55400000000000005</v>
          </cell>
        </row>
        <row r="25">
          <cell r="Q25">
            <v>0.60799999999999998</v>
          </cell>
        </row>
        <row r="26">
          <cell r="Q26">
            <v>0.32800000000000001</v>
          </cell>
        </row>
        <row r="27">
          <cell r="Q27">
            <v>0.61599999999999999</v>
          </cell>
        </row>
        <row r="28">
          <cell r="Q28">
            <v>0.53</v>
          </cell>
        </row>
        <row r="29">
          <cell r="Q29">
            <v>0.623</v>
          </cell>
        </row>
        <row r="30">
          <cell r="Q30">
            <v>0.52800000000000002</v>
          </cell>
        </row>
        <row r="31">
          <cell r="Q31">
            <v>0.58899999999999997</v>
          </cell>
        </row>
        <row r="32">
          <cell r="Q32">
            <v>0.53500000000000003</v>
          </cell>
        </row>
        <row r="33">
          <cell r="Q33">
            <v>0.55000000000000004</v>
          </cell>
        </row>
        <row r="34">
          <cell r="Q34">
            <v>0.50800000000000001</v>
          </cell>
        </row>
        <row r="35">
          <cell r="Q35">
            <v>0.47399999999999998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QQM_BY ROUND"/>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Gurp, Margo van" id="{206526A6-84D6-4475-9425-09880F64CEDF}" userId="Gurp, Margo va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personId="{206526A6-84D6-4475-9425-09880F64CEDF}" id="{B568D857-CB4B-4720-9ED6-7332AC70C744}">
    <text>This will only include BHC, CHC and DH</text>
  </threadedComment>
</ThreadedComments>
</file>

<file path=xl/threadedComments/threadedComment2.xml><?xml version="1.0" encoding="utf-8"?>
<ThreadedComments xmlns="http://schemas.microsoft.com/office/spreadsheetml/2018/threadedcomments" xmlns:x="http://schemas.openxmlformats.org/spreadsheetml/2006/main">
  <threadedComment ref="C1" personId="{206526A6-84D6-4475-9425-09880F64CEDF}" id="{5EB61FD6-BB44-46A4-907B-3F0F70C80F2E}">
    <text>This will only include BHC, CHC and DH</text>
  </threadedComment>
</ThreadedComments>
</file>

<file path=xl/threadedComments/threadedComment3.xml><?xml version="1.0" encoding="utf-8"?>
<ThreadedComments xmlns="http://schemas.microsoft.com/office/spreadsheetml/2018/threadedcomments" xmlns:x="http://schemas.openxmlformats.org/spreadsheetml/2006/main">
  <threadedComment ref="B3" personId="{206526A6-84D6-4475-9425-09880F64CEDF}" id="{EF744DDA-AF1B-4D4D-A8EF-F1EAAA1C6143}">
    <text>Includes data from all facility types</text>
  </threadedComment>
</ThreadedComments>
</file>

<file path=xl/threadedComments/threadedComment4.xml><?xml version="1.0" encoding="utf-8"?>
<ThreadedComments xmlns="http://schemas.microsoft.com/office/spreadsheetml/2018/threadedcomments" xmlns:x="http://schemas.openxmlformats.org/spreadsheetml/2006/main">
  <threadedComment ref="T3" personId="{206526A6-84D6-4475-9425-09880F64CEDF}" id="{D76F5AB1-CC6E-4B3A-A556-751600068120}">
    <text>Scores &lt;0 are possible for this domain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workbookViewId="0"/>
  </sheetViews>
  <sheetFormatPr defaultColWidth="8.875" defaultRowHeight="15.75" x14ac:dyDescent="0.25"/>
  <cols>
    <col min="1" max="1" width="37.375" bestFit="1" customWidth="1"/>
    <col min="2" max="2" width="178.375" bestFit="1" customWidth="1"/>
  </cols>
  <sheetData>
    <row r="2" spans="1:2" ht="21" x14ac:dyDescent="0.35">
      <c r="A2" s="213" t="s">
        <v>0</v>
      </c>
      <c r="B2" s="213" t="s">
        <v>1</v>
      </c>
    </row>
    <row r="3" spans="1:2" x14ac:dyDescent="0.25">
      <c r="A3" s="214" t="s">
        <v>2</v>
      </c>
      <c r="B3" s="215" t="s">
        <v>3</v>
      </c>
    </row>
    <row r="4" spans="1:2" x14ac:dyDescent="0.25">
      <c r="A4" s="266" t="s">
        <v>4</v>
      </c>
      <c r="B4" s="268" t="s">
        <v>5</v>
      </c>
    </row>
    <row r="5" spans="1:2" x14ac:dyDescent="0.25">
      <c r="A5" s="266" t="s">
        <v>6</v>
      </c>
      <c r="B5" s="268" t="s">
        <v>7</v>
      </c>
    </row>
    <row r="6" spans="1:2" x14ac:dyDescent="0.25">
      <c r="A6" s="266" t="s">
        <v>8</v>
      </c>
      <c r="B6" s="268" t="s">
        <v>9</v>
      </c>
    </row>
    <row r="7" spans="1:2" x14ac:dyDescent="0.25">
      <c r="A7" s="266" t="s">
        <v>10</v>
      </c>
      <c r="B7" s="268" t="s">
        <v>11</v>
      </c>
    </row>
    <row r="8" spans="1:2" x14ac:dyDescent="0.25">
      <c r="A8" s="266" t="s">
        <v>12</v>
      </c>
      <c r="B8" s="268" t="s">
        <v>13</v>
      </c>
    </row>
    <row r="9" spans="1:2" x14ac:dyDescent="0.25">
      <c r="A9" s="266" t="s">
        <v>14</v>
      </c>
      <c r="B9" s="268" t="s">
        <v>15</v>
      </c>
    </row>
    <row r="10" spans="1:2" x14ac:dyDescent="0.25">
      <c r="A10" s="266" t="s">
        <v>16</v>
      </c>
      <c r="B10" s="267" t="s">
        <v>17</v>
      </c>
    </row>
    <row r="11" spans="1:2" x14ac:dyDescent="0.25">
      <c r="A11" s="266" t="s">
        <v>18</v>
      </c>
      <c r="B11" s="267" t="s">
        <v>19</v>
      </c>
    </row>
    <row r="12" spans="1:2" x14ac:dyDescent="0.25">
      <c r="A12" s="270" t="s">
        <v>20</v>
      </c>
      <c r="B12" s="271" t="s">
        <v>21</v>
      </c>
    </row>
    <row r="13" spans="1:2" x14ac:dyDescent="0.25">
      <c r="A13" s="270" t="s">
        <v>22</v>
      </c>
      <c r="B13" s="271" t="s">
        <v>23</v>
      </c>
    </row>
    <row r="14" spans="1:2" x14ac:dyDescent="0.25">
      <c r="A14" s="344" t="s">
        <v>24</v>
      </c>
      <c r="B14" s="269" t="s">
        <v>25</v>
      </c>
    </row>
    <row r="15" spans="1:2" x14ac:dyDescent="0.25">
      <c r="A15" s="344" t="s">
        <v>26</v>
      </c>
      <c r="B15" s="269" t="s">
        <v>27</v>
      </c>
    </row>
  </sheetData>
  <hyperlinks>
    <hyperlink ref="A3" location="'Indicator list'!A1" display="Indicator list-QQC structural" xr:uid="{00000000-0004-0000-0000-000000000000}"/>
    <hyperlink ref="A5" location="'2-QQM_SUMMARY_SHEET'!A1" display="2-QQM_SUMMARY_SHEET" xr:uid="{00000000-0004-0000-0000-000003000000}"/>
    <hyperlink ref="A7" location="'Annex 1a - Structural_PROV'!A1" display="Annex 1a - QQC_Structural_PROV" xr:uid="{00000000-0004-0000-0000-000004000000}"/>
    <hyperlink ref="A8" location="'Annex1b-Structural_FAC'!A1" display="Annex1b-QQC_Structural_FAC" xr:uid="{00000000-0004-0000-0000-000005000000}"/>
    <hyperlink ref="A10" location="'Annex2a-QQM_EXIT&amp;VIGNETTES_PROV'!A1" display="Annex2a-QQM_EXIT&amp;VIGNETTES_PROV" xr:uid="{00000000-0004-0000-0000-000006000000}"/>
    <hyperlink ref="A11" location="'Annex 2b-QQC_EXIT&amp;VIGNETTES_FAC'!A1" display="Annex 2b-QQC_EXIT&amp;VIGNETTES_FAC" xr:uid="{00000000-0004-0000-0000-000007000000}"/>
    <hyperlink ref="A12" location="'Annex 3a-HEALTHWORKFORCE - PROV'!A1" display="Annex 3a-HEALTH WORKERS - PROV" xr:uid="{00000000-0004-0000-0000-000008000000}"/>
    <hyperlink ref="A13" location="'Annex 3b-HEALTHWORKFORCE - FAC'!A1" display="Annex 3b-HEALTH WORKERS - FAC" xr:uid="{00000000-0004-0000-0000-000009000000}"/>
    <hyperlink ref="A9" location="'Annex1c-Tracerdrugs_PROV'!A1" display="Annex1c-QQC_Tracerdrugs_PROV" xr:uid="{7904E1E9-CE7A-472A-9C60-CA6487795DA3}"/>
    <hyperlink ref="A6" location="'3-QQM_BY ROUND'!A1" display="3-QQM_BY ROUND" xr:uid="{2B1D2A67-AE55-4788-9EB6-788FC53D5359}"/>
    <hyperlink ref="A15" location="'Annex 4b-MSS - FAC'!A1" display="'Annex 4b-MSS - FAC'!A1" xr:uid="{4FEC4BDB-8D06-4426-B12A-4AF76CEEAD15}"/>
    <hyperlink ref="A14" location="'Annex 4a-MSS - PROV'!A1" display="'Annex 4a-MSS - PROV'!A1" xr:uid="{0A6A683F-2E9F-4BC6-B8A4-0E23D010C93E}"/>
    <hyperlink ref="A4" location="'1_SAMPLE'!A1" display="1_SAMPLE" xr:uid="{F8E7C688-6E36-3747-96D9-2008FEE5416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0D8-0696-446C-AE56-9C9FE50575C9}">
  <sheetPr>
    <tabColor theme="7" tint="0.39997558519241921"/>
  </sheetPr>
  <dimension ref="A1:XCW303"/>
  <sheetViews>
    <sheetView zoomScale="70" zoomScaleNormal="70" workbookViewId="0">
      <selection activeCell="B79" sqref="B79"/>
    </sheetView>
  </sheetViews>
  <sheetFormatPr defaultColWidth="9" defaultRowHeight="14.25" x14ac:dyDescent="0.25"/>
  <cols>
    <col min="1" max="1" width="12" style="205" customWidth="1"/>
    <col min="2" max="2" width="106.875" style="206" customWidth="1"/>
    <col min="3" max="3" width="52.375" style="206" bestFit="1" customWidth="1"/>
    <col min="4" max="4" width="14.875" style="205" customWidth="1"/>
    <col min="5" max="5" width="14.875" style="205" hidden="1" customWidth="1"/>
    <col min="6" max="6" width="35.5" style="211" customWidth="1"/>
    <col min="7" max="7" width="35.5" style="174" customWidth="1"/>
    <col min="8" max="16384" width="9" style="174"/>
  </cols>
  <sheetData>
    <row r="1" spans="1:6" ht="47.25" customHeight="1" x14ac:dyDescent="0.25">
      <c r="A1" s="503" t="s">
        <v>28</v>
      </c>
      <c r="B1" s="504"/>
      <c r="C1" s="504"/>
      <c r="D1" s="504"/>
      <c r="E1" s="504"/>
      <c r="F1" s="505"/>
    </row>
    <row r="2" spans="1:6" s="138" customFormat="1" ht="45" x14ac:dyDescent="0.25">
      <c r="A2" s="202" t="s">
        <v>29</v>
      </c>
      <c r="B2" s="203" t="s">
        <v>30</v>
      </c>
      <c r="C2" s="202" t="s">
        <v>31</v>
      </c>
      <c r="D2" s="202" t="s">
        <v>32</v>
      </c>
      <c r="E2" s="202" t="s">
        <v>33</v>
      </c>
      <c r="F2" s="204" t="s">
        <v>34</v>
      </c>
    </row>
    <row r="3" spans="1:6" ht="30" customHeight="1" x14ac:dyDescent="0.25">
      <c r="A3" s="228" t="s">
        <v>35</v>
      </c>
      <c r="B3" s="228"/>
      <c r="C3" s="229"/>
      <c r="D3" s="230">
        <f>SUM(D4:D16)</f>
        <v>14</v>
      </c>
      <c r="E3" s="230"/>
      <c r="F3" s="231"/>
    </row>
    <row r="4" spans="1:6" ht="99.75" x14ac:dyDescent="0.25">
      <c r="A4" s="205" t="s">
        <v>36</v>
      </c>
      <c r="B4" s="206" t="s">
        <v>37</v>
      </c>
      <c r="C4" s="206" t="s">
        <v>38</v>
      </c>
      <c r="D4" s="205">
        <v>0.5</v>
      </c>
      <c r="E4" s="205">
        <v>0.5</v>
      </c>
      <c r="F4" s="205" t="s">
        <v>39</v>
      </c>
    </row>
    <row r="5" spans="1:6" ht="42.75" x14ac:dyDescent="0.25">
      <c r="A5" s="497" t="s">
        <v>40</v>
      </c>
      <c r="B5" s="498" t="s">
        <v>41</v>
      </c>
      <c r="C5" s="206" t="s">
        <v>42</v>
      </c>
      <c r="D5" s="205">
        <v>0.5</v>
      </c>
      <c r="E5" s="205">
        <v>0.5</v>
      </c>
      <c r="F5" s="205" t="s">
        <v>39</v>
      </c>
    </row>
    <row r="6" spans="1:6" ht="28.5" x14ac:dyDescent="0.25">
      <c r="A6" s="497"/>
      <c r="B6" s="498"/>
      <c r="C6" s="206" t="s">
        <v>43</v>
      </c>
      <c r="D6" s="205">
        <v>0.5</v>
      </c>
      <c r="E6" s="205">
        <v>0.5</v>
      </c>
      <c r="F6" s="205" t="s">
        <v>39</v>
      </c>
    </row>
    <row r="7" spans="1:6" ht="42.75" x14ac:dyDescent="0.25">
      <c r="A7" s="497"/>
      <c r="B7" s="498"/>
      <c r="C7" s="206" t="s">
        <v>44</v>
      </c>
      <c r="D7" s="205">
        <v>0.5</v>
      </c>
      <c r="E7" s="205">
        <v>0.5</v>
      </c>
      <c r="F7" s="205" t="s">
        <v>39</v>
      </c>
    </row>
    <row r="8" spans="1:6" ht="28.5" x14ac:dyDescent="0.25">
      <c r="A8" s="497"/>
      <c r="B8" s="498"/>
      <c r="C8" s="206" t="s">
        <v>45</v>
      </c>
      <c r="D8" s="205">
        <v>0.5</v>
      </c>
      <c r="E8" s="205">
        <v>0.5</v>
      </c>
      <c r="F8" s="205" t="s">
        <v>39</v>
      </c>
    </row>
    <row r="9" spans="1:6" ht="42.75" x14ac:dyDescent="0.25">
      <c r="A9" s="497"/>
      <c r="B9" s="498"/>
      <c r="C9" s="206" t="s">
        <v>46</v>
      </c>
      <c r="D9" s="205">
        <v>0.5</v>
      </c>
      <c r="E9" s="205">
        <v>0.5</v>
      </c>
      <c r="F9" s="205" t="s">
        <v>39</v>
      </c>
    </row>
    <row r="10" spans="1:6" ht="71.25" x14ac:dyDescent="0.25">
      <c r="A10" s="205" t="s">
        <v>47</v>
      </c>
      <c r="B10" s="206" t="s">
        <v>48</v>
      </c>
      <c r="C10" s="206" t="s">
        <v>49</v>
      </c>
      <c r="D10" s="205">
        <v>1</v>
      </c>
      <c r="E10" s="205">
        <v>1</v>
      </c>
      <c r="F10" s="205" t="s">
        <v>39</v>
      </c>
    </row>
    <row r="11" spans="1:6" ht="171" x14ac:dyDescent="0.25">
      <c r="A11" s="205" t="s">
        <v>50</v>
      </c>
      <c r="B11" s="206" t="s">
        <v>51</v>
      </c>
      <c r="C11" s="206" t="s">
        <v>52</v>
      </c>
      <c r="D11" s="205">
        <v>4</v>
      </c>
      <c r="E11" s="205">
        <v>4</v>
      </c>
      <c r="F11" s="205" t="s">
        <v>39</v>
      </c>
    </row>
    <row r="12" spans="1:6" ht="28.5" x14ac:dyDescent="0.25">
      <c r="A12" s="205" t="s">
        <v>53</v>
      </c>
      <c r="B12" s="206" t="s">
        <v>54</v>
      </c>
      <c r="C12" s="206" t="s">
        <v>55</v>
      </c>
      <c r="D12" s="205">
        <v>1</v>
      </c>
      <c r="E12" s="205">
        <v>1</v>
      </c>
      <c r="F12" s="205" t="s">
        <v>39</v>
      </c>
    </row>
    <row r="13" spans="1:6" ht="85.5" x14ac:dyDescent="0.25">
      <c r="A13" s="205" t="s">
        <v>56</v>
      </c>
      <c r="B13" s="206" t="s">
        <v>57</v>
      </c>
      <c r="C13" s="206" t="s">
        <v>58</v>
      </c>
      <c r="D13" s="205">
        <v>1</v>
      </c>
      <c r="E13" s="205">
        <v>1</v>
      </c>
      <c r="F13" s="205" t="s">
        <v>39</v>
      </c>
    </row>
    <row r="14" spans="1:6" ht="57" x14ac:dyDescent="0.25">
      <c r="A14" s="205" t="s">
        <v>59</v>
      </c>
      <c r="B14" s="206" t="s">
        <v>60</v>
      </c>
      <c r="C14" s="206" t="s">
        <v>61</v>
      </c>
      <c r="D14" s="205">
        <v>1</v>
      </c>
      <c r="E14" s="205">
        <v>1</v>
      </c>
      <c r="F14" s="205" t="s">
        <v>39</v>
      </c>
    </row>
    <row r="15" spans="1:6" ht="128.25" x14ac:dyDescent="0.25">
      <c r="A15" s="205" t="s">
        <v>62</v>
      </c>
      <c r="B15" s="206" t="s">
        <v>63</v>
      </c>
      <c r="C15" s="206" t="s">
        <v>64</v>
      </c>
      <c r="D15" s="205">
        <v>1</v>
      </c>
      <c r="E15" s="205">
        <v>1</v>
      </c>
      <c r="F15" s="205" t="s">
        <v>39</v>
      </c>
    </row>
    <row r="16" spans="1:6" ht="99.75" x14ac:dyDescent="0.25">
      <c r="A16" s="205" t="s">
        <v>65</v>
      </c>
      <c r="B16" s="206" t="s">
        <v>66</v>
      </c>
      <c r="C16" s="206" t="s">
        <v>67</v>
      </c>
      <c r="D16" s="205">
        <v>2</v>
      </c>
      <c r="E16" s="205">
        <v>2</v>
      </c>
      <c r="F16" s="205" t="s">
        <v>39</v>
      </c>
    </row>
    <row r="17" spans="1:6" ht="15" x14ac:dyDescent="0.25">
      <c r="A17" s="228" t="s">
        <v>68</v>
      </c>
      <c r="B17" s="228"/>
      <c r="C17" s="229"/>
      <c r="D17" s="230">
        <f>SUM(D18:D40)</f>
        <v>34</v>
      </c>
      <c r="E17" s="230"/>
      <c r="F17" s="231"/>
    </row>
    <row r="18" spans="1:6" ht="57" x14ac:dyDescent="0.25">
      <c r="A18" s="205" t="s">
        <v>69</v>
      </c>
      <c r="B18" s="206" t="s">
        <v>70</v>
      </c>
      <c r="C18" s="206" t="s">
        <v>71</v>
      </c>
      <c r="D18" s="205">
        <v>1</v>
      </c>
      <c r="E18" s="205">
        <v>1</v>
      </c>
      <c r="F18" s="205" t="s">
        <v>39</v>
      </c>
    </row>
    <row r="19" spans="1:6" ht="42.75" x14ac:dyDescent="0.25">
      <c r="A19" s="205" t="s">
        <v>72</v>
      </c>
      <c r="B19" s="206" t="s">
        <v>73</v>
      </c>
      <c r="C19" s="206" t="s">
        <v>74</v>
      </c>
      <c r="D19" s="205">
        <v>1</v>
      </c>
      <c r="E19" s="205">
        <v>1</v>
      </c>
      <c r="F19" s="205" t="s">
        <v>39</v>
      </c>
    </row>
    <row r="20" spans="1:6" ht="71.25" x14ac:dyDescent="0.25">
      <c r="A20" s="497" t="s">
        <v>75</v>
      </c>
      <c r="B20" s="498" t="s">
        <v>76</v>
      </c>
      <c r="C20" s="206" t="s">
        <v>77</v>
      </c>
      <c r="D20" s="205">
        <v>1</v>
      </c>
      <c r="E20" s="205">
        <v>1</v>
      </c>
      <c r="F20" s="205" t="s">
        <v>39</v>
      </c>
    </row>
    <row r="21" spans="1:6" x14ac:dyDescent="0.25">
      <c r="A21" s="497"/>
      <c r="B21" s="498"/>
      <c r="C21" s="206" t="s">
        <v>78</v>
      </c>
      <c r="D21" s="205">
        <v>0.5</v>
      </c>
      <c r="E21" s="205">
        <v>0.5</v>
      </c>
      <c r="F21" s="205" t="s">
        <v>39</v>
      </c>
    </row>
    <row r="22" spans="1:6" ht="28.5" x14ac:dyDescent="0.25">
      <c r="A22" s="497"/>
      <c r="B22" s="498"/>
      <c r="C22" s="206" t="s">
        <v>79</v>
      </c>
      <c r="D22" s="205">
        <v>0.5</v>
      </c>
      <c r="E22" s="205">
        <v>0.5</v>
      </c>
      <c r="F22" s="205" t="s">
        <v>39</v>
      </c>
    </row>
    <row r="23" spans="1:6" ht="42.75" x14ac:dyDescent="0.25">
      <c r="A23" s="497"/>
      <c r="B23" s="498"/>
      <c r="C23" s="206" t="s">
        <v>80</v>
      </c>
      <c r="D23" s="205">
        <v>0.5</v>
      </c>
      <c r="E23" s="205">
        <v>0.5</v>
      </c>
      <c r="F23" s="205" t="s">
        <v>39</v>
      </c>
    </row>
    <row r="24" spans="1:6" ht="57" x14ac:dyDescent="0.25">
      <c r="A24" s="497"/>
      <c r="B24" s="498"/>
      <c r="C24" s="206" t="s">
        <v>81</v>
      </c>
      <c r="D24" s="205">
        <v>0.5</v>
      </c>
      <c r="E24" s="205">
        <v>0.5</v>
      </c>
      <c r="F24" s="205" t="s">
        <v>39</v>
      </c>
    </row>
    <row r="25" spans="1:6" ht="85.5" x14ac:dyDescent="0.25">
      <c r="A25" s="497" t="s">
        <v>82</v>
      </c>
      <c r="B25" s="498" t="s">
        <v>83</v>
      </c>
      <c r="C25" s="206" t="s">
        <v>84</v>
      </c>
      <c r="D25" s="205">
        <v>1</v>
      </c>
      <c r="E25" s="205">
        <v>1</v>
      </c>
      <c r="F25" s="205" t="s">
        <v>39</v>
      </c>
    </row>
    <row r="26" spans="1:6" ht="28.5" x14ac:dyDescent="0.25">
      <c r="A26" s="497"/>
      <c r="B26" s="498"/>
      <c r="C26" s="206" t="s">
        <v>85</v>
      </c>
      <c r="D26" s="205">
        <v>0.5</v>
      </c>
      <c r="E26" s="205">
        <v>0.5</v>
      </c>
      <c r="F26" s="205" t="s">
        <v>39</v>
      </c>
    </row>
    <row r="27" spans="1:6" ht="28.5" x14ac:dyDescent="0.25">
      <c r="A27" s="497"/>
      <c r="B27" s="498"/>
      <c r="C27" s="206" t="s">
        <v>86</v>
      </c>
      <c r="D27" s="205">
        <v>0.5</v>
      </c>
      <c r="E27" s="205">
        <v>0.5</v>
      </c>
      <c r="F27" s="205" t="s">
        <v>39</v>
      </c>
    </row>
    <row r="28" spans="1:6" ht="42.75" x14ac:dyDescent="0.25">
      <c r="A28" s="497" t="s">
        <v>87</v>
      </c>
      <c r="B28" s="498" t="s">
        <v>88</v>
      </c>
      <c r="C28" s="206" t="s">
        <v>89</v>
      </c>
      <c r="D28" s="205">
        <v>12</v>
      </c>
      <c r="E28" s="205">
        <v>12</v>
      </c>
      <c r="F28" s="205" t="s">
        <v>39</v>
      </c>
    </row>
    <row r="29" spans="1:6" ht="71.25" x14ac:dyDescent="0.25">
      <c r="A29" s="497"/>
      <c r="B29" s="498"/>
      <c r="C29" s="206" t="s">
        <v>90</v>
      </c>
      <c r="F29" s="205" t="s">
        <v>39</v>
      </c>
    </row>
    <row r="30" spans="1:6" ht="28.5" x14ac:dyDescent="0.25">
      <c r="A30" s="497"/>
      <c r="B30" s="498"/>
      <c r="C30" s="206" t="s">
        <v>91</v>
      </c>
      <c r="F30" s="205" t="s">
        <v>39</v>
      </c>
    </row>
    <row r="31" spans="1:6" ht="42.75" x14ac:dyDescent="0.25">
      <c r="A31" s="497"/>
      <c r="B31" s="498"/>
      <c r="C31" s="206" t="s">
        <v>92</v>
      </c>
      <c r="F31" s="205" t="s">
        <v>39</v>
      </c>
    </row>
    <row r="32" spans="1:6" x14ac:dyDescent="0.25">
      <c r="A32" s="205" t="s">
        <v>93</v>
      </c>
      <c r="B32" s="206" t="s">
        <v>94</v>
      </c>
      <c r="D32" s="205">
        <v>1</v>
      </c>
      <c r="E32" s="205">
        <v>1</v>
      </c>
      <c r="F32" s="205" t="s">
        <v>39</v>
      </c>
    </row>
    <row r="33" spans="1:16325" x14ac:dyDescent="0.25">
      <c r="A33" s="497" t="s">
        <v>95</v>
      </c>
      <c r="B33" s="498" t="s">
        <v>96</v>
      </c>
      <c r="C33" s="206" t="s">
        <v>97</v>
      </c>
      <c r="D33" s="205">
        <v>3</v>
      </c>
      <c r="E33" s="205">
        <v>3</v>
      </c>
      <c r="F33" s="205" t="s">
        <v>39</v>
      </c>
    </row>
    <row r="34" spans="1:16325" ht="99.75" x14ac:dyDescent="0.25">
      <c r="A34" s="497"/>
      <c r="B34" s="498"/>
      <c r="C34" s="206" t="s">
        <v>98</v>
      </c>
      <c r="F34" s="205" t="s">
        <v>39</v>
      </c>
    </row>
    <row r="35" spans="1:16325" ht="28.5" x14ac:dyDescent="0.25">
      <c r="A35" s="497" t="s">
        <v>99</v>
      </c>
      <c r="B35" s="498" t="s">
        <v>100</v>
      </c>
      <c r="C35" s="206" t="s">
        <v>101</v>
      </c>
      <c r="D35" s="205">
        <v>2</v>
      </c>
      <c r="E35" s="205">
        <v>2</v>
      </c>
      <c r="F35" s="205" t="s">
        <v>39</v>
      </c>
    </row>
    <row r="36" spans="1:16325" ht="28.5" x14ac:dyDescent="0.25">
      <c r="A36" s="497"/>
      <c r="B36" s="498"/>
      <c r="C36" s="206" t="s">
        <v>102</v>
      </c>
      <c r="F36" s="205" t="s">
        <v>39</v>
      </c>
    </row>
    <row r="37" spans="1:16325" x14ac:dyDescent="0.25">
      <c r="A37" s="497"/>
      <c r="B37" s="498"/>
      <c r="C37" s="206" t="s">
        <v>103</v>
      </c>
      <c r="F37" s="205" t="s">
        <v>39</v>
      </c>
    </row>
    <row r="38" spans="1:16325" ht="28.5" x14ac:dyDescent="0.25">
      <c r="A38" s="497"/>
      <c r="B38" s="498"/>
      <c r="C38" s="206" t="s">
        <v>104</v>
      </c>
      <c r="F38" s="205" t="s">
        <v>39</v>
      </c>
    </row>
    <row r="39" spans="1:16325" ht="313.5" x14ac:dyDescent="0.25">
      <c r="A39" s="205" t="s">
        <v>105</v>
      </c>
      <c r="B39" s="206" t="s">
        <v>106</v>
      </c>
      <c r="C39" s="206" t="s">
        <v>107</v>
      </c>
      <c r="D39" s="205">
        <v>6</v>
      </c>
      <c r="E39" s="205">
        <v>6</v>
      </c>
      <c r="F39" s="205" t="s">
        <v>39</v>
      </c>
    </row>
    <row r="40" spans="1:16325" ht="99.75" x14ac:dyDescent="0.25">
      <c r="A40" s="205" t="s">
        <v>69</v>
      </c>
      <c r="B40" s="206" t="s">
        <v>108</v>
      </c>
      <c r="C40" s="206" t="s">
        <v>109</v>
      </c>
      <c r="D40" s="205">
        <v>3</v>
      </c>
      <c r="E40" s="205">
        <v>3</v>
      </c>
      <c r="F40" s="205" t="s">
        <v>39</v>
      </c>
    </row>
    <row r="41" spans="1:16325" ht="15" x14ac:dyDescent="0.25">
      <c r="A41" s="228" t="s">
        <v>110</v>
      </c>
      <c r="B41" s="228"/>
      <c r="C41" s="229"/>
      <c r="D41" s="230">
        <f>SUM(D42:D69)</f>
        <v>44</v>
      </c>
      <c r="E41" s="230"/>
      <c r="F41" s="231"/>
    </row>
    <row r="42" spans="1:16325" ht="42.75" x14ac:dyDescent="0.25">
      <c r="A42" s="205" t="s">
        <v>111</v>
      </c>
      <c r="B42" s="206" t="s">
        <v>112</v>
      </c>
      <c r="C42" s="206" t="s">
        <v>113</v>
      </c>
      <c r="D42" s="205">
        <v>1</v>
      </c>
      <c r="E42" s="205">
        <v>1</v>
      </c>
      <c r="F42" s="205" t="s">
        <v>39</v>
      </c>
    </row>
    <row r="43" spans="1:16325" ht="42.75" x14ac:dyDescent="0.25">
      <c r="A43" s="205" t="s">
        <v>114</v>
      </c>
      <c r="B43" s="206" t="s">
        <v>115</v>
      </c>
      <c r="C43" s="206" t="s">
        <v>116</v>
      </c>
      <c r="D43" s="205">
        <v>1</v>
      </c>
      <c r="E43" s="205">
        <v>1</v>
      </c>
      <c r="F43" s="205" t="s">
        <v>39</v>
      </c>
    </row>
    <row r="44" spans="1:16325" ht="28.5" x14ac:dyDescent="0.25">
      <c r="A44" s="205" t="s">
        <v>117</v>
      </c>
      <c r="B44" s="206" t="s">
        <v>118</v>
      </c>
      <c r="C44" s="206" t="s">
        <v>119</v>
      </c>
      <c r="D44" s="205">
        <v>1</v>
      </c>
      <c r="E44" s="205">
        <v>1</v>
      </c>
      <c r="F44" s="205" t="s">
        <v>39</v>
      </c>
    </row>
    <row r="45" spans="1:16325" ht="156.75" x14ac:dyDescent="0.25">
      <c r="A45" s="497" t="s">
        <v>120</v>
      </c>
      <c r="B45" s="498" t="s">
        <v>121</v>
      </c>
      <c r="C45" s="206" t="s">
        <v>122</v>
      </c>
      <c r="D45" s="205">
        <v>5</v>
      </c>
      <c r="E45" s="205">
        <v>5</v>
      </c>
      <c r="F45" s="205" t="s">
        <v>39</v>
      </c>
    </row>
    <row r="46" spans="1:16325" s="140" customFormat="1" ht="57" x14ac:dyDescent="0.25">
      <c r="A46" s="497"/>
      <c r="B46" s="498"/>
      <c r="C46" s="207" t="s">
        <v>123</v>
      </c>
      <c r="D46" s="205">
        <v>1</v>
      </c>
      <c r="E46" s="205">
        <v>1</v>
      </c>
      <c r="F46" s="205" t="s">
        <v>39</v>
      </c>
      <c r="G46" s="139"/>
      <c r="H46" s="502"/>
      <c r="I46" s="502"/>
      <c r="J46" s="502"/>
      <c r="K46" s="502"/>
      <c r="L46" s="502"/>
      <c r="M46" s="502"/>
      <c r="N46" s="502"/>
      <c r="O46" s="502"/>
      <c r="P46" s="502"/>
      <c r="Q46" s="502"/>
      <c r="R46" s="502"/>
      <c r="S46" s="502"/>
      <c r="T46" s="502"/>
      <c r="U46" s="502"/>
      <c r="V46" s="502"/>
      <c r="W46" s="502"/>
      <c r="X46" s="502"/>
      <c r="Y46" s="502"/>
      <c r="Z46" s="502"/>
      <c r="AA46" s="502"/>
      <c r="AB46" s="502"/>
      <c r="AC46" s="502"/>
      <c r="AD46" s="502"/>
      <c r="AE46" s="502"/>
      <c r="AF46" s="502"/>
      <c r="AG46" s="502"/>
      <c r="AH46" s="502"/>
      <c r="AI46" s="502"/>
      <c r="AJ46" s="502"/>
      <c r="AK46" s="502"/>
      <c r="AL46" s="502"/>
      <c r="AM46" s="502"/>
      <c r="AN46" s="502"/>
      <c r="AO46" s="502"/>
      <c r="AP46" s="502"/>
      <c r="AQ46" s="502"/>
      <c r="AR46" s="502"/>
      <c r="AS46" s="502"/>
      <c r="AT46" s="502"/>
      <c r="AU46" s="502"/>
      <c r="AV46" s="502"/>
      <c r="AW46" s="502"/>
      <c r="AX46" s="502"/>
      <c r="AY46" s="502"/>
      <c r="AZ46" s="502"/>
      <c r="BA46" s="502"/>
      <c r="BB46" s="502"/>
      <c r="BC46" s="502"/>
      <c r="BD46" s="502"/>
      <c r="BE46" s="502"/>
      <c r="BF46" s="502"/>
      <c r="BG46" s="502"/>
      <c r="BH46" s="502"/>
      <c r="BI46" s="502"/>
      <c r="BJ46" s="502"/>
      <c r="BK46" s="502"/>
      <c r="BL46" s="502"/>
      <c r="BM46" s="502"/>
      <c r="BN46" s="502"/>
      <c r="BO46" s="502"/>
      <c r="BP46" s="502"/>
      <c r="BQ46" s="502"/>
      <c r="BR46" s="502"/>
      <c r="BS46" s="502"/>
      <c r="BT46" s="502"/>
      <c r="BU46" s="502"/>
      <c r="BV46" s="502"/>
      <c r="BW46" s="502"/>
      <c r="BX46" s="502"/>
      <c r="BY46" s="502"/>
      <c r="BZ46" s="502"/>
      <c r="CA46" s="502"/>
      <c r="CB46" s="502"/>
      <c r="CC46" s="502"/>
      <c r="CD46" s="502"/>
      <c r="CE46" s="502"/>
      <c r="CF46" s="502"/>
      <c r="CG46" s="502"/>
      <c r="CH46" s="502"/>
      <c r="CI46" s="502"/>
      <c r="CJ46" s="502"/>
      <c r="CK46" s="502"/>
      <c r="CL46" s="502"/>
      <c r="CM46" s="502"/>
      <c r="CN46" s="502"/>
      <c r="CO46" s="502"/>
      <c r="CP46" s="502"/>
      <c r="CQ46" s="502"/>
      <c r="CR46" s="502"/>
      <c r="CS46" s="502"/>
      <c r="CT46" s="502"/>
      <c r="CU46" s="502"/>
      <c r="CV46" s="502"/>
      <c r="CW46" s="502"/>
      <c r="CX46" s="502"/>
      <c r="CY46" s="502"/>
      <c r="CZ46" s="502"/>
      <c r="DA46" s="502"/>
      <c r="DB46" s="502"/>
      <c r="DC46" s="502"/>
      <c r="DD46" s="502"/>
      <c r="DE46" s="502"/>
      <c r="DF46" s="502"/>
      <c r="DG46" s="502"/>
      <c r="DH46" s="502"/>
      <c r="DI46" s="502"/>
      <c r="DJ46" s="502"/>
      <c r="DK46" s="502"/>
      <c r="DL46" s="502"/>
      <c r="DM46" s="502"/>
      <c r="DN46" s="502"/>
      <c r="DO46" s="502"/>
      <c r="DP46" s="502"/>
      <c r="DQ46" s="502"/>
      <c r="DR46" s="502"/>
      <c r="DS46" s="502"/>
      <c r="DT46" s="502"/>
      <c r="DU46" s="502"/>
      <c r="DV46" s="502"/>
      <c r="DW46" s="502"/>
      <c r="DX46" s="502"/>
      <c r="DY46" s="502"/>
      <c r="DZ46" s="502"/>
      <c r="EA46" s="502"/>
      <c r="EB46" s="502"/>
      <c r="EC46" s="502"/>
      <c r="ED46" s="502"/>
      <c r="EE46" s="502"/>
      <c r="EF46" s="502"/>
      <c r="EG46" s="502"/>
      <c r="EH46" s="502"/>
      <c r="EI46" s="502"/>
      <c r="EJ46" s="502"/>
      <c r="EK46" s="502"/>
      <c r="EL46" s="502"/>
      <c r="EM46" s="502"/>
      <c r="EN46" s="502"/>
      <c r="EO46" s="502"/>
      <c r="EP46" s="502"/>
      <c r="EQ46" s="502"/>
      <c r="ER46" s="502"/>
      <c r="ES46" s="502"/>
      <c r="ET46" s="502"/>
      <c r="EU46" s="502"/>
      <c r="EV46" s="502"/>
      <c r="EW46" s="502"/>
      <c r="EX46" s="502"/>
      <c r="EY46" s="502"/>
      <c r="EZ46" s="502"/>
      <c r="FA46" s="502"/>
      <c r="FB46" s="502"/>
      <c r="FC46" s="502"/>
      <c r="FD46" s="502"/>
      <c r="FE46" s="502"/>
      <c r="FF46" s="502" t="s">
        <v>124</v>
      </c>
      <c r="FG46" s="502"/>
      <c r="FH46" s="502"/>
      <c r="FI46" s="502"/>
      <c r="FJ46" s="502" t="s">
        <v>124</v>
      </c>
      <c r="FK46" s="502"/>
      <c r="FL46" s="502"/>
      <c r="FM46" s="502"/>
      <c r="FN46" s="502" t="s">
        <v>124</v>
      </c>
      <c r="FO46" s="502"/>
      <c r="FP46" s="502"/>
      <c r="FQ46" s="502"/>
      <c r="FR46" s="502" t="s">
        <v>124</v>
      </c>
      <c r="FS46" s="502"/>
      <c r="FT46" s="502"/>
      <c r="FU46" s="502"/>
      <c r="FV46" s="502" t="s">
        <v>124</v>
      </c>
      <c r="FW46" s="502"/>
      <c r="FX46" s="502"/>
      <c r="FY46" s="502"/>
      <c r="FZ46" s="502" t="s">
        <v>124</v>
      </c>
      <c r="GA46" s="502"/>
      <c r="GB46" s="502"/>
      <c r="GC46" s="502"/>
      <c r="GD46" s="502" t="s">
        <v>124</v>
      </c>
      <c r="GE46" s="502"/>
      <c r="GF46" s="502"/>
      <c r="GG46" s="502"/>
      <c r="GH46" s="502" t="s">
        <v>124</v>
      </c>
      <c r="GI46" s="502"/>
      <c r="GJ46" s="502"/>
      <c r="GK46" s="502"/>
      <c r="GL46" s="502" t="s">
        <v>124</v>
      </c>
      <c r="GM46" s="502"/>
      <c r="GN46" s="502"/>
      <c r="GO46" s="502"/>
      <c r="GP46" s="502" t="s">
        <v>124</v>
      </c>
      <c r="GQ46" s="502"/>
      <c r="GR46" s="502"/>
      <c r="GS46" s="502"/>
      <c r="GT46" s="502" t="s">
        <v>124</v>
      </c>
      <c r="GU46" s="502"/>
      <c r="GV46" s="502"/>
      <c r="GW46" s="502"/>
      <c r="GX46" s="502" t="s">
        <v>124</v>
      </c>
      <c r="GY46" s="502"/>
      <c r="GZ46" s="502"/>
      <c r="HA46" s="502"/>
      <c r="HB46" s="502" t="s">
        <v>124</v>
      </c>
      <c r="HC46" s="502"/>
      <c r="HD46" s="502"/>
      <c r="HE46" s="502"/>
      <c r="HF46" s="502" t="s">
        <v>124</v>
      </c>
      <c r="HG46" s="502"/>
      <c r="HH46" s="502"/>
      <c r="HI46" s="502"/>
      <c r="HJ46" s="502" t="s">
        <v>124</v>
      </c>
      <c r="HK46" s="502"/>
      <c r="HL46" s="502"/>
      <c r="HM46" s="502"/>
      <c r="HN46" s="502" t="s">
        <v>124</v>
      </c>
      <c r="HO46" s="502"/>
      <c r="HP46" s="502"/>
      <c r="HQ46" s="502"/>
      <c r="HR46" s="502" t="s">
        <v>124</v>
      </c>
      <c r="HS46" s="502"/>
      <c r="HT46" s="502"/>
      <c r="HU46" s="502"/>
      <c r="HV46" s="502" t="s">
        <v>124</v>
      </c>
      <c r="HW46" s="502"/>
      <c r="HX46" s="502"/>
      <c r="HY46" s="502"/>
      <c r="HZ46" s="502" t="s">
        <v>124</v>
      </c>
      <c r="IA46" s="502"/>
      <c r="IB46" s="502"/>
      <c r="IC46" s="502"/>
      <c r="ID46" s="502" t="s">
        <v>124</v>
      </c>
      <c r="IE46" s="502"/>
      <c r="IF46" s="502"/>
      <c r="IG46" s="502"/>
      <c r="IH46" s="502" t="s">
        <v>124</v>
      </c>
      <c r="II46" s="502"/>
      <c r="IJ46" s="502"/>
      <c r="IK46" s="502"/>
      <c r="IL46" s="502" t="s">
        <v>124</v>
      </c>
      <c r="IM46" s="502"/>
      <c r="IN46" s="502"/>
      <c r="IO46" s="502"/>
      <c r="IP46" s="502" t="s">
        <v>124</v>
      </c>
      <c r="IQ46" s="502"/>
      <c r="IR46" s="502"/>
      <c r="IS46" s="502"/>
      <c r="IT46" s="502" t="s">
        <v>124</v>
      </c>
      <c r="IU46" s="502"/>
      <c r="IV46" s="502"/>
      <c r="IW46" s="502"/>
      <c r="IX46" s="502" t="s">
        <v>124</v>
      </c>
      <c r="IY46" s="502"/>
      <c r="IZ46" s="502"/>
      <c r="JA46" s="502"/>
      <c r="JB46" s="502" t="s">
        <v>124</v>
      </c>
      <c r="JC46" s="502"/>
      <c r="JD46" s="502"/>
      <c r="JE46" s="502"/>
      <c r="JF46" s="502" t="s">
        <v>124</v>
      </c>
      <c r="JG46" s="502"/>
      <c r="JH46" s="502"/>
      <c r="JI46" s="502"/>
      <c r="JJ46" s="502" t="s">
        <v>124</v>
      </c>
      <c r="JK46" s="502"/>
      <c r="JL46" s="502"/>
      <c r="JM46" s="502"/>
      <c r="JN46" s="502" t="s">
        <v>124</v>
      </c>
      <c r="JO46" s="502"/>
      <c r="JP46" s="502"/>
      <c r="JQ46" s="502"/>
      <c r="JR46" s="502" t="s">
        <v>124</v>
      </c>
      <c r="JS46" s="502"/>
      <c r="JT46" s="502"/>
      <c r="JU46" s="502"/>
      <c r="JV46" s="502" t="s">
        <v>124</v>
      </c>
      <c r="JW46" s="502"/>
      <c r="JX46" s="502"/>
      <c r="JY46" s="502"/>
      <c r="JZ46" s="502" t="s">
        <v>124</v>
      </c>
      <c r="KA46" s="502"/>
      <c r="KB46" s="502"/>
      <c r="KC46" s="502"/>
      <c r="KD46" s="502" t="s">
        <v>124</v>
      </c>
      <c r="KE46" s="502"/>
      <c r="KF46" s="502"/>
      <c r="KG46" s="502"/>
      <c r="KH46" s="502" t="s">
        <v>124</v>
      </c>
      <c r="KI46" s="502"/>
      <c r="KJ46" s="502"/>
      <c r="KK46" s="502"/>
      <c r="KL46" s="502" t="s">
        <v>124</v>
      </c>
      <c r="KM46" s="502"/>
      <c r="KN46" s="502"/>
      <c r="KO46" s="502"/>
      <c r="KP46" s="502" t="s">
        <v>124</v>
      </c>
      <c r="KQ46" s="502"/>
      <c r="KR46" s="502"/>
      <c r="KS46" s="502"/>
      <c r="KT46" s="502" t="s">
        <v>124</v>
      </c>
      <c r="KU46" s="502"/>
      <c r="KV46" s="502"/>
      <c r="KW46" s="502"/>
      <c r="KX46" s="502" t="s">
        <v>124</v>
      </c>
      <c r="KY46" s="502"/>
      <c r="KZ46" s="502"/>
      <c r="LA46" s="502"/>
      <c r="LB46" s="502" t="s">
        <v>124</v>
      </c>
      <c r="LC46" s="502"/>
      <c r="LD46" s="502"/>
      <c r="LE46" s="502"/>
      <c r="LF46" s="502" t="s">
        <v>124</v>
      </c>
      <c r="LG46" s="502"/>
      <c r="LH46" s="502"/>
      <c r="LI46" s="502"/>
      <c r="LJ46" s="502" t="s">
        <v>124</v>
      </c>
      <c r="LK46" s="502"/>
      <c r="LL46" s="502"/>
      <c r="LM46" s="502"/>
      <c r="LN46" s="502" t="s">
        <v>124</v>
      </c>
      <c r="LO46" s="502"/>
      <c r="LP46" s="502"/>
      <c r="LQ46" s="502"/>
      <c r="LR46" s="502" t="s">
        <v>124</v>
      </c>
      <c r="LS46" s="502"/>
      <c r="LT46" s="502"/>
      <c r="LU46" s="502"/>
      <c r="LV46" s="502" t="s">
        <v>124</v>
      </c>
      <c r="LW46" s="502"/>
      <c r="LX46" s="502"/>
      <c r="LY46" s="502"/>
      <c r="LZ46" s="502" t="s">
        <v>124</v>
      </c>
      <c r="MA46" s="502"/>
      <c r="MB46" s="502"/>
      <c r="MC46" s="502"/>
      <c r="MD46" s="502" t="s">
        <v>124</v>
      </c>
      <c r="ME46" s="502"/>
      <c r="MF46" s="502"/>
      <c r="MG46" s="502"/>
      <c r="MH46" s="502" t="s">
        <v>124</v>
      </c>
      <c r="MI46" s="502"/>
      <c r="MJ46" s="502"/>
      <c r="MK46" s="502"/>
      <c r="ML46" s="502" t="s">
        <v>124</v>
      </c>
      <c r="MM46" s="502"/>
      <c r="MN46" s="502"/>
      <c r="MO46" s="502"/>
      <c r="MP46" s="502" t="s">
        <v>124</v>
      </c>
      <c r="MQ46" s="502"/>
      <c r="MR46" s="502"/>
      <c r="MS46" s="502"/>
      <c r="MT46" s="502" t="s">
        <v>124</v>
      </c>
      <c r="MU46" s="502"/>
      <c r="MV46" s="502"/>
      <c r="MW46" s="502"/>
      <c r="MX46" s="502" t="s">
        <v>124</v>
      </c>
      <c r="MY46" s="502"/>
      <c r="MZ46" s="502"/>
      <c r="NA46" s="502"/>
      <c r="NB46" s="502" t="s">
        <v>124</v>
      </c>
      <c r="NC46" s="502"/>
      <c r="ND46" s="502"/>
      <c r="NE46" s="502"/>
      <c r="NF46" s="502" t="s">
        <v>124</v>
      </c>
      <c r="NG46" s="502"/>
      <c r="NH46" s="502"/>
      <c r="NI46" s="502"/>
      <c r="NJ46" s="502" t="s">
        <v>124</v>
      </c>
      <c r="NK46" s="502"/>
      <c r="NL46" s="502"/>
      <c r="NM46" s="502"/>
      <c r="NN46" s="502" t="s">
        <v>124</v>
      </c>
      <c r="NO46" s="502"/>
      <c r="NP46" s="502"/>
      <c r="NQ46" s="502"/>
      <c r="NR46" s="502" t="s">
        <v>124</v>
      </c>
      <c r="NS46" s="502"/>
      <c r="NT46" s="502"/>
      <c r="NU46" s="502"/>
      <c r="NV46" s="502" t="s">
        <v>124</v>
      </c>
      <c r="NW46" s="502"/>
      <c r="NX46" s="502"/>
      <c r="NY46" s="502"/>
      <c r="NZ46" s="502" t="s">
        <v>124</v>
      </c>
      <c r="OA46" s="502"/>
      <c r="OB46" s="502"/>
      <c r="OC46" s="502"/>
      <c r="OD46" s="502" t="s">
        <v>124</v>
      </c>
      <c r="OE46" s="502"/>
      <c r="OF46" s="502"/>
      <c r="OG46" s="502"/>
      <c r="OH46" s="502" t="s">
        <v>124</v>
      </c>
      <c r="OI46" s="502"/>
      <c r="OJ46" s="502"/>
      <c r="OK46" s="502"/>
      <c r="OL46" s="502" t="s">
        <v>124</v>
      </c>
      <c r="OM46" s="502"/>
      <c r="ON46" s="502"/>
      <c r="OO46" s="502"/>
      <c r="OP46" s="502" t="s">
        <v>124</v>
      </c>
      <c r="OQ46" s="502"/>
      <c r="OR46" s="502"/>
      <c r="OS46" s="502"/>
      <c r="OT46" s="502" t="s">
        <v>124</v>
      </c>
      <c r="OU46" s="502"/>
      <c r="OV46" s="502"/>
      <c r="OW46" s="502"/>
      <c r="OX46" s="502" t="s">
        <v>124</v>
      </c>
      <c r="OY46" s="502"/>
      <c r="OZ46" s="502"/>
      <c r="PA46" s="502"/>
      <c r="PB46" s="502" t="s">
        <v>124</v>
      </c>
      <c r="PC46" s="502"/>
      <c r="PD46" s="502"/>
      <c r="PE46" s="502"/>
      <c r="PF46" s="502" t="s">
        <v>124</v>
      </c>
      <c r="PG46" s="502"/>
      <c r="PH46" s="502"/>
      <c r="PI46" s="502"/>
      <c r="PJ46" s="502" t="s">
        <v>124</v>
      </c>
      <c r="PK46" s="502"/>
      <c r="PL46" s="502"/>
      <c r="PM46" s="502"/>
      <c r="PN46" s="502" t="s">
        <v>124</v>
      </c>
      <c r="PO46" s="502"/>
      <c r="PP46" s="502"/>
      <c r="PQ46" s="502"/>
      <c r="PR46" s="502" t="s">
        <v>124</v>
      </c>
      <c r="PS46" s="502"/>
      <c r="PT46" s="502"/>
      <c r="PU46" s="502"/>
      <c r="PV46" s="502" t="s">
        <v>124</v>
      </c>
      <c r="PW46" s="502"/>
      <c r="PX46" s="502"/>
      <c r="PY46" s="502"/>
      <c r="PZ46" s="502" t="s">
        <v>124</v>
      </c>
      <c r="QA46" s="502"/>
      <c r="QB46" s="502"/>
      <c r="QC46" s="502"/>
      <c r="QD46" s="502" t="s">
        <v>124</v>
      </c>
      <c r="QE46" s="502"/>
      <c r="QF46" s="502"/>
      <c r="QG46" s="502"/>
      <c r="QH46" s="502" t="s">
        <v>124</v>
      </c>
      <c r="QI46" s="502"/>
      <c r="QJ46" s="502"/>
      <c r="QK46" s="502"/>
      <c r="QL46" s="502" t="s">
        <v>124</v>
      </c>
      <c r="QM46" s="502"/>
      <c r="QN46" s="502"/>
      <c r="QO46" s="502"/>
      <c r="QP46" s="502" t="s">
        <v>124</v>
      </c>
      <c r="QQ46" s="502"/>
      <c r="QR46" s="502"/>
      <c r="QS46" s="502"/>
      <c r="QT46" s="502" t="s">
        <v>124</v>
      </c>
      <c r="QU46" s="502"/>
      <c r="QV46" s="502"/>
      <c r="QW46" s="502"/>
      <c r="QX46" s="502" t="s">
        <v>124</v>
      </c>
      <c r="QY46" s="502"/>
      <c r="QZ46" s="502"/>
      <c r="RA46" s="502"/>
      <c r="RB46" s="502" t="s">
        <v>124</v>
      </c>
      <c r="RC46" s="502"/>
      <c r="RD46" s="502"/>
      <c r="RE46" s="502"/>
      <c r="RF46" s="502" t="s">
        <v>124</v>
      </c>
      <c r="RG46" s="502"/>
      <c r="RH46" s="502"/>
      <c r="RI46" s="502"/>
      <c r="RJ46" s="502" t="s">
        <v>124</v>
      </c>
      <c r="RK46" s="502"/>
      <c r="RL46" s="502"/>
      <c r="RM46" s="502"/>
      <c r="RN46" s="502" t="s">
        <v>124</v>
      </c>
      <c r="RO46" s="502"/>
      <c r="RP46" s="502"/>
      <c r="RQ46" s="502"/>
      <c r="RR46" s="502" t="s">
        <v>124</v>
      </c>
      <c r="RS46" s="502"/>
      <c r="RT46" s="502"/>
      <c r="RU46" s="502"/>
      <c r="RV46" s="502" t="s">
        <v>124</v>
      </c>
      <c r="RW46" s="502"/>
      <c r="RX46" s="502"/>
      <c r="RY46" s="502"/>
      <c r="RZ46" s="502" t="s">
        <v>124</v>
      </c>
      <c r="SA46" s="502"/>
      <c r="SB46" s="502"/>
      <c r="SC46" s="502"/>
      <c r="SD46" s="502" t="s">
        <v>124</v>
      </c>
      <c r="SE46" s="502"/>
      <c r="SF46" s="502"/>
      <c r="SG46" s="502"/>
      <c r="SH46" s="502" t="s">
        <v>124</v>
      </c>
      <c r="SI46" s="502"/>
      <c r="SJ46" s="502"/>
      <c r="SK46" s="502"/>
      <c r="SL46" s="502" t="s">
        <v>124</v>
      </c>
      <c r="SM46" s="502"/>
      <c r="SN46" s="502"/>
      <c r="SO46" s="502"/>
      <c r="SP46" s="502" t="s">
        <v>124</v>
      </c>
      <c r="SQ46" s="502"/>
      <c r="SR46" s="502"/>
      <c r="SS46" s="502"/>
      <c r="ST46" s="502" t="s">
        <v>124</v>
      </c>
      <c r="SU46" s="502"/>
      <c r="SV46" s="502"/>
      <c r="SW46" s="502"/>
      <c r="SX46" s="502" t="s">
        <v>124</v>
      </c>
      <c r="SY46" s="502"/>
      <c r="SZ46" s="502"/>
      <c r="TA46" s="502"/>
      <c r="TB46" s="502" t="s">
        <v>124</v>
      </c>
      <c r="TC46" s="502"/>
      <c r="TD46" s="502"/>
      <c r="TE46" s="502"/>
      <c r="TF46" s="502" t="s">
        <v>124</v>
      </c>
      <c r="TG46" s="502"/>
      <c r="TH46" s="502"/>
      <c r="TI46" s="502"/>
      <c r="TJ46" s="502" t="s">
        <v>124</v>
      </c>
      <c r="TK46" s="502"/>
      <c r="TL46" s="502"/>
      <c r="TM46" s="502"/>
      <c r="TN46" s="502" t="s">
        <v>124</v>
      </c>
      <c r="TO46" s="502"/>
      <c r="TP46" s="502"/>
      <c r="TQ46" s="502"/>
      <c r="TR46" s="502" t="s">
        <v>124</v>
      </c>
      <c r="TS46" s="502"/>
      <c r="TT46" s="502"/>
      <c r="TU46" s="502"/>
      <c r="TV46" s="502" t="s">
        <v>124</v>
      </c>
      <c r="TW46" s="502"/>
      <c r="TX46" s="502"/>
      <c r="TY46" s="502"/>
      <c r="TZ46" s="502" t="s">
        <v>124</v>
      </c>
      <c r="UA46" s="502"/>
      <c r="UB46" s="502"/>
      <c r="UC46" s="502"/>
      <c r="UD46" s="502" t="s">
        <v>124</v>
      </c>
      <c r="UE46" s="502"/>
      <c r="UF46" s="502"/>
      <c r="UG46" s="502"/>
      <c r="UH46" s="502" t="s">
        <v>124</v>
      </c>
      <c r="UI46" s="502"/>
      <c r="UJ46" s="502"/>
      <c r="UK46" s="502"/>
      <c r="UL46" s="502" t="s">
        <v>124</v>
      </c>
      <c r="UM46" s="502"/>
      <c r="UN46" s="502"/>
      <c r="UO46" s="502"/>
      <c r="UP46" s="502" t="s">
        <v>124</v>
      </c>
      <c r="UQ46" s="502"/>
      <c r="UR46" s="502"/>
      <c r="US46" s="502"/>
      <c r="UT46" s="502" t="s">
        <v>124</v>
      </c>
      <c r="UU46" s="502"/>
      <c r="UV46" s="502"/>
      <c r="UW46" s="502"/>
      <c r="UX46" s="502" t="s">
        <v>124</v>
      </c>
      <c r="UY46" s="502"/>
      <c r="UZ46" s="502"/>
      <c r="VA46" s="502"/>
      <c r="VB46" s="502" t="s">
        <v>124</v>
      </c>
      <c r="VC46" s="502"/>
      <c r="VD46" s="502"/>
      <c r="VE46" s="502"/>
      <c r="VF46" s="502" t="s">
        <v>124</v>
      </c>
      <c r="VG46" s="502"/>
      <c r="VH46" s="502"/>
      <c r="VI46" s="502"/>
      <c r="VJ46" s="502" t="s">
        <v>124</v>
      </c>
      <c r="VK46" s="502"/>
      <c r="VL46" s="502"/>
      <c r="VM46" s="502"/>
      <c r="VN46" s="502" t="s">
        <v>124</v>
      </c>
      <c r="VO46" s="502"/>
      <c r="VP46" s="502"/>
      <c r="VQ46" s="502"/>
      <c r="VR46" s="502" t="s">
        <v>124</v>
      </c>
      <c r="VS46" s="502"/>
      <c r="VT46" s="502"/>
      <c r="VU46" s="502"/>
      <c r="VV46" s="502" t="s">
        <v>124</v>
      </c>
      <c r="VW46" s="502"/>
      <c r="VX46" s="502"/>
      <c r="VY46" s="502"/>
      <c r="VZ46" s="502" t="s">
        <v>124</v>
      </c>
      <c r="WA46" s="502"/>
      <c r="WB46" s="502"/>
      <c r="WC46" s="502"/>
      <c r="WD46" s="502" t="s">
        <v>124</v>
      </c>
      <c r="WE46" s="502"/>
      <c r="WF46" s="502"/>
      <c r="WG46" s="502"/>
      <c r="WH46" s="502" t="s">
        <v>124</v>
      </c>
      <c r="WI46" s="502"/>
      <c r="WJ46" s="502"/>
      <c r="WK46" s="502"/>
      <c r="WL46" s="502" t="s">
        <v>124</v>
      </c>
      <c r="WM46" s="502"/>
      <c r="WN46" s="502"/>
      <c r="WO46" s="502"/>
      <c r="WP46" s="502" t="s">
        <v>124</v>
      </c>
      <c r="WQ46" s="502"/>
      <c r="WR46" s="502"/>
      <c r="WS46" s="502"/>
      <c r="WT46" s="502" t="s">
        <v>124</v>
      </c>
      <c r="WU46" s="502"/>
      <c r="WV46" s="502"/>
      <c r="WW46" s="502"/>
      <c r="WX46" s="502" t="s">
        <v>124</v>
      </c>
      <c r="WY46" s="502"/>
      <c r="WZ46" s="502"/>
      <c r="XA46" s="502"/>
      <c r="XB46" s="502" t="s">
        <v>124</v>
      </c>
      <c r="XC46" s="502"/>
      <c r="XD46" s="502"/>
      <c r="XE46" s="502"/>
      <c r="XF46" s="502" t="s">
        <v>124</v>
      </c>
      <c r="XG46" s="502"/>
      <c r="XH46" s="502"/>
      <c r="XI46" s="502"/>
      <c r="XJ46" s="502" t="s">
        <v>124</v>
      </c>
      <c r="XK46" s="502"/>
      <c r="XL46" s="502"/>
      <c r="XM46" s="502"/>
      <c r="XN46" s="502" t="s">
        <v>124</v>
      </c>
      <c r="XO46" s="502"/>
      <c r="XP46" s="502"/>
      <c r="XQ46" s="502"/>
      <c r="XR46" s="502" t="s">
        <v>124</v>
      </c>
      <c r="XS46" s="502"/>
      <c r="XT46" s="502"/>
      <c r="XU46" s="502"/>
      <c r="XV46" s="502" t="s">
        <v>124</v>
      </c>
      <c r="XW46" s="502"/>
      <c r="XX46" s="502"/>
      <c r="XY46" s="502"/>
      <c r="XZ46" s="502" t="s">
        <v>124</v>
      </c>
      <c r="YA46" s="502"/>
      <c r="YB46" s="502"/>
      <c r="YC46" s="502"/>
      <c r="YD46" s="502" t="s">
        <v>124</v>
      </c>
      <c r="YE46" s="502"/>
      <c r="YF46" s="502"/>
      <c r="YG46" s="502"/>
      <c r="YH46" s="502" t="s">
        <v>124</v>
      </c>
      <c r="YI46" s="502"/>
      <c r="YJ46" s="502"/>
      <c r="YK46" s="502"/>
      <c r="YL46" s="502" t="s">
        <v>124</v>
      </c>
      <c r="YM46" s="502"/>
      <c r="YN46" s="502"/>
      <c r="YO46" s="502"/>
      <c r="YP46" s="502" t="s">
        <v>124</v>
      </c>
      <c r="YQ46" s="502"/>
      <c r="YR46" s="502"/>
      <c r="YS46" s="502"/>
      <c r="YT46" s="502" t="s">
        <v>124</v>
      </c>
      <c r="YU46" s="502"/>
      <c r="YV46" s="502"/>
      <c r="YW46" s="502"/>
      <c r="YX46" s="502" t="s">
        <v>124</v>
      </c>
      <c r="YY46" s="502"/>
      <c r="YZ46" s="502"/>
      <c r="ZA46" s="502"/>
      <c r="ZB46" s="502" t="s">
        <v>124</v>
      </c>
      <c r="ZC46" s="502"/>
      <c r="ZD46" s="502"/>
      <c r="ZE46" s="502"/>
      <c r="ZF46" s="502" t="s">
        <v>124</v>
      </c>
      <c r="ZG46" s="502"/>
      <c r="ZH46" s="502"/>
      <c r="ZI46" s="502"/>
      <c r="ZJ46" s="502" t="s">
        <v>124</v>
      </c>
      <c r="ZK46" s="502"/>
      <c r="ZL46" s="502"/>
      <c r="ZM46" s="502"/>
      <c r="ZN46" s="502" t="s">
        <v>124</v>
      </c>
      <c r="ZO46" s="502"/>
      <c r="ZP46" s="502"/>
      <c r="ZQ46" s="502"/>
      <c r="ZR46" s="502" t="s">
        <v>124</v>
      </c>
      <c r="ZS46" s="502"/>
      <c r="ZT46" s="502"/>
      <c r="ZU46" s="502"/>
      <c r="ZV46" s="502" t="s">
        <v>124</v>
      </c>
      <c r="ZW46" s="502"/>
      <c r="ZX46" s="502"/>
      <c r="ZY46" s="502"/>
      <c r="ZZ46" s="502" t="s">
        <v>124</v>
      </c>
      <c r="AAA46" s="502"/>
      <c r="AAB46" s="502"/>
      <c r="AAC46" s="502"/>
      <c r="AAD46" s="502" t="s">
        <v>124</v>
      </c>
      <c r="AAE46" s="502"/>
      <c r="AAF46" s="502"/>
      <c r="AAG46" s="502"/>
      <c r="AAH46" s="502" t="s">
        <v>124</v>
      </c>
      <c r="AAI46" s="502"/>
      <c r="AAJ46" s="502"/>
      <c r="AAK46" s="502"/>
      <c r="AAL46" s="502" t="s">
        <v>124</v>
      </c>
      <c r="AAM46" s="502"/>
      <c r="AAN46" s="502"/>
      <c r="AAO46" s="502"/>
      <c r="AAP46" s="502" t="s">
        <v>124</v>
      </c>
      <c r="AAQ46" s="502"/>
      <c r="AAR46" s="502"/>
      <c r="AAS46" s="502"/>
      <c r="AAT46" s="502" t="s">
        <v>124</v>
      </c>
      <c r="AAU46" s="502"/>
      <c r="AAV46" s="502"/>
      <c r="AAW46" s="502"/>
      <c r="AAX46" s="502" t="s">
        <v>124</v>
      </c>
      <c r="AAY46" s="502"/>
      <c r="AAZ46" s="502"/>
      <c r="ABA46" s="502"/>
      <c r="ABB46" s="502" t="s">
        <v>124</v>
      </c>
      <c r="ABC46" s="502"/>
      <c r="ABD46" s="502"/>
      <c r="ABE46" s="502"/>
      <c r="ABF46" s="502" t="s">
        <v>124</v>
      </c>
      <c r="ABG46" s="502"/>
      <c r="ABH46" s="502"/>
      <c r="ABI46" s="502"/>
      <c r="ABJ46" s="502" t="s">
        <v>124</v>
      </c>
      <c r="ABK46" s="502"/>
      <c r="ABL46" s="502"/>
      <c r="ABM46" s="502"/>
      <c r="ABN46" s="502" t="s">
        <v>124</v>
      </c>
      <c r="ABO46" s="502"/>
      <c r="ABP46" s="502"/>
      <c r="ABQ46" s="502"/>
      <c r="ABR46" s="502" t="s">
        <v>124</v>
      </c>
      <c r="ABS46" s="502"/>
      <c r="ABT46" s="502"/>
      <c r="ABU46" s="502"/>
      <c r="ABV46" s="502" t="s">
        <v>124</v>
      </c>
      <c r="ABW46" s="502"/>
      <c r="ABX46" s="502"/>
      <c r="ABY46" s="502"/>
      <c r="ABZ46" s="502" t="s">
        <v>124</v>
      </c>
      <c r="ACA46" s="502"/>
      <c r="ACB46" s="502"/>
      <c r="ACC46" s="502"/>
      <c r="ACD46" s="502" t="s">
        <v>124</v>
      </c>
      <c r="ACE46" s="502"/>
      <c r="ACF46" s="502"/>
      <c r="ACG46" s="502"/>
      <c r="ACH46" s="502" t="s">
        <v>124</v>
      </c>
      <c r="ACI46" s="502"/>
      <c r="ACJ46" s="502"/>
      <c r="ACK46" s="502"/>
      <c r="ACL46" s="502" t="s">
        <v>124</v>
      </c>
      <c r="ACM46" s="502"/>
      <c r="ACN46" s="502"/>
      <c r="ACO46" s="502"/>
      <c r="ACP46" s="502" t="s">
        <v>124</v>
      </c>
      <c r="ACQ46" s="502"/>
      <c r="ACR46" s="502"/>
      <c r="ACS46" s="502"/>
      <c r="ACT46" s="502" t="s">
        <v>124</v>
      </c>
      <c r="ACU46" s="502"/>
      <c r="ACV46" s="502"/>
      <c r="ACW46" s="502"/>
      <c r="ACX46" s="502" t="s">
        <v>124</v>
      </c>
      <c r="ACY46" s="502"/>
      <c r="ACZ46" s="502"/>
      <c r="ADA46" s="502"/>
      <c r="ADB46" s="502" t="s">
        <v>124</v>
      </c>
      <c r="ADC46" s="502"/>
      <c r="ADD46" s="502"/>
      <c r="ADE46" s="502"/>
      <c r="ADF46" s="502" t="s">
        <v>124</v>
      </c>
      <c r="ADG46" s="502"/>
      <c r="ADH46" s="502"/>
      <c r="ADI46" s="502"/>
      <c r="ADJ46" s="502" t="s">
        <v>124</v>
      </c>
      <c r="ADK46" s="502"/>
      <c r="ADL46" s="502"/>
      <c r="ADM46" s="502"/>
      <c r="ADN46" s="502" t="s">
        <v>124</v>
      </c>
      <c r="ADO46" s="502"/>
      <c r="ADP46" s="502"/>
      <c r="ADQ46" s="502"/>
      <c r="ADR46" s="502" t="s">
        <v>124</v>
      </c>
      <c r="ADS46" s="502"/>
      <c r="ADT46" s="502"/>
      <c r="ADU46" s="502"/>
      <c r="ADV46" s="502" t="s">
        <v>124</v>
      </c>
      <c r="ADW46" s="502"/>
      <c r="ADX46" s="502"/>
      <c r="ADY46" s="502"/>
      <c r="ADZ46" s="502" t="s">
        <v>124</v>
      </c>
      <c r="AEA46" s="502"/>
      <c r="AEB46" s="502"/>
      <c r="AEC46" s="502"/>
      <c r="AED46" s="502" t="s">
        <v>124</v>
      </c>
      <c r="AEE46" s="502"/>
      <c r="AEF46" s="502"/>
      <c r="AEG46" s="502"/>
      <c r="AEH46" s="502" t="s">
        <v>124</v>
      </c>
      <c r="AEI46" s="502"/>
      <c r="AEJ46" s="502"/>
      <c r="AEK46" s="502"/>
      <c r="AEL46" s="502" t="s">
        <v>124</v>
      </c>
      <c r="AEM46" s="502"/>
      <c r="AEN46" s="502"/>
      <c r="AEO46" s="502"/>
      <c r="AEP46" s="502" t="s">
        <v>124</v>
      </c>
      <c r="AEQ46" s="502"/>
      <c r="AER46" s="502"/>
      <c r="AES46" s="502"/>
      <c r="AET46" s="502" t="s">
        <v>124</v>
      </c>
      <c r="AEU46" s="502"/>
      <c r="AEV46" s="502"/>
      <c r="AEW46" s="502"/>
      <c r="AEX46" s="502" t="s">
        <v>124</v>
      </c>
      <c r="AEY46" s="502"/>
      <c r="AEZ46" s="502"/>
      <c r="AFA46" s="502"/>
      <c r="AFB46" s="502" t="s">
        <v>124</v>
      </c>
      <c r="AFC46" s="502"/>
      <c r="AFD46" s="502"/>
      <c r="AFE46" s="502"/>
      <c r="AFF46" s="502" t="s">
        <v>124</v>
      </c>
      <c r="AFG46" s="502"/>
      <c r="AFH46" s="502"/>
      <c r="AFI46" s="502"/>
      <c r="AFJ46" s="502" t="s">
        <v>124</v>
      </c>
      <c r="AFK46" s="502"/>
      <c r="AFL46" s="502"/>
      <c r="AFM46" s="502"/>
      <c r="AFN46" s="502" t="s">
        <v>124</v>
      </c>
      <c r="AFO46" s="502"/>
      <c r="AFP46" s="502"/>
      <c r="AFQ46" s="502"/>
      <c r="AFR46" s="502" t="s">
        <v>124</v>
      </c>
      <c r="AFS46" s="502"/>
      <c r="AFT46" s="502"/>
      <c r="AFU46" s="502"/>
      <c r="AFV46" s="502" t="s">
        <v>124</v>
      </c>
      <c r="AFW46" s="502"/>
      <c r="AFX46" s="502"/>
      <c r="AFY46" s="502"/>
      <c r="AFZ46" s="502" t="s">
        <v>124</v>
      </c>
      <c r="AGA46" s="502"/>
      <c r="AGB46" s="502"/>
      <c r="AGC46" s="502"/>
      <c r="AGD46" s="502" t="s">
        <v>124</v>
      </c>
      <c r="AGE46" s="502"/>
      <c r="AGF46" s="502"/>
      <c r="AGG46" s="502"/>
      <c r="AGH46" s="502" t="s">
        <v>124</v>
      </c>
      <c r="AGI46" s="502"/>
      <c r="AGJ46" s="502"/>
      <c r="AGK46" s="502"/>
      <c r="AGL46" s="502" t="s">
        <v>124</v>
      </c>
      <c r="AGM46" s="502"/>
      <c r="AGN46" s="502"/>
      <c r="AGO46" s="502"/>
      <c r="AGP46" s="502" t="s">
        <v>124</v>
      </c>
      <c r="AGQ46" s="502"/>
      <c r="AGR46" s="502"/>
      <c r="AGS46" s="502"/>
      <c r="AGT46" s="502" t="s">
        <v>124</v>
      </c>
      <c r="AGU46" s="502"/>
      <c r="AGV46" s="502"/>
      <c r="AGW46" s="502"/>
      <c r="AGX46" s="502" t="s">
        <v>124</v>
      </c>
      <c r="AGY46" s="502"/>
      <c r="AGZ46" s="502"/>
      <c r="AHA46" s="502"/>
      <c r="AHB46" s="502" t="s">
        <v>124</v>
      </c>
      <c r="AHC46" s="502"/>
      <c r="AHD46" s="502"/>
      <c r="AHE46" s="502"/>
      <c r="AHF46" s="502" t="s">
        <v>124</v>
      </c>
      <c r="AHG46" s="502"/>
      <c r="AHH46" s="502"/>
      <c r="AHI46" s="502"/>
      <c r="AHJ46" s="502" t="s">
        <v>124</v>
      </c>
      <c r="AHK46" s="502"/>
      <c r="AHL46" s="502"/>
      <c r="AHM46" s="502"/>
      <c r="AHN46" s="502" t="s">
        <v>124</v>
      </c>
      <c r="AHO46" s="502"/>
      <c r="AHP46" s="502"/>
      <c r="AHQ46" s="502"/>
      <c r="AHR46" s="502" t="s">
        <v>124</v>
      </c>
      <c r="AHS46" s="502"/>
      <c r="AHT46" s="502"/>
      <c r="AHU46" s="502"/>
      <c r="AHV46" s="502" t="s">
        <v>124</v>
      </c>
      <c r="AHW46" s="502"/>
      <c r="AHX46" s="502"/>
      <c r="AHY46" s="502"/>
      <c r="AHZ46" s="502" t="s">
        <v>124</v>
      </c>
      <c r="AIA46" s="502"/>
      <c r="AIB46" s="502"/>
      <c r="AIC46" s="502"/>
      <c r="AID46" s="502" t="s">
        <v>124</v>
      </c>
      <c r="AIE46" s="502"/>
      <c r="AIF46" s="502"/>
      <c r="AIG46" s="502"/>
      <c r="AIH46" s="502" t="s">
        <v>124</v>
      </c>
      <c r="AII46" s="502"/>
      <c r="AIJ46" s="502"/>
      <c r="AIK46" s="502"/>
      <c r="AIL46" s="502" t="s">
        <v>124</v>
      </c>
      <c r="AIM46" s="502"/>
      <c r="AIN46" s="502"/>
      <c r="AIO46" s="502"/>
      <c r="AIP46" s="502" t="s">
        <v>124</v>
      </c>
      <c r="AIQ46" s="502"/>
      <c r="AIR46" s="502"/>
      <c r="AIS46" s="502"/>
      <c r="AIT46" s="502" t="s">
        <v>124</v>
      </c>
      <c r="AIU46" s="502"/>
      <c r="AIV46" s="502"/>
      <c r="AIW46" s="502"/>
      <c r="AIX46" s="502" t="s">
        <v>124</v>
      </c>
      <c r="AIY46" s="502"/>
      <c r="AIZ46" s="502"/>
      <c r="AJA46" s="502"/>
      <c r="AJB46" s="502" t="s">
        <v>124</v>
      </c>
      <c r="AJC46" s="502"/>
      <c r="AJD46" s="502"/>
      <c r="AJE46" s="502"/>
      <c r="AJF46" s="502" t="s">
        <v>124</v>
      </c>
      <c r="AJG46" s="502"/>
      <c r="AJH46" s="502"/>
      <c r="AJI46" s="502"/>
      <c r="AJJ46" s="502" t="s">
        <v>124</v>
      </c>
      <c r="AJK46" s="502"/>
      <c r="AJL46" s="502"/>
      <c r="AJM46" s="502"/>
      <c r="AJN46" s="502" t="s">
        <v>124</v>
      </c>
      <c r="AJO46" s="502"/>
      <c r="AJP46" s="502"/>
      <c r="AJQ46" s="502"/>
      <c r="AJR46" s="502" t="s">
        <v>124</v>
      </c>
      <c r="AJS46" s="502"/>
      <c r="AJT46" s="502"/>
      <c r="AJU46" s="502"/>
      <c r="AJV46" s="502" t="s">
        <v>124</v>
      </c>
      <c r="AJW46" s="502"/>
      <c r="AJX46" s="502"/>
      <c r="AJY46" s="502"/>
      <c r="AJZ46" s="502" t="s">
        <v>124</v>
      </c>
      <c r="AKA46" s="502"/>
      <c r="AKB46" s="502"/>
      <c r="AKC46" s="502"/>
      <c r="AKD46" s="502" t="s">
        <v>124</v>
      </c>
      <c r="AKE46" s="502"/>
      <c r="AKF46" s="502"/>
      <c r="AKG46" s="502"/>
      <c r="AKH46" s="502" t="s">
        <v>124</v>
      </c>
      <c r="AKI46" s="502"/>
      <c r="AKJ46" s="502"/>
      <c r="AKK46" s="502"/>
      <c r="AKL46" s="502" t="s">
        <v>124</v>
      </c>
      <c r="AKM46" s="502"/>
      <c r="AKN46" s="502"/>
      <c r="AKO46" s="502"/>
      <c r="AKP46" s="502" t="s">
        <v>124</v>
      </c>
      <c r="AKQ46" s="502"/>
      <c r="AKR46" s="502"/>
      <c r="AKS46" s="502"/>
      <c r="AKT46" s="502" t="s">
        <v>124</v>
      </c>
      <c r="AKU46" s="502"/>
      <c r="AKV46" s="502"/>
      <c r="AKW46" s="502"/>
      <c r="AKX46" s="502" t="s">
        <v>124</v>
      </c>
      <c r="AKY46" s="502"/>
      <c r="AKZ46" s="502"/>
      <c r="ALA46" s="502"/>
      <c r="ALB46" s="502" t="s">
        <v>124</v>
      </c>
      <c r="ALC46" s="502"/>
      <c r="ALD46" s="502"/>
      <c r="ALE46" s="502"/>
      <c r="ALF46" s="502" t="s">
        <v>124</v>
      </c>
      <c r="ALG46" s="502"/>
      <c r="ALH46" s="502"/>
      <c r="ALI46" s="502"/>
      <c r="ALJ46" s="502" t="s">
        <v>124</v>
      </c>
      <c r="ALK46" s="502"/>
      <c r="ALL46" s="502"/>
      <c r="ALM46" s="502"/>
      <c r="ALN46" s="502" t="s">
        <v>124</v>
      </c>
      <c r="ALO46" s="502"/>
      <c r="ALP46" s="502"/>
      <c r="ALQ46" s="502"/>
      <c r="ALR46" s="502" t="s">
        <v>124</v>
      </c>
      <c r="ALS46" s="502"/>
      <c r="ALT46" s="502"/>
      <c r="ALU46" s="502"/>
      <c r="ALV46" s="502" t="s">
        <v>124</v>
      </c>
      <c r="ALW46" s="502"/>
      <c r="ALX46" s="502"/>
      <c r="ALY46" s="502"/>
      <c r="ALZ46" s="502" t="s">
        <v>124</v>
      </c>
      <c r="AMA46" s="502"/>
      <c r="AMB46" s="502"/>
      <c r="AMC46" s="502"/>
      <c r="AMD46" s="502" t="s">
        <v>124</v>
      </c>
      <c r="AME46" s="502"/>
      <c r="AMF46" s="502"/>
      <c r="AMG46" s="502"/>
      <c r="AMH46" s="502" t="s">
        <v>124</v>
      </c>
      <c r="AMI46" s="502"/>
      <c r="AMJ46" s="502"/>
      <c r="AMK46" s="502"/>
      <c r="AML46" s="502" t="s">
        <v>124</v>
      </c>
      <c r="AMM46" s="502"/>
      <c r="AMN46" s="502"/>
      <c r="AMO46" s="502"/>
      <c r="AMP46" s="502" t="s">
        <v>124</v>
      </c>
      <c r="AMQ46" s="502"/>
      <c r="AMR46" s="502"/>
      <c r="AMS46" s="502"/>
      <c r="AMT46" s="502" t="s">
        <v>124</v>
      </c>
      <c r="AMU46" s="502"/>
      <c r="AMV46" s="502"/>
      <c r="AMW46" s="502"/>
      <c r="AMX46" s="502" t="s">
        <v>124</v>
      </c>
      <c r="AMY46" s="502"/>
      <c r="AMZ46" s="502"/>
      <c r="ANA46" s="502"/>
      <c r="ANB46" s="502" t="s">
        <v>124</v>
      </c>
      <c r="ANC46" s="502"/>
      <c r="AND46" s="502"/>
      <c r="ANE46" s="502"/>
      <c r="ANF46" s="502" t="s">
        <v>124</v>
      </c>
      <c r="ANG46" s="502"/>
      <c r="ANH46" s="502"/>
      <c r="ANI46" s="502"/>
      <c r="ANJ46" s="502" t="s">
        <v>124</v>
      </c>
      <c r="ANK46" s="502"/>
      <c r="ANL46" s="502"/>
      <c r="ANM46" s="502"/>
      <c r="ANN46" s="502" t="s">
        <v>124</v>
      </c>
      <c r="ANO46" s="502"/>
      <c r="ANP46" s="502"/>
      <c r="ANQ46" s="502"/>
      <c r="ANR46" s="502" t="s">
        <v>124</v>
      </c>
      <c r="ANS46" s="502"/>
      <c r="ANT46" s="502"/>
      <c r="ANU46" s="502"/>
      <c r="ANV46" s="502" t="s">
        <v>124</v>
      </c>
      <c r="ANW46" s="502"/>
      <c r="ANX46" s="502"/>
      <c r="ANY46" s="502"/>
      <c r="ANZ46" s="502" t="s">
        <v>124</v>
      </c>
      <c r="AOA46" s="502"/>
      <c r="AOB46" s="502"/>
      <c r="AOC46" s="502"/>
      <c r="AOD46" s="502" t="s">
        <v>124</v>
      </c>
      <c r="AOE46" s="502"/>
      <c r="AOF46" s="502"/>
      <c r="AOG46" s="502"/>
      <c r="AOH46" s="502" t="s">
        <v>124</v>
      </c>
      <c r="AOI46" s="502"/>
      <c r="AOJ46" s="502"/>
      <c r="AOK46" s="502"/>
      <c r="AOL46" s="502" t="s">
        <v>124</v>
      </c>
      <c r="AOM46" s="502"/>
      <c r="AON46" s="502"/>
      <c r="AOO46" s="502"/>
      <c r="AOP46" s="502" t="s">
        <v>124</v>
      </c>
      <c r="AOQ46" s="502"/>
      <c r="AOR46" s="502"/>
      <c r="AOS46" s="502"/>
      <c r="AOT46" s="502" t="s">
        <v>124</v>
      </c>
      <c r="AOU46" s="502"/>
      <c r="AOV46" s="502"/>
      <c r="AOW46" s="502"/>
      <c r="AOX46" s="502" t="s">
        <v>124</v>
      </c>
      <c r="AOY46" s="502"/>
      <c r="AOZ46" s="502"/>
      <c r="APA46" s="502"/>
      <c r="APB46" s="502" t="s">
        <v>124</v>
      </c>
      <c r="APC46" s="502"/>
      <c r="APD46" s="502"/>
      <c r="APE46" s="502"/>
      <c r="APF46" s="502" t="s">
        <v>124</v>
      </c>
      <c r="APG46" s="502"/>
      <c r="APH46" s="502"/>
      <c r="API46" s="502"/>
      <c r="APJ46" s="502" t="s">
        <v>124</v>
      </c>
      <c r="APK46" s="502"/>
      <c r="APL46" s="502"/>
      <c r="APM46" s="502"/>
      <c r="APN46" s="502" t="s">
        <v>124</v>
      </c>
      <c r="APO46" s="502"/>
      <c r="APP46" s="502"/>
      <c r="APQ46" s="502"/>
      <c r="APR46" s="502" t="s">
        <v>124</v>
      </c>
      <c r="APS46" s="502"/>
      <c r="APT46" s="502"/>
      <c r="APU46" s="502"/>
      <c r="APV46" s="502" t="s">
        <v>124</v>
      </c>
      <c r="APW46" s="502"/>
      <c r="APX46" s="502"/>
      <c r="APY46" s="502"/>
      <c r="APZ46" s="502" t="s">
        <v>124</v>
      </c>
      <c r="AQA46" s="502"/>
      <c r="AQB46" s="502"/>
      <c r="AQC46" s="502"/>
      <c r="AQD46" s="502" t="s">
        <v>124</v>
      </c>
      <c r="AQE46" s="502"/>
      <c r="AQF46" s="502"/>
      <c r="AQG46" s="502"/>
      <c r="AQH46" s="502" t="s">
        <v>124</v>
      </c>
      <c r="AQI46" s="502"/>
      <c r="AQJ46" s="502"/>
      <c r="AQK46" s="502"/>
      <c r="AQL46" s="502" t="s">
        <v>124</v>
      </c>
      <c r="AQM46" s="502"/>
      <c r="AQN46" s="502"/>
      <c r="AQO46" s="502"/>
      <c r="AQP46" s="502" t="s">
        <v>124</v>
      </c>
      <c r="AQQ46" s="502"/>
      <c r="AQR46" s="502"/>
      <c r="AQS46" s="502"/>
      <c r="AQT46" s="502" t="s">
        <v>124</v>
      </c>
      <c r="AQU46" s="502"/>
      <c r="AQV46" s="502"/>
      <c r="AQW46" s="502"/>
      <c r="AQX46" s="502" t="s">
        <v>124</v>
      </c>
      <c r="AQY46" s="502"/>
      <c r="AQZ46" s="502"/>
      <c r="ARA46" s="502"/>
      <c r="ARB46" s="502" t="s">
        <v>124</v>
      </c>
      <c r="ARC46" s="502"/>
      <c r="ARD46" s="502"/>
      <c r="ARE46" s="502"/>
      <c r="ARF46" s="502" t="s">
        <v>124</v>
      </c>
      <c r="ARG46" s="502"/>
      <c r="ARH46" s="502"/>
      <c r="ARI46" s="502"/>
      <c r="ARJ46" s="502" t="s">
        <v>124</v>
      </c>
      <c r="ARK46" s="502"/>
      <c r="ARL46" s="502"/>
      <c r="ARM46" s="502"/>
      <c r="ARN46" s="502" t="s">
        <v>124</v>
      </c>
      <c r="ARO46" s="502"/>
      <c r="ARP46" s="502"/>
      <c r="ARQ46" s="502"/>
      <c r="ARR46" s="502" t="s">
        <v>124</v>
      </c>
      <c r="ARS46" s="502"/>
      <c r="ART46" s="502"/>
      <c r="ARU46" s="502"/>
      <c r="ARV46" s="502" t="s">
        <v>124</v>
      </c>
      <c r="ARW46" s="502"/>
      <c r="ARX46" s="502"/>
      <c r="ARY46" s="502"/>
      <c r="ARZ46" s="502" t="s">
        <v>124</v>
      </c>
      <c r="ASA46" s="502"/>
      <c r="ASB46" s="502"/>
      <c r="ASC46" s="502"/>
      <c r="ASD46" s="502" t="s">
        <v>124</v>
      </c>
      <c r="ASE46" s="502"/>
      <c r="ASF46" s="502"/>
      <c r="ASG46" s="502"/>
      <c r="ASH46" s="502" t="s">
        <v>124</v>
      </c>
      <c r="ASI46" s="502"/>
      <c r="ASJ46" s="502"/>
      <c r="ASK46" s="502"/>
      <c r="ASL46" s="502" t="s">
        <v>124</v>
      </c>
      <c r="ASM46" s="502"/>
      <c r="ASN46" s="502"/>
      <c r="ASO46" s="502"/>
      <c r="ASP46" s="502" t="s">
        <v>124</v>
      </c>
      <c r="ASQ46" s="502"/>
      <c r="ASR46" s="502"/>
      <c r="ASS46" s="502"/>
      <c r="AST46" s="502" t="s">
        <v>124</v>
      </c>
      <c r="ASU46" s="502"/>
      <c r="ASV46" s="502"/>
      <c r="ASW46" s="502"/>
      <c r="ASX46" s="502" t="s">
        <v>124</v>
      </c>
      <c r="ASY46" s="502"/>
      <c r="ASZ46" s="502"/>
      <c r="ATA46" s="502"/>
      <c r="ATB46" s="502" t="s">
        <v>124</v>
      </c>
      <c r="ATC46" s="502"/>
      <c r="ATD46" s="502"/>
      <c r="ATE46" s="502"/>
      <c r="ATF46" s="502" t="s">
        <v>124</v>
      </c>
      <c r="ATG46" s="502"/>
      <c r="ATH46" s="502"/>
      <c r="ATI46" s="502"/>
      <c r="ATJ46" s="502" t="s">
        <v>124</v>
      </c>
      <c r="ATK46" s="502"/>
      <c r="ATL46" s="502"/>
      <c r="ATM46" s="502"/>
      <c r="ATN46" s="502" t="s">
        <v>124</v>
      </c>
      <c r="ATO46" s="502"/>
      <c r="ATP46" s="502"/>
      <c r="ATQ46" s="502"/>
      <c r="ATR46" s="502" t="s">
        <v>124</v>
      </c>
      <c r="ATS46" s="502"/>
      <c r="ATT46" s="502"/>
      <c r="ATU46" s="502"/>
      <c r="ATV46" s="502" t="s">
        <v>124</v>
      </c>
      <c r="ATW46" s="502"/>
      <c r="ATX46" s="502"/>
      <c r="ATY46" s="502"/>
      <c r="ATZ46" s="502" t="s">
        <v>124</v>
      </c>
      <c r="AUA46" s="502"/>
      <c r="AUB46" s="502"/>
      <c r="AUC46" s="502"/>
      <c r="AUD46" s="502" t="s">
        <v>124</v>
      </c>
      <c r="AUE46" s="502"/>
      <c r="AUF46" s="502"/>
      <c r="AUG46" s="502"/>
      <c r="AUH46" s="502" t="s">
        <v>124</v>
      </c>
      <c r="AUI46" s="502"/>
      <c r="AUJ46" s="502"/>
      <c r="AUK46" s="502"/>
      <c r="AUL46" s="502" t="s">
        <v>124</v>
      </c>
      <c r="AUM46" s="502"/>
      <c r="AUN46" s="502"/>
      <c r="AUO46" s="502"/>
      <c r="AUP46" s="502" t="s">
        <v>124</v>
      </c>
      <c r="AUQ46" s="502"/>
      <c r="AUR46" s="502"/>
      <c r="AUS46" s="502"/>
      <c r="AUT46" s="502" t="s">
        <v>124</v>
      </c>
      <c r="AUU46" s="502"/>
      <c r="AUV46" s="502"/>
      <c r="AUW46" s="502"/>
      <c r="AUX46" s="502" t="s">
        <v>124</v>
      </c>
      <c r="AUY46" s="502"/>
      <c r="AUZ46" s="502"/>
      <c r="AVA46" s="502"/>
      <c r="AVB46" s="502" t="s">
        <v>124</v>
      </c>
      <c r="AVC46" s="502"/>
      <c r="AVD46" s="502"/>
      <c r="AVE46" s="502"/>
      <c r="AVF46" s="502" t="s">
        <v>124</v>
      </c>
      <c r="AVG46" s="502"/>
      <c r="AVH46" s="502"/>
      <c r="AVI46" s="502"/>
      <c r="AVJ46" s="502" t="s">
        <v>124</v>
      </c>
      <c r="AVK46" s="502"/>
      <c r="AVL46" s="502"/>
      <c r="AVM46" s="502"/>
      <c r="AVN46" s="502" t="s">
        <v>124</v>
      </c>
      <c r="AVO46" s="502"/>
      <c r="AVP46" s="502"/>
      <c r="AVQ46" s="502"/>
      <c r="AVR46" s="502" t="s">
        <v>124</v>
      </c>
      <c r="AVS46" s="502"/>
      <c r="AVT46" s="502"/>
      <c r="AVU46" s="502"/>
      <c r="AVV46" s="502" t="s">
        <v>124</v>
      </c>
      <c r="AVW46" s="502"/>
      <c r="AVX46" s="502"/>
      <c r="AVY46" s="502"/>
      <c r="AVZ46" s="502" t="s">
        <v>124</v>
      </c>
      <c r="AWA46" s="502"/>
      <c r="AWB46" s="502"/>
      <c r="AWC46" s="502"/>
      <c r="AWD46" s="502" t="s">
        <v>124</v>
      </c>
      <c r="AWE46" s="502"/>
      <c r="AWF46" s="502"/>
      <c r="AWG46" s="502"/>
      <c r="AWH46" s="502" t="s">
        <v>124</v>
      </c>
      <c r="AWI46" s="502"/>
      <c r="AWJ46" s="502"/>
      <c r="AWK46" s="502"/>
      <c r="AWL46" s="502" t="s">
        <v>124</v>
      </c>
      <c r="AWM46" s="502"/>
      <c r="AWN46" s="502"/>
      <c r="AWO46" s="502"/>
      <c r="AWP46" s="502" t="s">
        <v>124</v>
      </c>
      <c r="AWQ46" s="502"/>
      <c r="AWR46" s="502"/>
      <c r="AWS46" s="502"/>
      <c r="AWT46" s="502" t="s">
        <v>124</v>
      </c>
      <c r="AWU46" s="502"/>
      <c r="AWV46" s="502"/>
      <c r="AWW46" s="502"/>
      <c r="AWX46" s="502" t="s">
        <v>124</v>
      </c>
      <c r="AWY46" s="502"/>
      <c r="AWZ46" s="502"/>
      <c r="AXA46" s="502"/>
      <c r="AXB46" s="502" t="s">
        <v>124</v>
      </c>
      <c r="AXC46" s="502"/>
      <c r="AXD46" s="502"/>
      <c r="AXE46" s="502"/>
      <c r="AXF46" s="502" t="s">
        <v>124</v>
      </c>
      <c r="AXG46" s="502"/>
      <c r="AXH46" s="502"/>
      <c r="AXI46" s="502"/>
      <c r="AXJ46" s="502" t="s">
        <v>124</v>
      </c>
      <c r="AXK46" s="502"/>
      <c r="AXL46" s="502"/>
      <c r="AXM46" s="502"/>
      <c r="AXN46" s="502" t="s">
        <v>124</v>
      </c>
      <c r="AXO46" s="502"/>
      <c r="AXP46" s="502"/>
      <c r="AXQ46" s="502"/>
      <c r="AXR46" s="502" t="s">
        <v>124</v>
      </c>
      <c r="AXS46" s="502"/>
      <c r="AXT46" s="502"/>
      <c r="AXU46" s="502"/>
      <c r="AXV46" s="502" t="s">
        <v>124</v>
      </c>
      <c r="AXW46" s="502"/>
      <c r="AXX46" s="502"/>
      <c r="AXY46" s="502"/>
      <c r="AXZ46" s="502" t="s">
        <v>124</v>
      </c>
      <c r="AYA46" s="502"/>
      <c r="AYB46" s="502"/>
      <c r="AYC46" s="502"/>
      <c r="AYD46" s="502" t="s">
        <v>124</v>
      </c>
      <c r="AYE46" s="502"/>
      <c r="AYF46" s="502"/>
      <c r="AYG46" s="502"/>
      <c r="AYH46" s="502" t="s">
        <v>124</v>
      </c>
      <c r="AYI46" s="502"/>
      <c r="AYJ46" s="502"/>
      <c r="AYK46" s="502"/>
      <c r="AYL46" s="502" t="s">
        <v>124</v>
      </c>
      <c r="AYM46" s="502"/>
      <c r="AYN46" s="502"/>
      <c r="AYO46" s="502"/>
      <c r="AYP46" s="502" t="s">
        <v>124</v>
      </c>
      <c r="AYQ46" s="502"/>
      <c r="AYR46" s="502"/>
      <c r="AYS46" s="502"/>
      <c r="AYT46" s="502" t="s">
        <v>124</v>
      </c>
      <c r="AYU46" s="502"/>
      <c r="AYV46" s="502"/>
      <c r="AYW46" s="502"/>
      <c r="AYX46" s="502" t="s">
        <v>124</v>
      </c>
      <c r="AYY46" s="502"/>
      <c r="AYZ46" s="502"/>
      <c r="AZA46" s="502"/>
      <c r="AZB46" s="502" t="s">
        <v>124</v>
      </c>
      <c r="AZC46" s="502"/>
      <c r="AZD46" s="502"/>
      <c r="AZE46" s="502"/>
      <c r="AZF46" s="502" t="s">
        <v>124</v>
      </c>
      <c r="AZG46" s="502"/>
      <c r="AZH46" s="502"/>
      <c r="AZI46" s="502"/>
      <c r="AZJ46" s="502" t="s">
        <v>124</v>
      </c>
      <c r="AZK46" s="502"/>
      <c r="AZL46" s="502"/>
      <c r="AZM46" s="502"/>
      <c r="AZN46" s="502" t="s">
        <v>124</v>
      </c>
      <c r="AZO46" s="502"/>
      <c r="AZP46" s="502"/>
      <c r="AZQ46" s="502"/>
      <c r="AZR46" s="502" t="s">
        <v>124</v>
      </c>
      <c r="AZS46" s="502"/>
      <c r="AZT46" s="502"/>
      <c r="AZU46" s="502"/>
      <c r="AZV46" s="502" t="s">
        <v>124</v>
      </c>
      <c r="AZW46" s="502"/>
      <c r="AZX46" s="502"/>
      <c r="AZY46" s="502"/>
      <c r="AZZ46" s="502" t="s">
        <v>124</v>
      </c>
      <c r="BAA46" s="502"/>
      <c r="BAB46" s="502"/>
      <c r="BAC46" s="502"/>
      <c r="BAD46" s="502" t="s">
        <v>124</v>
      </c>
      <c r="BAE46" s="502"/>
      <c r="BAF46" s="502"/>
      <c r="BAG46" s="502"/>
      <c r="BAH46" s="502" t="s">
        <v>124</v>
      </c>
      <c r="BAI46" s="502"/>
      <c r="BAJ46" s="502"/>
      <c r="BAK46" s="502"/>
      <c r="BAL46" s="502" t="s">
        <v>124</v>
      </c>
      <c r="BAM46" s="502"/>
      <c r="BAN46" s="502"/>
      <c r="BAO46" s="502"/>
      <c r="BAP46" s="502" t="s">
        <v>124</v>
      </c>
      <c r="BAQ46" s="502"/>
      <c r="BAR46" s="502"/>
      <c r="BAS46" s="502"/>
      <c r="BAT46" s="502" t="s">
        <v>124</v>
      </c>
      <c r="BAU46" s="502"/>
      <c r="BAV46" s="502"/>
      <c r="BAW46" s="502"/>
      <c r="BAX46" s="502" t="s">
        <v>124</v>
      </c>
      <c r="BAY46" s="502"/>
      <c r="BAZ46" s="502"/>
      <c r="BBA46" s="502"/>
      <c r="BBB46" s="502" t="s">
        <v>124</v>
      </c>
      <c r="BBC46" s="502"/>
      <c r="BBD46" s="502"/>
      <c r="BBE46" s="502"/>
      <c r="BBF46" s="502" t="s">
        <v>124</v>
      </c>
      <c r="BBG46" s="502"/>
      <c r="BBH46" s="502"/>
      <c r="BBI46" s="502"/>
      <c r="BBJ46" s="502" t="s">
        <v>124</v>
      </c>
      <c r="BBK46" s="502"/>
      <c r="BBL46" s="502"/>
      <c r="BBM46" s="502"/>
      <c r="BBN46" s="502" t="s">
        <v>124</v>
      </c>
      <c r="BBO46" s="502"/>
      <c r="BBP46" s="502"/>
      <c r="BBQ46" s="502"/>
      <c r="BBR46" s="502" t="s">
        <v>124</v>
      </c>
      <c r="BBS46" s="502"/>
      <c r="BBT46" s="502"/>
      <c r="BBU46" s="502"/>
      <c r="BBV46" s="502" t="s">
        <v>124</v>
      </c>
      <c r="BBW46" s="502"/>
      <c r="BBX46" s="502"/>
      <c r="BBY46" s="502"/>
      <c r="BBZ46" s="502" t="s">
        <v>124</v>
      </c>
      <c r="BCA46" s="502"/>
      <c r="BCB46" s="502"/>
      <c r="BCC46" s="502"/>
      <c r="BCD46" s="502" t="s">
        <v>124</v>
      </c>
      <c r="BCE46" s="502"/>
      <c r="BCF46" s="502"/>
      <c r="BCG46" s="502"/>
      <c r="BCH46" s="502" t="s">
        <v>124</v>
      </c>
      <c r="BCI46" s="502"/>
      <c r="BCJ46" s="502"/>
      <c r="BCK46" s="502"/>
      <c r="BCL46" s="502" t="s">
        <v>124</v>
      </c>
      <c r="BCM46" s="502"/>
      <c r="BCN46" s="502"/>
      <c r="BCO46" s="502"/>
      <c r="BCP46" s="502" t="s">
        <v>124</v>
      </c>
      <c r="BCQ46" s="502"/>
      <c r="BCR46" s="502"/>
      <c r="BCS46" s="502"/>
      <c r="BCT46" s="502" t="s">
        <v>124</v>
      </c>
      <c r="BCU46" s="502"/>
      <c r="BCV46" s="502"/>
      <c r="BCW46" s="502"/>
      <c r="BCX46" s="502" t="s">
        <v>124</v>
      </c>
      <c r="BCY46" s="502"/>
      <c r="BCZ46" s="502"/>
      <c r="BDA46" s="502"/>
      <c r="BDB46" s="502" t="s">
        <v>124</v>
      </c>
      <c r="BDC46" s="502"/>
      <c r="BDD46" s="502"/>
      <c r="BDE46" s="502"/>
      <c r="BDF46" s="502" t="s">
        <v>124</v>
      </c>
      <c r="BDG46" s="502"/>
      <c r="BDH46" s="502"/>
      <c r="BDI46" s="502"/>
      <c r="BDJ46" s="502" t="s">
        <v>124</v>
      </c>
      <c r="BDK46" s="502"/>
      <c r="BDL46" s="502"/>
      <c r="BDM46" s="502"/>
      <c r="BDN46" s="502" t="s">
        <v>124</v>
      </c>
      <c r="BDO46" s="502"/>
      <c r="BDP46" s="502"/>
      <c r="BDQ46" s="502"/>
      <c r="BDR46" s="502" t="s">
        <v>124</v>
      </c>
      <c r="BDS46" s="502"/>
      <c r="BDT46" s="502"/>
      <c r="BDU46" s="502"/>
      <c r="BDV46" s="502" t="s">
        <v>124</v>
      </c>
      <c r="BDW46" s="502"/>
      <c r="BDX46" s="502"/>
      <c r="BDY46" s="502"/>
      <c r="BDZ46" s="502" t="s">
        <v>124</v>
      </c>
      <c r="BEA46" s="502"/>
      <c r="BEB46" s="502"/>
      <c r="BEC46" s="502"/>
      <c r="BED46" s="502" t="s">
        <v>124</v>
      </c>
      <c r="BEE46" s="502"/>
      <c r="BEF46" s="502"/>
      <c r="BEG46" s="502"/>
      <c r="BEH46" s="502" t="s">
        <v>124</v>
      </c>
      <c r="BEI46" s="502"/>
      <c r="BEJ46" s="502"/>
      <c r="BEK46" s="502"/>
      <c r="BEL46" s="502" t="s">
        <v>124</v>
      </c>
      <c r="BEM46" s="502"/>
      <c r="BEN46" s="502"/>
      <c r="BEO46" s="502"/>
      <c r="BEP46" s="502" t="s">
        <v>124</v>
      </c>
      <c r="BEQ46" s="502"/>
      <c r="BER46" s="502"/>
      <c r="BES46" s="502"/>
      <c r="BET46" s="502" t="s">
        <v>124</v>
      </c>
      <c r="BEU46" s="502"/>
      <c r="BEV46" s="502"/>
      <c r="BEW46" s="502"/>
      <c r="BEX46" s="502" t="s">
        <v>124</v>
      </c>
      <c r="BEY46" s="502"/>
      <c r="BEZ46" s="502"/>
      <c r="BFA46" s="502"/>
      <c r="BFB46" s="502" t="s">
        <v>124</v>
      </c>
      <c r="BFC46" s="502"/>
      <c r="BFD46" s="502"/>
      <c r="BFE46" s="502"/>
      <c r="BFF46" s="502" t="s">
        <v>124</v>
      </c>
      <c r="BFG46" s="502"/>
      <c r="BFH46" s="502"/>
      <c r="BFI46" s="502"/>
      <c r="BFJ46" s="502" t="s">
        <v>124</v>
      </c>
      <c r="BFK46" s="502"/>
      <c r="BFL46" s="502"/>
      <c r="BFM46" s="502"/>
      <c r="BFN46" s="502" t="s">
        <v>124</v>
      </c>
      <c r="BFO46" s="502"/>
      <c r="BFP46" s="502"/>
      <c r="BFQ46" s="502"/>
      <c r="BFR46" s="502" t="s">
        <v>124</v>
      </c>
      <c r="BFS46" s="502"/>
      <c r="BFT46" s="502"/>
      <c r="BFU46" s="502"/>
      <c r="BFV46" s="502" t="s">
        <v>124</v>
      </c>
      <c r="BFW46" s="502"/>
      <c r="BFX46" s="502"/>
      <c r="BFY46" s="502"/>
      <c r="BFZ46" s="502" t="s">
        <v>124</v>
      </c>
      <c r="BGA46" s="502"/>
      <c r="BGB46" s="502"/>
      <c r="BGC46" s="502"/>
      <c r="BGD46" s="502" t="s">
        <v>124</v>
      </c>
      <c r="BGE46" s="502"/>
      <c r="BGF46" s="502"/>
      <c r="BGG46" s="502"/>
      <c r="BGH46" s="502" t="s">
        <v>124</v>
      </c>
      <c r="BGI46" s="502"/>
      <c r="BGJ46" s="502"/>
      <c r="BGK46" s="502"/>
      <c r="BGL46" s="502" t="s">
        <v>124</v>
      </c>
      <c r="BGM46" s="502"/>
      <c r="BGN46" s="502"/>
      <c r="BGO46" s="502"/>
      <c r="BGP46" s="502" t="s">
        <v>124</v>
      </c>
      <c r="BGQ46" s="502"/>
      <c r="BGR46" s="502"/>
      <c r="BGS46" s="502"/>
      <c r="BGT46" s="502" t="s">
        <v>124</v>
      </c>
      <c r="BGU46" s="502"/>
      <c r="BGV46" s="502"/>
      <c r="BGW46" s="502"/>
      <c r="BGX46" s="502" t="s">
        <v>124</v>
      </c>
      <c r="BGY46" s="502"/>
      <c r="BGZ46" s="502"/>
      <c r="BHA46" s="502"/>
      <c r="BHB46" s="502" t="s">
        <v>124</v>
      </c>
      <c r="BHC46" s="502"/>
      <c r="BHD46" s="502"/>
      <c r="BHE46" s="502"/>
      <c r="BHF46" s="502" t="s">
        <v>124</v>
      </c>
      <c r="BHG46" s="502"/>
      <c r="BHH46" s="502"/>
      <c r="BHI46" s="502"/>
      <c r="BHJ46" s="502" t="s">
        <v>124</v>
      </c>
      <c r="BHK46" s="502"/>
      <c r="BHL46" s="502"/>
      <c r="BHM46" s="502"/>
      <c r="BHN46" s="502" t="s">
        <v>124</v>
      </c>
      <c r="BHO46" s="502"/>
      <c r="BHP46" s="502"/>
      <c r="BHQ46" s="502"/>
      <c r="BHR46" s="502" t="s">
        <v>124</v>
      </c>
      <c r="BHS46" s="502"/>
      <c r="BHT46" s="502"/>
      <c r="BHU46" s="502"/>
      <c r="BHV46" s="502" t="s">
        <v>124</v>
      </c>
      <c r="BHW46" s="502"/>
      <c r="BHX46" s="502"/>
      <c r="BHY46" s="502"/>
      <c r="BHZ46" s="502" t="s">
        <v>124</v>
      </c>
      <c r="BIA46" s="502"/>
      <c r="BIB46" s="502"/>
      <c r="BIC46" s="502"/>
      <c r="BID46" s="502" t="s">
        <v>124</v>
      </c>
      <c r="BIE46" s="502"/>
      <c r="BIF46" s="502"/>
      <c r="BIG46" s="502"/>
      <c r="BIH46" s="502" t="s">
        <v>124</v>
      </c>
      <c r="BII46" s="502"/>
      <c r="BIJ46" s="502"/>
      <c r="BIK46" s="502"/>
      <c r="BIL46" s="502" t="s">
        <v>124</v>
      </c>
      <c r="BIM46" s="502"/>
      <c r="BIN46" s="502"/>
      <c r="BIO46" s="502"/>
      <c r="BIP46" s="502" t="s">
        <v>124</v>
      </c>
      <c r="BIQ46" s="502"/>
      <c r="BIR46" s="502"/>
      <c r="BIS46" s="502"/>
      <c r="BIT46" s="502" t="s">
        <v>124</v>
      </c>
      <c r="BIU46" s="502"/>
      <c r="BIV46" s="502"/>
      <c r="BIW46" s="502"/>
      <c r="BIX46" s="502" t="s">
        <v>124</v>
      </c>
      <c r="BIY46" s="502"/>
      <c r="BIZ46" s="502"/>
      <c r="BJA46" s="502"/>
      <c r="BJB46" s="502" t="s">
        <v>124</v>
      </c>
      <c r="BJC46" s="502"/>
      <c r="BJD46" s="502"/>
      <c r="BJE46" s="502"/>
      <c r="BJF46" s="502" t="s">
        <v>124</v>
      </c>
      <c r="BJG46" s="502"/>
      <c r="BJH46" s="502"/>
      <c r="BJI46" s="502"/>
      <c r="BJJ46" s="502" t="s">
        <v>124</v>
      </c>
      <c r="BJK46" s="502"/>
      <c r="BJL46" s="502"/>
      <c r="BJM46" s="502"/>
      <c r="BJN46" s="502" t="s">
        <v>124</v>
      </c>
      <c r="BJO46" s="502"/>
      <c r="BJP46" s="502"/>
      <c r="BJQ46" s="502"/>
      <c r="BJR46" s="502" t="s">
        <v>124</v>
      </c>
      <c r="BJS46" s="502"/>
      <c r="BJT46" s="502"/>
      <c r="BJU46" s="502"/>
      <c r="BJV46" s="502" t="s">
        <v>124</v>
      </c>
      <c r="BJW46" s="502"/>
      <c r="BJX46" s="502"/>
      <c r="BJY46" s="502"/>
      <c r="BJZ46" s="502" t="s">
        <v>124</v>
      </c>
      <c r="BKA46" s="502"/>
      <c r="BKB46" s="502"/>
      <c r="BKC46" s="502"/>
      <c r="BKD46" s="502" t="s">
        <v>124</v>
      </c>
      <c r="BKE46" s="502"/>
      <c r="BKF46" s="502"/>
      <c r="BKG46" s="502"/>
      <c r="BKH46" s="502" t="s">
        <v>124</v>
      </c>
      <c r="BKI46" s="502"/>
      <c r="BKJ46" s="502"/>
      <c r="BKK46" s="502"/>
      <c r="BKL46" s="502" t="s">
        <v>124</v>
      </c>
      <c r="BKM46" s="502"/>
      <c r="BKN46" s="502"/>
      <c r="BKO46" s="502"/>
      <c r="BKP46" s="502" t="s">
        <v>124</v>
      </c>
      <c r="BKQ46" s="502"/>
      <c r="BKR46" s="502"/>
      <c r="BKS46" s="502"/>
      <c r="BKT46" s="502" t="s">
        <v>124</v>
      </c>
      <c r="BKU46" s="502"/>
      <c r="BKV46" s="502"/>
      <c r="BKW46" s="502"/>
      <c r="BKX46" s="502" t="s">
        <v>124</v>
      </c>
      <c r="BKY46" s="502"/>
      <c r="BKZ46" s="502"/>
      <c r="BLA46" s="502"/>
      <c r="BLB46" s="502" t="s">
        <v>124</v>
      </c>
      <c r="BLC46" s="502"/>
      <c r="BLD46" s="502"/>
      <c r="BLE46" s="502"/>
      <c r="BLF46" s="502" t="s">
        <v>124</v>
      </c>
      <c r="BLG46" s="502"/>
      <c r="BLH46" s="502"/>
      <c r="BLI46" s="502"/>
      <c r="BLJ46" s="502" t="s">
        <v>124</v>
      </c>
      <c r="BLK46" s="502"/>
      <c r="BLL46" s="502"/>
      <c r="BLM46" s="502"/>
      <c r="BLN46" s="502" t="s">
        <v>124</v>
      </c>
      <c r="BLO46" s="502"/>
      <c r="BLP46" s="502"/>
      <c r="BLQ46" s="502"/>
      <c r="BLR46" s="502" t="s">
        <v>124</v>
      </c>
      <c r="BLS46" s="502"/>
      <c r="BLT46" s="502"/>
      <c r="BLU46" s="502"/>
      <c r="BLV46" s="502" t="s">
        <v>124</v>
      </c>
      <c r="BLW46" s="502"/>
      <c r="BLX46" s="502"/>
      <c r="BLY46" s="502"/>
      <c r="BLZ46" s="502" t="s">
        <v>124</v>
      </c>
      <c r="BMA46" s="502"/>
      <c r="BMB46" s="502"/>
      <c r="BMC46" s="502"/>
      <c r="BMD46" s="502" t="s">
        <v>124</v>
      </c>
      <c r="BME46" s="502"/>
      <c r="BMF46" s="502"/>
      <c r="BMG46" s="502"/>
      <c r="BMH46" s="502" t="s">
        <v>124</v>
      </c>
      <c r="BMI46" s="502"/>
      <c r="BMJ46" s="502"/>
      <c r="BMK46" s="502"/>
      <c r="BML46" s="502" t="s">
        <v>124</v>
      </c>
      <c r="BMM46" s="502"/>
      <c r="BMN46" s="502"/>
      <c r="BMO46" s="502"/>
      <c r="BMP46" s="502" t="s">
        <v>124</v>
      </c>
      <c r="BMQ46" s="502"/>
      <c r="BMR46" s="502"/>
      <c r="BMS46" s="502"/>
      <c r="BMT46" s="502" t="s">
        <v>124</v>
      </c>
      <c r="BMU46" s="502"/>
      <c r="BMV46" s="502"/>
      <c r="BMW46" s="502"/>
      <c r="BMX46" s="502" t="s">
        <v>124</v>
      </c>
      <c r="BMY46" s="502"/>
      <c r="BMZ46" s="502"/>
      <c r="BNA46" s="502"/>
      <c r="BNB46" s="502" t="s">
        <v>124</v>
      </c>
      <c r="BNC46" s="502"/>
      <c r="BND46" s="502"/>
      <c r="BNE46" s="502"/>
      <c r="BNF46" s="502" t="s">
        <v>124</v>
      </c>
      <c r="BNG46" s="502"/>
      <c r="BNH46" s="502"/>
      <c r="BNI46" s="502"/>
      <c r="BNJ46" s="502" t="s">
        <v>124</v>
      </c>
      <c r="BNK46" s="502"/>
      <c r="BNL46" s="502"/>
      <c r="BNM46" s="502"/>
      <c r="BNN46" s="502" t="s">
        <v>124</v>
      </c>
      <c r="BNO46" s="502"/>
      <c r="BNP46" s="502"/>
      <c r="BNQ46" s="502"/>
      <c r="BNR46" s="502" t="s">
        <v>124</v>
      </c>
      <c r="BNS46" s="502"/>
      <c r="BNT46" s="502"/>
      <c r="BNU46" s="502"/>
      <c r="BNV46" s="502" t="s">
        <v>124</v>
      </c>
      <c r="BNW46" s="502"/>
      <c r="BNX46" s="502"/>
      <c r="BNY46" s="502"/>
      <c r="BNZ46" s="502" t="s">
        <v>124</v>
      </c>
      <c r="BOA46" s="502"/>
      <c r="BOB46" s="502"/>
      <c r="BOC46" s="502"/>
      <c r="BOD46" s="502" t="s">
        <v>124</v>
      </c>
      <c r="BOE46" s="502"/>
      <c r="BOF46" s="502"/>
      <c r="BOG46" s="502"/>
      <c r="BOH46" s="502" t="s">
        <v>124</v>
      </c>
      <c r="BOI46" s="502"/>
      <c r="BOJ46" s="502"/>
      <c r="BOK46" s="502"/>
      <c r="BOL46" s="502" t="s">
        <v>124</v>
      </c>
      <c r="BOM46" s="502"/>
      <c r="BON46" s="502"/>
      <c r="BOO46" s="502"/>
      <c r="BOP46" s="502" t="s">
        <v>124</v>
      </c>
      <c r="BOQ46" s="502"/>
      <c r="BOR46" s="502"/>
      <c r="BOS46" s="502"/>
      <c r="BOT46" s="502" t="s">
        <v>124</v>
      </c>
      <c r="BOU46" s="502"/>
      <c r="BOV46" s="502"/>
      <c r="BOW46" s="502"/>
      <c r="BOX46" s="502" t="s">
        <v>124</v>
      </c>
      <c r="BOY46" s="502"/>
      <c r="BOZ46" s="502"/>
      <c r="BPA46" s="502"/>
      <c r="BPB46" s="502" t="s">
        <v>124</v>
      </c>
      <c r="BPC46" s="502"/>
      <c r="BPD46" s="502"/>
      <c r="BPE46" s="502"/>
      <c r="BPF46" s="502" t="s">
        <v>124</v>
      </c>
      <c r="BPG46" s="502"/>
      <c r="BPH46" s="502"/>
      <c r="BPI46" s="502"/>
      <c r="BPJ46" s="502" t="s">
        <v>124</v>
      </c>
      <c r="BPK46" s="502"/>
      <c r="BPL46" s="502"/>
      <c r="BPM46" s="502"/>
      <c r="BPN46" s="502" t="s">
        <v>124</v>
      </c>
      <c r="BPO46" s="502"/>
      <c r="BPP46" s="502"/>
      <c r="BPQ46" s="502"/>
      <c r="BPR46" s="502" t="s">
        <v>124</v>
      </c>
      <c r="BPS46" s="502"/>
      <c r="BPT46" s="502"/>
      <c r="BPU46" s="502"/>
      <c r="BPV46" s="502" t="s">
        <v>124</v>
      </c>
      <c r="BPW46" s="502"/>
      <c r="BPX46" s="502"/>
      <c r="BPY46" s="502"/>
      <c r="BPZ46" s="502" t="s">
        <v>124</v>
      </c>
      <c r="BQA46" s="502"/>
      <c r="BQB46" s="502"/>
      <c r="BQC46" s="502"/>
      <c r="BQD46" s="502" t="s">
        <v>124</v>
      </c>
      <c r="BQE46" s="502"/>
      <c r="BQF46" s="502"/>
      <c r="BQG46" s="502"/>
      <c r="BQH46" s="502" t="s">
        <v>124</v>
      </c>
      <c r="BQI46" s="502"/>
      <c r="BQJ46" s="502"/>
      <c r="BQK46" s="502"/>
      <c r="BQL46" s="502" t="s">
        <v>124</v>
      </c>
      <c r="BQM46" s="502"/>
      <c r="BQN46" s="502"/>
      <c r="BQO46" s="502"/>
      <c r="BQP46" s="502" t="s">
        <v>124</v>
      </c>
      <c r="BQQ46" s="502"/>
      <c r="BQR46" s="502"/>
      <c r="BQS46" s="502"/>
      <c r="BQT46" s="502" t="s">
        <v>124</v>
      </c>
      <c r="BQU46" s="502"/>
      <c r="BQV46" s="502"/>
      <c r="BQW46" s="502"/>
      <c r="BQX46" s="502" t="s">
        <v>124</v>
      </c>
      <c r="BQY46" s="502"/>
      <c r="BQZ46" s="502"/>
      <c r="BRA46" s="502"/>
      <c r="BRB46" s="502" t="s">
        <v>124</v>
      </c>
      <c r="BRC46" s="502"/>
      <c r="BRD46" s="502"/>
      <c r="BRE46" s="502"/>
      <c r="BRF46" s="502" t="s">
        <v>124</v>
      </c>
      <c r="BRG46" s="502"/>
      <c r="BRH46" s="502"/>
      <c r="BRI46" s="502"/>
      <c r="BRJ46" s="502" t="s">
        <v>124</v>
      </c>
      <c r="BRK46" s="502"/>
      <c r="BRL46" s="502"/>
      <c r="BRM46" s="502"/>
      <c r="BRN46" s="502" t="s">
        <v>124</v>
      </c>
      <c r="BRO46" s="502"/>
      <c r="BRP46" s="502"/>
      <c r="BRQ46" s="502"/>
      <c r="BRR46" s="502" t="s">
        <v>124</v>
      </c>
      <c r="BRS46" s="502"/>
      <c r="BRT46" s="502"/>
      <c r="BRU46" s="502"/>
      <c r="BRV46" s="502" t="s">
        <v>124</v>
      </c>
      <c r="BRW46" s="502"/>
      <c r="BRX46" s="502"/>
      <c r="BRY46" s="502"/>
      <c r="BRZ46" s="502" t="s">
        <v>124</v>
      </c>
      <c r="BSA46" s="502"/>
      <c r="BSB46" s="502"/>
      <c r="BSC46" s="502"/>
      <c r="BSD46" s="502" t="s">
        <v>124</v>
      </c>
      <c r="BSE46" s="502"/>
      <c r="BSF46" s="502"/>
      <c r="BSG46" s="502"/>
      <c r="BSH46" s="502" t="s">
        <v>124</v>
      </c>
      <c r="BSI46" s="502"/>
      <c r="BSJ46" s="502"/>
      <c r="BSK46" s="502"/>
      <c r="BSL46" s="502" t="s">
        <v>124</v>
      </c>
      <c r="BSM46" s="502"/>
      <c r="BSN46" s="502"/>
      <c r="BSO46" s="502"/>
      <c r="BSP46" s="502" t="s">
        <v>124</v>
      </c>
      <c r="BSQ46" s="502"/>
      <c r="BSR46" s="502"/>
      <c r="BSS46" s="502"/>
      <c r="BST46" s="502" t="s">
        <v>124</v>
      </c>
      <c r="BSU46" s="502"/>
      <c r="BSV46" s="502"/>
      <c r="BSW46" s="502"/>
      <c r="BSX46" s="502" t="s">
        <v>124</v>
      </c>
      <c r="BSY46" s="502"/>
      <c r="BSZ46" s="502"/>
      <c r="BTA46" s="502"/>
      <c r="BTB46" s="502" t="s">
        <v>124</v>
      </c>
      <c r="BTC46" s="502"/>
      <c r="BTD46" s="502"/>
      <c r="BTE46" s="502"/>
      <c r="BTF46" s="502" t="s">
        <v>124</v>
      </c>
      <c r="BTG46" s="502"/>
      <c r="BTH46" s="502"/>
      <c r="BTI46" s="502"/>
      <c r="BTJ46" s="502" t="s">
        <v>124</v>
      </c>
      <c r="BTK46" s="502"/>
      <c r="BTL46" s="502"/>
      <c r="BTM46" s="502"/>
      <c r="BTN46" s="502" t="s">
        <v>124</v>
      </c>
      <c r="BTO46" s="502"/>
      <c r="BTP46" s="502"/>
      <c r="BTQ46" s="502"/>
      <c r="BTR46" s="502" t="s">
        <v>124</v>
      </c>
      <c r="BTS46" s="502"/>
      <c r="BTT46" s="502"/>
      <c r="BTU46" s="502"/>
      <c r="BTV46" s="502" t="s">
        <v>124</v>
      </c>
      <c r="BTW46" s="502"/>
      <c r="BTX46" s="502"/>
      <c r="BTY46" s="502"/>
      <c r="BTZ46" s="502" t="s">
        <v>124</v>
      </c>
      <c r="BUA46" s="502"/>
      <c r="BUB46" s="502"/>
      <c r="BUC46" s="502"/>
      <c r="BUD46" s="502" t="s">
        <v>124</v>
      </c>
      <c r="BUE46" s="502"/>
      <c r="BUF46" s="502"/>
      <c r="BUG46" s="502"/>
      <c r="BUH46" s="502" t="s">
        <v>124</v>
      </c>
      <c r="BUI46" s="502"/>
      <c r="BUJ46" s="502"/>
      <c r="BUK46" s="502"/>
      <c r="BUL46" s="502" t="s">
        <v>124</v>
      </c>
      <c r="BUM46" s="502"/>
      <c r="BUN46" s="502"/>
      <c r="BUO46" s="502"/>
      <c r="BUP46" s="502" t="s">
        <v>124</v>
      </c>
      <c r="BUQ46" s="502"/>
      <c r="BUR46" s="502"/>
      <c r="BUS46" s="502"/>
      <c r="BUT46" s="502" t="s">
        <v>124</v>
      </c>
      <c r="BUU46" s="502"/>
      <c r="BUV46" s="502"/>
      <c r="BUW46" s="502"/>
      <c r="BUX46" s="502" t="s">
        <v>124</v>
      </c>
      <c r="BUY46" s="502"/>
      <c r="BUZ46" s="502"/>
      <c r="BVA46" s="502"/>
      <c r="BVB46" s="502" t="s">
        <v>124</v>
      </c>
      <c r="BVC46" s="502"/>
      <c r="BVD46" s="502"/>
      <c r="BVE46" s="502"/>
      <c r="BVF46" s="502" t="s">
        <v>124</v>
      </c>
      <c r="BVG46" s="502"/>
      <c r="BVH46" s="502"/>
      <c r="BVI46" s="502"/>
      <c r="BVJ46" s="502" t="s">
        <v>124</v>
      </c>
      <c r="BVK46" s="502"/>
      <c r="BVL46" s="502"/>
      <c r="BVM46" s="502"/>
      <c r="BVN46" s="502" t="s">
        <v>124</v>
      </c>
      <c r="BVO46" s="502"/>
      <c r="BVP46" s="502"/>
      <c r="BVQ46" s="502"/>
      <c r="BVR46" s="502" t="s">
        <v>124</v>
      </c>
      <c r="BVS46" s="502"/>
      <c r="BVT46" s="502"/>
      <c r="BVU46" s="502"/>
      <c r="BVV46" s="502" t="s">
        <v>124</v>
      </c>
      <c r="BVW46" s="502"/>
      <c r="BVX46" s="502"/>
      <c r="BVY46" s="502"/>
      <c r="BVZ46" s="502" t="s">
        <v>124</v>
      </c>
      <c r="BWA46" s="502"/>
      <c r="BWB46" s="502"/>
      <c r="BWC46" s="502"/>
      <c r="BWD46" s="502" t="s">
        <v>124</v>
      </c>
      <c r="BWE46" s="502"/>
      <c r="BWF46" s="502"/>
      <c r="BWG46" s="502"/>
      <c r="BWH46" s="502" t="s">
        <v>124</v>
      </c>
      <c r="BWI46" s="502"/>
      <c r="BWJ46" s="502"/>
      <c r="BWK46" s="502"/>
      <c r="BWL46" s="502" t="s">
        <v>124</v>
      </c>
      <c r="BWM46" s="502"/>
      <c r="BWN46" s="502"/>
      <c r="BWO46" s="502"/>
      <c r="BWP46" s="502" t="s">
        <v>124</v>
      </c>
      <c r="BWQ46" s="502"/>
      <c r="BWR46" s="502"/>
      <c r="BWS46" s="502"/>
      <c r="BWT46" s="502" t="s">
        <v>124</v>
      </c>
      <c r="BWU46" s="502"/>
      <c r="BWV46" s="502"/>
      <c r="BWW46" s="502"/>
      <c r="BWX46" s="502" t="s">
        <v>124</v>
      </c>
      <c r="BWY46" s="502"/>
      <c r="BWZ46" s="502"/>
      <c r="BXA46" s="502"/>
      <c r="BXB46" s="502" t="s">
        <v>124</v>
      </c>
      <c r="BXC46" s="502"/>
      <c r="BXD46" s="502"/>
      <c r="BXE46" s="502"/>
      <c r="BXF46" s="502" t="s">
        <v>124</v>
      </c>
      <c r="BXG46" s="502"/>
      <c r="BXH46" s="502"/>
      <c r="BXI46" s="502"/>
      <c r="BXJ46" s="502" t="s">
        <v>124</v>
      </c>
      <c r="BXK46" s="502"/>
      <c r="BXL46" s="502"/>
      <c r="BXM46" s="502"/>
      <c r="BXN46" s="502" t="s">
        <v>124</v>
      </c>
      <c r="BXO46" s="502"/>
      <c r="BXP46" s="502"/>
      <c r="BXQ46" s="502"/>
      <c r="BXR46" s="502" t="s">
        <v>124</v>
      </c>
      <c r="BXS46" s="502"/>
      <c r="BXT46" s="502"/>
      <c r="BXU46" s="502"/>
      <c r="BXV46" s="502" t="s">
        <v>124</v>
      </c>
      <c r="BXW46" s="502"/>
      <c r="BXX46" s="502"/>
      <c r="BXY46" s="502"/>
      <c r="BXZ46" s="502" t="s">
        <v>124</v>
      </c>
      <c r="BYA46" s="502"/>
      <c r="BYB46" s="502"/>
      <c r="BYC46" s="502"/>
      <c r="BYD46" s="502" t="s">
        <v>124</v>
      </c>
      <c r="BYE46" s="502"/>
      <c r="BYF46" s="502"/>
      <c r="BYG46" s="502"/>
      <c r="BYH46" s="502" t="s">
        <v>124</v>
      </c>
      <c r="BYI46" s="502"/>
      <c r="BYJ46" s="502"/>
      <c r="BYK46" s="502"/>
      <c r="BYL46" s="502" t="s">
        <v>124</v>
      </c>
      <c r="BYM46" s="502"/>
      <c r="BYN46" s="502"/>
      <c r="BYO46" s="502"/>
      <c r="BYP46" s="502" t="s">
        <v>124</v>
      </c>
      <c r="BYQ46" s="502"/>
      <c r="BYR46" s="502"/>
      <c r="BYS46" s="502"/>
      <c r="BYT46" s="502" t="s">
        <v>124</v>
      </c>
      <c r="BYU46" s="502"/>
      <c r="BYV46" s="502"/>
      <c r="BYW46" s="502"/>
      <c r="BYX46" s="502" t="s">
        <v>124</v>
      </c>
      <c r="BYY46" s="502"/>
      <c r="BYZ46" s="502"/>
      <c r="BZA46" s="502"/>
      <c r="BZB46" s="502" t="s">
        <v>124</v>
      </c>
      <c r="BZC46" s="502"/>
      <c r="BZD46" s="502"/>
      <c r="BZE46" s="502"/>
      <c r="BZF46" s="502" t="s">
        <v>124</v>
      </c>
      <c r="BZG46" s="502"/>
      <c r="BZH46" s="502"/>
      <c r="BZI46" s="502"/>
      <c r="BZJ46" s="502" t="s">
        <v>124</v>
      </c>
      <c r="BZK46" s="502"/>
      <c r="BZL46" s="502"/>
      <c r="BZM46" s="502"/>
      <c r="BZN46" s="502" t="s">
        <v>124</v>
      </c>
      <c r="BZO46" s="502"/>
      <c r="BZP46" s="502"/>
      <c r="BZQ46" s="502"/>
      <c r="BZR46" s="502" t="s">
        <v>124</v>
      </c>
      <c r="BZS46" s="502"/>
      <c r="BZT46" s="502"/>
      <c r="BZU46" s="502"/>
      <c r="BZV46" s="502" t="s">
        <v>124</v>
      </c>
      <c r="BZW46" s="502"/>
      <c r="BZX46" s="502"/>
      <c r="BZY46" s="502"/>
      <c r="BZZ46" s="502" t="s">
        <v>124</v>
      </c>
      <c r="CAA46" s="502"/>
      <c r="CAB46" s="502"/>
      <c r="CAC46" s="502"/>
      <c r="CAD46" s="502" t="s">
        <v>124</v>
      </c>
      <c r="CAE46" s="502"/>
      <c r="CAF46" s="502"/>
      <c r="CAG46" s="502"/>
      <c r="CAH46" s="502" t="s">
        <v>124</v>
      </c>
      <c r="CAI46" s="502"/>
      <c r="CAJ46" s="502"/>
      <c r="CAK46" s="502"/>
      <c r="CAL46" s="502" t="s">
        <v>124</v>
      </c>
      <c r="CAM46" s="502"/>
      <c r="CAN46" s="502"/>
      <c r="CAO46" s="502"/>
      <c r="CAP46" s="502" t="s">
        <v>124</v>
      </c>
      <c r="CAQ46" s="502"/>
      <c r="CAR46" s="502"/>
      <c r="CAS46" s="502"/>
      <c r="CAT46" s="502" t="s">
        <v>124</v>
      </c>
      <c r="CAU46" s="502"/>
      <c r="CAV46" s="502"/>
      <c r="CAW46" s="502"/>
      <c r="CAX46" s="502" t="s">
        <v>124</v>
      </c>
      <c r="CAY46" s="502"/>
      <c r="CAZ46" s="502"/>
      <c r="CBA46" s="502"/>
      <c r="CBB46" s="502" t="s">
        <v>124</v>
      </c>
      <c r="CBC46" s="502"/>
      <c r="CBD46" s="502"/>
      <c r="CBE46" s="502"/>
      <c r="CBF46" s="502" t="s">
        <v>124</v>
      </c>
      <c r="CBG46" s="502"/>
      <c r="CBH46" s="502"/>
      <c r="CBI46" s="502"/>
      <c r="CBJ46" s="502" t="s">
        <v>124</v>
      </c>
      <c r="CBK46" s="502"/>
      <c r="CBL46" s="502"/>
      <c r="CBM46" s="502"/>
      <c r="CBN46" s="502" t="s">
        <v>124</v>
      </c>
      <c r="CBO46" s="502"/>
      <c r="CBP46" s="502"/>
      <c r="CBQ46" s="502"/>
      <c r="CBR46" s="502" t="s">
        <v>124</v>
      </c>
      <c r="CBS46" s="502"/>
      <c r="CBT46" s="502"/>
      <c r="CBU46" s="502"/>
      <c r="CBV46" s="502" t="s">
        <v>124</v>
      </c>
      <c r="CBW46" s="502"/>
      <c r="CBX46" s="502"/>
      <c r="CBY46" s="502"/>
      <c r="CBZ46" s="502" t="s">
        <v>124</v>
      </c>
      <c r="CCA46" s="502"/>
      <c r="CCB46" s="502"/>
      <c r="CCC46" s="502"/>
      <c r="CCD46" s="502" t="s">
        <v>124</v>
      </c>
      <c r="CCE46" s="502"/>
      <c r="CCF46" s="502"/>
      <c r="CCG46" s="502"/>
      <c r="CCH46" s="502" t="s">
        <v>124</v>
      </c>
      <c r="CCI46" s="502"/>
      <c r="CCJ46" s="502"/>
      <c r="CCK46" s="502"/>
      <c r="CCL46" s="502" t="s">
        <v>124</v>
      </c>
      <c r="CCM46" s="502"/>
      <c r="CCN46" s="502"/>
      <c r="CCO46" s="502"/>
      <c r="CCP46" s="502" t="s">
        <v>124</v>
      </c>
      <c r="CCQ46" s="502"/>
      <c r="CCR46" s="502"/>
      <c r="CCS46" s="502"/>
      <c r="CCT46" s="502" t="s">
        <v>124</v>
      </c>
      <c r="CCU46" s="502"/>
      <c r="CCV46" s="502"/>
      <c r="CCW46" s="502"/>
      <c r="CCX46" s="502" t="s">
        <v>124</v>
      </c>
      <c r="CCY46" s="502"/>
      <c r="CCZ46" s="502"/>
      <c r="CDA46" s="502"/>
      <c r="CDB46" s="502" t="s">
        <v>124</v>
      </c>
      <c r="CDC46" s="502"/>
      <c r="CDD46" s="502"/>
      <c r="CDE46" s="502"/>
      <c r="CDF46" s="502" t="s">
        <v>124</v>
      </c>
      <c r="CDG46" s="502"/>
      <c r="CDH46" s="502"/>
      <c r="CDI46" s="502"/>
      <c r="CDJ46" s="502" t="s">
        <v>124</v>
      </c>
      <c r="CDK46" s="502"/>
      <c r="CDL46" s="502"/>
      <c r="CDM46" s="502"/>
      <c r="CDN46" s="502" t="s">
        <v>124</v>
      </c>
      <c r="CDO46" s="502"/>
      <c r="CDP46" s="502"/>
      <c r="CDQ46" s="502"/>
      <c r="CDR46" s="502" t="s">
        <v>124</v>
      </c>
      <c r="CDS46" s="502"/>
      <c r="CDT46" s="502"/>
      <c r="CDU46" s="502"/>
      <c r="CDV46" s="502" t="s">
        <v>124</v>
      </c>
      <c r="CDW46" s="502"/>
      <c r="CDX46" s="502"/>
      <c r="CDY46" s="502"/>
      <c r="CDZ46" s="502" t="s">
        <v>124</v>
      </c>
      <c r="CEA46" s="502"/>
      <c r="CEB46" s="502"/>
      <c r="CEC46" s="502"/>
      <c r="CED46" s="502" t="s">
        <v>124</v>
      </c>
      <c r="CEE46" s="502"/>
      <c r="CEF46" s="502"/>
      <c r="CEG46" s="502"/>
      <c r="CEH46" s="502" t="s">
        <v>124</v>
      </c>
      <c r="CEI46" s="502"/>
      <c r="CEJ46" s="502"/>
      <c r="CEK46" s="502"/>
      <c r="CEL46" s="502" t="s">
        <v>124</v>
      </c>
      <c r="CEM46" s="502"/>
      <c r="CEN46" s="502"/>
      <c r="CEO46" s="502"/>
      <c r="CEP46" s="502" t="s">
        <v>124</v>
      </c>
      <c r="CEQ46" s="502"/>
      <c r="CER46" s="502"/>
      <c r="CES46" s="502"/>
      <c r="CET46" s="502" t="s">
        <v>124</v>
      </c>
      <c r="CEU46" s="502"/>
      <c r="CEV46" s="502"/>
      <c r="CEW46" s="502"/>
      <c r="CEX46" s="502" t="s">
        <v>124</v>
      </c>
      <c r="CEY46" s="502"/>
      <c r="CEZ46" s="502"/>
      <c r="CFA46" s="502"/>
      <c r="CFB46" s="502" t="s">
        <v>124</v>
      </c>
      <c r="CFC46" s="502"/>
      <c r="CFD46" s="502"/>
      <c r="CFE46" s="502"/>
      <c r="CFF46" s="502" t="s">
        <v>124</v>
      </c>
      <c r="CFG46" s="502"/>
      <c r="CFH46" s="502"/>
      <c r="CFI46" s="502"/>
      <c r="CFJ46" s="502" t="s">
        <v>124</v>
      </c>
      <c r="CFK46" s="502"/>
      <c r="CFL46" s="502"/>
      <c r="CFM46" s="502"/>
      <c r="CFN46" s="502" t="s">
        <v>124</v>
      </c>
      <c r="CFO46" s="502"/>
      <c r="CFP46" s="502"/>
      <c r="CFQ46" s="502"/>
      <c r="CFR46" s="502" t="s">
        <v>124</v>
      </c>
      <c r="CFS46" s="502"/>
      <c r="CFT46" s="502"/>
      <c r="CFU46" s="502"/>
      <c r="CFV46" s="502" t="s">
        <v>124</v>
      </c>
      <c r="CFW46" s="502"/>
      <c r="CFX46" s="502"/>
      <c r="CFY46" s="502"/>
      <c r="CFZ46" s="502" t="s">
        <v>124</v>
      </c>
      <c r="CGA46" s="502"/>
      <c r="CGB46" s="502"/>
      <c r="CGC46" s="502"/>
      <c r="CGD46" s="502" t="s">
        <v>124</v>
      </c>
      <c r="CGE46" s="502"/>
      <c r="CGF46" s="502"/>
      <c r="CGG46" s="502"/>
      <c r="CGH46" s="502" t="s">
        <v>124</v>
      </c>
      <c r="CGI46" s="502"/>
      <c r="CGJ46" s="502"/>
      <c r="CGK46" s="502"/>
      <c r="CGL46" s="502" t="s">
        <v>124</v>
      </c>
      <c r="CGM46" s="502"/>
      <c r="CGN46" s="502"/>
      <c r="CGO46" s="502"/>
      <c r="CGP46" s="502" t="s">
        <v>124</v>
      </c>
      <c r="CGQ46" s="502"/>
      <c r="CGR46" s="502"/>
      <c r="CGS46" s="502"/>
      <c r="CGT46" s="502" t="s">
        <v>124</v>
      </c>
      <c r="CGU46" s="502"/>
      <c r="CGV46" s="502"/>
      <c r="CGW46" s="502"/>
      <c r="CGX46" s="502" t="s">
        <v>124</v>
      </c>
      <c r="CGY46" s="502"/>
      <c r="CGZ46" s="502"/>
      <c r="CHA46" s="502"/>
      <c r="CHB46" s="502" t="s">
        <v>124</v>
      </c>
      <c r="CHC46" s="502"/>
      <c r="CHD46" s="502"/>
      <c r="CHE46" s="502"/>
      <c r="CHF46" s="502" t="s">
        <v>124</v>
      </c>
      <c r="CHG46" s="502"/>
      <c r="CHH46" s="502"/>
      <c r="CHI46" s="502"/>
      <c r="CHJ46" s="502" t="s">
        <v>124</v>
      </c>
      <c r="CHK46" s="502"/>
      <c r="CHL46" s="502"/>
      <c r="CHM46" s="502"/>
      <c r="CHN46" s="502" t="s">
        <v>124</v>
      </c>
      <c r="CHO46" s="502"/>
      <c r="CHP46" s="502"/>
      <c r="CHQ46" s="502"/>
      <c r="CHR46" s="502" t="s">
        <v>124</v>
      </c>
      <c r="CHS46" s="502"/>
      <c r="CHT46" s="502"/>
      <c r="CHU46" s="502"/>
      <c r="CHV46" s="502" t="s">
        <v>124</v>
      </c>
      <c r="CHW46" s="502"/>
      <c r="CHX46" s="502"/>
      <c r="CHY46" s="502"/>
      <c r="CHZ46" s="502" t="s">
        <v>124</v>
      </c>
      <c r="CIA46" s="502"/>
      <c r="CIB46" s="502"/>
      <c r="CIC46" s="502"/>
      <c r="CID46" s="502" t="s">
        <v>124</v>
      </c>
      <c r="CIE46" s="502"/>
      <c r="CIF46" s="502"/>
      <c r="CIG46" s="502"/>
      <c r="CIH46" s="502" t="s">
        <v>124</v>
      </c>
      <c r="CII46" s="502"/>
      <c r="CIJ46" s="502"/>
      <c r="CIK46" s="502"/>
      <c r="CIL46" s="502" t="s">
        <v>124</v>
      </c>
      <c r="CIM46" s="502"/>
      <c r="CIN46" s="502"/>
      <c r="CIO46" s="502"/>
      <c r="CIP46" s="502" t="s">
        <v>124</v>
      </c>
      <c r="CIQ46" s="502"/>
      <c r="CIR46" s="502"/>
      <c r="CIS46" s="502"/>
      <c r="CIT46" s="502" t="s">
        <v>124</v>
      </c>
      <c r="CIU46" s="502"/>
      <c r="CIV46" s="502"/>
      <c r="CIW46" s="502"/>
      <c r="CIX46" s="502" t="s">
        <v>124</v>
      </c>
      <c r="CIY46" s="502"/>
      <c r="CIZ46" s="502"/>
      <c r="CJA46" s="502"/>
      <c r="CJB46" s="502" t="s">
        <v>124</v>
      </c>
      <c r="CJC46" s="502"/>
      <c r="CJD46" s="502"/>
      <c r="CJE46" s="502"/>
      <c r="CJF46" s="502" t="s">
        <v>124</v>
      </c>
      <c r="CJG46" s="502"/>
      <c r="CJH46" s="502"/>
      <c r="CJI46" s="502"/>
      <c r="CJJ46" s="502" t="s">
        <v>124</v>
      </c>
      <c r="CJK46" s="502"/>
      <c r="CJL46" s="502"/>
      <c r="CJM46" s="502"/>
      <c r="CJN46" s="502" t="s">
        <v>124</v>
      </c>
      <c r="CJO46" s="502"/>
      <c r="CJP46" s="502"/>
      <c r="CJQ46" s="502"/>
      <c r="CJR46" s="502" t="s">
        <v>124</v>
      </c>
      <c r="CJS46" s="502"/>
      <c r="CJT46" s="502"/>
      <c r="CJU46" s="502"/>
      <c r="CJV46" s="502" t="s">
        <v>124</v>
      </c>
      <c r="CJW46" s="502"/>
      <c r="CJX46" s="502"/>
      <c r="CJY46" s="502"/>
      <c r="CJZ46" s="502" t="s">
        <v>124</v>
      </c>
      <c r="CKA46" s="502"/>
      <c r="CKB46" s="502"/>
      <c r="CKC46" s="502"/>
      <c r="CKD46" s="502" t="s">
        <v>124</v>
      </c>
      <c r="CKE46" s="502"/>
      <c r="CKF46" s="502"/>
      <c r="CKG46" s="502"/>
      <c r="CKH46" s="502" t="s">
        <v>124</v>
      </c>
      <c r="CKI46" s="502"/>
      <c r="CKJ46" s="502"/>
      <c r="CKK46" s="502"/>
      <c r="CKL46" s="502" t="s">
        <v>124</v>
      </c>
      <c r="CKM46" s="502"/>
      <c r="CKN46" s="502"/>
      <c r="CKO46" s="502"/>
      <c r="CKP46" s="502" t="s">
        <v>124</v>
      </c>
      <c r="CKQ46" s="502"/>
      <c r="CKR46" s="502"/>
      <c r="CKS46" s="502"/>
      <c r="CKT46" s="502" t="s">
        <v>124</v>
      </c>
      <c r="CKU46" s="502"/>
      <c r="CKV46" s="502"/>
      <c r="CKW46" s="502"/>
      <c r="CKX46" s="502" t="s">
        <v>124</v>
      </c>
      <c r="CKY46" s="502"/>
      <c r="CKZ46" s="502"/>
      <c r="CLA46" s="502"/>
      <c r="CLB46" s="502" t="s">
        <v>124</v>
      </c>
      <c r="CLC46" s="502"/>
      <c r="CLD46" s="502"/>
      <c r="CLE46" s="502"/>
      <c r="CLF46" s="502" t="s">
        <v>124</v>
      </c>
      <c r="CLG46" s="502"/>
      <c r="CLH46" s="502"/>
      <c r="CLI46" s="502"/>
      <c r="CLJ46" s="502" t="s">
        <v>124</v>
      </c>
      <c r="CLK46" s="502"/>
      <c r="CLL46" s="502"/>
      <c r="CLM46" s="502"/>
      <c r="CLN46" s="502" t="s">
        <v>124</v>
      </c>
      <c r="CLO46" s="502"/>
      <c r="CLP46" s="502"/>
      <c r="CLQ46" s="502"/>
      <c r="CLR46" s="502" t="s">
        <v>124</v>
      </c>
      <c r="CLS46" s="502"/>
      <c r="CLT46" s="502"/>
      <c r="CLU46" s="502"/>
      <c r="CLV46" s="502" t="s">
        <v>124</v>
      </c>
      <c r="CLW46" s="502"/>
      <c r="CLX46" s="502"/>
      <c r="CLY46" s="502"/>
      <c r="CLZ46" s="502" t="s">
        <v>124</v>
      </c>
      <c r="CMA46" s="502"/>
      <c r="CMB46" s="502"/>
      <c r="CMC46" s="502"/>
      <c r="CMD46" s="502" t="s">
        <v>124</v>
      </c>
      <c r="CME46" s="502"/>
      <c r="CMF46" s="502"/>
      <c r="CMG46" s="502"/>
      <c r="CMH46" s="502" t="s">
        <v>124</v>
      </c>
      <c r="CMI46" s="502"/>
      <c r="CMJ46" s="502"/>
      <c r="CMK46" s="502"/>
      <c r="CML46" s="502" t="s">
        <v>124</v>
      </c>
      <c r="CMM46" s="502"/>
      <c r="CMN46" s="502"/>
      <c r="CMO46" s="502"/>
      <c r="CMP46" s="502" t="s">
        <v>124</v>
      </c>
      <c r="CMQ46" s="502"/>
      <c r="CMR46" s="502"/>
      <c r="CMS46" s="502"/>
      <c r="CMT46" s="502" t="s">
        <v>124</v>
      </c>
      <c r="CMU46" s="502"/>
      <c r="CMV46" s="502"/>
      <c r="CMW46" s="502"/>
      <c r="CMX46" s="502" t="s">
        <v>124</v>
      </c>
      <c r="CMY46" s="502"/>
      <c r="CMZ46" s="502"/>
      <c r="CNA46" s="502"/>
      <c r="CNB46" s="502" t="s">
        <v>124</v>
      </c>
      <c r="CNC46" s="502"/>
      <c r="CND46" s="502"/>
      <c r="CNE46" s="502"/>
      <c r="CNF46" s="502" t="s">
        <v>124</v>
      </c>
      <c r="CNG46" s="502"/>
      <c r="CNH46" s="502"/>
      <c r="CNI46" s="502"/>
      <c r="CNJ46" s="502" t="s">
        <v>124</v>
      </c>
      <c r="CNK46" s="502"/>
      <c r="CNL46" s="502"/>
      <c r="CNM46" s="502"/>
      <c r="CNN46" s="502" t="s">
        <v>124</v>
      </c>
      <c r="CNO46" s="502"/>
      <c r="CNP46" s="502"/>
      <c r="CNQ46" s="502"/>
      <c r="CNR46" s="502" t="s">
        <v>124</v>
      </c>
      <c r="CNS46" s="502"/>
      <c r="CNT46" s="502"/>
      <c r="CNU46" s="502"/>
      <c r="CNV46" s="502" t="s">
        <v>124</v>
      </c>
      <c r="CNW46" s="502"/>
      <c r="CNX46" s="502"/>
      <c r="CNY46" s="502"/>
      <c r="CNZ46" s="502" t="s">
        <v>124</v>
      </c>
      <c r="COA46" s="502"/>
      <c r="COB46" s="502"/>
      <c r="COC46" s="502"/>
      <c r="COD46" s="502" t="s">
        <v>124</v>
      </c>
      <c r="COE46" s="502"/>
      <c r="COF46" s="502"/>
      <c r="COG46" s="502"/>
      <c r="COH46" s="502" t="s">
        <v>124</v>
      </c>
      <c r="COI46" s="502"/>
      <c r="COJ46" s="502"/>
      <c r="COK46" s="502"/>
      <c r="COL46" s="502" t="s">
        <v>124</v>
      </c>
      <c r="COM46" s="502"/>
      <c r="CON46" s="502"/>
      <c r="COO46" s="502"/>
      <c r="COP46" s="502" t="s">
        <v>124</v>
      </c>
      <c r="COQ46" s="502"/>
      <c r="COR46" s="502"/>
      <c r="COS46" s="502"/>
      <c r="COT46" s="502" t="s">
        <v>124</v>
      </c>
      <c r="COU46" s="502"/>
      <c r="COV46" s="502"/>
      <c r="COW46" s="502"/>
      <c r="COX46" s="502" t="s">
        <v>124</v>
      </c>
      <c r="COY46" s="502"/>
      <c r="COZ46" s="502"/>
      <c r="CPA46" s="502"/>
      <c r="CPB46" s="502" t="s">
        <v>124</v>
      </c>
      <c r="CPC46" s="502"/>
      <c r="CPD46" s="502"/>
      <c r="CPE46" s="502"/>
      <c r="CPF46" s="502" t="s">
        <v>124</v>
      </c>
      <c r="CPG46" s="502"/>
      <c r="CPH46" s="502"/>
      <c r="CPI46" s="502"/>
      <c r="CPJ46" s="502" t="s">
        <v>124</v>
      </c>
      <c r="CPK46" s="502"/>
      <c r="CPL46" s="502"/>
      <c r="CPM46" s="502"/>
      <c r="CPN46" s="502" t="s">
        <v>124</v>
      </c>
      <c r="CPO46" s="502"/>
      <c r="CPP46" s="502"/>
      <c r="CPQ46" s="502"/>
      <c r="CPR46" s="502" t="s">
        <v>124</v>
      </c>
      <c r="CPS46" s="502"/>
      <c r="CPT46" s="502"/>
      <c r="CPU46" s="502"/>
      <c r="CPV46" s="502" t="s">
        <v>124</v>
      </c>
      <c r="CPW46" s="502"/>
      <c r="CPX46" s="502"/>
      <c r="CPY46" s="502"/>
      <c r="CPZ46" s="502" t="s">
        <v>124</v>
      </c>
      <c r="CQA46" s="502"/>
      <c r="CQB46" s="502"/>
      <c r="CQC46" s="502"/>
      <c r="CQD46" s="502" t="s">
        <v>124</v>
      </c>
      <c r="CQE46" s="502"/>
      <c r="CQF46" s="502"/>
      <c r="CQG46" s="502"/>
      <c r="CQH46" s="502" t="s">
        <v>124</v>
      </c>
      <c r="CQI46" s="502"/>
      <c r="CQJ46" s="502"/>
      <c r="CQK46" s="502"/>
      <c r="CQL46" s="502" t="s">
        <v>124</v>
      </c>
      <c r="CQM46" s="502"/>
      <c r="CQN46" s="502"/>
      <c r="CQO46" s="502"/>
      <c r="CQP46" s="502" t="s">
        <v>124</v>
      </c>
      <c r="CQQ46" s="502"/>
      <c r="CQR46" s="502"/>
      <c r="CQS46" s="502"/>
      <c r="CQT46" s="502" t="s">
        <v>124</v>
      </c>
      <c r="CQU46" s="502"/>
      <c r="CQV46" s="502"/>
      <c r="CQW46" s="502"/>
      <c r="CQX46" s="502" t="s">
        <v>124</v>
      </c>
      <c r="CQY46" s="502"/>
      <c r="CQZ46" s="502"/>
      <c r="CRA46" s="502"/>
      <c r="CRB46" s="502" t="s">
        <v>124</v>
      </c>
      <c r="CRC46" s="502"/>
      <c r="CRD46" s="502"/>
      <c r="CRE46" s="502"/>
      <c r="CRF46" s="502" t="s">
        <v>124</v>
      </c>
      <c r="CRG46" s="502"/>
      <c r="CRH46" s="502"/>
      <c r="CRI46" s="502"/>
      <c r="CRJ46" s="502" t="s">
        <v>124</v>
      </c>
      <c r="CRK46" s="502"/>
      <c r="CRL46" s="502"/>
      <c r="CRM46" s="502"/>
      <c r="CRN46" s="502" t="s">
        <v>124</v>
      </c>
      <c r="CRO46" s="502"/>
      <c r="CRP46" s="502"/>
      <c r="CRQ46" s="502"/>
      <c r="CRR46" s="502" t="s">
        <v>124</v>
      </c>
      <c r="CRS46" s="502"/>
      <c r="CRT46" s="502"/>
      <c r="CRU46" s="502"/>
      <c r="CRV46" s="502" t="s">
        <v>124</v>
      </c>
      <c r="CRW46" s="502"/>
      <c r="CRX46" s="502"/>
      <c r="CRY46" s="502"/>
      <c r="CRZ46" s="502" t="s">
        <v>124</v>
      </c>
      <c r="CSA46" s="502"/>
      <c r="CSB46" s="502"/>
      <c r="CSC46" s="502"/>
      <c r="CSD46" s="502" t="s">
        <v>124</v>
      </c>
      <c r="CSE46" s="502"/>
      <c r="CSF46" s="502"/>
      <c r="CSG46" s="502"/>
      <c r="CSH46" s="502" t="s">
        <v>124</v>
      </c>
      <c r="CSI46" s="502"/>
      <c r="CSJ46" s="502"/>
      <c r="CSK46" s="502"/>
      <c r="CSL46" s="502" t="s">
        <v>124</v>
      </c>
      <c r="CSM46" s="502"/>
      <c r="CSN46" s="502"/>
      <c r="CSO46" s="502"/>
      <c r="CSP46" s="502" t="s">
        <v>124</v>
      </c>
      <c r="CSQ46" s="502"/>
      <c r="CSR46" s="502"/>
      <c r="CSS46" s="502"/>
      <c r="CST46" s="502" t="s">
        <v>124</v>
      </c>
      <c r="CSU46" s="502"/>
      <c r="CSV46" s="502"/>
      <c r="CSW46" s="502"/>
      <c r="CSX46" s="502" t="s">
        <v>124</v>
      </c>
      <c r="CSY46" s="502"/>
      <c r="CSZ46" s="502"/>
      <c r="CTA46" s="502"/>
      <c r="CTB46" s="502" t="s">
        <v>124</v>
      </c>
      <c r="CTC46" s="502"/>
      <c r="CTD46" s="502"/>
      <c r="CTE46" s="502"/>
      <c r="CTF46" s="502" t="s">
        <v>124</v>
      </c>
      <c r="CTG46" s="502"/>
      <c r="CTH46" s="502"/>
      <c r="CTI46" s="502"/>
      <c r="CTJ46" s="502" t="s">
        <v>124</v>
      </c>
      <c r="CTK46" s="502"/>
      <c r="CTL46" s="502"/>
      <c r="CTM46" s="502"/>
      <c r="CTN46" s="502" t="s">
        <v>124</v>
      </c>
      <c r="CTO46" s="502"/>
      <c r="CTP46" s="502"/>
      <c r="CTQ46" s="502"/>
      <c r="CTR46" s="502" t="s">
        <v>124</v>
      </c>
      <c r="CTS46" s="502"/>
      <c r="CTT46" s="502"/>
      <c r="CTU46" s="502"/>
      <c r="CTV46" s="502" t="s">
        <v>124</v>
      </c>
      <c r="CTW46" s="502"/>
      <c r="CTX46" s="502"/>
      <c r="CTY46" s="502"/>
      <c r="CTZ46" s="502" t="s">
        <v>124</v>
      </c>
      <c r="CUA46" s="502"/>
      <c r="CUB46" s="502"/>
      <c r="CUC46" s="502"/>
      <c r="CUD46" s="502" t="s">
        <v>124</v>
      </c>
      <c r="CUE46" s="502"/>
      <c r="CUF46" s="502"/>
      <c r="CUG46" s="502"/>
      <c r="CUH46" s="502" t="s">
        <v>124</v>
      </c>
      <c r="CUI46" s="502"/>
      <c r="CUJ46" s="502"/>
      <c r="CUK46" s="502"/>
      <c r="CUL46" s="502" t="s">
        <v>124</v>
      </c>
      <c r="CUM46" s="502"/>
      <c r="CUN46" s="502"/>
      <c r="CUO46" s="502"/>
      <c r="CUP46" s="502" t="s">
        <v>124</v>
      </c>
      <c r="CUQ46" s="502"/>
      <c r="CUR46" s="502"/>
      <c r="CUS46" s="502"/>
      <c r="CUT46" s="502" t="s">
        <v>124</v>
      </c>
      <c r="CUU46" s="502"/>
      <c r="CUV46" s="502"/>
      <c r="CUW46" s="502"/>
      <c r="CUX46" s="502" t="s">
        <v>124</v>
      </c>
      <c r="CUY46" s="502"/>
      <c r="CUZ46" s="502"/>
      <c r="CVA46" s="502"/>
      <c r="CVB46" s="502" t="s">
        <v>124</v>
      </c>
      <c r="CVC46" s="502"/>
      <c r="CVD46" s="502"/>
      <c r="CVE46" s="502"/>
      <c r="CVF46" s="502" t="s">
        <v>124</v>
      </c>
      <c r="CVG46" s="502"/>
      <c r="CVH46" s="502"/>
      <c r="CVI46" s="502"/>
      <c r="CVJ46" s="502" t="s">
        <v>124</v>
      </c>
      <c r="CVK46" s="502"/>
      <c r="CVL46" s="502"/>
      <c r="CVM46" s="502"/>
      <c r="CVN46" s="502" t="s">
        <v>124</v>
      </c>
      <c r="CVO46" s="502"/>
      <c r="CVP46" s="502"/>
      <c r="CVQ46" s="502"/>
      <c r="CVR46" s="502" t="s">
        <v>124</v>
      </c>
      <c r="CVS46" s="502"/>
      <c r="CVT46" s="502"/>
      <c r="CVU46" s="502"/>
      <c r="CVV46" s="502" t="s">
        <v>124</v>
      </c>
      <c r="CVW46" s="502"/>
      <c r="CVX46" s="502"/>
      <c r="CVY46" s="502"/>
      <c r="CVZ46" s="502" t="s">
        <v>124</v>
      </c>
      <c r="CWA46" s="502"/>
      <c r="CWB46" s="502"/>
      <c r="CWC46" s="502"/>
      <c r="CWD46" s="502" t="s">
        <v>124</v>
      </c>
      <c r="CWE46" s="502"/>
      <c r="CWF46" s="502"/>
      <c r="CWG46" s="502"/>
      <c r="CWH46" s="502" t="s">
        <v>124</v>
      </c>
      <c r="CWI46" s="502"/>
      <c r="CWJ46" s="502"/>
      <c r="CWK46" s="502"/>
      <c r="CWL46" s="502" t="s">
        <v>124</v>
      </c>
      <c r="CWM46" s="502"/>
      <c r="CWN46" s="502"/>
      <c r="CWO46" s="502"/>
      <c r="CWP46" s="502" t="s">
        <v>124</v>
      </c>
      <c r="CWQ46" s="502"/>
      <c r="CWR46" s="502"/>
      <c r="CWS46" s="502"/>
      <c r="CWT46" s="502" t="s">
        <v>124</v>
      </c>
      <c r="CWU46" s="502"/>
      <c r="CWV46" s="502"/>
      <c r="CWW46" s="502"/>
      <c r="CWX46" s="502" t="s">
        <v>124</v>
      </c>
      <c r="CWY46" s="502"/>
      <c r="CWZ46" s="502"/>
      <c r="CXA46" s="502"/>
      <c r="CXB46" s="502" t="s">
        <v>124</v>
      </c>
      <c r="CXC46" s="502"/>
      <c r="CXD46" s="502"/>
      <c r="CXE46" s="502"/>
      <c r="CXF46" s="502" t="s">
        <v>124</v>
      </c>
      <c r="CXG46" s="502"/>
      <c r="CXH46" s="502"/>
      <c r="CXI46" s="502"/>
      <c r="CXJ46" s="502" t="s">
        <v>124</v>
      </c>
      <c r="CXK46" s="502"/>
      <c r="CXL46" s="502"/>
      <c r="CXM46" s="502"/>
      <c r="CXN46" s="502" t="s">
        <v>124</v>
      </c>
      <c r="CXO46" s="502"/>
      <c r="CXP46" s="502"/>
      <c r="CXQ46" s="502"/>
      <c r="CXR46" s="502" t="s">
        <v>124</v>
      </c>
      <c r="CXS46" s="502"/>
      <c r="CXT46" s="502"/>
      <c r="CXU46" s="502"/>
      <c r="CXV46" s="502" t="s">
        <v>124</v>
      </c>
      <c r="CXW46" s="502"/>
      <c r="CXX46" s="502"/>
      <c r="CXY46" s="502"/>
      <c r="CXZ46" s="502" t="s">
        <v>124</v>
      </c>
      <c r="CYA46" s="502"/>
      <c r="CYB46" s="502"/>
      <c r="CYC46" s="502"/>
      <c r="CYD46" s="502" t="s">
        <v>124</v>
      </c>
      <c r="CYE46" s="502"/>
      <c r="CYF46" s="502"/>
      <c r="CYG46" s="502"/>
      <c r="CYH46" s="502" t="s">
        <v>124</v>
      </c>
      <c r="CYI46" s="502"/>
      <c r="CYJ46" s="502"/>
      <c r="CYK46" s="502"/>
      <c r="CYL46" s="502" t="s">
        <v>124</v>
      </c>
      <c r="CYM46" s="502"/>
      <c r="CYN46" s="502"/>
      <c r="CYO46" s="502"/>
      <c r="CYP46" s="502" t="s">
        <v>124</v>
      </c>
      <c r="CYQ46" s="502"/>
      <c r="CYR46" s="502"/>
      <c r="CYS46" s="502"/>
      <c r="CYT46" s="502" t="s">
        <v>124</v>
      </c>
      <c r="CYU46" s="502"/>
      <c r="CYV46" s="502"/>
      <c r="CYW46" s="502"/>
      <c r="CYX46" s="502" t="s">
        <v>124</v>
      </c>
      <c r="CYY46" s="502"/>
      <c r="CYZ46" s="502"/>
      <c r="CZA46" s="502"/>
      <c r="CZB46" s="502" t="s">
        <v>124</v>
      </c>
      <c r="CZC46" s="502"/>
      <c r="CZD46" s="502"/>
      <c r="CZE46" s="502"/>
      <c r="CZF46" s="502" t="s">
        <v>124</v>
      </c>
      <c r="CZG46" s="502"/>
      <c r="CZH46" s="502"/>
      <c r="CZI46" s="502"/>
      <c r="CZJ46" s="502" t="s">
        <v>124</v>
      </c>
      <c r="CZK46" s="502"/>
      <c r="CZL46" s="502"/>
      <c r="CZM46" s="502"/>
      <c r="CZN46" s="502" t="s">
        <v>124</v>
      </c>
      <c r="CZO46" s="502"/>
      <c r="CZP46" s="502"/>
      <c r="CZQ46" s="502"/>
      <c r="CZR46" s="502" t="s">
        <v>124</v>
      </c>
      <c r="CZS46" s="502"/>
      <c r="CZT46" s="502"/>
      <c r="CZU46" s="502"/>
      <c r="CZV46" s="502" t="s">
        <v>124</v>
      </c>
      <c r="CZW46" s="502"/>
      <c r="CZX46" s="502"/>
      <c r="CZY46" s="502"/>
      <c r="CZZ46" s="502" t="s">
        <v>124</v>
      </c>
      <c r="DAA46" s="502"/>
      <c r="DAB46" s="502"/>
      <c r="DAC46" s="502"/>
      <c r="DAD46" s="502" t="s">
        <v>124</v>
      </c>
      <c r="DAE46" s="502"/>
      <c r="DAF46" s="502"/>
      <c r="DAG46" s="502"/>
      <c r="DAH46" s="502" t="s">
        <v>124</v>
      </c>
      <c r="DAI46" s="502"/>
      <c r="DAJ46" s="502"/>
      <c r="DAK46" s="502"/>
      <c r="DAL46" s="502" t="s">
        <v>124</v>
      </c>
      <c r="DAM46" s="502"/>
      <c r="DAN46" s="502"/>
      <c r="DAO46" s="502"/>
      <c r="DAP46" s="502" t="s">
        <v>124</v>
      </c>
      <c r="DAQ46" s="502"/>
      <c r="DAR46" s="502"/>
      <c r="DAS46" s="502"/>
      <c r="DAT46" s="502" t="s">
        <v>124</v>
      </c>
      <c r="DAU46" s="502"/>
      <c r="DAV46" s="502"/>
      <c r="DAW46" s="502"/>
      <c r="DAX46" s="502" t="s">
        <v>124</v>
      </c>
      <c r="DAY46" s="502"/>
      <c r="DAZ46" s="502"/>
      <c r="DBA46" s="502"/>
      <c r="DBB46" s="502" t="s">
        <v>124</v>
      </c>
      <c r="DBC46" s="502"/>
      <c r="DBD46" s="502"/>
      <c r="DBE46" s="502"/>
      <c r="DBF46" s="502" t="s">
        <v>124</v>
      </c>
      <c r="DBG46" s="502"/>
      <c r="DBH46" s="502"/>
      <c r="DBI46" s="502"/>
      <c r="DBJ46" s="502" t="s">
        <v>124</v>
      </c>
      <c r="DBK46" s="502"/>
      <c r="DBL46" s="502"/>
      <c r="DBM46" s="502"/>
      <c r="DBN46" s="502" t="s">
        <v>124</v>
      </c>
      <c r="DBO46" s="502"/>
      <c r="DBP46" s="502"/>
      <c r="DBQ46" s="502"/>
      <c r="DBR46" s="502" t="s">
        <v>124</v>
      </c>
      <c r="DBS46" s="502"/>
      <c r="DBT46" s="502"/>
      <c r="DBU46" s="502"/>
      <c r="DBV46" s="502" t="s">
        <v>124</v>
      </c>
      <c r="DBW46" s="502"/>
      <c r="DBX46" s="502"/>
      <c r="DBY46" s="502"/>
      <c r="DBZ46" s="502" t="s">
        <v>124</v>
      </c>
      <c r="DCA46" s="502"/>
      <c r="DCB46" s="502"/>
      <c r="DCC46" s="502"/>
      <c r="DCD46" s="502" t="s">
        <v>124</v>
      </c>
      <c r="DCE46" s="502"/>
      <c r="DCF46" s="502"/>
      <c r="DCG46" s="502"/>
      <c r="DCH46" s="502" t="s">
        <v>124</v>
      </c>
      <c r="DCI46" s="502"/>
      <c r="DCJ46" s="502"/>
      <c r="DCK46" s="502"/>
      <c r="DCL46" s="502" t="s">
        <v>124</v>
      </c>
      <c r="DCM46" s="502"/>
      <c r="DCN46" s="502"/>
      <c r="DCO46" s="502"/>
      <c r="DCP46" s="502" t="s">
        <v>124</v>
      </c>
      <c r="DCQ46" s="502"/>
      <c r="DCR46" s="502"/>
      <c r="DCS46" s="502"/>
      <c r="DCT46" s="502" t="s">
        <v>124</v>
      </c>
      <c r="DCU46" s="502"/>
      <c r="DCV46" s="502"/>
      <c r="DCW46" s="502"/>
      <c r="DCX46" s="502" t="s">
        <v>124</v>
      </c>
      <c r="DCY46" s="502"/>
      <c r="DCZ46" s="502"/>
      <c r="DDA46" s="502"/>
      <c r="DDB46" s="502" t="s">
        <v>124</v>
      </c>
      <c r="DDC46" s="502"/>
      <c r="DDD46" s="502"/>
      <c r="DDE46" s="502"/>
      <c r="DDF46" s="502" t="s">
        <v>124</v>
      </c>
      <c r="DDG46" s="502"/>
      <c r="DDH46" s="502"/>
      <c r="DDI46" s="502"/>
      <c r="DDJ46" s="502" t="s">
        <v>124</v>
      </c>
      <c r="DDK46" s="502"/>
      <c r="DDL46" s="502"/>
      <c r="DDM46" s="502"/>
      <c r="DDN46" s="502" t="s">
        <v>124</v>
      </c>
      <c r="DDO46" s="502"/>
      <c r="DDP46" s="502"/>
      <c r="DDQ46" s="502"/>
      <c r="DDR46" s="502" t="s">
        <v>124</v>
      </c>
      <c r="DDS46" s="502"/>
      <c r="DDT46" s="502"/>
      <c r="DDU46" s="502"/>
      <c r="DDV46" s="502" t="s">
        <v>124</v>
      </c>
      <c r="DDW46" s="502"/>
      <c r="DDX46" s="502"/>
      <c r="DDY46" s="502"/>
      <c r="DDZ46" s="502" t="s">
        <v>124</v>
      </c>
      <c r="DEA46" s="502"/>
      <c r="DEB46" s="502"/>
      <c r="DEC46" s="502"/>
      <c r="DED46" s="502" t="s">
        <v>124</v>
      </c>
      <c r="DEE46" s="502"/>
      <c r="DEF46" s="502"/>
      <c r="DEG46" s="502"/>
      <c r="DEH46" s="502" t="s">
        <v>124</v>
      </c>
      <c r="DEI46" s="502"/>
      <c r="DEJ46" s="502"/>
      <c r="DEK46" s="502"/>
      <c r="DEL46" s="502" t="s">
        <v>124</v>
      </c>
      <c r="DEM46" s="502"/>
      <c r="DEN46" s="502"/>
      <c r="DEO46" s="502"/>
      <c r="DEP46" s="502" t="s">
        <v>124</v>
      </c>
      <c r="DEQ46" s="502"/>
      <c r="DER46" s="502"/>
      <c r="DES46" s="502"/>
      <c r="DET46" s="502" t="s">
        <v>124</v>
      </c>
      <c r="DEU46" s="502"/>
      <c r="DEV46" s="502"/>
      <c r="DEW46" s="502"/>
      <c r="DEX46" s="502" t="s">
        <v>124</v>
      </c>
      <c r="DEY46" s="502"/>
      <c r="DEZ46" s="502"/>
      <c r="DFA46" s="502"/>
      <c r="DFB46" s="502" t="s">
        <v>124</v>
      </c>
      <c r="DFC46" s="502"/>
      <c r="DFD46" s="502"/>
      <c r="DFE46" s="502"/>
      <c r="DFF46" s="502" t="s">
        <v>124</v>
      </c>
      <c r="DFG46" s="502"/>
      <c r="DFH46" s="502"/>
      <c r="DFI46" s="502"/>
      <c r="DFJ46" s="502" t="s">
        <v>124</v>
      </c>
      <c r="DFK46" s="502"/>
      <c r="DFL46" s="502"/>
      <c r="DFM46" s="502"/>
      <c r="DFN46" s="502" t="s">
        <v>124</v>
      </c>
      <c r="DFO46" s="502"/>
      <c r="DFP46" s="502"/>
      <c r="DFQ46" s="502"/>
      <c r="DFR46" s="502" t="s">
        <v>124</v>
      </c>
      <c r="DFS46" s="502"/>
      <c r="DFT46" s="502"/>
      <c r="DFU46" s="502"/>
      <c r="DFV46" s="502" t="s">
        <v>124</v>
      </c>
      <c r="DFW46" s="502"/>
      <c r="DFX46" s="502"/>
      <c r="DFY46" s="502"/>
      <c r="DFZ46" s="502" t="s">
        <v>124</v>
      </c>
      <c r="DGA46" s="502"/>
      <c r="DGB46" s="502"/>
      <c r="DGC46" s="502"/>
      <c r="DGD46" s="502" t="s">
        <v>124</v>
      </c>
      <c r="DGE46" s="502"/>
      <c r="DGF46" s="502"/>
      <c r="DGG46" s="502"/>
      <c r="DGH46" s="502" t="s">
        <v>124</v>
      </c>
      <c r="DGI46" s="502"/>
      <c r="DGJ46" s="502"/>
      <c r="DGK46" s="502"/>
      <c r="DGL46" s="502" t="s">
        <v>124</v>
      </c>
      <c r="DGM46" s="502"/>
      <c r="DGN46" s="502"/>
      <c r="DGO46" s="502"/>
      <c r="DGP46" s="502" t="s">
        <v>124</v>
      </c>
      <c r="DGQ46" s="502"/>
      <c r="DGR46" s="502"/>
      <c r="DGS46" s="502"/>
      <c r="DGT46" s="502" t="s">
        <v>124</v>
      </c>
      <c r="DGU46" s="502"/>
      <c r="DGV46" s="502"/>
      <c r="DGW46" s="502"/>
      <c r="DGX46" s="502" t="s">
        <v>124</v>
      </c>
      <c r="DGY46" s="502"/>
      <c r="DGZ46" s="502"/>
      <c r="DHA46" s="502"/>
      <c r="DHB46" s="502" t="s">
        <v>124</v>
      </c>
      <c r="DHC46" s="502"/>
      <c r="DHD46" s="502"/>
      <c r="DHE46" s="502"/>
      <c r="DHF46" s="502" t="s">
        <v>124</v>
      </c>
      <c r="DHG46" s="502"/>
      <c r="DHH46" s="502"/>
      <c r="DHI46" s="502"/>
      <c r="DHJ46" s="502" t="s">
        <v>124</v>
      </c>
      <c r="DHK46" s="502"/>
      <c r="DHL46" s="502"/>
      <c r="DHM46" s="502"/>
      <c r="DHN46" s="502" t="s">
        <v>124</v>
      </c>
      <c r="DHO46" s="502"/>
      <c r="DHP46" s="502"/>
      <c r="DHQ46" s="502"/>
      <c r="DHR46" s="502" t="s">
        <v>124</v>
      </c>
      <c r="DHS46" s="502"/>
      <c r="DHT46" s="502"/>
      <c r="DHU46" s="502"/>
      <c r="DHV46" s="502" t="s">
        <v>124</v>
      </c>
      <c r="DHW46" s="502"/>
      <c r="DHX46" s="502"/>
      <c r="DHY46" s="502"/>
      <c r="DHZ46" s="502" t="s">
        <v>124</v>
      </c>
      <c r="DIA46" s="502"/>
      <c r="DIB46" s="502"/>
      <c r="DIC46" s="502"/>
      <c r="DID46" s="502" t="s">
        <v>124</v>
      </c>
      <c r="DIE46" s="502"/>
      <c r="DIF46" s="502"/>
      <c r="DIG46" s="502"/>
      <c r="DIH46" s="502" t="s">
        <v>124</v>
      </c>
      <c r="DII46" s="502"/>
      <c r="DIJ46" s="502"/>
      <c r="DIK46" s="502"/>
      <c r="DIL46" s="502" t="s">
        <v>124</v>
      </c>
      <c r="DIM46" s="502"/>
      <c r="DIN46" s="502"/>
      <c r="DIO46" s="502"/>
      <c r="DIP46" s="502" t="s">
        <v>124</v>
      </c>
      <c r="DIQ46" s="502"/>
      <c r="DIR46" s="502"/>
      <c r="DIS46" s="502"/>
      <c r="DIT46" s="502" t="s">
        <v>124</v>
      </c>
      <c r="DIU46" s="502"/>
      <c r="DIV46" s="502"/>
      <c r="DIW46" s="502"/>
      <c r="DIX46" s="502" t="s">
        <v>124</v>
      </c>
      <c r="DIY46" s="502"/>
      <c r="DIZ46" s="502"/>
      <c r="DJA46" s="502"/>
      <c r="DJB46" s="502" t="s">
        <v>124</v>
      </c>
      <c r="DJC46" s="502"/>
      <c r="DJD46" s="502"/>
      <c r="DJE46" s="502"/>
      <c r="DJF46" s="502" t="s">
        <v>124</v>
      </c>
      <c r="DJG46" s="502"/>
      <c r="DJH46" s="502"/>
      <c r="DJI46" s="502"/>
      <c r="DJJ46" s="502" t="s">
        <v>124</v>
      </c>
      <c r="DJK46" s="502"/>
      <c r="DJL46" s="502"/>
      <c r="DJM46" s="502"/>
      <c r="DJN46" s="502" t="s">
        <v>124</v>
      </c>
      <c r="DJO46" s="502"/>
      <c r="DJP46" s="502"/>
      <c r="DJQ46" s="502"/>
      <c r="DJR46" s="502" t="s">
        <v>124</v>
      </c>
      <c r="DJS46" s="502"/>
      <c r="DJT46" s="502"/>
      <c r="DJU46" s="502"/>
      <c r="DJV46" s="502" t="s">
        <v>124</v>
      </c>
      <c r="DJW46" s="502"/>
      <c r="DJX46" s="502"/>
      <c r="DJY46" s="502"/>
      <c r="DJZ46" s="502" t="s">
        <v>124</v>
      </c>
      <c r="DKA46" s="502"/>
      <c r="DKB46" s="502"/>
      <c r="DKC46" s="502"/>
      <c r="DKD46" s="502" t="s">
        <v>124</v>
      </c>
      <c r="DKE46" s="502"/>
      <c r="DKF46" s="502"/>
      <c r="DKG46" s="502"/>
      <c r="DKH46" s="502" t="s">
        <v>124</v>
      </c>
      <c r="DKI46" s="502"/>
      <c r="DKJ46" s="502"/>
      <c r="DKK46" s="502"/>
      <c r="DKL46" s="502" t="s">
        <v>124</v>
      </c>
      <c r="DKM46" s="502"/>
      <c r="DKN46" s="502"/>
      <c r="DKO46" s="502"/>
      <c r="DKP46" s="502" t="s">
        <v>124</v>
      </c>
      <c r="DKQ46" s="502"/>
      <c r="DKR46" s="502"/>
      <c r="DKS46" s="502"/>
      <c r="DKT46" s="502" t="s">
        <v>124</v>
      </c>
      <c r="DKU46" s="502"/>
      <c r="DKV46" s="502"/>
      <c r="DKW46" s="502"/>
      <c r="DKX46" s="502" t="s">
        <v>124</v>
      </c>
      <c r="DKY46" s="502"/>
      <c r="DKZ46" s="502"/>
      <c r="DLA46" s="502"/>
      <c r="DLB46" s="502" t="s">
        <v>124</v>
      </c>
      <c r="DLC46" s="502"/>
      <c r="DLD46" s="502"/>
      <c r="DLE46" s="502"/>
      <c r="DLF46" s="502" t="s">
        <v>124</v>
      </c>
      <c r="DLG46" s="502"/>
      <c r="DLH46" s="502"/>
      <c r="DLI46" s="502"/>
      <c r="DLJ46" s="502" t="s">
        <v>124</v>
      </c>
      <c r="DLK46" s="502"/>
      <c r="DLL46" s="502"/>
      <c r="DLM46" s="502"/>
      <c r="DLN46" s="502" t="s">
        <v>124</v>
      </c>
      <c r="DLO46" s="502"/>
      <c r="DLP46" s="502"/>
      <c r="DLQ46" s="502"/>
      <c r="DLR46" s="502" t="s">
        <v>124</v>
      </c>
      <c r="DLS46" s="502"/>
      <c r="DLT46" s="502"/>
      <c r="DLU46" s="502"/>
      <c r="DLV46" s="502" t="s">
        <v>124</v>
      </c>
      <c r="DLW46" s="502"/>
      <c r="DLX46" s="502"/>
      <c r="DLY46" s="502"/>
      <c r="DLZ46" s="502" t="s">
        <v>124</v>
      </c>
      <c r="DMA46" s="502"/>
      <c r="DMB46" s="502"/>
      <c r="DMC46" s="502"/>
      <c r="DMD46" s="502" t="s">
        <v>124</v>
      </c>
      <c r="DME46" s="502"/>
      <c r="DMF46" s="502"/>
      <c r="DMG46" s="502"/>
      <c r="DMH46" s="502" t="s">
        <v>124</v>
      </c>
      <c r="DMI46" s="502"/>
      <c r="DMJ46" s="502"/>
      <c r="DMK46" s="502"/>
      <c r="DML46" s="502" t="s">
        <v>124</v>
      </c>
      <c r="DMM46" s="502"/>
      <c r="DMN46" s="502"/>
      <c r="DMO46" s="502"/>
      <c r="DMP46" s="502" t="s">
        <v>124</v>
      </c>
      <c r="DMQ46" s="502"/>
      <c r="DMR46" s="502"/>
      <c r="DMS46" s="502"/>
      <c r="DMT46" s="502" t="s">
        <v>124</v>
      </c>
      <c r="DMU46" s="502"/>
      <c r="DMV46" s="502"/>
      <c r="DMW46" s="502"/>
      <c r="DMX46" s="502" t="s">
        <v>124</v>
      </c>
      <c r="DMY46" s="502"/>
      <c r="DMZ46" s="502"/>
      <c r="DNA46" s="502"/>
      <c r="DNB46" s="502" t="s">
        <v>124</v>
      </c>
      <c r="DNC46" s="502"/>
      <c r="DND46" s="502"/>
      <c r="DNE46" s="502"/>
      <c r="DNF46" s="502" t="s">
        <v>124</v>
      </c>
      <c r="DNG46" s="502"/>
      <c r="DNH46" s="502"/>
      <c r="DNI46" s="502"/>
      <c r="DNJ46" s="502" t="s">
        <v>124</v>
      </c>
      <c r="DNK46" s="502"/>
      <c r="DNL46" s="502"/>
      <c r="DNM46" s="502"/>
      <c r="DNN46" s="502" t="s">
        <v>124</v>
      </c>
      <c r="DNO46" s="502"/>
      <c r="DNP46" s="502"/>
      <c r="DNQ46" s="502"/>
      <c r="DNR46" s="502" t="s">
        <v>124</v>
      </c>
      <c r="DNS46" s="502"/>
      <c r="DNT46" s="502"/>
      <c r="DNU46" s="502"/>
      <c r="DNV46" s="502" t="s">
        <v>124</v>
      </c>
      <c r="DNW46" s="502"/>
      <c r="DNX46" s="502"/>
      <c r="DNY46" s="502"/>
      <c r="DNZ46" s="502" t="s">
        <v>124</v>
      </c>
      <c r="DOA46" s="502"/>
      <c r="DOB46" s="502"/>
      <c r="DOC46" s="502"/>
      <c r="DOD46" s="502" t="s">
        <v>124</v>
      </c>
      <c r="DOE46" s="502"/>
      <c r="DOF46" s="502"/>
      <c r="DOG46" s="502"/>
      <c r="DOH46" s="502" t="s">
        <v>124</v>
      </c>
      <c r="DOI46" s="502"/>
      <c r="DOJ46" s="502"/>
      <c r="DOK46" s="502"/>
      <c r="DOL46" s="502" t="s">
        <v>124</v>
      </c>
      <c r="DOM46" s="502"/>
      <c r="DON46" s="502"/>
      <c r="DOO46" s="502"/>
      <c r="DOP46" s="502" t="s">
        <v>124</v>
      </c>
      <c r="DOQ46" s="502"/>
      <c r="DOR46" s="502"/>
      <c r="DOS46" s="502"/>
      <c r="DOT46" s="502" t="s">
        <v>124</v>
      </c>
      <c r="DOU46" s="502"/>
      <c r="DOV46" s="502"/>
      <c r="DOW46" s="502"/>
      <c r="DOX46" s="502" t="s">
        <v>124</v>
      </c>
      <c r="DOY46" s="502"/>
      <c r="DOZ46" s="502"/>
      <c r="DPA46" s="502"/>
      <c r="DPB46" s="502" t="s">
        <v>124</v>
      </c>
      <c r="DPC46" s="502"/>
      <c r="DPD46" s="502"/>
      <c r="DPE46" s="502"/>
      <c r="DPF46" s="502" t="s">
        <v>124</v>
      </c>
      <c r="DPG46" s="502"/>
      <c r="DPH46" s="502"/>
      <c r="DPI46" s="502"/>
      <c r="DPJ46" s="502" t="s">
        <v>124</v>
      </c>
      <c r="DPK46" s="502"/>
      <c r="DPL46" s="502"/>
      <c r="DPM46" s="502"/>
      <c r="DPN46" s="502" t="s">
        <v>124</v>
      </c>
      <c r="DPO46" s="502"/>
      <c r="DPP46" s="502"/>
      <c r="DPQ46" s="502"/>
      <c r="DPR46" s="502" t="s">
        <v>124</v>
      </c>
      <c r="DPS46" s="502"/>
      <c r="DPT46" s="502"/>
      <c r="DPU46" s="502"/>
      <c r="DPV46" s="502" t="s">
        <v>124</v>
      </c>
      <c r="DPW46" s="502"/>
      <c r="DPX46" s="502"/>
      <c r="DPY46" s="502"/>
      <c r="DPZ46" s="502" t="s">
        <v>124</v>
      </c>
      <c r="DQA46" s="502"/>
      <c r="DQB46" s="502"/>
      <c r="DQC46" s="502"/>
      <c r="DQD46" s="502" t="s">
        <v>124</v>
      </c>
      <c r="DQE46" s="502"/>
      <c r="DQF46" s="502"/>
      <c r="DQG46" s="502"/>
      <c r="DQH46" s="502" t="s">
        <v>124</v>
      </c>
      <c r="DQI46" s="502"/>
      <c r="DQJ46" s="502"/>
      <c r="DQK46" s="502"/>
      <c r="DQL46" s="502" t="s">
        <v>124</v>
      </c>
      <c r="DQM46" s="502"/>
      <c r="DQN46" s="502"/>
      <c r="DQO46" s="502"/>
      <c r="DQP46" s="502" t="s">
        <v>124</v>
      </c>
      <c r="DQQ46" s="502"/>
      <c r="DQR46" s="502"/>
      <c r="DQS46" s="502"/>
      <c r="DQT46" s="502" t="s">
        <v>124</v>
      </c>
      <c r="DQU46" s="502"/>
      <c r="DQV46" s="502"/>
      <c r="DQW46" s="502"/>
      <c r="DQX46" s="502" t="s">
        <v>124</v>
      </c>
      <c r="DQY46" s="502"/>
      <c r="DQZ46" s="502"/>
      <c r="DRA46" s="502"/>
      <c r="DRB46" s="502" t="s">
        <v>124</v>
      </c>
      <c r="DRC46" s="502"/>
      <c r="DRD46" s="502"/>
      <c r="DRE46" s="502"/>
      <c r="DRF46" s="502" t="s">
        <v>124</v>
      </c>
      <c r="DRG46" s="502"/>
      <c r="DRH46" s="502"/>
      <c r="DRI46" s="502"/>
      <c r="DRJ46" s="502" t="s">
        <v>124</v>
      </c>
      <c r="DRK46" s="502"/>
      <c r="DRL46" s="502"/>
      <c r="DRM46" s="502"/>
      <c r="DRN46" s="502" t="s">
        <v>124</v>
      </c>
      <c r="DRO46" s="502"/>
      <c r="DRP46" s="502"/>
      <c r="DRQ46" s="502"/>
      <c r="DRR46" s="502" t="s">
        <v>124</v>
      </c>
      <c r="DRS46" s="502"/>
      <c r="DRT46" s="502"/>
      <c r="DRU46" s="502"/>
      <c r="DRV46" s="502" t="s">
        <v>124</v>
      </c>
      <c r="DRW46" s="502"/>
      <c r="DRX46" s="502"/>
      <c r="DRY46" s="502"/>
      <c r="DRZ46" s="502" t="s">
        <v>124</v>
      </c>
      <c r="DSA46" s="502"/>
      <c r="DSB46" s="502"/>
      <c r="DSC46" s="502"/>
      <c r="DSD46" s="502" t="s">
        <v>124</v>
      </c>
      <c r="DSE46" s="502"/>
      <c r="DSF46" s="502"/>
      <c r="DSG46" s="502"/>
      <c r="DSH46" s="502" t="s">
        <v>124</v>
      </c>
      <c r="DSI46" s="502"/>
      <c r="DSJ46" s="502"/>
      <c r="DSK46" s="502"/>
      <c r="DSL46" s="502" t="s">
        <v>124</v>
      </c>
      <c r="DSM46" s="502"/>
      <c r="DSN46" s="502"/>
      <c r="DSO46" s="502"/>
      <c r="DSP46" s="502" t="s">
        <v>124</v>
      </c>
      <c r="DSQ46" s="502"/>
      <c r="DSR46" s="502"/>
      <c r="DSS46" s="502"/>
      <c r="DST46" s="502" t="s">
        <v>124</v>
      </c>
      <c r="DSU46" s="502"/>
      <c r="DSV46" s="502"/>
      <c r="DSW46" s="502"/>
      <c r="DSX46" s="502" t="s">
        <v>124</v>
      </c>
      <c r="DSY46" s="502"/>
      <c r="DSZ46" s="502"/>
      <c r="DTA46" s="502"/>
      <c r="DTB46" s="502" t="s">
        <v>124</v>
      </c>
      <c r="DTC46" s="502"/>
      <c r="DTD46" s="502"/>
      <c r="DTE46" s="502"/>
      <c r="DTF46" s="502" t="s">
        <v>124</v>
      </c>
      <c r="DTG46" s="502"/>
      <c r="DTH46" s="502"/>
      <c r="DTI46" s="502"/>
      <c r="DTJ46" s="502" t="s">
        <v>124</v>
      </c>
      <c r="DTK46" s="502"/>
      <c r="DTL46" s="502"/>
      <c r="DTM46" s="502"/>
      <c r="DTN46" s="502" t="s">
        <v>124</v>
      </c>
      <c r="DTO46" s="502"/>
      <c r="DTP46" s="502"/>
      <c r="DTQ46" s="502"/>
      <c r="DTR46" s="502" t="s">
        <v>124</v>
      </c>
      <c r="DTS46" s="502"/>
      <c r="DTT46" s="502"/>
      <c r="DTU46" s="502"/>
      <c r="DTV46" s="502" t="s">
        <v>124</v>
      </c>
      <c r="DTW46" s="502"/>
      <c r="DTX46" s="502"/>
      <c r="DTY46" s="502"/>
      <c r="DTZ46" s="502" t="s">
        <v>124</v>
      </c>
      <c r="DUA46" s="502"/>
      <c r="DUB46" s="502"/>
      <c r="DUC46" s="502"/>
      <c r="DUD46" s="502" t="s">
        <v>124</v>
      </c>
      <c r="DUE46" s="502"/>
      <c r="DUF46" s="502"/>
      <c r="DUG46" s="502"/>
      <c r="DUH46" s="502" t="s">
        <v>124</v>
      </c>
      <c r="DUI46" s="502"/>
      <c r="DUJ46" s="502"/>
      <c r="DUK46" s="502"/>
      <c r="DUL46" s="502" t="s">
        <v>124</v>
      </c>
      <c r="DUM46" s="502"/>
      <c r="DUN46" s="502"/>
      <c r="DUO46" s="502"/>
      <c r="DUP46" s="502" t="s">
        <v>124</v>
      </c>
      <c r="DUQ46" s="502"/>
      <c r="DUR46" s="502"/>
      <c r="DUS46" s="502"/>
      <c r="DUT46" s="502" t="s">
        <v>124</v>
      </c>
      <c r="DUU46" s="502"/>
      <c r="DUV46" s="502"/>
      <c r="DUW46" s="502"/>
      <c r="DUX46" s="502" t="s">
        <v>124</v>
      </c>
      <c r="DUY46" s="502"/>
      <c r="DUZ46" s="502"/>
      <c r="DVA46" s="502"/>
      <c r="DVB46" s="502" t="s">
        <v>124</v>
      </c>
      <c r="DVC46" s="502"/>
      <c r="DVD46" s="502"/>
      <c r="DVE46" s="502"/>
      <c r="DVF46" s="502" t="s">
        <v>124</v>
      </c>
      <c r="DVG46" s="502"/>
      <c r="DVH46" s="502"/>
      <c r="DVI46" s="502"/>
      <c r="DVJ46" s="502" t="s">
        <v>124</v>
      </c>
      <c r="DVK46" s="502"/>
      <c r="DVL46" s="502"/>
      <c r="DVM46" s="502"/>
      <c r="DVN46" s="502" t="s">
        <v>124</v>
      </c>
      <c r="DVO46" s="502"/>
      <c r="DVP46" s="502"/>
      <c r="DVQ46" s="502"/>
      <c r="DVR46" s="502" t="s">
        <v>124</v>
      </c>
      <c r="DVS46" s="502"/>
      <c r="DVT46" s="502"/>
      <c r="DVU46" s="502"/>
      <c r="DVV46" s="502" t="s">
        <v>124</v>
      </c>
      <c r="DVW46" s="502"/>
      <c r="DVX46" s="502"/>
      <c r="DVY46" s="502"/>
      <c r="DVZ46" s="502" t="s">
        <v>124</v>
      </c>
      <c r="DWA46" s="502"/>
      <c r="DWB46" s="502"/>
      <c r="DWC46" s="502"/>
      <c r="DWD46" s="502" t="s">
        <v>124</v>
      </c>
      <c r="DWE46" s="502"/>
      <c r="DWF46" s="502"/>
      <c r="DWG46" s="502"/>
      <c r="DWH46" s="502" t="s">
        <v>124</v>
      </c>
      <c r="DWI46" s="502"/>
      <c r="DWJ46" s="502"/>
      <c r="DWK46" s="502"/>
      <c r="DWL46" s="502" t="s">
        <v>124</v>
      </c>
      <c r="DWM46" s="502"/>
      <c r="DWN46" s="502"/>
      <c r="DWO46" s="502"/>
      <c r="DWP46" s="502" t="s">
        <v>124</v>
      </c>
      <c r="DWQ46" s="502"/>
      <c r="DWR46" s="502"/>
      <c r="DWS46" s="502"/>
      <c r="DWT46" s="502" t="s">
        <v>124</v>
      </c>
      <c r="DWU46" s="502"/>
      <c r="DWV46" s="502"/>
      <c r="DWW46" s="502"/>
      <c r="DWX46" s="502" t="s">
        <v>124</v>
      </c>
      <c r="DWY46" s="502"/>
      <c r="DWZ46" s="502"/>
      <c r="DXA46" s="502"/>
      <c r="DXB46" s="502" t="s">
        <v>124</v>
      </c>
      <c r="DXC46" s="502"/>
      <c r="DXD46" s="502"/>
      <c r="DXE46" s="502"/>
      <c r="DXF46" s="502" t="s">
        <v>124</v>
      </c>
      <c r="DXG46" s="502"/>
      <c r="DXH46" s="502"/>
      <c r="DXI46" s="502"/>
      <c r="DXJ46" s="502" t="s">
        <v>124</v>
      </c>
      <c r="DXK46" s="502"/>
      <c r="DXL46" s="502"/>
      <c r="DXM46" s="502"/>
      <c r="DXN46" s="502" t="s">
        <v>124</v>
      </c>
      <c r="DXO46" s="502"/>
      <c r="DXP46" s="502"/>
      <c r="DXQ46" s="502"/>
      <c r="DXR46" s="502" t="s">
        <v>124</v>
      </c>
      <c r="DXS46" s="502"/>
      <c r="DXT46" s="502"/>
      <c r="DXU46" s="502"/>
      <c r="DXV46" s="502" t="s">
        <v>124</v>
      </c>
      <c r="DXW46" s="502"/>
      <c r="DXX46" s="502"/>
      <c r="DXY46" s="502"/>
      <c r="DXZ46" s="502" t="s">
        <v>124</v>
      </c>
      <c r="DYA46" s="502"/>
      <c r="DYB46" s="502"/>
      <c r="DYC46" s="502"/>
      <c r="DYD46" s="502" t="s">
        <v>124</v>
      </c>
      <c r="DYE46" s="502"/>
      <c r="DYF46" s="502"/>
      <c r="DYG46" s="502"/>
      <c r="DYH46" s="502" t="s">
        <v>124</v>
      </c>
      <c r="DYI46" s="502"/>
      <c r="DYJ46" s="502"/>
      <c r="DYK46" s="502"/>
      <c r="DYL46" s="502" t="s">
        <v>124</v>
      </c>
      <c r="DYM46" s="502"/>
      <c r="DYN46" s="502"/>
      <c r="DYO46" s="502"/>
      <c r="DYP46" s="502" t="s">
        <v>124</v>
      </c>
      <c r="DYQ46" s="502"/>
      <c r="DYR46" s="502"/>
      <c r="DYS46" s="502"/>
      <c r="DYT46" s="502" t="s">
        <v>124</v>
      </c>
      <c r="DYU46" s="502"/>
      <c r="DYV46" s="502"/>
      <c r="DYW46" s="502"/>
      <c r="DYX46" s="502" t="s">
        <v>124</v>
      </c>
      <c r="DYY46" s="502"/>
      <c r="DYZ46" s="502"/>
      <c r="DZA46" s="502"/>
      <c r="DZB46" s="502" t="s">
        <v>124</v>
      </c>
      <c r="DZC46" s="502"/>
      <c r="DZD46" s="502"/>
      <c r="DZE46" s="502"/>
      <c r="DZF46" s="502" t="s">
        <v>124</v>
      </c>
      <c r="DZG46" s="502"/>
      <c r="DZH46" s="502"/>
      <c r="DZI46" s="502"/>
      <c r="DZJ46" s="502" t="s">
        <v>124</v>
      </c>
      <c r="DZK46" s="502"/>
      <c r="DZL46" s="502"/>
      <c r="DZM46" s="502"/>
      <c r="DZN46" s="502" t="s">
        <v>124</v>
      </c>
      <c r="DZO46" s="502"/>
      <c r="DZP46" s="502"/>
      <c r="DZQ46" s="502"/>
      <c r="DZR46" s="502" t="s">
        <v>124</v>
      </c>
      <c r="DZS46" s="502"/>
      <c r="DZT46" s="502"/>
      <c r="DZU46" s="502"/>
      <c r="DZV46" s="502" t="s">
        <v>124</v>
      </c>
      <c r="DZW46" s="502"/>
      <c r="DZX46" s="502"/>
      <c r="DZY46" s="502"/>
      <c r="DZZ46" s="502" t="s">
        <v>124</v>
      </c>
      <c r="EAA46" s="502"/>
      <c r="EAB46" s="502"/>
      <c r="EAC46" s="502"/>
      <c r="EAD46" s="502" t="s">
        <v>124</v>
      </c>
      <c r="EAE46" s="502"/>
      <c r="EAF46" s="502"/>
      <c r="EAG46" s="502"/>
      <c r="EAH46" s="502" t="s">
        <v>124</v>
      </c>
      <c r="EAI46" s="502"/>
      <c r="EAJ46" s="502"/>
      <c r="EAK46" s="502"/>
      <c r="EAL46" s="502" t="s">
        <v>124</v>
      </c>
      <c r="EAM46" s="502"/>
      <c r="EAN46" s="502"/>
      <c r="EAO46" s="502"/>
      <c r="EAP46" s="502" t="s">
        <v>124</v>
      </c>
      <c r="EAQ46" s="502"/>
      <c r="EAR46" s="502"/>
      <c r="EAS46" s="502"/>
      <c r="EAT46" s="502" t="s">
        <v>124</v>
      </c>
      <c r="EAU46" s="502"/>
      <c r="EAV46" s="502"/>
      <c r="EAW46" s="502"/>
      <c r="EAX46" s="502" t="s">
        <v>124</v>
      </c>
      <c r="EAY46" s="502"/>
      <c r="EAZ46" s="502"/>
      <c r="EBA46" s="502"/>
      <c r="EBB46" s="502" t="s">
        <v>124</v>
      </c>
      <c r="EBC46" s="502"/>
      <c r="EBD46" s="502"/>
      <c r="EBE46" s="502"/>
      <c r="EBF46" s="502" t="s">
        <v>124</v>
      </c>
      <c r="EBG46" s="502"/>
      <c r="EBH46" s="502"/>
      <c r="EBI46" s="502"/>
      <c r="EBJ46" s="502" t="s">
        <v>124</v>
      </c>
      <c r="EBK46" s="502"/>
      <c r="EBL46" s="502"/>
      <c r="EBM46" s="502"/>
      <c r="EBN46" s="502" t="s">
        <v>124</v>
      </c>
      <c r="EBO46" s="502"/>
      <c r="EBP46" s="502"/>
      <c r="EBQ46" s="502"/>
      <c r="EBR46" s="502" t="s">
        <v>124</v>
      </c>
      <c r="EBS46" s="502"/>
      <c r="EBT46" s="502"/>
      <c r="EBU46" s="502"/>
      <c r="EBV46" s="502" t="s">
        <v>124</v>
      </c>
      <c r="EBW46" s="502"/>
      <c r="EBX46" s="502"/>
      <c r="EBY46" s="502"/>
      <c r="EBZ46" s="502" t="s">
        <v>124</v>
      </c>
      <c r="ECA46" s="502"/>
      <c r="ECB46" s="502"/>
      <c r="ECC46" s="502"/>
      <c r="ECD46" s="502" t="s">
        <v>124</v>
      </c>
      <c r="ECE46" s="502"/>
      <c r="ECF46" s="502"/>
      <c r="ECG46" s="502"/>
      <c r="ECH46" s="502" t="s">
        <v>124</v>
      </c>
      <c r="ECI46" s="502"/>
      <c r="ECJ46" s="502"/>
      <c r="ECK46" s="502"/>
      <c r="ECL46" s="502" t="s">
        <v>124</v>
      </c>
      <c r="ECM46" s="502"/>
      <c r="ECN46" s="502"/>
      <c r="ECO46" s="502"/>
      <c r="ECP46" s="502" t="s">
        <v>124</v>
      </c>
      <c r="ECQ46" s="502"/>
      <c r="ECR46" s="502"/>
      <c r="ECS46" s="502"/>
      <c r="ECT46" s="502" t="s">
        <v>124</v>
      </c>
      <c r="ECU46" s="502"/>
      <c r="ECV46" s="502"/>
      <c r="ECW46" s="502"/>
      <c r="ECX46" s="502" t="s">
        <v>124</v>
      </c>
      <c r="ECY46" s="502"/>
      <c r="ECZ46" s="502"/>
      <c r="EDA46" s="502"/>
      <c r="EDB46" s="502" t="s">
        <v>124</v>
      </c>
      <c r="EDC46" s="502"/>
      <c r="EDD46" s="502"/>
      <c r="EDE46" s="502"/>
      <c r="EDF46" s="502" t="s">
        <v>124</v>
      </c>
      <c r="EDG46" s="502"/>
      <c r="EDH46" s="502"/>
      <c r="EDI46" s="502"/>
      <c r="EDJ46" s="502" t="s">
        <v>124</v>
      </c>
      <c r="EDK46" s="502"/>
      <c r="EDL46" s="502"/>
      <c r="EDM46" s="502"/>
      <c r="EDN46" s="502" t="s">
        <v>124</v>
      </c>
      <c r="EDO46" s="502"/>
      <c r="EDP46" s="502"/>
      <c r="EDQ46" s="502"/>
      <c r="EDR46" s="502" t="s">
        <v>124</v>
      </c>
      <c r="EDS46" s="502"/>
      <c r="EDT46" s="502"/>
      <c r="EDU46" s="502"/>
      <c r="EDV46" s="502" t="s">
        <v>124</v>
      </c>
      <c r="EDW46" s="502"/>
      <c r="EDX46" s="502"/>
      <c r="EDY46" s="502"/>
      <c r="EDZ46" s="502" t="s">
        <v>124</v>
      </c>
      <c r="EEA46" s="502"/>
      <c r="EEB46" s="502"/>
      <c r="EEC46" s="502"/>
      <c r="EED46" s="502" t="s">
        <v>124</v>
      </c>
      <c r="EEE46" s="502"/>
      <c r="EEF46" s="502"/>
      <c r="EEG46" s="502"/>
      <c r="EEH46" s="502" t="s">
        <v>124</v>
      </c>
      <c r="EEI46" s="502"/>
      <c r="EEJ46" s="502"/>
      <c r="EEK46" s="502"/>
      <c r="EEL46" s="502" t="s">
        <v>124</v>
      </c>
      <c r="EEM46" s="502"/>
      <c r="EEN46" s="502"/>
      <c r="EEO46" s="502"/>
      <c r="EEP46" s="502" t="s">
        <v>124</v>
      </c>
      <c r="EEQ46" s="502"/>
      <c r="EER46" s="502"/>
      <c r="EES46" s="502"/>
      <c r="EET46" s="502" t="s">
        <v>124</v>
      </c>
      <c r="EEU46" s="502"/>
      <c r="EEV46" s="502"/>
      <c r="EEW46" s="502"/>
      <c r="EEX46" s="502" t="s">
        <v>124</v>
      </c>
      <c r="EEY46" s="502"/>
      <c r="EEZ46" s="502"/>
      <c r="EFA46" s="502"/>
      <c r="EFB46" s="502" t="s">
        <v>124</v>
      </c>
      <c r="EFC46" s="502"/>
      <c r="EFD46" s="502"/>
      <c r="EFE46" s="502"/>
      <c r="EFF46" s="502" t="s">
        <v>124</v>
      </c>
      <c r="EFG46" s="502"/>
      <c r="EFH46" s="502"/>
      <c r="EFI46" s="502"/>
      <c r="EFJ46" s="502" t="s">
        <v>124</v>
      </c>
      <c r="EFK46" s="502"/>
      <c r="EFL46" s="502"/>
      <c r="EFM46" s="502"/>
      <c r="EFN46" s="502" t="s">
        <v>124</v>
      </c>
      <c r="EFO46" s="502"/>
      <c r="EFP46" s="502"/>
      <c r="EFQ46" s="502"/>
      <c r="EFR46" s="502" t="s">
        <v>124</v>
      </c>
      <c r="EFS46" s="502"/>
      <c r="EFT46" s="502"/>
      <c r="EFU46" s="502"/>
      <c r="EFV46" s="502" t="s">
        <v>124</v>
      </c>
      <c r="EFW46" s="502"/>
      <c r="EFX46" s="502"/>
      <c r="EFY46" s="502"/>
      <c r="EFZ46" s="502" t="s">
        <v>124</v>
      </c>
      <c r="EGA46" s="502"/>
      <c r="EGB46" s="502"/>
      <c r="EGC46" s="502"/>
      <c r="EGD46" s="502" t="s">
        <v>124</v>
      </c>
      <c r="EGE46" s="502"/>
      <c r="EGF46" s="502"/>
      <c r="EGG46" s="502"/>
      <c r="EGH46" s="502" t="s">
        <v>124</v>
      </c>
      <c r="EGI46" s="502"/>
      <c r="EGJ46" s="502"/>
      <c r="EGK46" s="502"/>
      <c r="EGL46" s="502" t="s">
        <v>124</v>
      </c>
      <c r="EGM46" s="502"/>
      <c r="EGN46" s="502"/>
      <c r="EGO46" s="502"/>
      <c r="EGP46" s="502" t="s">
        <v>124</v>
      </c>
      <c r="EGQ46" s="502"/>
      <c r="EGR46" s="502"/>
      <c r="EGS46" s="502"/>
      <c r="EGT46" s="502" t="s">
        <v>124</v>
      </c>
      <c r="EGU46" s="502"/>
      <c r="EGV46" s="502"/>
      <c r="EGW46" s="502"/>
      <c r="EGX46" s="502" t="s">
        <v>124</v>
      </c>
      <c r="EGY46" s="502"/>
      <c r="EGZ46" s="502"/>
      <c r="EHA46" s="502"/>
      <c r="EHB46" s="502" t="s">
        <v>124</v>
      </c>
      <c r="EHC46" s="502"/>
      <c r="EHD46" s="502"/>
      <c r="EHE46" s="502"/>
      <c r="EHF46" s="502" t="s">
        <v>124</v>
      </c>
      <c r="EHG46" s="502"/>
      <c r="EHH46" s="502"/>
      <c r="EHI46" s="502"/>
      <c r="EHJ46" s="502" t="s">
        <v>124</v>
      </c>
      <c r="EHK46" s="502"/>
      <c r="EHL46" s="502"/>
      <c r="EHM46" s="502"/>
      <c r="EHN46" s="502" t="s">
        <v>124</v>
      </c>
      <c r="EHO46" s="502"/>
      <c r="EHP46" s="502"/>
      <c r="EHQ46" s="502"/>
      <c r="EHR46" s="502" t="s">
        <v>124</v>
      </c>
      <c r="EHS46" s="502"/>
      <c r="EHT46" s="502"/>
      <c r="EHU46" s="502"/>
      <c r="EHV46" s="502" t="s">
        <v>124</v>
      </c>
      <c r="EHW46" s="502"/>
      <c r="EHX46" s="502"/>
      <c r="EHY46" s="502"/>
      <c r="EHZ46" s="502" t="s">
        <v>124</v>
      </c>
      <c r="EIA46" s="502"/>
      <c r="EIB46" s="502"/>
      <c r="EIC46" s="502"/>
      <c r="EID46" s="502" t="s">
        <v>124</v>
      </c>
      <c r="EIE46" s="502"/>
      <c r="EIF46" s="502"/>
      <c r="EIG46" s="502"/>
      <c r="EIH46" s="502" t="s">
        <v>124</v>
      </c>
      <c r="EII46" s="502"/>
      <c r="EIJ46" s="502"/>
      <c r="EIK46" s="502"/>
      <c r="EIL46" s="502" t="s">
        <v>124</v>
      </c>
      <c r="EIM46" s="502"/>
      <c r="EIN46" s="502"/>
      <c r="EIO46" s="502"/>
      <c r="EIP46" s="502" t="s">
        <v>124</v>
      </c>
      <c r="EIQ46" s="502"/>
      <c r="EIR46" s="502"/>
      <c r="EIS46" s="502"/>
      <c r="EIT46" s="502" t="s">
        <v>124</v>
      </c>
      <c r="EIU46" s="502"/>
      <c r="EIV46" s="502"/>
      <c r="EIW46" s="502"/>
      <c r="EIX46" s="502" t="s">
        <v>124</v>
      </c>
      <c r="EIY46" s="502"/>
      <c r="EIZ46" s="502"/>
      <c r="EJA46" s="502"/>
      <c r="EJB46" s="502" t="s">
        <v>124</v>
      </c>
      <c r="EJC46" s="502"/>
      <c r="EJD46" s="502"/>
      <c r="EJE46" s="502"/>
      <c r="EJF46" s="502" t="s">
        <v>124</v>
      </c>
      <c r="EJG46" s="502"/>
      <c r="EJH46" s="502"/>
      <c r="EJI46" s="502"/>
      <c r="EJJ46" s="502" t="s">
        <v>124</v>
      </c>
      <c r="EJK46" s="502"/>
      <c r="EJL46" s="502"/>
      <c r="EJM46" s="502"/>
      <c r="EJN46" s="502" t="s">
        <v>124</v>
      </c>
      <c r="EJO46" s="502"/>
      <c r="EJP46" s="502"/>
      <c r="EJQ46" s="502"/>
      <c r="EJR46" s="502" t="s">
        <v>124</v>
      </c>
      <c r="EJS46" s="502"/>
      <c r="EJT46" s="502"/>
      <c r="EJU46" s="502"/>
      <c r="EJV46" s="502" t="s">
        <v>124</v>
      </c>
      <c r="EJW46" s="502"/>
      <c r="EJX46" s="502"/>
      <c r="EJY46" s="502"/>
      <c r="EJZ46" s="502" t="s">
        <v>124</v>
      </c>
      <c r="EKA46" s="502"/>
      <c r="EKB46" s="502"/>
      <c r="EKC46" s="502"/>
      <c r="EKD46" s="502" t="s">
        <v>124</v>
      </c>
      <c r="EKE46" s="502"/>
      <c r="EKF46" s="502"/>
      <c r="EKG46" s="502"/>
      <c r="EKH46" s="502" t="s">
        <v>124</v>
      </c>
      <c r="EKI46" s="502"/>
      <c r="EKJ46" s="502"/>
      <c r="EKK46" s="502"/>
      <c r="EKL46" s="502" t="s">
        <v>124</v>
      </c>
      <c r="EKM46" s="502"/>
      <c r="EKN46" s="502"/>
      <c r="EKO46" s="502"/>
      <c r="EKP46" s="502" t="s">
        <v>124</v>
      </c>
      <c r="EKQ46" s="502"/>
      <c r="EKR46" s="502"/>
      <c r="EKS46" s="502"/>
      <c r="EKT46" s="502" t="s">
        <v>124</v>
      </c>
      <c r="EKU46" s="502"/>
      <c r="EKV46" s="502"/>
      <c r="EKW46" s="502"/>
      <c r="EKX46" s="502" t="s">
        <v>124</v>
      </c>
      <c r="EKY46" s="502"/>
      <c r="EKZ46" s="502"/>
      <c r="ELA46" s="502"/>
      <c r="ELB46" s="502" t="s">
        <v>124</v>
      </c>
      <c r="ELC46" s="502"/>
      <c r="ELD46" s="502"/>
      <c r="ELE46" s="502"/>
      <c r="ELF46" s="502" t="s">
        <v>124</v>
      </c>
      <c r="ELG46" s="502"/>
      <c r="ELH46" s="502"/>
      <c r="ELI46" s="502"/>
      <c r="ELJ46" s="502" t="s">
        <v>124</v>
      </c>
      <c r="ELK46" s="502"/>
      <c r="ELL46" s="502"/>
      <c r="ELM46" s="502"/>
      <c r="ELN46" s="502" t="s">
        <v>124</v>
      </c>
      <c r="ELO46" s="502"/>
      <c r="ELP46" s="502"/>
      <c r="ELQ46" s="502"/>
      <c r="ELR46" s="502" t="s">
        <v>124</v>
      </c>
      <c r="ELS46" s="502"/>
      <c r="ELT46" s="502"/>
      <c r="ELU46" s="502"/>
      <c r="ELV46" s="502" t="s">
        <v>124</v>
      </c>
      <c r="ELW46" s="502"/>
      <c r="ELX46" s="502"/>
      <c r="ELY46" s="502"/>
      <c r="ELZ46" s="502" t="s">
        <v>124</v>
      </c>
      <c r="EMA46" s="502"/>
      <c r="EMB46" s="502"/>
      <c r="EMC46" s="502"/>
      <c r="EMD46" s="502" t="s">
        <v>124</v>
      </c>
      <c r="EME46" s="502"/>
      <c r="EMF46" s="502"/>
      <c r="EMG46" s="502"/>
      <c r="EMH46" s="502" t="s">
        <v>124</v>
      </c>
      <c r="EMI46" s="502"/>
      <c r="EMJ46" s="502"/>
      <c r="EMK46" s="502"/>
      <c r="EML46" s="502" t="s">
        <v>124</v>
      </c>
      <c r="EMM46" s="502"/>
      <c r="EMN46" s="502"/>
      <c r="EMO46" s="502"/>
      <c r="EMP46" s="502" t="s">
        <v>124</v>
      </c>
      <c r="EMQ46" s="502"/>
      <c r="EMR46" s="502"/>
      <c r="EMS46" s="502"/>
      <c r="EMT46" s="502" t="s">
        <v>124</v>
      </c>
      <c r="EMU46" s="502"/>
      <c r="EMV46" s="502"/>
      <c r="EMW46" s="502"/>
      <c r="EMX46" s="502" t="s">
        <v>124</v>
      </c>
      <c r="EMY46" s="502"/>
      <c r="EMZ46" s="502"/>
      <c r="ENA46" s="502"/>
      <c r="ENB46" s="502" t="s">
        <v>124</v>
      </c>
      <c r="ENC46" s="502"/>
      <c r="END46" s="502"/>
      <c r="ENE46" s="502"/>
      <c r="ENF46" s="502" t="s">
        <v>124</v>
      </c>
      <c r="ENG46" s="502"/>
      <c r="ENH46" s="502"/>
      <c r="ENI46" s="502"/>
      <c r="ENJ46" s="502" t="s">
        <v>124</v>
      </c>
      <c r="ENK46" s="502"/>
      <c r="ENL46" s="502"/>
      <c r="ENM46" s="502"/>
      <c r="ENN46" s="502" t="s">
        <v>124</v>
      </c>
      <c r="ENO46" s="502"/>
      <c r="ENP46" s="502"/>
      <c r="ENQ46" s="502"/>
      <c r="ENR46" s="502" t="s">
        <v>124</v>
      </c>
      <c r="ENS46" s="502"/>
      <c r="ENT46" s="502"/>
      <c r="ENU46" s="502"/>
      <c r="ENV46" s="502" t="s">
        <v>124</v>
      </c>
      <c r="ENW46" s="502"/>
      <c r="ENX46" s="502"/>
      <c r="ENY46" s="502"/>
      <c r="ENZ46" s="502" t="s">
        <v>124</v>
      </c>
      <c r="EOA46" s="502"/>
      <c r="EOB46" s="502"/>
      <c r="EOC46" s="502"/>
      <c r="EOD46" s="502" t="s">
        <v>124</v>
      </c>
      <c r="EOE46" s="502"/>
      <c r="EOF46" s="502"/>
      <c r="EOG46" s="502"/>
      <c r="EOH46" s="502" t="s">
        <v>124</v>
      </c>
      <c r="EOI46" s="502"/>
      <c r="EOJ46" s="502"/>
      <c r="EOK46" s="502"/>
      <c r="EOL46" s="502" t="s">
        <v>124</v>
      </c>
      <c r="EOM46" s="502"/>
      <c r="EON46" s="502"/>
      <c r="EOO46" s="502"/>
      <c r="EOP46" s="502" t="s">
        <v>124</v>
      </c>
      <c r="EOQ46" s="502"/>
      <c r="EOR46" s="502"/>
      <c r="EOS46" s="502"/>
      <c r="EOT46" s="502" t="s">
        <v>124</v>
      </c>
      <c r="EOU46" s="502"/>
      <c r="EOV46" s="502"/>
      <c r="EOW46" s="502"/>
      <c r="EOX46" s="502" t="s">
        <v>124</v>
      </c>
      <c r="EOY46" s="502"/>
      <c r="EOZ46" s="502"/>
      <c r="EPA46" s="502"/>
      <c r="EPB46" s="502" t="s">
        <v>124</v>
      </c>
      <c r="EPC46" s="502"/>
      <c r="EPD46" s="502"/>
      <c r="EPE46" s="502"/>
      <c r="EPF46" s="502" t="s">
        <v>124</v>
      </c>
      <c r="EPG46" s="502"/>
      <c r="EPH46" s="502"/>
      <c r="EPI46" s="502"/>
      <c r="EPJ46" s="502" t="s">
        <v>124</v>
      </c>
      <c r="EPK46" s="502"/>
      <c r="EPL46" s="502"/>
      <c r="EPM46" s="502"/>
      <c r="EPN46" s="502" t="s">
        <v>124</v>
      </c>
      <c r="EPO46" s="502"/>
      <c r="EPP46" s="502"/>
      <c r="EPQ46" s="502"/>
      <c r="EPR46" s="502" t="s">
        <v>124</v>
      </c>
      <c r="EPS46" s="502"/>
      <c r="EPT46" s="502"/>
      <c r="EPU46" s="502"/>
      <c r="EPV46" s="502" t="s">
        <v>124</v>
      </c>
      <c r="EPW46" s="502"/>
      <c r="EPX46" s="502"/>
      <c r="EPY46" s="502"/>
      <c r="EPZ46" s="502" t="s">
        <v>124</v>
      </c>
      <c r="EQA46" s="502"/>
      <c r="EQB46" s="502"/>
      <c r="EQC46" s="502"/>
      <c r="EQD46" s="502" t="s">
        <v>124</v>
      </c>
      <c r="EQE46" s="502"/>
      <c r="EQF46" s="502"/>
      <c r="EQG46" s="502"/>
      <c r="EQH46" s="502" t="s">
        <v>124</v>
      </c>
      <c r="EQI46" s="502"/>
      <c r="EQJ46" s="502"/>
      <c r="EQK46" s="502"/>
      <c r="EQL46" s="502" t="s">
        <v>124</v>
      </c>
      <c r="EQM46" s="502"/>
      <c r="EQN46" s="502"/>
      <c r="EQO46" s="502"/>
      <c r="EQP46" s="502" t="s">
        <v>124</v>
      </c>
      <c r="EQQ46" s="502"/>
      <c r="EQR46" s="502"/>
      <c r="EQS46" s="502"/>
      <c r="EQT46" s="502" t="s">
        <v>124</v>
      </c>
      <c r="EQU46" s="502"/>
      <c r="EQV46" s="502"/>
      <c r="EQW46" s="502"/>
      <c r="EQX46" s="502" t="s">
        <v>124</v>
      </c>
      <c r="EQY46" s="502"/>
      <c r="EQZ46" s="502"/>
      <c r="ERA46" s="502"/>
      <c r="ERB46" s="502" t="s">
        <v>124</v>
      </c>
      <c r="ERC46" s="502"/>
      <c r="ERD46" s="502"/>
      <c r="ERE46" s="502"/>
      <c r="ERF46" s="502" t="s">
        <v>124</v>
      </c>
      <c r="ERG46" s="502"/>
      <c r="ERH46" s="502"/>
      <c r="ERI46" s="502"/>
      <c r="ERJ46" s="502" t="s">
        <v>124</v>
      </c>
      <c r="ERK46" s="502"/>
      <c r="ERL46" s="502"/>
      <c r="ERM46" s="502"/>
      <c r="ERN46" s="502" t="s">
        <v>124</v>
      </c>
      <c r="ERO46" s="502"/>
      <c r="ERP46" s="502"/>
      <c r="ERQ46" s="502"/>
      <c r="ERR46" s="502" t="s">
        <v>124</v>
      </c>
      <c r="ERS46" s="502"/>
      <c r="ERT46" s="502"/>
      <c r="ERU46" s="502"/>
      <c r="ERV46" s="502" t="s">
        <v>124</v>
      </c>
      <c r="ERW46" s="502"/>
      <c r="ERX46" s="502"/>
      <c r="ERY46" s="502"/>
      <c r="ERZ46" s="502" t="s">
        <v>124</v>
      </c>
      <c r="ESA46" s="502"/>
      <c r="ESB46" s="502"/>
      <c r="ESC46" s="502"/>
      <c r="ESD46" s="502" t="s">
        <v>124</v>
      </c>
      <c r="ESE46" s="502"/>
      <c r="ESF46" s="502"/>
      <c r="ESG46" s="502"/>
      <c r="ESH46" s="502" t="s">
        <v>124</v>
      </c>
      <c r="ESI46" s="502"/>
      <c r="ESJ46" s="502"/>
      <c r="ESK46" s="502"/>
      <c r="ESL46" s="502" t="s">
        <v>124</v>
      </c>
      <c r="ESM46" s="502"/>
      <c r="ESN46" s="502"/>
      <c r="ESO46" s="502"/>
      <c r="ESP46" s="502" t="s">
        <v>124</v>
      </c>
      <c r="ESQ46" s="502"/>
      <c r="ESR46" s="502"/>
      <c r="ESS46" s="502"/>
      <c r="EST46" s="502" t="s">
        <v>124</v>
      </c>
      <c r="ESU46" s="502"/>
      <c r="ESV46" s="502"/>
      <c r="ESW46" s="502"/>
      <c r="ESX46" s="502" t="s">
        <v>124</v>
      </c>
      <c r="ESY46" s="502"/>
      <c r="ESZ46" s="502"/>
      <c r="ETA46" s="502"/>
      <c r="ETB46" s="502" t="s">
        <v>124</v>
      </c>
      <c r="ETC46" s="502"/>
      <c r="ETD46" s="502"/>
      <c r="ETE46" s="502"/>
      <c r="ETF46" s="502" t="s">
        <v>124</v>
      </c>
      <c r="ETG46" s="502"/>
      <c r="ETH46" s="502"/>
      <c r="ETI46" s="502"/>
      <c r="ETJ46" s="502" t="s">
        <v>124</v>
      </c>
      <c r="ETK46" s="502"/>
      <c r="ETL46" s="502"/>
      <c r="ETM46" s="502"/>
      <c r="ETN46" s="502" t="s">
        <v>124</v>
      </c>
      <c r="ETO46" s="502"/>
      <c r="ETP46" s="502"/>
      <c r="ETQ46" s="502"/>
      <c r="ETR46" s="502" t="s">
        <v>124</v>
      </c>
      <c r="ETS46" s="502"/>
      <c r="ETT46" s="502"/>
      <c r="ETU46" s="502"/>
      <c r="ETV46" s="502" t="s">
        <v>124</v>
      </c>
      <c r="ETW46" s="502"/>
      <c r="ETX46" s="502"/>
      <c r="ETY46" s="502"/>
      <c r="ETZ46" s="502" t="s">
        <v>124</v>
      </c>
      <c r="EUA46" s="502"/>
      <c r="EUB46" s="502"/>
      <c r="EUC46" s="502"/>
      <c r="EUD46" s="502" t="s">
        <v>124</v>
      </c>
      <c r="EUE46" s="502"/>
      <c r="EUF46" s="502"/>
      <c r="EUG46" s="502"/>
      <c r="EUH46" s="502" t="s">
        <v>124</v>
      </c>
      <c r="EUI46" s="502"/>
      <c r="EUJ46" s="502"/>
      <c r="EUK46" s="502"/>
      <c r="EUL46" s="502" t="s">
        <v>124</v>
      </c>
      <c r="EUM46" s="502"/>
      <c r="EUN46" s="502"/>
      <c r="EUO46" s="502"/>
      <c r="EUP46" s="502" t="s">
        <v>124</v>
      </c>
      <c r="EUQ46" s="502"/>
      <c r="EUR46" s="502"/>
      <c r="EUS46" s="502"/>
      <c r="EUT46" s="502" t="s">
        <v>124</v>
      </c>
      <c r="EUU46" s="502"/>
      <c r="EUV46" s="502"/>
      <c r="EUW46" s="502"/>
      <c r="EUX46" s="502" t="s">
        <v>124</v>
      </c>
      <c r="EUY46" s="502"/>
      <c r="EUZ46" s="502"/>
      <c r="EVA46" s="502"/>
      <c r="EVB46" s="502" t="s">
        <v>124</v>
      </c>
      <c r="EVC46" s="502"/>
      <c r="EVD46" s="502"/>
      <c r="EVE46" s="502"/>
      <c r="EVF46" s="502" t="s">
        <v>124</v>
      </c>
      <c r="EVG46" s="502"/>
      <c r="EVH46" s="502"/>
      <c r="EVI46" s="502"/>
      <c r="EVJ46" s="502" t="s">
        <v>124</v>
      </c>
      <c r="EVK46" s="502"/>
      <c r="EVL46" s="502"/>
      <c r="EVM46" s="502"/>
      <c r="EVN46" s="502" t="s">
        <v>124</v>
      </c>
      <c r="EVO46" s="502"/>
      <c r="EVP46" s="502"/>
      <c r="EVQ46" s="502"/>
      <c r="EVR46" s="502" t="s">
        <v>124</v>
      </c>
      <c r="EVS46" s="502"/>
      <c r="EVT46" s="502"/>
      <c r="EVU46" s="502"/>
      <c r="EVV46" s="502" t="s">
        <v>124</v>
      </c>
      <c r="EVW46" s="502"/>
      <c r="EVX46" s="502"/>
      <c r="EVY46" s="502"/>
      <c r="EVZ46" s="502" t="s">
        <v>124</v>
      </c>
      <c r="EWA46" s="502"/>
      <c r="EWB46" s="502"/>
      <c r="EWC46" s="502"/>
      <c r="EWD46" s="502" t="s">
        <v>124</v>
      </c>
      <c r="EWE46" s="502"/>
      <c r="EWF46" s="502"/>
      <c r="EWG46" s="502"/>
      <c r="EWH46" s="502" t="s">
        <v>124</v>
      </c>
      <c r="EWI46" s="502"/>
      <c r="EWJ46" s="502"/>
      <c r="EWK46" s="502"/>
      <c r="EWL46" s="502" t="s">
        <v>124</v>
      </c>
      <c r="EWM46" s="502"/>
      <c r="EWN46" s="502"/>
      <c r="EWO46" s="502"/>
      <c r="EWP46" s="502" t="s">
        <v>124</v>
      </c>
      <c r="EWQ46" s="502"/>
      <c r="EWR46" s="502"/>
      <c r="EWS46" s="502"/>
      <c r="EWT46" s="502" t="s">
        <v>124</v>
      </c>
      <c r="EWU46" s="502"/>
      <c r="EWV46" s="502"/>
      <c r="EWW46" s="502"/>
      <c r="EWX46" s="502" t="s">
        <v>124</v>
      </c>
      <c r="EWY46" s="502"/>
      <c r="EWZ46" s="502"/>
      <c r="EXA46" s="502"/>
      <c r="EXB46" s="502" t="s">
        <v>124</v>
      </c>
      <c r="EXC46" s="502"/>
      <c r="EXD46" s="502"/>
      <c r="EXE46" s="502"/>
      <c r="EXF46" s="502" t="s">
        <v>124</v>
      </c>
      <c r="EXG46" s="502"/>
      <c r="EXH46" s="502"/>
      <c r="EXI46" s="502"/>
      <c r="EXJ46" s="502" t="s">
        <v>124</v>
      </c>
      <c r="EXK46" s="502"/>
      <c r="EXL46" s="502"/>
      <c r="EXM46" s="502"/>
      <c r="EXN46" s="502" t="s">
        <v>124</v>
      </c>
      <c r="EXO46" s="502"/>
      <c r="EXP46" s="502"/>
      <c r="EXQ46" s="502"/>
      <c r="EXR46" s="502" t="s">
        <v>124</v>
      </c>
      <c r="EXS46" s="502"/>
      <c r="EXT46" s="502"/>
      <c r="EXU46" s="502"/>
      <c r="EXV46" s="502" t="s">
        <v>124</v>
      </c>
      <c r="EXW46" s="502"/>
      <c r="EXX46" s="502"/>
      <c r="EXY46" s="502"/>
      <c r="EXZ46" s="502" t="s">
        <v>124</v>
      </c>
      <c r="EYA46" s="502"/>
      <c r="EYB46" s="502"/>
      <c r="EYC46" s="502"/>
      <c r="EYD46" s="502" t="s">
        <v>124</v>
      </c>
      <c r="EYE46" s="502"/>
      <c r="EYF46" s="502"/>
      <c r="EYG46" s="502"/>
      <c r="EYH46" s="502" t="s">
        <v>124</v>
      </c>
      <c r="EYI46" s="502"/>
      <c r="EYJ46" s="502"/>
      <c r="EYK46" s="502"/>
      <c r="EYL46" s="502" t="s">
        <v>124</v>
      </c>
      <c r="EYM46" s="502"/>
      <c r="EYN46" s="502"/>
      <c r="EYO46" s="502"/>
      <c r="EYP46" s="502" t="s">
        <v>124</v>
      </c>
      <c r="EYQ46" s="502"/>
      <c r="EYR46" s="502"/>
      <c r="EYS46" s="502"/>
      <c r="EYT46" s="502" t="s">
        <v>124</v>
      </c>
      <c r="EYU46" s="502"/>
      <c r="EYV46" s="502"/>
      <c r="EYW46" s="502"/>
      <c r="EYX46" s="502" t="s">
        <v>124</v>
      </c>
      <c r="EYY46" s="502"/>
      <c r="EYZ46" s="502"/>
      <c r="EZA46" s="502"/>
      <c r="EZB46" s="502" t="s">
        <v>124</v>
      </c>
      <c r="EZC46" s="502"/>
      <c r="EZD46" s="502"/>
      <c r="EZE46" s="502"/>
      <c r="EZF46" s="502" t="s">
        <v>124</v>
      </c>
      <c r="EZG46" s="502"/>
      <c r="EZH46" s="502"/>
      <c r="EZI46" s="502"/>
      <c r="EZJ46" s="502" t="s">
        <v>124</v>
      </c>
      <c r="EZK46" s="502"/>
      <c r="EZL46" s="502"/>
      <c r="EZM46" s="502"/>
      <c r="EZN46" s="502" t="s">
        <v>124</v>
      </c>
      <c r="EZO46" s="502"/>
      <c r="EZP46" s="502"/>
      <c r="EZQ46" s="502"/>
      <c r="EZR46" s="502" t="s">
        <v>124</v>
      </c>
      <c r="EZS46" s="502"/>
      <c r="EZT46" s="502"/>
      <c r="EZU46" s="502"/>
      <c r="EZV46" s="502" t="s">
        <v>124</v>
      </c>
      <c r="EZW46" s="502"/>
      <c r="EZX46" s="502"/>
      <c r="EZY46" s="502"/>
      <c r="EZZ46" s="502" t="s">
        <v>124</v>
      </c>
      <c r="FAA46" s="502"/>
      <c r="FAB46" s="502"/>
      <c r="FAC46" s="502"/>
      <c r="FAD46" s="502" t="s">
        <v>124</v>
      </c>
      <c r="FAE46" s="502"/>
      <c r="FAF46" s="502"/>
      <c r="FAG46" s="502"/>
      <c r="FAH46" s="502" t="s">
        <v>124</v>
      </c>
      <c r="FAI46" s="502"/>
      <c r="FAJ46" s="502"/>
      <c r="FAK46" s="502"/>
      <c r="FAL46" s="502" t="s">
        <v>124</v>
      </c>
      <c r="FAM46" s="502"/>
      <c r="FAN46" s="502"/>
      <c r="FAO46" s="502"/>
      <c r="FAP46" s="502" t="s">
        <v>124</v>
      </c>
      <c r="FAQ46" s="502"/>
      <c r="FAR46" s="502"/>
      <c r="FAS46" s="502"/>
      <c r="FAT46" s="502" t="s">
        <v>124</v>
      </c>
      <c r="FAU46" s="502"/>
      <c r="FAV46" s="502"/>
      <c r="FAW46" s="502"/>
      <c r="FAX46" s="502" t="s">
        <v>124</v>
      </c>
      <c r="FAY46" s="502"/>
      <c r="FAZ46" s="502"/>
      <c r="FBA46" s="502"/>
      <c r="FBB46" s="502" t="s">
        <v>124</v>
      </c>
      <c r="FBC46" s="502"/>
      <c r="FBD46" s="502"/>
      <c r="FBE46" s="502"/>
      <c r="FBF46" s="502" t="s">
        <v>124</v>
      </c>
      <c r="FBG46" s="502"/>
      <c r="FBH46" s="502"/>
      <c r="FBI46" s="502"/>
      <c r="FBJ46" s="502" t="s">
        <v>124</v>
      </c>
      <c r="FBK46" s="502"/>
      <c r="FBL46" s="502"/>
      <c r="FBM46" s="502"/>
      <c r="FBN46" s="502" t="s">
        <v>124</v>
      </c>
      <c r="FBO46" s="502"/>
      <c r="FBP46" s="502"/>
      <c r="FBQ46" s="502"/>
      <c r="FBR46" s="502" t="s">
        <v>124</v>
      </c>
      <c r="FBS46" s="502"/>
      <c r="FBT46" s="502"/>
      <c r="FBU46" s="502"/>
      <c r="FBV46" s="502" t="s">
        <v>124</v>
      </c>
      <c r="FBW46" s="502"/>
      <c r="FBX46" s="502"/>
      <c r="FBY46" s="502"/>
      <c r="FBZ46" s="502" t="s">
        <v>124</v>
      </c>
      <c r="FCA46" s="502"/>
      <c r="FCB46" s="502"/>
      <c r="FCC46" s="502"/>
      <c r="FCD46" s="502" t="s">
        <v>124</v>
      </c>
      <c r="FCE46" s="502"/>
      <c r="FCF46" s="502"/>
      <c r="FCG46" s="502"/>
      <c r="FCH46" s="502" t="s">
        <v>124</v>
      </c>
      <c r="FCI46" s="502"/>
      <c r="FCJ46" s="502"/>
      <c r="FCK46" s="502"/>
      <c r="FCL46" s="502" t="s">
        <v>124</v>
      </c>
      <c r="FCM46" s="502"/>
      <c r="FCN46" s="502"/>
      <c r="FCO46" s="502"/>
      <c r="FCP46" s="502" t="s">
        <v>124</v>
      </c>
      <c r="FCQ46" s="502"/>
      <c r="FCR46" s="502"/>
      <c r="FCS46" s="502"/>
      <c r="FCT46" s="502" t="s">
        <v>124</v>
      </c>
      <c r="FCU46" s="502"/>
      <c r="FCV46" s="502"/>
      <c r="FCW46" s="502"/>
      <c r="FCX46" s="502" t="s">
        <v>124</v>
      </c>
      <c r="FCY46" s="502"/>
      <c r="FCZ46" s="502"/>
      <c r="FDA46" s="502"/>
      <c r="FDB46" s="502" t="s">
        <v>124</v>
      </c>
      <c r="FDC46" s="502"/>
      <c r="FDD46" s="502"/>
      <c r="FDE46" s="502"/>
      <c r="FDF46" s="502" t="s">
        <v>124</v>
      </c>
      <c r="FDG46" s="502"/>
      <c r="FDH46" s="502"/>
      <c r="FDI46" s="502"/>
      <c r="FDJ46" s="502" t="s">
        <v>124</v>
      </c>
      <c r="FDK46" s="502"/>
      <c r="FDL46" s="502"/>
      <c r="FDM46" s="502"/>
      <c r="FDN46" s="502" t="s">
        <v>124</v>
      </c>
      <c r="FDO46" s="502"/>
      <c r="FDP46" s="502"/>
      <c r="FDQ46" s="502"/>
      <c r="FDR46" s="502" t="s">
        <v>124</v>
      </c>
      <c r="FDS46" s="502"/>
      <c r="FDT46" s="502"/>
      <c r="FDU46" s="502"/>
      <c r="FDV46" s="502" t="s">
        <v>124</v>
      </c>
      <c r="FDW46" s="502"/>
      <c r="FDX46" s="502"/>
      <c r="FDY46" s="502"/>
      <c r="FDZ46" s="502" t="s">
        <v>124</v>
      </c>
      <c r="FEA46" s="502"/>
      <c r="FEB46" s="502"/>
      <c r="FEC46" s="502"/>
      <c r="FED46" s="502" t="s">
        <v>124</v>
      </c>
      <c r="FEE46" s="502"/>
      <c r="FEF46" s="502"/>
      <c r="FEG46" s="502"/>
      <c r="FEH46" s="502" t="s">
        <v>124</v>
      </c>
      <c r="FEI46" s="502"/>
      <c r="FEJ46" s="502"/>
      <c r="FEK46" s="502"/>
      <c r="FEL46" s="502" t="s">
        <v>124</v>
      </c>
      <c r="FEM46" s="502"/>
      <c r="FEN46" s="502"/>
      <c r="FEO46" s="502"/>
      <c r="FEP46" s="502" t="s">
        <v>124</v>
      </c>
      <c r="FEQ46" s="502"/>
      <c r="FER46" s="502"/>
      <c r="FES46" s="502"/>
      <c r="FET46" s="502" t="s">
        <v>124</v>
      </c>
      <c r="FEU46" s="502"/>
      <c r="FEV46" s="502"/>
      <c r="FEW46" s="502"/>
      <c r="FEX46" s="502" t="s">
        <v>124</v>
      </c>
      <c r="FEY46" s="502"/>
      <c r="FEZ46" s="502"/>
      <c r="FFA46" s="502"/>
      <c r="FFB46" s="502" t="s">
        <v>124</v>
      </c>
      <c r="FFC46" s="502"/>
      <c r="FFD46" s="502"/>
      <c r="FFE46" s="502"/>
      <c r="FFF46" s="502" t="s">
        <v>124</v>
      </c>
      <c r="FFG46" s="502"/>
      <c r="FFH46" s="502"/>
      <c r="FFI46" s="502"/>
      <c r="FFJ46" s="502" t="s">
        <v>124</v>
      </c>
      <c r="FFK46" s="502"/>
      <c r="FFL46" s="502"/>
      <c r="FFM46" s="502"/>
      <c r="FFN46" s="502" t="s">
        <v>124</v>
      </c>
      <c r="FFO46" s="502"/>
      <c r="FFP46" s="502"/>
      <c r="FFQ46" s="502"/>
      <c r="FFR46" s="502" t="s">
        <v>124</v>
      </c>
      <c r="FFS46" s="502"/>
      <c r="FFT46" s="502"/>
      <c r="FFU46" s="502"/>
      <c r="FFV46" s="502" t="s">
        <v>124</v>
      </c>
      <c r="FFW46" s="502"/>
      <c r="FFX46" s="502"/>
      <c r="FFY46" s="502"/>
      <c r="FFZ46" s="502" t="s">
        <v>124</v>
      </c>
      <c r="FGA46" s="502"/>
      <c r="FGB46" s="502"/>
      <c r="FGC46" s="502"/>
      <c r="FGD46" s="502" t="s">
        <v>124</v>
      </c>
      <c r="FGE46" s="502"/>
      <c r="FGF46" s="502"/>
      <c r="FGG46" s="502"/>
      <c r="FGH46" s="502" t="s">
        <v>124</v>
      </c>
      <c r="FGI46" s="502"/>
      <c r="FGJ46" s="502"/>
      <c r="FGK46" s="502"/>
      <c r="FGL46" s="502" t="s">
        <v>124</v>
      </c>
      <c r="FGM46" s="502"/>
      <c r="FGN46" s="502"/>
      <c r="FGO46" s="502"/>
      <c r="FGP46" s="502" t="s">
        <v>124</v>
      </c>
      <c r="FGQ46" s="502"/>
      <c r="FGR46" s="502"/>
      <c r="FGS46" s="502"/>
      <c r="FGT46" s="502" t="s">
        <v>124</v>
      </c>
      <c r="FGU46" s="502"/>
      <c r="FGV46" s="502"/>
      <c r="FGW46" s="502"/>
      <c r="FGX46" s="502" t="s">
        <v>124</v>
      </c>
      <c r="FGY46" s="502"/>
      <c r="FGZ46" s="502"/>
      <c r="FHA46" s="502"/>
      <c r="FHB46" s="502" t="s">
        <v>124</v>
      </c>
      <c r="FHC46" s="502"/>
      <c r="FHD46" s="502"/>
      <c r="FHE46" s="502"/>
      <c r="FHF46" s="502" t="s">
        <v>124</v>
      </c>
      <c r="FHG46" s="502"/>
      <c r="FHH46" s="502"/>
      <c r="FHI46" s="502"/>
      <c r="FHJ46" s="502" t="s">
        <v>124</v>
      </c>
      <c r="FHK46" s="502"/>
      <c r="FHL46" s="502"/>
      <c r="FHM46" s="502"/>
      <c r="FHN46" s="502" t="s">
        <v>124</v>
      </c>
      <c r="FHO46" s="502"/>
      <c r="FHP46" s="502"/>
      <c r="FHQ46" s="502"/>
      <c r="FHR46" s="502" t="s">
        <v>124</v>
      </c>
      <c r="FHS46" s="502"/>
      <c r="FHT46" s="502"/>
      <c r="FHU46" s="502"/>
      <c r="FHV46" s="502" t="s">
        <v>124</v>
      </c>
      <c r="FHW46" s="502"/>
      <c r="FHX46" s="502"/>
      <c r="FHY46" s="502"/>
      <c r="FHZ46" s="502" t="s">
        <v>124</v>
      </c>
      <c r="FIA46" s="502"/>
      <c r="FIB46" s="502"/>
      <c r="FIC46" s="502"/>
      <c r="FID46" s="502" t="s">
        <v>124</v>
      </c>
      <c r="FIE46" s="502"/>
      <c r="FIF46" s="502"/>
      <c r="FIG46" s="502"/>
      <c r="FIH46" s="502" t="s">
        <v>124</v>
      </c>
      <c r="FII46" s="502"/>
      <c r="FIJ46" s="502"/>
      <c r="FIK46" s="502"/>
      <c r="FIL46" s="502" t="s">
        <v>124</v>
      </c>
      <c r="FIM46" s="502"/>
      <c r="FIN46" s="502"/>
      <c r="FIO46" s="502"/>
      <c r="FIP46" s="502" t="s">
        <v>124</v>
      </c>
      <c r="FIQ46" s="502"/>
      <c r="FIR46" s="502"/>
      <c r="FIS46" s="502"/>
      <c r="FIT46" s="502" t="s">
        <v>124</v>
      </c>
      <c r="FIU46" s="502"/>
      <c r="FIV46" s="502"/>
      <c r="FIW46" s="502"/>
      <c r="FIX46" s="502" t="s">
        <v>124</v>
      </c>
      <c r="FIY46" s="502"/>
      <c r="FIZ46" s="502"/>
      <c r="FJA46" s="502"/>
      <c r="FJB46" s="502" t="s">
        <v>124</v>
      </c>
      <c r="FJC46" s="502"/>
      <c r="FJD46" s="502"/>
      <c r="FJE46" s="502"/>
      <c r="FJF46" s="502" t="s">
        <v>124</v>
      </c>
      <c r="FJG46" s="502"/>
      <c r="FJH46" s="502"/>
      <c r="FJI46" s="502"/>
      <c r="FJJ46" s="502" t="s">
        <v>124</v>
      </c>
      <c r="FJK46" s="502"/>
      <c r="FJL46" s="502"/>
      <c r="FJM46" s="502"/>
      <c r="FJN46" s="502" t="s">
        <v>124</v>
      </c>
      <c r="FJO46" s="502"/>
      <c r="FJP46" s="502"/>
      <c r="FJQ46" s="502"/>
      <c r="FJR46" s="502" t="s">
        <v>124</v>
      </c>
      <c r="FJS46" s="502"/>
      <c r="FJT46" s="502"/>
      <c r="FJU46" s="502"/>
      <c r="FJV46" s="502" t="s">
        <v>124</v>
      </c>
      <c r="FJW46" s="502"/>
      <c r="FJX46" s="502"/>
      <c r="FJY46" s="502"/>
      <c r="FJZ46" s="502" t="s">
        <v>124</v>
      </c>
      <c r="FKA46" s="502"/>
      <c r="FKB46" s="502"/>
      <c r="FKC46" s="502"/>
      <c r="FKD46" s="502" t="s">
        <v>124</v>
      </c>
      <c r="FKE46" s="502"/>
      <c r="FKF46" s="502"/>
      <c r="FKG46" s="502"/>
      <c r="FKH46" s="502" t="s">
        <v>124</v>
      </c>
      <c r="FKI46" s="502"/>
      <c r="FKJ46" s="502"/>
      <c r="FKK46" s="502"/>
      <c r="FKL46" s="502" t="s">
        <v>124</v>
      </c>
      <c r="FKM46" s="502"/>
      <c r="FKN46" s="502"/>
      <c r="FKO46" s="502"/>
      <c r="FKP46" s="502" t="s">
        <v>124</v>
      </c>
      <c r="FKQ46" s="502"/>
      <c r="FKR46" s="502"/>
      <c r="FKS46" s="502"/>
      <c r="FKT46" s="502" t="s">
        <v>124</v>
      </c>
      <c r="FKU46" s="502"/>
      <c r="FKV46" s="502"/>
      <c r="FKW46" s="502"/>
      <c r="FKX46" s="502" t="s">
        <v>124</v>
      </c>
      <c r="FKY46" s="502"/>
      <c r="FKZ46" s="502"/>
      <c r="FLA46" s="502"/>
      <c r="FLB46" s="502" t="s">
        <v>124</v>
      </c>
      <c r="FLC46" s="502"/>
      <c r="FLD46" s="502"/>
      <c r="FLE46" s="502"/>
      <c r="FLF46" s="502" t="s">
        <v>124</v>
      </c>
      <c r="FLG46" s="502"/>
      <c r="FLH46" s="502"/>
      <c r="FLI46" s="502"/>
      <c r="FLJ46" s="502" t="s">
        <v>124</v>
      </c>
      <c r="FLK46" s="502"/>
      <c r="FLL46" s="502"/>
      <c r="FLM46" s="502"/>
      <c r="FLN46" s="502" t="s">
        <v>124</v>
      </c>
      <c r="FLO46" s="502"/>
      <c r="FLP46" s="502"/>
      <c r="FLQ46" s="502"/>
      <c r="FLR46" s="502" t="s">
        <v>124</v>
      </c>
      <c r="FLS46" s="502"/>
      <c r="FLT46" s="502"/>
      <c r="FLU46" s="502"/>
      <c r="FLV46" s="502" t="s">
        <v>124</v>
      </c>
      <c r="FLW46" s="502"/>
      <c r="FLX46" s="502"/>
      <c r="FLY46" s="502"/>
      <c r="FLZ46" s="502" t="s">
        <v>124</v>
      </c>
      <c r="FMA46" s="502"/>
      <c r="FMB46" s="502"/>
      <c r="FMC46" s="502"/>
      <c r="FMD46" s="502" t="s">
        <v>124</v>
      </c>
      <c r="FME46" s="502"/>
      <c r="FMF46" s="502"/>
      <c r="FMG46" s="502"/>
      <c r="FMH46" s="502" t="s">
        <v>124</v>
      </c>
      <c r="FMI46" s="502"/>
      <c r="FMJ46" s="502"/>
      <c r="FMK46" s="502"/>
      <c r="FML46" s="502" t="s">
        <v>124</v>
      </c>
      <c r="FMM46" s="502"/>
      <c r="FMN46" s="502"/>
      <c r="FMO46" s="502"/>
      <c r="FMP46" s="502" t="s">
        <v>124</v>
      </c>
      <c r="FMQ46" s="502"/>
      <c r="FMR46" s="502"/>
      <c r="FMS46" s="502"/>
      <c r="FMT46" s="502" t="s">
        <v>124</v>
      </c>
      <c r="FMU46" s="502"/>
      <c r="FMV46" s="502"/>
      <c r="FMW46" s="502"/>
      <c r="FMX46" s="502" t="s">
        <v>124</v>
      </c>
      <c r="FMY46" s="502"/>
      <c r="FMZ46" s="502"/>
      <c r="FNA46" s="502"/>
      <c r="FNB46" s="502" t="s">
        <v>124</v>
      </c>
      <c r="FNC46" s="502"/>
      <c r="FND46" s="502"/>
      <c r="FNE46" s="502"/>
      <c r="FNF46" s="502" t="s">
        <v>124</v>
      </c>
      <c r="FNG46" s="502"/>
      <c r="FNH46" s="502"/>
      <c r="FNI46" s="502"/>
      <c r="FNJ46" s="502" t="s">
        <v>124</v>
      </c>
      <c r="FNK46" s="502"/>
      <c r="FNL46" s="502"/>
      <c r="FNM46" s="502"/>
      <c r="FNN46" s="502" t="s">
        <v>124</v>
      </c>
      <c r="FNO46" s="502"/>
      <c r="FNP46" s="502"/>
      <c r="FNQ46" s="502"/>
      <c r="FNR46" s="502" t="s">
        <v>124</v>
      </c>
      <c r="FNS46" s="502"/>
      <c r="FNT46" s="502"/>
      <c r="FNU46" s="502"/>
      <c r="FNV46" s="502" t="s">
        <v>124</v>
      </c>
      <c r="FNW46" s="502"/>
      <c r="FNX46" s="502"/>
      <c r="FNY46" s="502"/>
      <c r="FNZ46" s="502" t="s">
        <v>124</v>
      </c>
      <c r="FOA46" s="502"/>
      <c r="FOB46" s="502"/>
      <c r="FOC46" s="502"/>
      <c r="FOD46" s="502" t="s">
        <v>124</v>
      </c>
      <c r="FOE46" s="502"/>
      <c r="FOF46" s="502"/>
      <c r="FOG46" s="502"/>
      <c r="FOH46" s="502" t="s">
        <v>124</v>
      </c>
      <c r="FOI46" s="502"/>
      <c r="FOJ46" s="502"/>
      <c r="FOK46" s="502"/>
      <c r="FOL46" s="502" t="s">
        <v>124</v>
      </c>
      <c r="FOM46" s="502"/>
      <c r="FON46" s="502"/>
      <c r="FOO46" s="502"/>
      <c r="FOP46" s="502" t="s">
        <v>124</v>
      </c>
      <c r="FOQ46" s="502"/>
      <c r="FOR46" s="502"/>
      <c r="FOS46" s="502"/>
      <c r="FOT46" s="502" t="s">
        <v>124</v>
      </c>
      <c r="FOU46" s="502"/>
      <c r="FOV46" s="502"/>
      <c r="FOW46" s="502"/>
      <c r="FOX46" s="502" t="s">
        <v>124</v>
      </c>
      <c r="FOY46" s="502"/>
      <c r="FOZ46" s="502"/>
      <c r="FPA46" s="502"/>
      <c r="FPB46" s="502" t="s">
        <v>124</v>
      </c>
      <c r="FPC46" s="502"/>
      <c r="FPD46" s="502"/>
      <c r="FPE46" s="502"/>
      <c r="FPF46" s="502" t="s">
        <v>124</v>
      </c>
      <c r="FPG46" s="502"/>
      <c r="FPH46" s="502"/>
      <c r="FPI46" s="502"/>
      <c r="FPJ46" s="502" t="s">
        <v>124</v>
      </c>
      <c r="FPK46" s="502"/>
      <c r="FPL46" s="502"/>
      <c r="FPM46" s="502"/>
      <c r="FPN46" s="502" t="s">
        <v>124</v>
      </c>
      <c r="FPO46" s="502"/>
      <c r="FPP46" s="502"/>
      <c r="FPQ46" s="502"/>
      <c r="FPR46" s="502" t="s">
        <v>124</v>
      </c>
      <c r="FPS46" s="502"/>
      <c r="FPT46" s="502"/>
      <c r="FPU46" s="502"/>
      <c r="FPV46" s="502" t="s">
        <v>124</v>
      </c>
      <c r="FPW46" s="502"/>
      <c r="FPX46" s="502"/>
      <c r="FPY46" s="502"/>
      <c r="FPZ46" s="502" t="s">
        <v>124</v>
      </c>
      <c r="FQA46" s="502"/>
      <c r="FQB46" s="502"/>
      <c r="FQC46" s="502"/>
      <c r="FQD46" s="502" t="s">
        <v>124</v>
      </c>
      <c r="FQE46" s="502"/>
      <c r="FQF46" s="502"/>
      <c r="FQG46" s="502"/>
      <c r="FQH46" s="502" t="s">
        <v>124</v>
      </c>
      <c r="FQI46" s="502"/>
      <c r="FQJ46" s="502"/>
      <c r="FQK46" s="502"/>
      <c r="FQL46" s="502" t="s">
        <v>124</v>
      </c>
      <c r="FQM46" s="502"/>
      <c r="FQN46" s="502"/>
      <c r="FQO46" s="502"/>
      <c r="FQP46" s="502" t="s">
        <v>124</v>
      </c>
      <c r="FQQ46" s="502"/>
      <c r="FQR46" s="502"/>
      <c r="FQS46" s="502"/>
      <c r="FQT46" s="502" t="s">
        <v>124</v>
      </c>
      <c r="FQU46" s="502"/>
      <c r="FQV46" s="502"/>
      <c r="FQW46" s="502"/>
      <c r="FQX46" s="502" t="s">
        <v>124</v>
      </c>
      <c r="FQY46" s="502"/>
      <c r="FQZ46" s="502"/>
      <c r="FRA46" s="502"/>
      <c r="FRB46" s="502" t="s">
        <v>124</v>
      </c>
      <c r="FRC46" s="502"/>
      <c r="FRD46" s="502"/>
      <c r="FRE46" s="502"/>
      <c r="FRF46" s="502" t="s">
        <v>124</v>
      </c>
      <c r="FRG46" s="502"/>
      <c r="FRH46" s="502"/>
      <c r="FRI46" s="502"/>
      <c r="FRJ46" s="502" t="s">
        <v>124</v>
      </c>
      <c r="FRK46" s="502"/>
      <c r="FRL46" s="502"/>
      <c r="FRM46" s="502"/>
      <c r="FRN46" s="502" t="s">
        <v>124</v>
      </c>
      <c r="FRO46" s="502"/>
      <c r="FRP46" s="502"/>
      <c r="FRQ46" s="502"/>
      <c r="FRR46" s="502" t="s">
        <v>124</v>
      </c>
      <c r="FRS46" s="502"/>
      <c r="FRT46" s="502"/>
      <c r="FRU46" s="502"/>
      <c r="FRV46" s="502" t="s">
        <v>124</v>
      </c>
      <c r="FRW46" s="502"/>
      <c r="FRX46" s="502"/>
      <c r="FRY46" s="502"/>
      <c r="FRZ46" s="502" t="s">
        <v>124</v>
      </c>
      <c r="FSA46" s="502"/>
      <c r="FSB46" s="502"/>
      <c r="FSC46" s="502"/>
      <c r="FSD46" s="502" t="s">
        <v>124</v>
      </c>
      <c r="FSE46" s="502"/>
      <c r="FSF46" s="502"/>
      <c r="FSG46" s="502"/>
      <c r="FSH46" s="502" t="s">
        <v>124</v>
      </c>
      <c r="FSI46" s="502"/>
      <c r="FSJ46" s="502"/>
      <c r="FSK46" s="502"/>
      <c r="FSL46" s="502" t="s">
        <v>124</v>
      </c>
      <c r="FSM46" s="502"/>
      <c r="FSN46" s="502"/>
      <c r="FSO46" s="502"/>
      <c r="FSP46" s="502" t="s">
        <v>124</v>
      </c>
      <c r="FSQ46" s="502"/>
      <c r="FSR46" s="502"/>
      <c r="FSS46" s="502"/>
      <c r="FST46" s="502" t="s">
        <v>124</v>
      </c>
      <c r="FSU46" s="502"/>
      <c r="FSV46" s="502"/>
      <c r="FSW46" s="502"/>
      <c r="FSX46" s="502" t="s">
        <v>124</v>
      </c>
      <c r="FSY46" s="502"/>
      <c r="FSZ46" s="502"/>
      <c r="FTA46" s="502"/>
      <c r="FTB46" s="502" t="s">
        <v>124</v>
      </c>
      <c r="FTC46" s="502"/>
      <c r="FTD46" s="502"/>
      <c r="FTE46" s="502"/>
      <c r="FTF46" s="502" t="s">
        <v>124</v>
      </c>
      <c r="FTG46" s="502"/>
      <c r="FTH46" s="502"/>
      <c r="FTI46" s="502"/>
      <c r="FTJ46" s="502" t="s">
        <v>124</v>
      </c>
      <c r="FTK46" s="502"/>
      <c r="FTL46" s="502"/>
      <c r="FTM46" s="502"/>
      <c r="FTN46" s="502" t="s">
        <v>124</v>
      </c>
      <c r="FTO46" s="502"/>
      <c r="FTP46" s="502"/>
      <c r="FTQ46" s="502"/>
      <c r="FTR46" s="502" t="s">
        <v>124</v>
      </c>
      <c r="FTS46" s="502"/>
      <c r="FTT46" s="502"/>
      <c r="FTU46" s="502"/>
      <c r="FTV46" s="502" t="s">
        <v>124</v>
      </c>
      <c r="FTW46" s="502"/>
      <c r="FTX46" s="502"/>
      <c r="FTY46" s="502"/>
      <c r="FTZ46" s="502" t="s">
        <v>124</v>
      </c>
      <c r="FUA46" s="502"/>
      <c r="FUB46" s="502"/>
      <c r="FUC46" s="502"/>
      <c r="FUD46" s="502" t="s">
        <v>124</v>
      </c>
      <c r="FUE46" s="502"/>
      <c r="FUF46" s="502"/>
      <c r="FUG46" s="502"/>
      <c r="FUH46" s="502" t="s">
        <v>124</v>
      </c>
      <c r="FUI46" s="502"/>
      <c r="FUJ46" s="502"/>
      <c r="FUK46" s="502"/>
      <c r="FUL46" s="502" t="s">
        <v>124</v>
      </c>
      <c r="FUM46" s="502"/>
      <c r="FUN46" s="502"/>
      <c r="FUO46" s="502"/>
      <c r="FUP46" s="502" t="s">
        <v>124</v>
      </c>
      <c r="FUQ46" s="502"/>
      <c r="FUR46" s="502"/>
      <c r="FUS46" s="502"/>
      <c r="FUT46" s="502" t="s">
        <v>124</v>
      </c>
      <c r="FUU46" s="502"/>
      <c r="FUV46" s="502"/>
      <c r="FUW46" s="502"/>
      <c r="FUX46" s="502" t="s">
        <v>124</v>
      </c>
      <c r="FUY46" s="502"/>
      <c r="FUZ46" s="502"/>
      <c r="FVA46" s="502"/>
      <c r="FVB46" s="502" t="s">
        <v>124</v>
      </c>
      <c r="FVC46" s="502"/>
      <c r="FVD46" s="502"/>
      <c r="FVE46" s="502"/>
      <c r="FVF46" s="502" t="s">
        <v>124</v>
      </c>
      <c r="FVG46" s="502"/>
      <c r="FVH46" s="502"/>
      <c r="FVI46" s="502"/>
      <c r="FVJ46" s="502" t="s">
        <v>124</v>
      </c>
      <c r="FVK46" s="502"/>
      <c r="FVL46" s="502"/>
      <c r="FVM46" s="502"/>
      <c r="FVN46" s="502" t="s">
        <v>124</v>
      </c>
      <c r="FVO46" s="502"/>
      <c r="FVP46" s="502"/>
      <c r="FVQ46" s="502"/>
      <c r="FVR46" s="502" t="s">
        <v>124</v>
      </c>
      <c r="FVS46" s="502"/>
      <c r="FVT46" s="502"/>
      <c r="FVU46" s="502"/>
      <c r="FVV46" s="502" t="s">
        <v>124</v>
      </c>
      <c r="FVW46" s="502"/>
      <c r="FVX46" s="502"/>
      <c r="FVY46" s="502"/>
      <c r="FVZ46" s="502" t="s">
        <v>124</v>
      </c>
      <c r="FWA46" s="502"/>
      <c r="FWB46" s="502"/>
      <c r="FWC46" s="502"/>
      <c r="FWD46" s="502" t="s">
        <v>124</v>
      </c>
      <c r="FWE46" s="502"/>
      <c r="FWF46" s="502"/>
      <c r="FWG46" s="502"/>
      <c r="FWH46" s="502" t="s">
        <v>124</v>
      </c>
      <c r="FWI46" s="502"/>
      <c r="FWJ46" s="502"/>
      <c r="FWK46" s="502"/>
      <c r="FWL46" s="502" t="s">
        <v>124</v>
      </c>
      <c r="FWM46" s="502"/>
      <c r="FWN46" s="502"/>
      <c r="FWO46" s="502"/>
      <c r="FWP46" s="502" t="s">
        <v>124</v>
      </c>
      <c r="FWQ46" s="502"/>
      <c r="FWR46" s="502"/>
      <c r="FWS46" s="502"/>
      <c r="FWT46" s="502" t="s">
        <v>124</v>
      </c>
      <c r="FWU46" s="502"/>
      <c r="FWV46" s="502"/>
      <c r="FWW46" s="502"/>
      <c r="FWX46" s="502" t="s">
        <v>124</v>
      </c>
      <c r="FWY46" s="502"/>
      <c r="FWZ46" s="502"/>
      <c r="FXA46" s="502"/>
      <c r="FXB46" s="502" t="s">
        <v>124</v>
      </c>
      <c r="FXC46" s="502"/>
      <c r="FXD46" s="502"/>
      <c r="FXE46" s="502"/>
      <c r="FXF46" s="502" t="s">
        <v>124</v>
      </c>
      <c r="FXG46" s="502"/>
      <c r="FXH46" s="502"/>
      <c r="FXI46" s="502"/>
      <c r="FXJ46" s="502" t="s">
        <v>124</v>
      </c>
      <c r="FXK46" s="502"/>
      <c r="FXL46" s="502"/>
      <c r="FXM46" s="502"/>
      <c r="FXN46" s="502" t="s">
        <v>124</v>
      </c>
      <c r="FXO46" s="502"/>
      <c r="FXP46" s="502"/>
      <c r="FXQ46" s="502"/>
      <c r="FXR46" s="502" t="s">
        <v>124</v>
      </c>
      <c r="FXS46" s="502"/>
      <c r="FXT46" s="502"/>
      <c r="FXU46" s="502"/>
      <c r="FXV46" s="502" t="s">
        <v>124</v>
      </c>
      <c r="FXW46" s="502"/>
      <c r="FXX46" s="502"/>
      <c r="FXY46" s="502"/>
      <c r="FXZ46" s="502" t="s">
        <v>124</v>
      </c>
      <c r="FYA46" s="502"/>
      <c r="FYB46" s="502"/>
      <c r="FYC46" s="502"/>
      <c r="FYD46" s="502" t="s">
        <v>124</v>
      </c>
      <c r="FYE46" s="502"/>
      <c r="FYF46" s="502"/>
      <c r="FYG46" s="502"/>
      <c r="FYH46" s="502" t="s">
        <v>124</v>
      </c>
      <c r="FYI46" s="502"/>
      <c r="FYJ46" s="502"/>
      <c r="FYK46" s="502"/>
      <c r="FYL46" s="502" t="s">
        <v>124</v>
      </c>
      <c r="FYM46" s="502"/>
      <c r="FYN46" s="502"/>
      <c r="FYO46" s="502"/>
      <c r="FYP46" s="502" t="s">
        <v>124</v>
      </c>
      <c r="FYQ46" s="502"/>
      <c r="FYR46" s="502"/>
      <c r="FYS46" s="502"/>
      <c r="FYT46" s="502" t="s">
        <v>124</v>
      </c>
      <c r="FYU46" s="502"/>
      <c r="FYV46" s="502"/>
      <c r="FYW46" s="502"/>
      <c r="FYX46" s="502" t="s">
        <v>124</v>
      </c>
      <c r="FYY46" s="502"/>
      <c r="FYZ46" s="502"/>
      <c r="FZA46" s="502"/>
      <c r="FZB46" s="502" t="s">
        <v>124</v>
      </c>
      <c r="FZC46" s="502"/>
      <c r="FZD46" s="502"/>
      <c r="FZE46" s="502"/>
      <c r="FZF46" s="502" t="s">
        <v>124</v>
      </c>
      <c r="FZG46" s="502"/>
      <c r="FZH46" s="502"/>
      <c r="FZI46" s="502"/>
      <c r="FZJ46" s="502" t="s">
        <v>124</v>
      </c>
      <c r="FZK46" s="502"/>
      <c r="FZL46" s="502"/>
      <c r="FZM46" s="502"/>
      <c r="FZN46" s="502" t="s">
        <v>124</v>
      </c>
      <c r="FZO46" s="502"/>
      <c r="FZP46" s="502"/>
      <c r="FZQ46" s="502"/>
      <c r="FZR46" s="502" t="s">
        <v>124</v>
      </c>
      <c r="FZS46" s="502"/>
      <c r="FZT46" s="502"/>
      <c r="FZU46" s="502"/>
      <c r="FZV46" s="502" t="s">
        <v>124</v>
      </c>
      <c r="FZW46" s="502"/>
      <c r="FZX46" s="502"/>
      <c r="FZY46" s="502"/>
      <c r="FZZ46" s="502" t="s">
        <v>124</v>
      </c>
      <c r="GAA46" s="502"/>
      <c r="GAB46" s="502"/>
      <c r="GAC46" s="502"/>
      <c r="GAD46" s="502" t="s">
        <v>124</v>
      </c>
      <c r="GAE46" s="502"/>
      <c r="GAF46" s="502"/>
      <c r="GAG46" s="502"/>
      <c r="GAH46" s="502" t="s">
        <v>124</v>
      </c>
      <c r="GAI46" s="502"/>
      <c r="GAJ46" s="502"/>
      <c r="GAK46" s="502"/>
      <c r="GAL46" s="502" t="s">
        <v>124</v>
      </c>
      <c r="GAM46" s="502"/>
      <c r="GAN46" s="502"/>
      <c r="GAO46" s="502"/>
      <c r="GAP46" s="502" t="s">
        <v>124</v>
      </c>
      <c r="GAQ46" s="502"/>
      <c r="GAR46" s="502"/>
      <c r="GAS46" s="502"/>
      <c r="GAT46" s="502" t="s">
        <v>124</v>
      </c>
      <c r="GAU46" s="502"/>
      <c r="GAV46" s="502"/>
      <c r="GAW46" s="502"/>
      <c r="GAX46" s="502" t="s">
        <v>124</v>
      </c>
      <c r="GAY46" s="502"/>
      <c r="GAZ46" s="502"/>
      <c r="GBA46" s="502"/>
      <c r="GBB46" s="502" t="s">
        <v>124</v>
      </c>
      <c r="GBC46" s="502"/>
      <c r="GBD46" s="502"/>
      <c r="GBE46" s="502"/>
      <c r="GBF46" s="502" t="s">
        <v>124</v>
      </c>
      <c r="GBG46" s="502"/>
      <c r="GBH46" s="502"/>
      <c r="GBI46" s="502"/>
      <c r="GBJ46" s="502" t="s">
        <v>124</v>
      </c>
      <c r="GBK46" s="502"/>
      <c r="GBL46" s="502"/>
      <c r="GBM46" s="502"/>
      <c r="GBN46" s="502" t="s">
        <v>124</v>
      </c>
      <c r="GBO46" s="502"/>
      <c r="GBP46" s="502"/>
      <c r="GBQ46" s="502"/>
      <c r="GBR46" s="502" t="s">
        <v>124</v>
      </c>
      <c r="GBS46" s="502"/>
      <c r="GBT46" s="502"/>
      <c r="GBU46" s="502"/>
      <c r="GBV46" s="502" t="s">
        <v>124</v>
      </c>
      <c r="GBW46" s="502"/>
      <c r="GBX46" s="502"/>
      <c r="GBY46" s="502"/>
      <c r="GBZ46" s="502" t="s">
        <v>124</v>
      </c>
      <c r="GCA46" s="502"/>
      <c r="GCB46" s="502"/>
      <c r="GCC46" s="502"/>
      <c r="GCD46" s="502" t="s">
        <v>124</v>
      </c>
      <c r="GCE46" s="502"/>
      <c r="GCF46" s="502"/>
      <c r="GCG46" s="502"/>
      <c r="GCH46" s="502" t="s">
        <v>124</v>
      </c>
      <c r="GCI46" s="502"/>
      <c r="GCJ46" s="502"/>
      <c r="GCK46" s="502"/>
      <c r="GCL46" s="502" t="s">
        <v>124</v>
      </c>
      <c r="GCM46" s="502"/>
      <c r="GCN46" s="502"/>
      <c r="GCO46" s="502"/>
      <c r="GCP46" s="502" t="s">
        <v>124</v>
      </c>
      <c r="GCQ46" s="502"/>
      <c r="GCR46" s="502"/>
      <c r="GCS46" s="502"/>
      <c r="GCT46" s="502" t="s">
        <v>124</v>
      </c>
      <c r="GCU46" s="502"/>
      <c r="GCV46" s="502"/>
      <c r="GCW46" s="502"/>
      <c r="GCX46" s="502" t="s">
        <v>124</v>
      </c>
      <c r="GCY46" s="502"/>
      <c r="GCZ46" s="502"/>
      <c r="GDA46" s="502"/>
      <c r="GDB46" s="502" t="s">
        <v>124</v>
      </c>
      <c r="GDC46" s="502"/>
      <c r="GDD46" s="502"/>
      <c r="GDE46" s="502"/>
      <c r="GDF46" s="502" t="s">
        <v>124</v>
      </c>
      <c r="GDG46" s="502"/>
      <c r="GDH46" s="502"/>
      <c r="GDI46" s="502"/>
      <c r="GDJ46" s="502" t="s">
        <v>124</v>
      </c>
      <c r="GDK46" s="502"/>
      <c r="GDL46" s="502"/>
      <c r="GDM46" s="502"/>
      <c r="GDN46" s="502" t="s">
        <v>124</v>
      </c>
      <c r="GDO46" s="502"/>
      <c r="GDP46" s="502"/>
      <c r="GDQ46" s="502"/>
      <c r="GDR46" s="502" t="s">
        <v>124</v>
      </c>
      <c r="GDS46" s="502"/>
      <c r="GDT46" s="502"/>
      <c r="GDU46" s="502"/>
      <c r="GDV46" s="502" t="s">
        <v>124</v>
      </c>
      <c r="GDW46" s="502"/>
      <c r="GDX46" s="502"/>
      <c r="GDY46" s="502"/>
      <c r="GDZ46" s="502" t="s">
        <v>124</v>
      </c>
      <c r="GEA46" s="502"/>
      <c r="GEB46" s="502"/>
      <c r="GEC46" s="502"/>
      <c r="GED46" s="502" t="s">
        <v>124</v>
      </c>
      <c r="GEE46" s="502"/>
      <c r="GEF46" s="502"/>
      <c r="GEG46" s="502"/>
      <c r="GEH46" s="502" t="s">
        <v>124</v>
      </c>
      <c r="GEI46" s="502"/>
      <c r="GEJ46" s="502"/>
      <c r="GEK46" s="502"/>
      <c r="GEL46" s="502" t="s">
        <v>124</v>
      </c>
      <c r="GEM46" s="502"/>
      <c r="GEN46" s="502"/>
      <c r="GEO46" s="502"/>
      <c r="GEP46" s="502" t="s">
        <v>124</v>
      </c>
      <c r="GEQ46" s="502"/>
      <c r="GER46" s="502"/>
      <c r="GES46" s="502"/>
      <c r="GET46" s="502" t="s">
        <v>124</v>
      </c>
      <c r="GEU46" s="502"/>
      <c r="GEV46" s="502"/>
      <c r="GEW46" s="502"/>
      <c r="GEX46" s="502" t="s">
        <v>124</v>
      </c>
      <c r="GEY46" s="502"/>
      <c r="GEZ46" s="502"/>
      <c r="GFA46" s="502"/>
      <c r="GFB46" s="502" t="s">
        <v>124</v>
      </c>
      <c r="GFC46" s="502"/>
      <c r="GFD46" s="502"/>
      <c r="GFE46" s="502"/>
      <c r="GFF46" s="502" t="s">
        <v>124</v>
      </c>
      <c r="GFG46" s="502"/>
      <c r="GFH46" s="502"/>
      <c r="GFI46" s="502"/>
      <c r="GFJ46" s="502" t="s">
        <v>124</v>
      </c>
      <c r="GFK46" s="502"/>
      <c r="GFL46" s="502"/>
      <c r="GFM46" s="502"/>
      <c r="GFN46" s="502" t="s">
        <v>124</v>
      </c>
      <c r="GFO46" s="502"/>
      <c r="GFP46" s="502"/>
      <c r="GFQ46" s="502"/>
      <c r="GFR46" s="502" t="s">
        <v>124</v>
      </c>
      <c r="GFS46" s="502"/>
      <c r="GFT46" s="502"/>
      <c r="GFU46" s="502"/>
      <c r="GFV46" s="502" t="s">
        <v>124</v>
      </c>
      <c r="GFW46" s="502"/>
      <c r="GFX46" s="502"/>
      <c r="GFY46" s="502"/>
      <c r="GFZ46" s="502" t="s">
        <v>124</v>
      </c>
      <c r="GGA46" s="502"/>
      <c r="GGB46" s="502"/>
      <c r="GGC46" s="502"/>
      <c r="GGD46" s="502" t="s">
        <v>124</v>
      </c>
      <c r="GGE46" s="502"/>
      <c r="GGF46" s="502"/>
      <c r="GGG46" s="502"/>
      <c r="GGH46" s="502" t="s">
        <v>124</v>
      </c>
      <c r="GGI46" s="502"/>
      <c r="GGJ46" s="502"/>
      <c r="GGK46" s="502"/>
      <c r="GGL46" s="502" t="s">
        <v>124</v>
      </c>
      <c r="GGM46" s="502"/>
      <c r="GGN46" s="502"/>
      <c r="GGO46" s="502"/>
      <c r="GGP46" s="502" t="s">
        <v>124</v>
      </c>
      <c r="GGQ46" s="502"/>
      <c r="GGR46" s="502"/>
      <c r="GGS46" s="502"/>
      <c r="GGT46" s="502" t="s">
        <v>124</v>
      </c>
      <c r="GGU46" s="502"/>
      <c r="GGV46" s="502"/>
      <c r="GGW46" s="502"/>
      <c r="GGX46" s="502" t="s">
        <v>124</v>
      </c>
      <c r="GGY46" s="502"/>
      <c r="GGZ46" s="502"/>
      <c r="GHA46" s="502"/>
      <c r="GHB46" s="502" t="s">
        <v>124</v>
      </c>
      <c r="GHC46" s="502"/>
      <c r="GHD46" s="502"/>
      <c r="GHE46" s="502"/>
      <c r="GHF46" s="502" t="s">
        <v>124</v>
      </c>
      <c r="GHG46" s="502"/>
      <c r="GHH46" s="502"/>
      <c r="GHI46" s="502"/>
      <c r="GHJ46" s="502" t="s">
        <v>124</v>
      </c>
      <c r="GHK46" s="502"/>
      <c r="GHL46" s="502"/>
      <c r="GHM46" s="502"/>
      <c r="GHN46" s="502" t="s">
        <v>124</v>
      </c>
      <c r="GHO46" s="502"/>
      <c r="GHP46" s="502"/>
      <c r="GHQ46" s="502"/>
      <c r="GHR46" s="502" t="s">
        <v>124</v>
      </c>
      <c r="GHS46" s="502"/>
      <c r="GHT46" s="502"/>
      <c r="GHU46" s="502"/>
      <c r="GHV46" s="502" t="s">
        <v>124</v>
      </c>
      <c r="GHW46" s="502"/>
      <c r="GHX46" s="502"/>
      <c r="GHY46" s="502"/>
      <c r="GHZ46" s="502" t="s">
        <v>124</v>
      </c>
      <c r="GIA46" s="502"/>
      <c r="GIB46" s="502"/>
      <c r="GIC46" s="502"/>
      <c r="GID46" s="502" t="s">
        <v>124</v>
      </c>
      <c r="GIE46" s="502"/>
      <c r="GIF46" s="502"/>
      <c r="GIG46" s="502"/>
      <c r="GIH46" s="502" t="s">
        <v>124</v>
      </c>
      <c r="GII46" s="502"/>
      <c r="GIJ46" s="502"/>
      <c r="GIK46" s="502"/>
      <c r="GIL46" s="502" t="s">
        <v>124</v>
      </c>
      <c r="GIM46" s="502"/>
      <c r="GIN46" s="502"/>
      <c r="GIO46" s="502"/>
      <c r="GIP46" s="502" t="s">
        <v>124</v>
      </c>
      <c r="GIQ46" s="502"/>
      <c r="GIR46" s="502"/>
      <c r="GIS46" s="502"/>
      <c r="GIT46" s="502" t="s">
        <v>124</v>
      </c>
      <c r="GIU46" s="502"/>
      <c r="GIV46" s="502"/>
      <c r="GIW46" s="502"/>
      <c r="GIX46" s="502" t="s">
        <v>124</v>
      </c>
      <c r="GIY46" s="502"/>
      <c r="GIZ46" s="502"/>
      <c r="GJA46" s="502"/>
      <c r="GJB46" s="502" t="s">
        <v>124</v>
      </c>
      <c r="GJC46" s="502"/>
      <c r="GJD46" s="502"/>
      <c r="GJE46" s="502"/>
      <c r="GJF46" s="502" t="s">
        <v>124</v>
      </c>
      <c r="GJG46" s="502"/>
      <c r="GJH46" s="502"/>
      <c r="GJI46" s="502"/>
      <c r="GJJ46" s="502" t="s">
        <v>124</v>
      </c>
      <c r="GJK46" s="502"/>
      <c r="GJL46" s="502"/>
      <c r="GJM46" s="502"/>
      <c r="GJN46" s="502" t="s">
        <v>124</v>
      </c>
      <c r="GJO46" s="502"/>
      <c r="GJP46" s="502"/>
      <c r="GJQ46" s="502"/>
      <c r="GJR46" s="502" t="s">
        <v>124</v>
      </c>
      <c r="GJS46" s="502"/>
      <c r="GJT46" s="502"/>
      <c r="GJU46" s="502"/>
      <c r="GJV46" s="502" t="s">
        <v>124</v>
      </c>
      <c r="GJW46" s="502"/>
      <c r="GJX46" s="502"/>
      <c r="GJY46" s="502"/>
      <c r="GJZ46" s="502" t="s">
        <v>124</v>
      </c>
      <c r="GKA46" s="502"/>
      <c r="GKB46" s="502"/>
      <c r="GKC46" s="502"/>
      <c r="GKD46" s="502" t="s">
        <v>124</v>
      </c>
      <c r="GKE46" s="502"/>
      <c r="GKF46" s="502"/>
      <c r="GKG46" s="502"/>
      <c r="GKH46" s="502" t="s">
        <v>124</v>
      </c>
      <c r="GKI46" s="502"/>
      <c r="GKJ46" s="502"/>
      <c r="GKK46" s="502"/>
      <c r="GKL46" s="502" t="s">
        <v>124</v>
      </c>
      <c r="GKM46" s="502"/>
      <c r="GKN46" s="502"/>
      <c r="GKO46" s="502"/>
      <c r="GKP46" s="502" t="s">
        <v>124</v>
      </c>
      <c r="GKQ46" s="502"/>
      <c r="GKR46" s="502"/>
      <c r="GKS46" s="502"/>
      <c r="GKT46" s="502" t="s">
        <v>124</v>
      </c>
      <c r="GKU46" s="502"/>
      <c r="GKV46" s="502"/>
      <c r="GKW46" s="502"/>
      <c r="GKX46" s="502" t="s">
        <v>124</v>
      </c>
      <c r="GKY46" s="502"/>
      <c r="GKZ46" s="502"/>
      <c r="GLA46" s="502"/>
      <c r="GLB46" s="502" t="s">
        <v>124</v>
      </c>
      <c r="GLC46" s="502"/>
      <c r="GLD46" s="502"/>
      <c r="GLE46" s="502"/>
      <c r="GLF46" s="502" t="s">
        <v>124</v>
      </c>
      <c r="GLG46" s="502"/>
      <c r="GLH46" s="502"/>
      <c r="GLI46" s="502"/>
      <c r="GLJ46" s="502" t="s">
        <v>124</v>
      </c>
      <c r="GLK46" s="502"/>
      <c r="GLL46" s="502"/>
      <c r="GLM46" s="502"/>
      <c r="GLN46" s="502" t="s">
        <v>124</v>
      </c>
      <c r="GLO46" s="502"/>
      <c r="GLP46" s="502"/>
      <c r="GLQ46" s="502"/>
      <c r="GLR46" s="502" t="s">
        <v>124</v>
      </c>
      <c r="GLS46" s="502"/>
      <c r="GLT46" s="502"/>
      <c r="GLU46" s="502"/>
      <c r="GLV46" s="502" t="s">
        <v>124</v>
      </c>
      <c r="GLW46" s="502"/>
      <c r="GLX46" s="502"/>
      <c r="GLY46" s="502"/>
      <c r="GLZ46" s="502" t="s">
        <v>124</v>
      </c>
      <c r="GMA46" s="502"/>
      <c r="GMB46" s="502"/>
      <c r="GMC46" s="502"/>
      <c r="GMD46" s="502" t="s">
        <v>124</v>
      </c>
      <c r="GME46" s="502"/>
      <c r="GMF46" s="502"/>
      <c r="GMG46" s="502"/>
      <c r="GMH46" s="502" t="s">
        <v>124</v>
      </c>
      <c r="GMI46" s="502"/>
      <c r="GMJ46" s="502"/>
      <c r="GMK46" s="502"/>
      <c r="GML46" s="502" t="s">
        <v>124</v>
      </c>
      <c r="GMM46" s="502"/>
      <c r="GMN46" s="502"/>
      <c r="GMO46" s="502"/>
      <c r="GMP46" s="502" t="s">
        <v>124</v>
      </c>
      <c r="GMQ46" s="502"/>
      <c r="GMR46" s="502"/>
      <c r="GMS46" s="502"/>
      <c r="GMT46" s="502" t="s">
        <v>124</v>
      </c>
      <c r="GMU46" s="502"/>
      <c r="GMV46" s="502"/>
      <c r="GMW46" s="502"/>
      <c r="GMX46" s="502" t="s">
        <v>124</v>
      </c>
      <c r="GMY46" s="502"/>
      <c r="GMZ46" s="502"/>
      <c r="GNA46" s="502"/>
      <c r="GNB46" s="502" t="s">
        <v>124</v>
      </c>
      <c r="GNC46" s="502"/>
      <c r="GND46" s="502"/>
      <c r="GNE46" s="502"/>
      <c r="GNF46" s="502" t="s">
        <v>124</v>
      </c>
      <c r="GNG46" s="502"/>
      <c r="GNH46" s="502"/>
      <c r="GNI46" s="502"/>
      <c r="GNJ46" s="502" t="s">
        <v>124</v>
      </c>
      <c r="GNK46" s="502"/>
      <c r="GNL46" s="502"/>
      <c r="GNM46" s="502"/>
      <c r="GNN46" s="502" t="s">
        <v>124</v>
      </c>
      <c r="GNO46" s="502"/>
      <c r="GNP46" s="502"/>
      <c r="GNQ46" s="502"/>
      <c r="GNR46" s="502" t="s">
        <v>124</v>
      </c>
      <c r="GNS46" s="502"/>
      <c r="GNT46" s="502"/>
      <c r="GNU46" s="502"/>
      <c r="GNV46" s="502" t="s">
        <v>124</v>
      </c>
      <c r="GNW46" s="502"/>
      <c r="GNX46" s="502"/>
      <c r="GNY46" s="502"/>
      <c r="GNZ46" s="502" t="s">
        <v>124</v>
      </c>
      <c r="GOA46" s="502"/>
      <c r="GOB46" s="502"/>
      <c r="GOC46" s="502"/>
      <c r="GOD46" s="502" t="s">
        <v>124</v>
      </c>
      <c r="GOE46" s="502"/>
      <c r="GOF46" s="502"/>
      <c r="GOG46" s="502"/>
      <c r="GOH46" s="502" t="s">
        <v>124</v>
      </c>
      <c r="GOI46" s="502"/>
      <c r="GOJ46" s="502"/>
      <c r="GOK46" s="502"/>
      <c r="GOL46" s="502" t="s">
        <v>124</v>
      </c>
      <c r="GOM46" s="502"/>
      <c r="GON46" s="502"/>
      <c r="GOO46" s="502"/>
      <c r="GOP46" s="502" t="s">
        <v>124</v>
      </c>
      <c r="GOQ46" s="502"/>
      <c r="GOR46" s="502"/>
      <c r="GOS46" s="502"/>
      <c r="GOT46" s="502" t="s">
        <v>124</v>
      </c>
      <c r="GOU46" s="502"/>
      <c r="GOV46" s="502"/>
      <c r="GOW46" s="502"/>
      <c r="GOX46" s="502" t="s">
        <v>124</v>
      </c>
      <c r="GOY46" s="502"/>
      <c r="GOZ46" s="502"/>
      <c r="GPA46" s="502"/>
      <c r="GPB46" s="502" t="s">
        <v>124</v>
      </c>
      <c r="GPC46" s="502"/>
      <c r="GPD46" s="502"/>
      <c r="GPE46" s="502"/>
      <c r="GPF46" s="502" t="s">
        <v>124</v>
      </c>
      <c r="GPG46" s="502"/>
      <c r="GPH46" s="502"/>
      <c r="GPI46" s="502"/>
      <c r="GPJ46" s="502" t="s">
        <v>124</v>
      </c>
      <c r="GPK46" s="502"/>
      <c r="GPL46" s="502"/>
      <c r="GPM46" s="502"/>
      <c r="GPN46" s="502" t="s">
        <v>124</v>
      </c>
      <c r="GPO46" s="502"/>
      <c r="GPP46" s="502"/>
      <c r="GPQ46" s="502"/>
      <c r="GPR46" s="502" t="s">
        <v>124</v>
      </c>
      <c r="GPS46" s="502"/>
      <c r="GPT46" s="502"/>
      <c r="GPU46" s="502"/>
      <c r="GPV46" s="502" t="s">
        <v>124</v>
      </c>
      <c r="GPW46" s="502"/>
      <c r="GPX46" s="502"/>
      <c r="GPY46" s="502"/>
      <c r="GPZ46" s="502" t="s">
        <v>124</v>
      </c>
      <c r="GQA46" s="502"/>
      <c r="GQB46" s="502"/>
      <c r="GQC46" s="502"/>
      <c r="GQD46" s="502" t="s">
        <v>124</v>
      </c>
      <c r="GQE46" s="502"/>
      <c r="GQF46" s="502"/>
      <c r="GQG46" s="502"/>
      <c r="GQH46" s="502" t="s">
        <v>124</v>
      </c>
      <c r="GQI46" s="502"/>
      <c r="GQJ46" s="502"/>
      <c r="GQK46" s="502"/>
      <c r="GQL46" s="502" t="s">
        <v>124</v>
      </c>
      <c r="GQM46" s="502"/>
      <c r="GQN46" s="502"/>
      <c r="GQO46" s="502"/>
      <c r="GQP46" s="502" t="s">
        <v>124</v>
      </c>
      <c r="GQQ46" s="502"/>
      <c r="GQR46" s="502"/>
      <c r="GQS46" s="502"/>
      <c r="GQT46" s="502" t="s">
        <v>124</v>
      </c>
      <c r="GQU46" s="502"/>
      <c r="GQV46" s="502"/>
      <c r="GQW46" s="502"/>
      <c r="GQX46" s="502" t="s">
        <v>124</v>
      </c>
      <c r="GQY46" s="502"/>
      <c r="GQZ46" s="502"/>
      <c r="GRA46" s="502"/>
      <c r="GRB46" s="502" t="s">
        <v>124</v>
      </c>
      <c r="GRC46" s="502"/>
      <c r="GRD46" s="502"/>
      <c r="GRE46" s="502"/>
      <c r="GRF46" s="502" t="s">
        <v>124</v>
      </c>
      <c r="GRG46" s="502"/>
      <c r="GRH46" s="502"/>
      <c r="GRI46" s="502"/>
      <c r="GRJ46" s="502" t="s">
        <v>124</v>
      </c>
      <c r="GRK46" s="502"/>
      <c r="GRL46" s="502"/>
      <c r="GRM46" s="502"/>
      <c r="GRN46" s="502" t="s">
        <v>124</v>
      </c>
      <c r="GRO46" s="502"/>
      <c r="GRP46" s="502"/>
      <c r="GRQ46" s="502"/>
      <c r="GRR46" s="502" t="s">
        <v>124</v>
      </c>
      <c r="GRS46" s="502"/>
      <c r="GRT46" s="502"/>
      <c r="GRU46" s="502"/>
      <c r="GRV46" s="502" t="s">
        <v>124</v>
      </c>
      <c r="GRW46" s="502"/>
      <c r="GRX46" s="502"/>
      <c r="GRY46" s="502"/>
      <c r="GRZ46" s="502" t="s">
        <v>124</v>
      </c>
      <c r="GSA46" s="502"/>
      <c r="GSB46" s="502"/>
      <c r="GSC46" s="502"/>
      <c r="GSD46" s="502" t="s">
        <v>124</v>
      </c>
      <c r="GSE46" s="502"/>
      <c r="GSF46" s="502"/>
      <c r="GSG46" s="502"/>
      <c r="GSH46" s="502" t="s">
        <v>124</v>
      </c>
      <c r="GSI46" s="502"/>
      <c r="GSJ46" s="502"/>
      <c r="GSK46" s="502"/>
      <c r="GSL46" s="502" t="s">
        <v>124</v>
      </c>
      <c r="GSM46" s="502"/>
      <c r="GSN46" s="502"/>
      <c r="GSO46" s="502"/>
      <c r="GSP46" s="502" t="s">
        <v>124</v>
      </c>
      <c r="GSQ46" s="502"/>
      <c r="GSR46" s="502"/>
      <c r="GSS46" s="502"/>
      <c r="GST46" s="502" t="s">
        <v>124</v>
      </c>
      <c r="GSU46" s="502"/>
      <c r="GSV46" s="502"/>
      <c r="GSW46" s="502"/>
      <c r="GSX46" s="502" t="s">
        <v>124</v>
      </c>
      <c r="GSY46" s="502"/>
      <c r="GSZ46" s="502"/>
      <c r="GTA46" s="502"/>
      <c r="GTB46" s="502" t="s">
        <v>124</v>
      </c>
      <c r="GTC46" s="502"/>
      <c r="GTD46" s="502"/>
      <c r="GTE46" s="502"/>
      <c r="GTF46" s="502" t="s">
        <v>124</v>
      </c>
      <c r="GTG46" s="502"/>
      <c r="GTH46" s="502"/>
      <c r="GTI46" s="502"/>
      <c r="GTJ46" s="502" t="s">
        <v>124</v>
      </c>
      <c r="GTK46" s="502"/>
      <c r="GTL46" s="502"/>
      <c r="GTM46" s="502"/>
      <c r="GTN46" s="502" t="s">
        <v>124</v>
      </c>
      <c r="GTO46" s="502"/>
      <c r="GTP46" s="502"/>
      <c r="GTQ46" s="502"/>
      <c r="GTR46" s="502" t="s">
        <v>124</v>
      </c>
      <c r="GTS46" s="502"/>
      <c r="GTT46" s="502"/>
      <c r="GTU46" s="502"/>
      <c r="GTV46" s="502" t="s">
        <v>124</v>
      </c>
      <c r="GTW46" s="502"/>
      <c r="GTX46" s="502"/>
      <c r="GTY46" s="502"/>
      <c r="GTZ46" s="502" t="s">
        <v>124</v>
      </c>
      <c r="GUA46" s="502"/>
      <c r="GUB46" s="502"/>
      <c r="GUC46" s="502"/>
      <c r="GUD46" s="502" t="s">
        <v>124</v>
      </c>
      <c r="GUE46" s="502"/>
      <c r="GUF46" s="502"/>
      <c r="GUG46" s="502"/>
      <c r="GUH46" s="502" t="s">
        <v>124</v>
      </c>
      <c r="GUI46" s="502"/>
      <c r="GUJ46" s="502"/>
      <c r="GUK46" s="502"/>
      <c r="GUL46" s="502" t="s">
        <v>124</v>
      </c>
      <c r="GUM46" s="502"/>
      <c r="GUN46" s="502"/>
      <c r="GUO46" s="502"/>
      <c r="GUP46" s="502" t="s">
        <v>124</v>
      </c>
      <c r="GUQ46" s="502"/>
      <c r="GUR46" s="502"/>
      <c r="GUS46" s="502"/>
      <c r="GUT46" s="502" t="s">
        <v>124</v>
      </c>
      <c r="GUU46" s="502"/>
      <c r="GUV46" s="502"/>
      <c r="GUW46" s="502"/>
      <c r="GUX46" s="502" t="s">
        <v>124</v>
      </c>
      <c r="GUY46" s="502"/>
      <c r="GUZ46" s="502"/>
      <c r="GVA46" s="502"/>
      <c r="GVB46" s="502" t="s">
        <v>124</v>
      </c>
      <c r="GVC46" s="502"/>
      <c r="GVD46" s="502"/>
      <c r="GVE46" s="502"/>
      <c r="GVF46" s="502" t="s">
        <v>124</v>
      </c>
      <c r="GVG46" s="502"/>
      <c r="GVH46" s="502"/>
      <c r="GVI46" s="502"/>
      <c r="GVJ46" s="502" t="s">
        <v>124</v>
      </c>
      <c r="GVK46" s="502"/>
      <c r="GVL46" s="502"/>
      <c r="GVM46" s="502"/>
      <c r="GVN46" s="502" t="s">
        <v>124</v>
      </c>
      <c r="GVO46" s="502"/>
      <c r="GVP46" s="502"/>
      <c r="GVQ46" s="502"/>
      <c r="GVR46" s="502" t="s">
        <v>124</v>
      </c>
      <c r="GVS46" s="502"/>
      <c r="GVT46" s="502"/>
      <c r="GVU46" s="502"/>
      <c r="GVV46" s="502" t="s">
        <v>124</v>
      </c>
      <c r="GVW46" s="502"/>
      <c r="GVX46" s="502"/>
      <c r="GVY46" s="502"/>
      <c r="GVZ46" s="502" t="s">
        <v>124</v>
      </c>
      <c r="GWA46" s="502"/>
      <c r="GWB46" s="502"/>
      <c r="GWC46" s="502"/>
      <c r="GWD46" s="502" t="s">
        <v>124</v>
      </c>
      <c r="GWE46" s="502"/>
      <c r="GWF46" s="502"/>
      <c r="GWG46" s="502"/>
      <c r="GWH46" s="502" t="s">
        <v>124</v>
      </c>
      <c r="GWI46" s="502"/>
      <c r="GWJ46" s="502"/>
      <c r="GWK46" s="502"/>
      <c r="GWL46" s="502" t="s">
        <v>124</v>
      </c>
      <c r="GWM46" s="502"/>
      <c r="GWN46" s="502"/>
      <c r="GWO46" s="502"/>
      <c r="GWP46" s="502" t="s">
        <v>124</v>
      </c>
      <c r="GWQ46" s="502"/>
      <c r="GWR46" s="502"/>
      <c r="GWS46" s="502"/>
      <c r="GWT46" s="502" t="s">
        <v>124</v>
      </c>
      <c r="GWU46" s="502"/>
      <c r="GWV46" s="502"/>
      <c r="GWW46" s="502"/>
      <c r="GWX46" s="502" t="s">
        <v>124</v>
      </c>
      <c r="GWY46" s="502"/>
      <c r="GWZ46" s="502"/>
      <c r="GXA46" s="502"/>
      <c r="GXB46" s="502" t="s">
        <v>124</v>
      </c>
      <c r="GXC46" s="502"/>
      <c r="GXD46" s="502"/>
      <c r="GXE46" s="502"/>
      <c r="GXF46" s="502" t="s">
        <v>124</v>
      </c>
      <c r="GXG46" s="502"/>
      <c r="GXH46" s="502"/>
      <c r="GXI46" s="502"/>
      <c r="GXJ46" s="502" t="s">
        <v>124</v>
      </c>
      <c r="GXK46" s="502"/>
      <c r="GXL46" s="502"/>
      <c r="GXM46" s="502"/>
      <c r="GXN46" s="502" t="s">
        <v>124</v>
      </c>
      <c r="GXO46" s="502"/>
      <c r="GXP46" s="502"/>
      <c r="GXQ46" s="502"/>
      <c r="GXR46" s="502" t="s">
        <v>124</v>
      </c>
      <c r="GXS46" s="502"/>
      <c r="GXT46" s="502"/>
      <c r="GXU46" s="502"/>
      <c r="GXV46" s="502" t="s">
        <v>124</v>
      </c>
      <c r="GXW46" s="502"/>
      <c r="GXX46" s="502"/>
      <c r="GXY46" s="502"/>
      <c r="GXZ46" s="502" t="s">
        <v>124</v>
      </c>
      <c r="GYA46" s="502"/>
      <c r="GYB46" s="502"/>
      <c r="GYC46" s="502"/>
      <c r="GYD46" s="502" t="s">
        <v>124</v>
      </c>
      <c r="GYE46" s="502"/>
      <c r="GYF46" s="502"/>
      <c r="GYG46" s="502"/>
      <c r="GYH46" s="502" t="s">
        <v>124</v>
      </c>
      <c r="GYI46" s="502"/>
      <c r="GYJ46" s="502"/>
      <c r="GYK46" s="502"/>
      <c r="GYL46" s="502" t="s">
        <v>124</v>
      </c>
      <c r="GYM46" s="502"/>
      <c r="GYN46" s="502"/>
      <c r="GYO46" s="502"/>
      <c r="GYP46" s="502" t="s">
        <v>124</v>
      </c>
      <c r="GYQ46" s="502"/>
      <c r="GYR46" s="502"/>
      <c r="GYS46" s="502"/>
      <c r="GYT46" s="502" t="s">
        <v>124</v>
      </c>
      <c r="GYU46" s="502"/>
      <c r="GYV46" s="502"/>
      <c r="GYW46" s="502"/>
      <c r="GYX46" s="502" t="s">
        <v>124</v>
      </c>
      <c r="GYY46" s="502"/>
      <c r="GYZ46" s="502"/>
      <c r="GZA46" s="502"/>
      <c r="GZB46" s="502" t="s">
        <v>124</v>
      </c>
      <c r="GZC46" s="502"/>
      <c r="GZD46" s="502"/>
      <c r="GZE46" s="502"/>
      <c r="GZF46" s="502" t="s">
        <v>124</v>
      </c>
      <c r="GZG46" s="502"/>
      <c r="GZH46" s="502"/>
      <c r="GZI46" s="502"/>
      <c r="GZJ46" s="502" t="s">
        <v>124</v>
      </c>
      <c r="GZK46" s="502"/>
      <c r="GZL46" s="502"/>
      <c r="GZM46" s="502"/>
      <c r="GZN46" s="502" t="s">
        <v>124</v>
      </c>
      <c r="GZO46" s="502"/>
      <c r="GZP46" s="502"/>
      <c r="GZQ46" s="502"/>
      <c r="GZR46" s="502" t="s">
        <v>124</v>
      </c>
      <c r="GZS46" s="502"/>
      <c r="GZT46" s="502"/>
      <c r="GZU46" s="502"/>
      <c r="GZV46" s="502" t="s">
        <v>124</v>
      </c>
      <c r="GZW46" s="502"/>
      <c r="GZX46" s="502"/>
      <c r="GZY46" s="502"/>
      <c r="GZZ46" s="502" t="s">
        <v>124</v>
      </c>
      <c r="HAA46" s="502"/>
      <c r="HAB46" s="502"/>
      <c r="HAC46" s="502"/>
      <c r="HAD46" s="502" t="s">
        <v>124</v>
      </c>
      <c r="HAE46" s="502"/>
      <c r="HAF46" s="502"/>
      <c r="HAG46" s="502"/>
      <c r="HAH46" s="502" t="s">
        <v>124</v>
      </c>
      <c r="HAI46" s="502"/>
      <c r="HAJ46" s="502"/>
      <c r="HAK46" s="502"/>
      <c r="HAL46" s="502" t="s">
        <v>124</v>
      </c>
      <c r="HAM46" s="502"/>
      <c r="HAN46" s="502"/>
      <c r="HAO46" s="502"/>
      <c r="HAP46" s="502" t="s">
        <v>124</v>
      </c>
      <c r="HAQ46" s="502"/>
      <c r="HAR46" s="502"/>
      <c r="HAS46" s="502"/>
      <c r="HAT46" s="502" t="s">
        <v>124</v>
      </c>
      <c r="HAU46" s="502"/>
      <c r="HAV46" s="502"/>
      <c r="HAW46" s="502"/>
      <c r="HAX46" s="502" t="s">
        <v>124</v>
      </c>
      <c r="HAY46" s="502"/>
      <c r="HAZ46" s="502"/>
      <c r="HBA46" s="502"/>
      <c r="HBB46" s="502" t="s">
        <v>124</v>
      </c>
      <c r="HBC46" s="502"/>
      <c r="HBD46" s="502"/>
      <c r="HBE46" s="502"/>
      <c r="HBF46" s="502" t="s">
        <v>124</v>
      </c>
      <c r="HBG46" s="502"/>
      <c r="HBH46" s="502"/>
      <c r="HBI46" s="502"/>
      <c r="HBJ46" s="502" t="s">
        <v>124</v>
      </c>
      <c r="HBK46" s="502"/>
      <c r="HBL46" s="502"/>
      <c r="HBM46" s="502"/>
      <c r="HBN46" s="502" t="s">
        <v>124</v>
      </c>
      <c r="HBO46" s="502"/>
      <c r="HBP46" s="502"/>
      <c r="HBQ46" s="502"/>
      <c r="HBR46" s="502" t="s">
        <v>124</v>
      </c>
      <c r="HBS46" s="502"/>
      <c r="HBT46" s="502"/>
      <c r="HBU46" s="502"/>
      <c r="HBV46" s="502" t="s">
        <v>124</v>
      </c>
      <c r="HBW46" s="502"/>
      <c r="HBX46" s="502"/>
      <c r="HBY46" s="502"/>
      <c r="HBZ46" s="502" t="s">
        <v>124</v>
      </c>
      <c r="HCA46" s="502"/>
      <c r="HCB46" s="502"/>
      <c r="HCC46" s="502"/>
      <c r="HCD46" s="502" t="s">
        <v>124</v>
      </c>
      <c r="HCE46" s="502"/>
      <c r="HCF46" s="502"/>
      <c r="HCG46" s="502"/>
      <c r="HCH46" s="502" t="s">
        <v>124</v>
      </c>
      <c r="HCI46" s="502"/>
      <c r="HCJ46" s="502"/>
      <c r="HCK46" s="502"/>
      <c r="HCL46" s="502" t="s">
        <v>124</v>
      </c>
      <c r="HCM46" s="502"/>
      <c r="HCN46" s="502"/>
      <c r="HCO46" s="502"/>
      <c r="HCP46" s="502" t="s">
        <v>124</v>
      </c>
      <c r="HCQ46" s="502"/>
      <c r="HCR46" s="502"/>
      <c r="HCS46" s="502"/>
      <c r="HCT46" s="502" t="s">
        <v>124</v>
      </c>
      <c r="HCU46" s="502"/>
      <c r="HCV46" s="502"/>
      <c r="HCW46" s="502"/>
      <c r="HCX46" s="502" t="s">
        <v>124</v>
      </c>
      <c r="HCY46" s="502"/>
      <c r="HCZ46" s="502"/>
      <c r="HDA46" s="502"/>
      <c r="HDB46" s="502" t="s">
        <v>124</v>
      </c>
      <c r="HDC46" s="502"/>
      <c r="HDD46" s="502"/>
      <c r="HDE46" s="502"/>
      <c r="HDF46" s="502" t="s">
        <v>124</v>
      </c>
      <c r="HDG46" s="502"/>
      <c r="HDH46" s="502"/>
      <c r="HDI46" s="502"/>
      <c r="HDJ46" s="502" t="s">
        <v>124</v>
      </c>
      <c r="HDK46" s="502"/>
      <c r="HDL46" s="502"/>
      <c r="HDM46" s="502"/>
      <c r="HDN46" s="502" t="s">
        <v>124</v>
      </c>
      <c r="HDO46" s="502"/>
      <c r="HDP46" s="502"/>
      <c r="HDQ46" s="502"/>
      <c r="HDR46" s="502" t="s">
        <v>124</v>
      </c>
      <c r="HDS46" s="502"/>
      <c r="HDT46" s="502"/>
      <c r="HDU46" s="502"/>
      <c r="HDV46" s="502" t="s">
        <v>124</v>
      </c>
      <c r="HDW46" s="502"/>
      <c r="HDX46" s="502"/>
      <c r="HDY46" s="502"/>
      <c r="HDZ46" s="502" t="s">
        <v>124</v>
      </c>
      <c r="HEA46" s="502"/>
      <c r="HEB46" s="502"/>
      <c r="HEC46" s="502"/>
      <c r="HED46" s="502" t="s">
        <v>124</v>
      </c>
      <c r="HEE46" s="502"/>
      <c r="HEF46" s="502"/>
      <c r="HEG46" s="502"/>
      <c r="HEH46" s="502" t="s">
        <v>124</v>
      </c>
      <c r="HEI46" s="502"/>
      <c r="HEJ46" s="502"/>
      <c r="HEK46" s="502"/>
      <c r="HEL46" s="502" t="s">
        <v>124</v>
      </c>
      <c r="HEM46" s="502"/>
      <c r="HEN46" s="502"/>
      <c r="HEO46" s="502"/>
      <c r="HEP46" s="502" t="s">
        <v>124</v>
      </c>
      <c r="HEQ46" s="502"/>
      <c r="HER46" s="502"/>
      <c r="HES46" s="502"/>
      <c r="HET46" s="502" t="s">
        <v>124</v>
      </c>
      <c r="HEU46" s="502"/>
      <c r="HEV46" s="502"/>
      <c r="HEW46" s="502"/>
      <c r="HEX46" s="502" t="s">
        <v>124</v>
      </c>
      <c r="HEY46" s="502"/>
      <c r="HEZ46" s="502"/>
      <c r="HFA46" s="502"/>
      <c r="HFB46" s="502" t="s">
        <v>124</v>
      </c>
      <c r="HFC46" s="502"/>
      <c r="HFD46" s="502"/>
      <c r="HFE46" s="502"/>
      <c r="HFF46" s="502" t="s">
        <v>124</v>
      </c>
      <c r="HFG46" s="502"/>
      <c r="HFH46" s="502"/>
      <c r="HFI46" s="502"/>
      <c r="HFJ46" s="502" t="s">
        <v>124</v>
      </c>
      <c r="HFK46" s="502"/>
      <c r="HFL46" s="502"/>
      <c r="HFM46" s="502"/>
      <c r="HFN46" s="502" t="s">
        <v>124</v>
      </c>
      <c r="HFO46" s="502"/>
      <c r="HFP46" s="502"/>
      <c r="HFQ46" s="502"/>
      <c r="HFR46" s="502" t="s">
        <v>124</v>
      </c>
      <c r="HFS46" s="502"/>
      <c r="HFT46" s="502"/>
      <c r="HFU46" s="502"/>
      <c r="HFV46" s="502" t="s">
        <v>124</v>
      </c>
      <c r="HFW46" s="502"/>
      <c r="HFX46" s="502"/>
      <c r="HFY46" s="502"/>
      <c r="HFZ46" s="502" t="s">
        <v>124</v>
      </c>
      <c r="HGA46" s="502"/>
      <c r="HGB46" s="502"/>
      <c r="HGC46" s="502"/>
      <c r="HGD46" s="502" t="s">
        <v>124</v>
      </c>
      <c r="HGE46" s="502"/>
      <c r="HGF46" s="502"/>
      <c r="HGG46" s="502"/>
      <c r="HGH46" s="502" t="s">
        <v>124</v>
      </c>
      <c r="HGI46" s="502"/>
      <c r="HGJ46" s="502"/>
      <c r="HGK46" s="502"/>
      <c r="HGL46" s="502" t="s">
        <v>124</v>
      </c>
      <c r="HGM46" s="502"/>
      <c r="HGN46" s="502"/>
      <c r="HGO46" s="502"/>
      <c r="HGP46" s="502" t="s">
        <v>124</v>
      </c>
      <c r="HGQ46" s="502"/>
      <c r="HGR46" s="502"/>
      <c r="HGS46" s="502"/>
      <c r="HGT46" s="502" t="s">
        <v>124</v>
      </c>
      <c r="HGU46" s="502"/>
      <c r="HGV46" s="502"/>
      <c r="HGW46" s="502"/>
      <c r="HGX46" s="502" t="s">
        <v>124</v>
      </c>
      <c r="HGY46" s="502"/>
      <c r="HGZ46" s="502"/>
      <c r="HHA46" s="502"/>
      <c r="HHB46" s="502" t="s">
        <v>124</v>
      </c>
      <c r="HHC46" s="502"/>
      <c r="HHD46" s="502"/>
      <c r="HHE46" s="502"/>
      <c r="HHF46" s="502" t="s">
        <v>124</v>
      </c>
      <c r="HHG46" s="502"/>
      <c r="HHH46" s="502"/>
      <c r="HHI46" s="502"/>
      <c r="HHJ46" s="502" t="s">
        <v>124</v>
      </c>
      <c r="HHK46" s="502"/>
      <c r="HHL46" s="502"/>
      <c r="HHM46" s="502"/>
      <c r="HHN46" s="502" t="s">
        <v>124</v>
      </c>
      <c r="HHO46" s="502"/>
      <c r="HHP46" s="502"/>
      <c r="HHQ46" s="502"/>
      <c r="HHR46" s="502" t="s">
        <v>124</v>
      </c>
      <c r="HHS46" s="502"/>
      <c r="HHT46" s="502"/>
      <c r="HHU46" s="502"/>
      <c r="HHV46" s="502" t="s">
        <v>124</v>
      </c>
      <c r="HHW46" s="502"/>
      <c r="HHX46" s="502"/>
      <c r="HHY46" s="502"/>
      <c r="HHZ46" s="502" t="s">
        <v>124</v>
      </c>
      <c r="HIA46" s="502"/>
      <c r="HIB46" s="502"/>
      <c r="HIC46" s="502"/>
      <c r="HID46" s="502" t="s">
        <v>124</v>
      </c>
      <c r="HIE46" s="502"/>
      <c r="HIF46" s="502"/>
      <c r="HIG46" s="502"/>
      <c r="HIH46" s="502" t="s">
        <v>124</v>
      </c>
      <c r="HII46" s="502"/>
      <c r="HIJ46" s="502"/>
      <c r="HIK46" s="502"/>
      <c r="HIL46" s="502" t="s">
        <v>124</v>
      </c>
      <c r="HIM46" s="502"/>
      <c r="HIN46" s="502"/>
      <c r="HIO46" s="502"/>
      <c r="HIP46" s="502" t="s">
        <v>124</v>
      </c>
      <c r="HIQ46" s="502"/>
      <c r="HIR46" s="502"/>
      <c r="HIS46" s="502"/>
      <c r="HIT46" s="502" t="s">
        <v>124</v>
      </c>
      <c r="HIU46" s="502"/>
      <c r="HIV46" s="502"/>
      <c r="HIW46" s="502"/>
      <c r="HIX46" s="502" t="s">
        <v>124</v>
      </c>
      <c r="HIY46" s="502"/>
      <c r="HIZ46" s="502"/>
      <c r="HJA46" s="502"/>
      <c r="HJB46" s="502" t="s">
        <v>124</v>
      </c>
      <c r="HJC46" s="502"/>
      <c r="HJD46" s="502"/>
      <c r="HJE46" s="502"/>
      <c r="HJF46" s="502" t="s">
        <v>124</v>
      </c>
      <c r="HJG46" s="502"/>
      <c r="HJH46" s="502"/>
      <c r="HJI46" s="502"/>
      <c r="HJJ46" s="502" t="s">
        <v>124</v>
      </c>
      <c r="HJK46" s="502"/>
      <c r="HJL46" s="502"/>
      <c r="HJM46" s="502"/>
      <c r="HJN46" s="502" t="s">
        <v>124</v>
      </c>
      <c r="HJO46" s="502"/>
      <c r="HJP46" s="502"/>
      <c r="HJQ46" s="502"/>
      <c r="HJR46" s="502" t="s">
        <v>124</v>
      </c>
      <c r="HJS46" s="502"/>
      <c r="HJT46" s="502"/>
      <c r="HJU46" s="502"/>
      <c r="HJV46" s="502" t="s">
        <v>124</v>
      </c>
      <c r="HJW46" s="502"/>
      <c r="HJX46" s="502"/>
      <c r="HJY46" s="502"/>
      <c r="HJZ46" s="502" t="s">
        <v>124</v>
      </c>
      <c r="HKA46" s="502"/>
      <c r="HKB46" s="502"/>
      <c r="HKC46" s="502"/>
      <c r="HKD46" s="502" t="s">
        <v>124</v>
      </c>
      <c r="HKE46" s="502"/>
      <c r="HKF46" s="502"/>
      <c r="HKG46" s="502"/>
      <c r="HKH46" s="502" t="s">
        <v>124</v>
      </c>
      <c r="HKI46" s="502"/>
      <c r="HKJ46" s="502"/>
      <c r="HKK46" s="502"/>
      <c r="HKL46" s="502" t="s">
        <v>124</v>
      </c>
      <c r="HKM46" s="502"/>
      <c r="HKN46" s="502"/>
      <c r="HKO46" s="502"/>
      <c r="HKP46" s="502" t="s">
        <v>124</v>
      </c>
      <c r="HKQ46" s="502"/>
      <c r="HKR46" s="502"/>
      <c r="HKS46" s="502"/>
      <c r="HKT46" s="502" t="s">
        <v>124</v>
      </c>
      <c r="HKU46" s="502"/>
      <c r="HKV46" s="502"/>
      <c r="HKW46" s="502"/>
      <c r="HKX46" s="502" t="s">
        <v>124</v>
      </c>
      <c r="HKY46" s="502"/>
      <c r="HKZ46" s="502"/>
      <c r="HLA46" s="502"/>
      <c r="HLB46" s="502" t="s">
        <v>124</v>
      </c>
      <c r="HLC46" s="502"/>
      <c r="HLD46" s="502"/>
      <c r="HLE46" s="502"/>
      <c r="HLF46" s="502" t="s">
        <v>124</v>
      </c>
      <c r="HLG46" s="502"/>
      <c r="HLH46" s="502"/>
      <c r="HLI46" s="502"/>
      <c r="HLJ46" s="502" t="s">
        <v>124</v>
      </c>
      <c r="HLK46" s="502"/>
      <c r="HLL46" s="502"/>
      <c r="HLM46" s="502"/>
      <c r="HLN46" s="502" t="s">
        <v>124</v>
      </c>
      <c r="HLO46" s="502"/>
      <c r="HLP46" s="502"/>
      <c r="HLQ46" s="502"/>
      <c r="HLR46" s="502" t="s">
        <v>124</v>
      </c>
      <c r="HLS46" s="502"/>
      <c r="HLT46" s="502"/>
      <c r="HLU46" s="502"/>
      <c r="HLV46" s="502" t="s">
        <v>124</v>
      </c>
      <c r="HLW46" s="502"/>
      <c r="HLX46" s="502"/>
      <c r="HLY46" s="502"/>
      <c r="HLZ46" s="502" t="s">
        <v>124</v>
      </c>
      <c r="HMA46" s="502"/>
      <c r="HMB46" s="502"/>
      <c r="HMC46" s="502"/>
      <c r="HMD46" s="502" t="s">
        <v>124</v>
      </c>
      <c r="HME46" s="502"/>
      <c r="HMF46" s="502"/>
      <c r="HMG46" s="502"/>
      <c r="HMH46" s="502" t="s">
        <v>124</v>
      </c>
      <c r="HMI46" s="502"/>
      <c r="HMJ46" s="502"/>
      <c r="HMK46" s="502"/>
      <c r="HML46" s="502" t="s">
        <v>124</v>
      </c>
      <c r="HMM46" s="502"/>
      <c r="HMN46" s="502"/>
      <c r="HMO46" s="502"/>
      <c r="HMP46" s="502" t="s">
        <v>124</v>
      </c>
      <c r="HMQ46" s="502"/>
      <c r="HMR46" s="502"/>
      <c r="HMS46" s="502"/>
      <c r="HMT46" s="502" t="s">
        <v>124</v>
      </c>
      <c r="HMU46" s="502"/>
      <c r="HMV46" s="502"/>
      <c r="HMW46" s="502"/>
      <c r="HMX46" s="502" t="s">
        <v>124</v>
      </c>
      <c r="HMY46" s="502"/>
      <c r="HMZ46" s="502"/>
      <c r="HNA46" s="502"/>
      <c r="HNB46" s="502" t="s">
        <v>124</v>
      </c>
      <c r="HNC46" s="502"/>
      <c r="HND46" s="502"/>
      <c r="HNE46" s="502"/>
      <c r="HNF46" s="502" t="s">
        <v>124</v>
      </c>
      <c r="HNG46" s="502"/>
      <c r="HNH46" s="502"/>
      <c r="HNI46" s="502"/>
      <c r="HNJ46" s="502" t="s">
        <v>124</v>
      </c>
      <c r="HNK46" s="502"/>
      <c r="HNL46" s="502"/>
      <c r="HNM46" s="502"/>
      <c r="HNN46" s="502" t="s">
        <v>124</v>
      </c>
      <c r="HNO46" s="502"/>
      <c r="HNP46" s="502"/>
      <c r="HNQ46" s="502"/>
      <c r="HNR46" s="502" t="s">
        <v>124</v>
      </c>
      <c r="HNS46" s="502"/>
      <c r="HNT46" s="502"/>
      <c r="HNU46" s="502"/>
      <c r="HNV46" s="502" t="s">
        <v>124</v>
      </c>
      <c r="HNW46" s="502"/>
      <c r="HNX46" s="502"/>
      <c r="HNY46" s="502"/>
      <c r="HNZ46" s="502" t="s">
        <v>124</v>
      </c>
      <c r="HOA46" s="502"/>
      <c r="HOB46" s="502"/>
      <c r="HOC46" s="502"/>
      <c r="HOD46" s="502" t="s">
        <v>124</v>
      </c>
      <c r="HOE46" s="502"/>
      <c r="HOF46" s="502"/>
      <c r="HOG46" s="502"/>
      <c r="HOH46" s="502" t="s">
        <v>124</v>
      </c>
      <c r="HOI46" s="502"/>
      <c r="HOJ46" s="502"/>
      <c r="HOK46" s="502"/>
      <c r="HOL46" s="502" t="s">
        <v>124</v>
      </c>
      <c r="HOM46" s="502"/>
      <c r="HON46" s="502"/>
      <c r="HOO46" s="502"/>
      <c r="HOP46" s="502" t="s">
        <v>124</v>
      </c>
      <c r="HOQ46" s="502"/>
      <c r="HOR46" s="502"/>
      <c r="HOS46" s="502"/>
      <c r="HOT46" s="502" t="s">
        <v>124</v>
      </c>
      <c r="HOU46" s="502"/>
      <c r="HOV46" s="502"/>
      <c r="HOW46" s="502"/>
      <c r="HOX46" s="502" t="s">
        <v>124</v>
      </c>
      <c r="HOY46" s="502"/>
      <c r="HOZ46" s="502"/>
      <c r="HPA46" s="502"/>
      <c r="HPB46" s="502" t="s">
        <v>124</v>
      </c>
      <c r="HPC46" s="502"/>
      <c r="HPD46" s="502"/>
      <c r="HPE46" s="502"/>
      <c r="HPF46" s="502" t="s">
        <v>124</v>
      </c>
      <c r="HPG46" s="502"/>
      <c r="HPH46" s="502"/>
      <c r="HPI46" s="502"/>
      <c r="HPJ46" s="502" t="s">
        <v>124</v>
      </c>
      <c r="HPK46" s="502"/>
      <c r="HPL46" s="502"/>
      <c r="HPM46" s="502"/>
      <c r="HPN46" s="502" t="s">
        <v>124</v>
      </c>
      <c r="HPO46" s="502"/>
      <c r="HPP46" s="502"/>
      <c r="HPQ46" s="502"/>
      <c r="HPR46" s="502" t="s">
        <v>124</v>
      </c>
      <c r="HPS46" s="502"/>
      <c r="HPT46" s="502"/>
      <c r="HPU46" s="502"/>
      <c r="HPV46" s="502" t="s">
        <v>124</v>
      </c>
      <c r="HPW46" s="502"/>
      <c r="HPX46" s="502"/>
      <c r="HPY46" s="502"/>
      <c r="HPZ46" s="502" t="s">
        <v>124</v>
      </c>
      <c r="HQA46" s="502"/>
      <c r="HQB46" s="502"/>
      <c r="HQC46" s="502"/>
      <c r="HQD46" s="502" t="s">
        <v>124</v>
      </c>
      <c r="HQE46" s="502"/>
      <c r="HQF46" s="502"/>
      <c r="HQG46" s="502"/>
      <c r="HQH46" s="502" t="s">
        <v>124</v>
      </c>
      <c r="HQI46" s="502"/>
      <c r="HQJ46" s="502"/>
      <c r="HQK46" s="502"/>
      <c r="HQL46" s="502" t="s">
        <v>124</v>
      </c>
      <c r="HQM46" s="502"/>
      <c r="HQN46" s="502"/>
      <c r="HQO46" s="502"/>
      <c r="HQP46" s="502" t="s">
        <v>124</v>
      </c>
      <c r="HQQ46" s="502"/>
      <c r="HQR46" s="502"/>
      <c r="HQS46" s="502"/>
      <c r="HQT46" s="502" t="s">
        <v>124</v>
      </c>
      <c r="HQU46" s="502"/>
      <c r="HQV46" s="502"/>
      <c r="HQW46" s="502"/>
      <c r="HQX46" s="502" t="s">
        <v>124</v>
      </c>
      <c r="HQY46" s="502"/>
      <c r="HQZ46" s="502"/>
      <c r="HRA46" s="502"/>
      <c r="HRB46" s="502" t="s">
        <v>124</v>
      </c>
      <c r="HRC46" s="502"/>
      <c r="HRD46" s="502"/>
      <c r="HRE46" s="502"/>
      <c r="HRF46" s="502" t="s">
        <v>124</v>
      </c>
      <c r="HRG46" s="502"/>
      <c r="HRH46" s="502"/>
      <c r="HRI46" s="502"/>
      <c r="HRJ46" s="502" t="s">
        <v>124</v>
      </c>
      <c r="HRK46" s="502"/>
      <c r="HRL46" s="502"/>
      <c r="HRM46" s="502"/>
      <c r="HRN46" s="502" t="s">
        <v>124</v>
      </c>
      <c r="HRO46" s="502"/>
      <c r="HRP46" s="502"/>
      <c r="HRQ46" s="502"/>
      <c r="HRR46" s="502" t="s">
        <v>124</v>
      </c>
      <c r="HRS46" s="502"/>
      <c r="HRT46" s="502"/>
      <c r="HRU46" s="502"/>
      <c r="HRV46" s="502" t="s">
        <v>124</v>
      </c>
      <c r="HRW46" s="502"/>
      <c r="HRX46" s="502"/>
      <c r="HRY46" s="502"/>
      <c r="HRZ46" s="502" t="s">
        <v>124</v>
      </c>
      <c r="HSA46" s="502"/>
      <c r="HSB46" s="502"/>
      <c r="HSC46" s="502"/>
      <c r="HSD46" s="502" t="s">
        <v>124</v>
      </c>
      <c r="HSE46" s="502"/>
      <c r="HSF46" s="502"/>
      <c r="HSG46" s="502"/>
      <c r="HSH46" s="502" t="s">
        <v>124</v>
      </c>
      <c r="HSI46" s="502"/>
      <c r="HSJ46" s="502"/>
      <c r="HSK46" s="502"/>
      <c r="HSL46" s="502" t="s">
        <v>124</v>
      </c>
      <c r="HSM46" s="502"/>
      <c r="HSN46" s="502"/>
      <c r="HSO46" s="502"/>
      <c r="HSP46" s="502" t="s">
        <v>124</v>
      </c>
      <c r="HSQ46" s="502"/>
      <c r="HSR46" s="502"/>
      <c r="HSS46" s="502"/>
      <c r="HST46" s="502" t="s">
        <v>124</v>
      </c>
      <c r="HSU46" s="502"/>
      <c r="HSV46" s="502"/>
      <c r="HSW46" s="502"/>
      <c r="HSX46" s="502" t="s">
        <v>124</v>
      </c>
      <c r="HSY46" s="502"/>
      <c r="HSZ46" s="502"/>
      <c r="HTA46" s="502"/>
      <c r="HTB46" s="502" t="s">
        <v>124</v>
      </c>
      <c r="HTC46" s="502"/>
      <c r="HTD46" s="502"/>
      <c r="HTE46" s="502"/>
      <c r="HTF46" s="502" t="s">
        <v>124</v>
      </c>
      <c r="HTG46" s="502"/>
      <c r="HTH46" s="502"/>
      <c r="HTI46" s="502"/>
      <c r="HTJ46" s="502" t="s">
        <v>124</v>
      </c>
      <c r="HTK46" s="502"/>
      <c r="HTL46" s="502"/>
      <c r="HTM46" s="502"/>
      <c r="HTN46" s="502" t="s">
        <v>124</v>
      </c>
      <c r="HTO46" s="502"/>
      <c r="HTP46" s="502"/>
      <c r="HTQ46" s="502"/>
      <c r="HTR46" s="502" t="s">
        <v>124</v>
      </c>
      <c r="HTS46" s="502"/>
      <c r="HTT46" s="502"/>
      <c r="HTU46" s="502"/>
      <c r="HTV46" s="502" t="s">
        <v>124</v>
      </c>
      <c r="HTW46" s="502"/>
      <c r="HTX46" s="502"/>
      <c r="HTY46" s="502"/>
      <c r="HTZ46" s="502" t="s">
        <v>124</v>
      </c>
      <c r="HUA46" s="502"/>
      <c r="HUB46" s="502"/>
      <c r="HUC46" s="502"/>
      <c r="HUD46" s="502" t="s">
        <v>124</v>
      </c>
      <c r="HUE46" s="502"/>
      <c r="HUF46" s="502"/>
      <c r="HUG46" s="502"/>
      <c r="HUH46" s="502" t="s">
        <v>124</v>
      </c>
      <c r="HUI46" s="502"/>
      <c r="HUJ46" s="502"/>
      <c r="HUK46" s="502"/>
      <c r="HUL46" s="502" t="s">
        <v>124</v>
      </c>
      <c r="HUM46" s="502"/>
      <c r="HUN46" s="502"/>
      <c r="HUO46" s="502"/>
      <c r="HUP46" s="502" t="s">
        <v>124</v>
      </c>
      <c r="HUQ46" s="502"/>
      <c r="HUR46" s="502"/>
      <c r="HUS46" s="502"/>
      <c r="HUT46" s="502" t="s">
        <v>124</v>
      </c>
      <c r="HUU46" s="502"/>
      <c r="HUV46" s="502"/>
      <c r="HUW46" s="502"/>
      <c r="HUX46" s="502" t="s">
        <v>124</v>
      </c>
      <c r="HUY46" s="502"/>
      <c r="HUZ46" s="502"/>
      <c r="HVA46" s="502"/>
      <c r="HVB46" s="502" t="s">
        <v>124</v>
      </c>
      <c r="HVC46" s="502"/>
      <c r="HVD46" s="502"/>
      <c r="HVE46" s="502"/>
      <c r="HVF46" s="502" t="s">
        <v>124</v>
      </c>
      <c r="HVG46" s="502"/>
      <c r="HVH46" s="502"/>
      <c r="HVI46" s="502"/>
      <c r="HVJ46" s="502" t="s">
        <v>124</v>
      </c>
      <c r="HVK46" s="502"/>
      <c r="HVL46" s="502"/>
      <c r="HVM46" s="502"/>
      <c r="HVN46" s="502" t="s">
        <v>124</v>
      </c>
      <c r="HVO46" s="502"/>
      <c r="HVP46" s="502"/>
      <c r="HVQ46" s="502"/>
      <c r="HVR46" s="502" t="s">
        <v>124</v>
      </c>
      <c r="HVS46" s="502"/>
      <c r="HVT46" s="502"/>
      <c r="HVU46" s="502"/>
      <c r="HVV46" s="502" t="s">
        <v>124</v>
      </c>
      <c r="HVW46" s="502"/>
      <c r="HVX46" s="502"/>
      <c r="HVY46" s="502"/>
      <c r="HVZ46" s="502" t="s">
        <v>124</v>
      </c>
      <c r="HWA46" s="502"/>
      <c r="HWB46" s="502"/>
      <c r="HWC46" s="502"/>
      <c r="HWD46" s="502" t="s">
        <v>124</v>
      </c>
      <c r="HWE46" s="502"/>
      <c r="HWF46" s="502"/>
      <c r="HWG46" s="502"/>
      <c r="HWH46" s="502" t="s">
        <v>124</v>
      </c>
      <c r="HWI46" s="502"/>
      <c r="HWJ46" s="502"/>
      <c r="HWK46" s="502"/>
      <c r="HWL46" s="502" t="s">
        <v>124</v>
      </c>
      <c r="HWM46" s="502"/>
      <c r="HWN46" s="502"/>
      <c r="HWO46" s="502"/>
      <c r="HWP46" s="502" t="s">
        <v>124</v>
      </c>
      <c r="HWQ46" s="502"/>
      <c r="HWR46" s="502"/>
      <c r="HWS46" s="502"/>
      <c r="HWT46" s="502" t="s">
        <v>124</v>
      </c>
      <c r="HWU46" s="502"/>
      <c r="HWV46" s="502"/>
      <c r="HWW46" s="502"/>
      <c r="HWX46" s="502" t="s">
        <v>124</v>
      </c>
      <c r="HWY46" s="502"/>
      <c r="HWZ46" s="502"/>
      <c r="HXA46" s="502"/>
      <c r="HXB46" s="502" t="s">
        <v>124</v>
      </c>
      <c r="HXC46" s="502"/>
      <c r="HXD46" s="502"/>
      <c r="HXE46" s="502"/>
      <c r="HXF46" s="502" t="s">
        <v>124</v>
      </c>
      <c r="HXG46" s="502"/>
      <c r="HXH46" s="502"/>
      <c r="HXI46" s="502"/>
      <c r="HXJ46" s="502" t="s">
        <v>124</v>
      </c>
      <c r="HXK46" s="502"/>
      <c r="HXL46" s="502"/>
      <c r="HXM46" s="502"/>
      <c r="HXN46" s="502" t="s">
        <v>124</v>
      </c>
      <c r="HXO46" s="502"/>
      <c r="HXP46" s="502"/>
      <c r="HXQ46" s="502"/>
      <c r="HXR46" s="502" t="s">
        <v>124</v>
      </c>
      <c r="HXS46" s="502"/>
      <c r="HXT46" s="502"/>
      <c r="HXU46" s="502"/>
      <c r="HXV46" s="502" t="s">
        <v>124</v>
      </c>
      <c r="HXW46" s="502"/>
      <c r="HXX46" s="502"/>
      <c r="HXY46" s="502"/>
      <c r="HXZ46" s="502" t="s">
        <v>124</v>
      </c>
      <c r="HYA46" s="502"/>
      <c r="HYB46" s="502"/>
      <c r="HYC46" s="502"/>
      <c r="HYD46" s="502" t="s">
        <v>124</v>
      </c>
      <c r="HYE46" s="502"/>
      <c r="HYF46" s="502"/>
      <c r="HYG46" s="502"/>
      <c r="HYH46" s="502" t="s">
        <v>124</v>
      </c>
      <c r="HYI46" s="502"/>
      <c r="HYJ46" s="502"/>
      <c r="HYK46" s="502"/>
      <c r="HYL46" s="502" t="s">
        <v>124</v>
      </c>
      <c r="HYM46" s="502"/>
      <c r="HYN46" s="502"/>
      <c r="HYO46" s="502"/>
      <c r="HYP46" s="502" t="s">
        <v>124</v>
      </c>
      <c r="HYQ46" s="502"/>
      <c r="HYR46" s="502"/>
      <c r="HYS46" s="502"/>
      <c r="HYT46" s="502" t="s">
        <v>124</v>
      </c>
      <c r="HYU46" s="502"/>
      <c r="HYV46" s="502"/>
      <c r="HYW46" s="502"/>
      <c r="HYX46" s="502" t="s">
        <v>124</v>
      </c>
      <c r="HYY46" s="502"/>
      <c r="HYZ46" s="502"/>
      <c r="HZA46" s="502"/>
      <c r="HZB46" s="502" t="s">
        <v>124</v>
      </c>
      <c r="HZC46" s="502"/>
      <c r="HZD46" s="502"/>
      <c r="HZE46" s="502"/>
      <c r="HZF46" s="502" t="s">
        <v>124</v>
      </c>
      <c r="HZG46" s="502"/>
      <c r="HZH46" s="502"/>
      <c r="HZI46" s="502"/>
      <c r="HZJ46" s="502" t="s">
        <v>124</v>
      </c>
      <c r="HZK46" s="502"/>
      <c r="HZL46" s="502"/>
      <c r="HZM46" s="502"/>
      <c r="HZN46" s="502" t="s">
        <v>124</v>
      </c>
      <c r="HZO46" s="502"/>
      <c r="HZP46" s="502"/>
      <c r="HZQ46" s="502"/>
      <c r="HZR46" s="502" t="s">
        <v>124</v>
      </c>
      <c r="HZS46" s="502"/>
      <c r="HZT46" s="502"/>
      <c r="HZU46" s="502"/>
      <c r="HZV46" s="502" t="s">
        <v>124</v>
      </c>
      <c r="HZW46" s="502"/>
      <c r="HZX46" s="502"/>
      <c r="HZY46" s="502"/>
      <c r="HZZ46" s="502" t="s">
        <v>124</v>
      </c>
      <c r="IAA46" s="502"/>
      <c r="IAB46" s="502"/>
      <c r="IAC46" s="502"/>
      <c r="IAD46" s="502" t="s">
        <v>124</v>
      </c>
      <c r="IAE46" s="502"/>
      <c r="IAF46" s="502"/>
      <c r="IAG46" s="502"/>
      <c r="IAH46" s="502" t="s">
        <v>124</v>
      </c>
      <c r="IAI46" s="502"/>
      <c r="IAJ46" s="502"/>
      <c r="IAK46" s="502"/>
      <c r="IAL46" s="502" t="s">
        <v>124</v>
      </c>
      <c r="IAM46" s="502"/>
      <c r="IAN46" s="502"/>
      <c r="IAO46" s="502"/>
      <c r="IAP46" s="502" t="s">
        <v>124</v>
      </c>
      <c r="IAQ46" s="502"/>
      <c r="IAR46" s="502"/>
      <c r="IAS46" s="502"/>
      <c r="IAT46" s="502" t="s">
        <v>124</v>
      </c>
      <c r="IAU46" s="502"/>
      <c r="IAV46" s="502"/>
      <c r="IAW46" s="502"/>
      <c r="IAX46" s="502" t="s">
        <v>124</v>
      </c>
      <c r="IAY46" s="502"/>
      <c r="IAZ46" s="502"/>
      <c r="IBA46" s="502"/>
      <c r="IBB46" s="502" t="s">
        <v>124</v>
      </c>
      <c r="IBC46" s="502"/>
      <c r="IBD46" s="502"/>
      <c r="IBE46" s="502"/>
      <c r="IBF46" s="502" t="s">
        <v>124</v>
      </c>
      <c r="IBG46" s="502"/>
      <c r="IBH46" s="502"/>
      <c r="IBI46" s="502"/>
      <c r="IBJ46" s="502" t="s">
        <v>124</v>
      </c>
      <c r="IBK46" s="502"/>
      <c r="IBL46" s="502"/>
      <c r="IBM46" s="502"/>
      <c r="IBN46" s="502" t="s">
        <v>124</v>
      </c>
      <c r="IBO46" s="502"/>
      <c r="IBP46" s="502"/>
      <c r="IBQ46" s="502"/>
      <c r="IBR46" s="502" t="s">
        <v>124</v>
      </c>
      <c r="IBS46" s="502"/>
      <c r="IBT46" s="502"/>
      <c r="IBU46" s="502"/>
      <c r="IBV46" s="502" t="s">
        <v>124</v>
      </c>
      <c r="IBW46" s="502"/>
      <c r="IBX46" s="502"/>
      <c r="IBY46" s="502"/>
      <c r="IBZ46" s="502" t="s">
        <v>124</v>
      </c>
      <c r="ICA46" s="502"/>
      <c r="ICB46" s="502"/>
      <c r="ICC46" s="502"/>
      <c r="ICD46" s="502" t="s">
        <v>124</v>
      </c>
      <c r="ICE46" s="502"/>
      <c r="ICF46" s="502"/>
      <c r="ICG46" s="502"/>
      <c r="ICH46" s="502" t="s">
        <v>124</v>
      </c>
      <c r="ICI46" s="502"/>
      <c r="ICJ46" s="502"/>
      <c r="ICK46" s="502"/>
      <c r="ICL46" s="502" t="s">
        <v>124</v>
      </c>
      <c r="ICM46" s="502"/>
      <c r="ICN46" s="502"/>
      <c r="ICO46" s="502"/>
      <c r="ICP46" s="502" t="s">
        <v>124</v>
      </c>
      <c r="ICQ46" s="502"/>
      <c r="ICR46" s="502"/>
      <c r="ICS46" s="502"/>
      <c r="ICT46" s="502" t="s">
        <v>124</v>
      </c>
      <c r="ICU46" s="502"/>
      <c r="ICV46" s="502"/>
      <c r="ICW46" s="502"/>
      <c r="ICX46" s="502" t="s">
        <v>124</v>
      </c>
      <c r="ICY46" s="502"/>
      <c r="ICZ46" s="502"/>
      <c r="IDA46" s="502"/>
      <c r="IDB46" s="502" t="s">
        <v>124</v>
      </c>
      <c r="IDC46" s="502"/>
      <c r="IDD46" s="502"/>
      <c r="IDE46" s="502"/>
      <c r="IDF46" s="502" t="s">
        <v>124</v>
      </c>
      <c r="IDG46" s="502"/>
      <c r="IDH46" s="502"/>
      <c r="IDI46" s="502"/>
      <c r="IDJ46" s="502" t="s">
        <v>124</v>
      </c>
      <c r="IDK46" s="502"/>
      <c r="IDL46" s="502"/>
      <c r="IDM46" s="502"/>
      <c r="IDN46" s="502" t="s">
        <v>124</v>
      </c>
      <c r="IDO46" s="502"/>
      <c r="IDP46" s="502"/>
      <c r="IDQ46" s="502"/>
      <c r="IDR46" s="502" t="s">
        <v>124</v>
      </c>
      <c r="IDS46" s="502"/>
      <c r="IDT46" s="502"/>
      <c r="IDU46" s="502"/>
      <c r="IDV46" s="502" t="s">
        <v>124</v>
      </c>
      <c r="IDW46" s="502"/>
      <c r="IDX46" s="502"/>
      <c r="IDY46" s="502"/>
      <c r="IDZ46" s="502" t="s">
        <v>124</v>
      </c>
      <c r="IEA46" s="502"/>
      <c r="IEB46" s="502"/>
      <c r="IEC46" s="502"/>
      <c r="IED46" s="502" t="s">
        <v>124</v>
      </c>
      <c r="IEE46" s="502"/>
      <c r="IEF46" s="502"/>
      <c r="IEG46" s="502"/>
      <c r="IEH46" s="502" t="s">
        <v>124</v>
      </c>
      <c r="IEI46" s="502"/>
      <c r="IEJ46" s="502"/>
      <c r="IEK46" s="502"/>
      <c r="IEL46" s="502" t="s">
        <v>124</v>
      </c>
      <c r="IEM46" s="502"/>
      <c r="IEN46" s="502"/>
      <c r="IEO46" s="502"/>
      <c r="IEP46" s="502" t="s">
        <v>124</v>
      </c>
      <c r="IEQ46" s="502"/>
      <c r="IER46" s="502"/>
      <c r="IES46" s="502"/>
      <c r="IET46" s="502" t="s">
        <v>124</v>
      </c>
      <c r="IEU46" s="502"/>
      <c r="IEV46" s="502"/>
      <c r="IEW46" s="502"/>
      <c r="IEX46" s="502" t="s">
        <v>124</v>
      </c>
      <c r="IEY46" s="502"/>
      <c r="IEZ46" s="502"/>
      <c r="IFA46" s="502"/>
      <c r="IFB46" s="502" t="s">
        <v>124</v>
      </c>
      <c r="IFC46" s="502"/>
      <c r="IFD46" s="502"/>
      <c r="IFE46" s="502"/>
      <c r="IFF46" s="502" t="s">
        <v>124</v>
      </c>
      <c r="IFG46" s="502"/>
      <c r="IFH46" s="502"/>
      <c r="IFI46" s="502"/>
      <c r="IFJ46" s="502" t="s">
        <v>124</v>
      </c>
      <c r="IFK46" s="502"/>
      <c r="IFL46" s="502"/>
      <c r="IFM46" s="502"/>
      <c r="IFN46" s="502" t="s">
        <v>124</v>
      </c>
      <c r="IFO46" s="502"/>
      <c r="IFP46" s="502"/>
      <c r="IFQ46" s="502"/>
      <c r="IFR46" s="502" t="s">
        <v>124</v>
      </c>
      <c r="IFS46" s="502"/>
      <c r="IFT46" s="502"/>
      <c r="IFU46" s="502"/>
      <c r="IFV46" s="502" t="s">
        <v>124</v>
      </c>
      <c r="IFW46" s="502"/>
      <c r="IFX46" s="502"/>
      <c r="IFY46" s="502"/>
      <c r="IFZ46" s="502" t="s">
        <v>124</v>
      </c>
      <c r="IGA46" s="502"/>
      <c r="IGB46" s="502"/>
      <c r="IGC46" s="502"/>
      <c r="IGD46" s="502" t="s">
        <v>124</v>
      </c>
      <c r="IGE46" s="502"/>
      <c r="IGF46" s="502"/>
      <c r="IGG46" s="502"/>
      <c r="IGH46" s="502" t="s">
        <v>124</v>
      </c>
      <c r="IGI46" s="502"/>
      <c r="IGJ46" s="502"/>
      <c r="IGK46" s="502"/>
      <c r="IGL46" s="502" t="s">
        <v>124</v>
      </c>
      <c r="IGM46" s="502"/>
      <c r="IGN46" s="502"/>
      <c r="IGO46" s="502"/>
      <c r="IGP46" s="502" t="s">
        <v>124</v>
      </c>
      <c r="IGQ46" s="502"/>
      <c r="IGR46" s="502"/>
      <c r="IGS46" s="502"/>
      <c r="IGT46" s="502" t="s">
        <v>124</v>
      </c>
      <c r="IGU46" s="502"/>
      <c r="IGV46" s="502"/>
      <c r="IGW46" s="502"/>
      <c r="IGX46" s="502" t="s">
        <v>124</v>
      </c>
      <c r="IGY46" s="502"/>
      <c r="IGZ46" s="502"/>
      <c r="IHA46" s="502"/>
      <c r="IHB46" s="502" t="s">
        <v>124</v>
      </c>
      <c r="IHC46" s="502"/>
      <c r="IHD46" s="502"/>
      <c r="IHE46" s="502"/>
      <c r="IHF46" s="502" t="s">
        <v>124</v>
      </c>
      <c r="IHG46" s="502"/>
      <c r="IHH46" s="502"/>
      <c r="IHI46" s="502"/>
      <c r="IHJ46" s="502" t="s">
        <v>124</v>
      </c>
      <c r="IHK46" s="502"/>
      <c r="IHL46" s="502"/>
      <c r="IHM46" s="502"/>
      <c r="IHN46" s="502" t="s">
        <v>124</v>
      </c>
      <c r="IHO46" s="502"/>
      <c r="IHP46" s="502"/>
      <c r="IHQ46" s="502"/>
      <c r="IHR46" s="502" t="s">
        <v>124</v>
      </c>
      <c r="IHS46" s="502"/>
      <c r="IHT46" s="502"/>
      <c r="IHU46" s="502"/>
      <c r="IHV46" s="502" t="s">
        <v>124</v>
      </c>
      <c r="IHW46" s="502"/>
      <c r="IHX46" s="502"/>
      <c r="IHY46" s="502"/>
      <c r="IHZ46" s="502" t="s">
        <v>124</v>
      </c>
      <c r="IIA46" s="502"/>
      <c r="IIB46" s="502"/>
      <c r="IIC46" s="502"/>
      <c r="IID46" s="502" t="s">
        <v>124</v>
      </c>
      <c r="IIE46" s="502"/>
      <c r="IIF46" s="502"/>
      <c r="IIG46" s="502"/>
      <c r="IIH46" s="502" t="s">
        <v>124</v>
      </c>
      <c r="III46" s="502"/>
      <c r="IIJ46" s="502"/>
      <c r="IIK46" s="502"/>
      <c r="IIL46" s="502" t="s">
        <v>124</v>
      </c>
      <c r="IIM46" s="502"/>
      <c r="IIN46" s="502"/>
      <c r="IIO46" s="502"/>
      <c r="IIP46" s="502" t="s">
        <v>124</v>
      </c>
      <c r="IIQ46" s="502"/>
      <c r="IIR46" s="502"/>
      <c r="IIS46" s="502"/>
      <c r="IIT46" s="502" t="s">
        <v>124</v>
      </c>
      <c r="IIU46" s="502"/>
      <c r="IIV46" s="502"/>
      <c r="IIW46" s="502"/>
      <c r="IIX46" s="502" t="s">
        <v>124</v>
      </c>
      <c r="IIY46" s="502"/>
      <c r="IIZ46" s="502"/>
      <c r="IJA46" s="502"/>
      <c r="IJB46" s="502" t="s">
        <v>124</v>
      </c>
      <c r="IJC46" s="502"/>
      <c r="IJD46" s="502"/>
      <c r="IJE46" s="502"/>
      <c r="IJF46" s="502" t="s">
        <v>124</v>
      </c>
      <c r="IJG46" s="502"/>
      <c r="IJH46" s="502"/>
      <c r="IJI46" s="502"/>
      <c r="IJJ46" s="502" t="s">
        <v>124</v>
      </c>
      <c r="IJK46" s="502"/>
      <c r="IJL46" s="502"/>
      <c r="IJM46" s="502"/>
      <c r="IJN46" s="502" t="s">
        <v>124</v>
      </c>
      <c r="IJO46" s="502"/>
      <c r="IJP46" s="502"/>
      <c r="IJQ46" s="502"/>
      <c r="IJR46" s="502" t="s">
        <v>124</v>
      </c>
      <c r="IJS46" s="502"/>
      <c r="IJT46" s="502"/>
      <c r="IJU46" s="502"/>
      <c r="IJV46" s="502" t="s">
        <v>124</v>
      </c>
      <c r="IJW46" s="502"/>
      <c r="IJX46" s="502"/>
      <c r="IJY46" s="502"/>
      <c r="IJZ46" s="502" t="s">
        <v>124</v>
      </c>
      <c r="IKA46" s="502"/>
      <c r="IKB46" s="502"/>
      <c r="IKC46" s="502"/>
      <c r="IKD46" s="502" t="s">
        <v>124</v>
      </c>
      <c r="IKE46" s="502"/>
      <c r="IKF46" s="502"/>
      <c r="IKG46" s="502"/>
      <c r="IKH46" s="502" t="s">
        <v>124</v>
      </c>
      <c r="IKI46" s="502"/>
      <c r="IKJ46" s="502"/>
      <c r="IKK46" s="502"/>
      <c r="IKL46" s="502" t="s">
        <v>124</v>
      </c>
      <c r="IKM46" s="502"/>
      <c r="IKN46" s="502"/>
      <c r="IKO46" s="502"/>
      <c r="IKP46" s="502" t="s">
        <v>124</v>
      </c>
      <c r="IKQ46" s="502"/>
      <c r="IKR46" s="502"/>
      <c r="IKS46" s="502"/>
      <c r="IKT46" s="502" t="s">
        <v>124</v>
      </c>
      <c r="IKU46" s="502"/>
      <c r="IKV46" s="502"/>
      <c r="IKW46" s="502"/>
      <c r="IKX46" s="502" t="s">
        <v>124</v>
      </c>
      <c r="IKY46" s="502"/>
      <c r="IKZ46" s="502"/>
      <c r="ILA46" s="502"/>
      <c r="ILB46" s="502" t="s">
        <v>124</v>
      </c>
      <c r="ILC46" s="502"/>
      <c r="ILD46" s="502"/>
      <c r="ILE46" s="502"/>
      <c r="ILF46" s="502" t="s">
        <v>124</v>
      </c>
      <c r="ILG46" s="502"/>
      <c r="ILH46" s="502"/>
      <c r="ILI46" s="502"/>
      <c r="ILJ46" s="502" t="s">
        <v>124</v>
      </c>
      <c r="ILK46" s="502"/>
      <c r="ILL46" s="502"/>
      <c r="ILM46" s="502"/>
      <c r="ILN46" s="502" t="s">
        <v>124</v>
      </c>
      <c r="ILO46" s="502"/>
      <c r="ILP46" s="502"/>
      <c r="ILQ46" s="502"/>
      <c r="ILR46" s="502" t="s">
        <v>124</v>
      </c>
      <c r="ILS46" s="502"/>
      <c r="ILT46" s="502"/>
      <c r="ILU46" s="502"/>
      <c r="ILV46" s="502" t="s">
        <v>124</v>
      </c>
      <c r="ILW46" s="502"/>
      <c r="ILX46" s="502"/>
      <c r="ILY46" s="502"/>
      <c r="ILZ46" s="502" t="s">
        <v>124</v>
      </c>
      <c r="IMA46" s="502"/>
      <c r="IMB46" s="502"/>
      <c r="IMC46" s="502"/>
      <c r="IMD46" s="502" t="s">
        <v>124</v>
      </c>
      <c r="IME46" s="502"/>
      <c r="IMF46" s="502"/>
      <c r="IMG46" s="502"/>
      <c r="IMH46" s="502" t="s">
        <v>124</v>
      </c>
      <c r="IMI46" s="502"/>
      <c r="IMJ46" s="502"/>
      <c r="IMK46" s="502"/>
      <c r="IML46" s="502" t="s">
        <v>124</v>
      </c>
      <c r="IMM46" s="502"/>
      <c r="IMN46" s="502"/>
      <c r="IMO46" s="502"/>
      <c r="IMP46" s="502" t="s">
        <v>124</v>
      </c>
      <c r="IMQ46" s="502"/>
      <c r="IMR46" s="502"/>
      <c r="IMS46" s="502"/>
      <c r="IMT46" s="502" t="s">
        <v>124</v>
      </c>
      <c r="IMU46" s="502"/>
      <c r="IMV46" s="502"/>
      <c r="IMW46" s="502"/>
      <c r="IMX46" s="502" t="s">
        <v>124</v>
      </c>
      <c r="IMY46" s="502"/>
      <c r="IMZ46" s="502"/>
      <c r="INA46" s="502"/>
      <c r="INB46" s="502" t="s">
        <v>124</v>
      </c>
      <c r="INC46" s="502"/>
      <c r="IND46" s="502"/>
      <c r="INE46" s="502"/>
      <c r="INF46" s="502" t="s">
        <v>124</v>
      </c>
      <c r="ING46" s="502"/>
      <c r="INH46" s="502"/>
      <c r="INI46" s="502"/>
      <c r="INJ46" s="502" t="s">
        <v>124</v>
      </c>
      <c r="INK46" s="502"/>
      <c r="INL46" s="502"/>
      <c r="INM46" s="502"/>
      <c r="INN46" s="502" t="s">
        <v>124</v>
      </c>
      <c r="INO46" s="502"/>
      <c r="INP46" s="502"/>
      <c r="INQ46" s="502"/>
      <c r="INR46" s="502" t="s">
        <v>124</v>
      </c>
      <c r="INS46" s="502"/>
      <c r="INT46" s="502"/>
      <c r="INU46" s="502"/>
      <c r="INV46" s="502" t="s">
        <v>124</v>
      </c>
      <c r="INW46" s="502"/>
      <c r="INX46" s="502"/>
      <c r="INY46" s="502"/>
      <c r="INZ46" s="502" t="s">
        <v>124</v>
      </c>
      <c r="IOA46" s="502"/>
      <c r="IOB46" s="502"/>
      <c r="IOC46" s="502"/>
      <c r="IOD46" s="502" t="s">
        <v>124</v>
      </c>
      <c r="IOE46" s="502"/>
      <c r="IOF46" s="502"/>
      <c r="IOG46" s="502"/>
      <c r="IOH46" s="502" t="s">
        <v>124</v>
      </c>
      <c r="IOI46" s="502"/>
      <c r="IOJ46" s="502"/>
      <c r="IOK46" s="502"/>
      <c r="IOL46" s="502" t="s">
        <v>124</v>
      </c>
      <c r="IOM46" s="502"/>
      <c r="ION46" s="502"/>
      <c r="IOO46" s="502"/>
      <c r="IOP46" s="502" t="s">
        <v>124</v>
      </c>
      <c r="IOQ46" s="502"/>
      <c r="IOR46" s="502"/>
      <c r="IOS46" s="502"/>
      <c r="IOT46" s="502" t="s">
        <v>124</v>
      </c>
      <c r="IOU46" s="502"/>
      <c r="IOV46" s="502"/>
      <c r="IOW46" s="502"/>
      <c r="IOX46" s="502" t="s">
        <v>124</v>
      </c>
      <c r="IOY46" s="502"/>
      <c r="IOZ46" s="502"/>
      <c r="IPA46" s="502"/>
      <c r="IPB46" s="502" t="s">
        <v>124</v>
      </c>
      <c r="IPC46" s="502"/>
      <c r="IPD46" s="502"/>
      <c r="IPE46" s="502"/>
      <c r="IPF46" s="502" t="s">
        <v>124</v>
      </c>
      <c r="IPG46" s="502"/>
      <c r="IPH46" s="502"/>
      <c r="IPI46" s="502"/>
      <c r="IPJ46" s="502" t="s">
        <v>124</v>
      </c>
      <c r="IPK46" s="502"/>
      <c r="IPL46" s="502"/>
      <c r="IPM46" s="502"/>
      <c r="IPN46" s="502" t="s">
        <v>124</v>
      </c>
      <c r="IPO46" s="502"/>
      <c r="IPP46" s="502"/>
      <c r="IPQ46" s="502"/>
      <c r="IPR46" s="502" t="s">
        <v>124</v>
      </c>
      <c r="IPS46" s="502"/>
      <c r="IPT46" s="502"/>
      <c r="IPU46" s="502"/>
      <c r="IPV46" s="502" t="s">
        <v>124</v>
      </c>
      <c r="IPW46" s="502"/>
      <c r="IPX46" s="502"/>
      <c r="IPY46" s="502"/>
      <c r="IPZ46" s="502" t="s">
        <v>124</v>
      </c>
      <c r="IQA46" s="502"/>
      <c r="IQB46" s="502"/>
      <c r="IQC46" s="502"/>
      <c r="IQD46" s="502" t="s">
        <v>124</v>
      </c>
      <c r="IQE46" s="502"/>
      <c r="IQF46" s="502"/>
      <c r="IQG46" s="502"/>
      <c r="IQH46" s="502" t="s">
        <v>124</v>
      </c>
      <c r="IQI46" s="502"/>
      <c r="IQJ46" s="502"/>
      <c r="IQK46" s="502"/>
      <c r="IQL46" s="502" t="s">
        <v>124</v>
      </c>
      <c r="IQM46" s="502"/>
      <c r="IQN46" s="502"/>
      <c r="IQO46" s="502"/>
      <c r="IQP46" s="502" t="s">
        <v>124</v>
      </c>
      <c r="IQQ46" s="502"/>
      <c r="IQR46" s="502"/>
      <c r="IQS46" s="502"/>
      <c r="IQT46" s="502" t="s">
        <v>124</v>
      </c>
      <c r="IQU46" s="502"/>
      <c r="IQV46" s="502"/>
      <c r="IQW46" s="502"/>
      <c r="IQX46" s="502" t="s">
        <v>124</v>
      </c>
      <c r="IQY46" s="502"/>
      <c r="IQZ46" s="502"/>
      <c r="IRA46" s="502"/>
      <c r="IRB46" s="502" t="s">
        <v>124</v>
      </c>
      <c r="IRC46" s="502"/>
      <c r="IRD46" s="502"/>
      <c r="IRE46" s="502"/>
      <c r="IRF46" s="502" t="s">
        <v>124</v>
      </c>
      <c r="IRG46" s="502"/>
      <c r="IRH46" s="502"/>
      <c r="IRI46" s="502"/>
      <c r="IRJ46" s="502" t="s">
        <v>124</v>
      </c>
      <c r="IRK46" s="502"/>
      <c r="IRL46" s="502"/>
      <c r="IRM46" s="502"/>
      <c r="IRN46" s="502" t="s">
        <v>124</v>
      </c>
      <c r="IRO46" s="502"/>
      <c r="IRP46" s="502"/>
      <c r="IRQ46" s="502"/>
      <c r="IRR46" s="502" t="s">
        <v>124</v>
      </c>
      <c r="IRS46" s="502"/>
      <c r="IRT46" s="502"/>
      <c r="IRU46" s="502"/>
      <c r="IRV46" s="502" t="s">
        <v>124</v>
      </c>
      <c r="IRW46" s="502"/>
      <c r="IRX46" s="502"/>
      <c r="IRY46" s="502"/>
      <c r="IRZ46" s="502" t="s">
        <v>124</v>
      </c>
      <c r="ISA46" s="502"/>
      <c r="ISB46" s="502"/>
      <c r="ISC46" s="502"/>
      <c r="ISD46" s="502" t="s">
        <v>124</v>
      </c>
      <c r="ISE46" s="502"/>
      <c r="ISF46" s="502"/>
      <c r="ISG46" s="502"/>
      <c r="ISH46" s="502" t="s">
        <v>124</v>
      </c>
      <c r="ISI46" s="502"/>
      <c r="ISJ46" s="502"/>
      <c r="ISK46" s="502"/>
      <c r="ISL46" s="502" t="s">
        <v>124</v>
      </c>
      <c r="ISM46" s="502"/>
      <c r="ISN46" s="502"/>
      <c r="ISO46" s="502"/>
      <c r="ISP46" s="502" t="s">
        <v>124</v>
      </c>
      <c r="ISQ46" s="502"/>
      <c r="ISR46" s="502"/>
      <c r="ISS46" s="502"/>
      <c r="IST46" s="502" t="s">
        <v>124</v>
      </c>
      <c r="ISU46" s="502"/>
      <c r="ISV46" s="502"/>
      <c r="ISW46" s="502"/>
      <c r="ISX46" s="502" t="s">
        <v>124</v>
      </c>
      <c r="ISY46" s="502"/>
      <c r="ISZ46" s="502"/>
      <c r="ITA46" s="502"/>
      <c r="ITB46" s="502" t="s">
        <v>124</v>
      </c>
      <c r="ITC46" s="502"/>
      <c r="ITD46" s="502"/>
      <c r="ITE46" s="502"/>
      <c r="ITF46" s="502" t="s">
        <v>124</v>
      </c>
      <c r="ITG46" s="502"/>
      <c r="ITH46" s="502"/>
      <c r="ITI46" s="502"/>
      <c r="ITJ46" s="502" t="s">
        <v>124</v>
      </c>
      <c r="ITK46" s="502"/>
      <c r="ITL46" s="502"/>
      <c r="ITM46" s="502"/>
      <c r="ITN46" s="502" t="s">
        <v>124</v>
      </c>
      <c r="ITO46" s="502"/>
      <c r="ITP46" s="502"/>
      <c r="ITQ46" s="502"/>
      <c r="ITR46" s="502" t="s">
        <v>124</v>
      </c>
      <c r="ITS46" s="502"/>
      <c r="ITT46" s="502"/>
      <c r="ITU46" s="502"/>
      <c r="ITV46" s="502" t="s">
        <v>124</v>
      </c>
      <c r="ITW46" s="502"/>
      <c r="ITX46" s="502"/>
      <c r="ITY46" s="502"/>
      <c r="ITZ46" s="502" t="s">
        <v>124</v>
      </c>
      <c r="IUA46" s="502"/>
      <c r="IUB46" s="502"/>
      <c r="IUC46" s="502"/>
      <c r="IUD46" s="502" t="s">
        <v>124</v>
      </c>
      <c r="IUE46" s="502"/>
      <c r="IUF46" s="502"/>
      <c r="IUG46" s="502"/>
      <c r="IUH46" s="502" t="s">
        <v>124</v>
      </c>
      <c r="IUI46" s="502"/>
      <c r="IUJ46" s="502"/>
      <c r="IUK46" s="502"/>
      <c r="IUL46" s="502" t="s">
        <v>124</v>
      </c>
      <c r="IUM46" s="502"/>
      <c r="IUN46" s="502"/>
      <c r="IUO46" s="502"/>
      <c r="IUP46" s="502" t="s">
        <v>124</v>
      </c>
      <c r="IUQ46" s="502"/>
      <c r="IUR46" s="502"/>
      <c r="IUS46" s="502"/>
      <c r="IUT46" s="502" t="s">
        <v>124</v>
      </c>
      <c r="IUU46" s="502"/>
      <c r="IUV46" s="502"/>
      <c r="IUW46" s="502"/>
      <c r="IUX46" s="502" t="s">
        <v>124</v>
      </c>
      <c r="IUY46" s="502"/>
      <c r="IUZ46" s="502"/>
      <c r="IVA46" s="502"/>
      <c r="IVB46" s="502" t="s">
        <v>124</v>
      </c>
      <c r="IVC46" s="502"/>
      <c r="IVD46" s="502"/>
      <c r="IVE46" s="502"/>
      <c r="IVF46" s="502" t="s">
        <v>124</v>
      </c>
      <c r="IVG46" s="502"/>
      <c r="IVH46" s="502"/>
      <c r="IVI46" s="502"/>
      <c r="IVJ46" s="502" t="s">
        <v>124</v>
      </c>
      <c r="IVK46" s="502"/>
      <c r="IVL46" s="502"/>
      <c r="IVM46" s="502"/>
      <c r="IVN46" s="502" t="s">
        <v>124</v>
      </c>
      <c r="IVO46" s="502"/>
      <c r="IVP46" s="502"/>
      <c r="IVQ46" s="502"/>
      <c r="IVR46" s="502" t="s">
        <v>124</v>
      </c>
      <c r="IVS46" s="502"/>
      <c r="IVT46" s="502"/>
      <c r="IVU46" s="502"/>
      <c r="IVV46" s="502" t="s">
        <v>124</v>
      </c>
      <c r="IVW46" s="502"/>
      <c r="IVX46" s="502"/>
      <c r="IVY46" s="502"/>
      <c r="IVZ46" s="502" t="s">
        <v>124</v>
      </c>
      <c r="IWA46" s="502"/>
      <c r="IWB46" s="502"/>
      <c r="IWC46" s="502"/>
      <c r="IWD46" s="502" t="s">
        <v>124</v>
      </c>
      <c r="IWE46" s="502"/>
      <c r="IWF46" s="502"/>
      <c r="IWG46" s="502"/>
      <c r="IWH46" s="502" t="s">
        <v>124</v>
      </c>
      <c r="IWI46" s="502"/>
      <c r="IWJ46" s="502"/>
      <c r="IWK46" s="502"/>
      <c r="IWL46" s="502" t="s">
        <v>124</v>
      </c>
      <c r="IWM46" s="502"/>
      <c r="IWN46" s="502"/>
      <c r="IWO46" s="502"/>
      <c r="IWP46" s="502" t="s">
        <v>124</v>
      </c>
      <c r="IWQ46" s="502"/>
      <c r="IWR46" s="502"/>
      <c r="IWS46" s="502"/>
      <c r="IWT46" s="502" t="s">
        <v>124</v>
      </c>
      <c r="IWU46" s="502"/>
      <c r="IWV46" s="502"/>
      <c r="IWW46" s="502"/>
      <c r="IWX46" s="502" t="s">
        <v>124</v>
      </c>
      <c r="IWY46" s="502"/>
      <c r="IWZ46" s="502"/>
      <c r="IXA46" s="502"/>
      <c r="IXB46" s="502" t="s">
        <v>124</v>
      </c>
      <c r="IXC46" s="502"/>
      <c r="IXD46" s="502"/>
      <c r="IXE46" s="502"/>
      <c r="IXF46" s="502" t="s">
        <v>124</v>
      </c>
      <c r="IXG46" s="502"/>
      <c r="IXH46" s="502"/>
      <c r="IXI46" s="502"/>
      <c r="IXJ46" s="502" t="s">
        <v>124</v>
      </c>
      <c r="IXK46" s="502"/>
      <c r="IXL46" s="502"/>
      <c r="IXM46" s="502"/>
      <c r="IXN46" s="502" t="s">
        <v>124</v>
      </c>
      <c r="IXO46" s="502"/>
      <c r="IXP46" s="502"/>
      <c r="IXQ46" s="502"/>
      <c r="IXR46" s="502" t="s">
        <v>124</v>
      </c>
      <c r="IXS46" s="502"/>
      <c r="IXT46" s="502"/>
      <c r="IXU46" s="502"/>
      <c r="IXV46" s="502" t="s">
        <v>124</v>
      </c>
      <c r="IXW46" s="502"/>
      <c r="IXX46" s="502"/>
      <c r="IXY46" s="502"/>
      <c r="IXZ46" s="502" t="s">
        <v>124</v>
      </c>
      <c r="IYA46" s="502"/>
      <c r="IYB46" s="502"/>
      <c r="IYC46" s="502"/>
      <c r="IYD46" s="502" t="s">
        <v>124</v>
      </c>
      <c r="IYE46" s="502"/>
      <c r="IYF46" s="502"/>
      <c r="IYG46" s="502"/>
      <c r="IYH46" s="502" t="s">
        <v>124</v>
      </c>
      <c r="IYI46" s="502"/>
      <c r="IYJ46" s="502"/>
      <c r="IYK46" s="502"/>
      <c r="IYL46" s="502" t="s">
        <v>124</v>
      </c>
      <c r="IYM46" s="502"/>
      <c r="IYN46" s="502"/>
      <c r="IYO46" s="502"/>
      <c r="IYP46" s="502" t="s">
        <v>124</v>
      </c>
      <c r="IYQ46" s="502"/>
      <c r="IYR46" s="502"/>
      <c r="IYS46" s="502"/>
      <c r="IYT46" s="502" t="s">
        <v>124</v>
      </c>
      <c r="IYU46" s="502"/>
      <c r="IYV46" s="502"/>
      <c r="IYW46" s="502"/>
      <c r="IYX46" s="502" t="s">
        <v>124</v>
      </c>
      <c r="IYY46" s="502"/>
      <c r="IYZ46" s="502"/>
      <c r="IZA46" s="502"/>
      <c r="IZB46" s="502" t="s">
        <v>124</v>
      </c>
      <c r="IZC46" s="502"/>
      <c r="IZD46" s="502"/>
      <c r="IZE46" s="502"/>
      <c r="IZF46" s="502" t="s">
        <v>124</v>
      </c>
      <c r="IZG46" s="502"/>
      <c r="IZH46" s="502"/>
      <c r="IZI46" s="502"/>
      <c r="IZJ46" s="502" t="s">
        <v>124</v>
      </c>
      <c r="IZK46" s="502"/>
      <c r="IZL46" s="502"/>
      <c r="IZM46" s="502"/>
      <c r="IZN46" s="502" t="s">
        <v>124</v>
      </c>
      <c r="IZO46" s="502"/>
      <c r="IZP46" s="502"/>
      <c r="IZQ46" s="502"/>
      <c r="IZR46" s="502" t="s">
        <v>124</v>
      </c>
      <c r="IZS46" s="502"/>
      <c r="IZT46" s="502"/>
      <c r="IZU46" s="502"/>
      <c r="IZV46" s="502" t="s">
        <v>124</v>
      </c>
      <c r="IZW46" s="502"/>
      <c r="IZX46" s="502"/>
      <c r="IZY46" s="502"/>
      <c r="IZZ46" s="502" t="s">
        <v>124</v>
      </c>
      <c r="JAA46" s="502"/>
      <c r="JAB46" s="502"/>
      <c r="JAC46" s="502"/>
      <c r="JAD46" s="502" t="s">
        <v>124</v>
      </c>
      <c r="JAE46" s="502"/>
      <c r="JAF46" s="502"/>
      <c r="JAG46" s="502"/>
      <c r="JAH46" s="502" t="s">
        <v>124</v>
      </c>
      <c r="JAI46" s="502"/>
      <c r="JAJ46" s="502"/>
      <c r="JAK46" s="502"/>
      <c r="JAL46" s="502" t="s">
        <v>124</v>
      </c>
      <c r="JAM46" s="502"/>
      <c r="JAN46" s="502"/>
      <c r="JAO46" s="502"/>
      <c r="JAP46" s="502" t="s">
        <v>124</v>
      </c>
      <c r="JAQ46" s="502"/>
      <c r="JAR46" s="502"/>
      <c r="JAS46" s="502"/>
      <c r="JAT46" s="502" t="s">
        <v>124</v>
      </c>
      <c r="JAU46" s="502"/>
      <c r="JAV46" s="502"/>
      <c r="JAW46" s="502"/>
      <c r="JAX46" s="502" t="s">
        <v>124</v>
      </c>
      <c r="JAY46" s="502"/>
      <c r="JAZ46" s="502"/>
      <c r="JBA46" s="502"/>
      <c r="JBB46" s="502" t="s">
        <v>124</v>
      </c>
      <c r="JBC46" s="502"/>
      <c r="JBD46" s="502"/>
      <c r="JBE46" s="502"/>
      <c r="JBF46" s="502" t="s">
        <v>124</v>
      </c>
      <c r="JBG46" s="502"/>
      <c r="JBH46" s="502"/>
      <c r="JBI46" s="502"/>
      <c r="JBJ46" s="502" t="s">
        <v>124</v>
      </c>
      <c r="JBK46" s="502"/>
      <c r="JBL46" s="502"/>
      <c r="JBM46" s="502"/>
      <c r="JBN46" s="502" t="s">
        <v>124</v>
      </c>
      <c r="JBO46" s="502"/>
      <c r="JBP46" s="502"/>
      <c r="JBQ46" s="502"/>
      <c r="JBR46" s="502" t="s">
        <v>124</v>
      </c>
      <c r="JBS46" s="502"/>
      <c r="JBT46" s="502"/>
      <c r="JBU46" s="502"/>
      <c r="JBV46" s="502" t="s">
        <v>124</v>
      </c>
      <c r="JBW46" s="502"/>
      <c r="JBX46" s="502"/>
      <c r="JBY46" s="502"/>
      <c r="JBZ46" s="502" t="s">
        <v>124</v>
      </c>
      <c r="JCA46" s="502"/>
      <c r="JCB46" s="502"/>
      <c r="JCC46" s="502"/>
      <c r="JCD46" s="502" t="s">
        <v>124</v>
      </c>
      <c r="JCE46" s="502"/>
      <c r="JCF46" s="502"/>
      <c r="JCG46" s="502"/>
      <c r="JCH46" s="502" t="s">
        <v>124</v>
      </c>
      <c r="JCI46" s="502"/>
      <c r="JCJ46" s="502"/>
      <c r="JCK46" s="502"/>
      <c r="JCL46" s="502" t="s">
        <v>124</v>
      </c>
      <c r="JCM46" s="502"/>
      <c r="JCN46" s="502"/>
      <c r="JCO46" s="502"/>
      <c r="JCP46" s="502" t="s">
        <v>124</v>
      </c>
      <c r="JCQ46" s="502"/>
      <c r="JCR46" s="502"/>
      <c r="JCS46" s="502"/>
      <c r="JCT46" s="502" t="s">
        <v>124</v>
      </c>
      <c r="JCU46" s="502"/>
      <c r="JCV46" s="502"/>
      <c r="JCW46" s="502"/>
      <c r="JCX46" s="502" t="s">
        <v>124</v>
      </c>
      <c r="JCY46" s="502"/>
      <c r="JCZ46" s="502"/>
      <c r="JDA46" s="502"/>
      <c r="JDB46" s="502" t="s">
        <v>124</v>
      </c>
      <c r="JDC46" s="502"/>
      <c r="JDD46" s="502"/>
      <c r="JDE46" s="502"/>
      <c r="JDF46" s="502" t="s">
        <v>124</v>
      </c>
      <c r="JDG46" s="502"/>
      <c r="JDH46" s="502"/>
      <c r="JDI46" s="502"/>
      <c r="JDJ46" s="502" t="s">
        <v>124</v>
      </c>
      <c r="JDK46" s="502"/>
      <c r="JDL46" s="502"/>
      <c r="JDM46" s="502"/>
      <c r="JDN46" s="502" t="s">
        <v>124</v>
      </c>
      <c r="JDO46" s="502"/>
      <c r="JDP46" s="502"/>
      <c r="JDQ46" s="502"/>
      <c r="JDR46" s="502" t="s">
        <v>124</v>
      </c>
      <c r="JDS46" s="502"/>
      <c r="JDT46" s="502"/>
      <c r="JDU46" s="502"/>
      <c r="JDV46" s="502" t="s">
        <v>124</v>
      </c>
      <c r="JDW46" s="502"/>
      <c r="JDX46" s="502"/>
      <c r="JDY46" s="502"/>
      <c r="JDZ46" s="502" t="s">
        <v>124</v>
      </c>
      <c r="JEA46" s="502"/>
      <c r="JEB46" s="502"/>
      <c r="JEC46" s="502"/>
      <c r="JED46" s="502" t="s">
        <v>124</v>
      </c>
      <c r="JEE46" s="502"/>
      <c r="JEF46" s="502"/>
      <c r="JEG46" s="502"/>
      <c r="JEH46" s="502" t="s">
        <v>124</v>
      </c>
      <c r="JEI46" s="502"/>
      <c r="JEJ46" s="502"/>
      <c r="JEK46" s="502"/>
      <c r="JEL46" s="502" t="s">
        <v>124</v>
      </c>
      <c r="JEM46" s="502"/>
      <c r="JEN46" s="502"/>
      <c r="JEO46" s="502"/>
      <c r="JEP46" s="502" t="s">
        <v>124</v>
      </c>
      <c r="JEQ46" s="502"/>
      <c r="JER46" s="502"/>
      <c r="JES46" s="502"/>
      <c r="JET46" s="502" t="s">
        <v>124</v>
      </c>
      <c r="JEU46" s="502"/>
      <c r="JEV46" s="502"/>
      <c r="JEW46" s="502"/>
      <c r="JEX46" s="502" t="s">
        <v>124</v>
      </c>
      <c r="JEY46" s="502"/>
      <c r="JEZ46" s="502"/>
      <c r="JFA46" s="502"/>
      <c r="JFB46" s="502" t="s">
        <v>124</v>
      </c>
      <c r="JFC46" s="502"/>
      <c r="JFD46" s="502"/>
      <c r="JFE46" s="502"/>
      <c r="JFF46" s="502" t="s">
        <v>124</v>
      </c>
      <c r="JFG46" s="502"/>
      <c r="JFH46" s="502"/>
      <c r="JFI46" s="502"/>
      <c r="JFJ46" s="502" t="s">
        <v>124</v>
      </c>
      <c r="JFK46" s="502"/>
      <c r="JFL46" s="502"/>
      <c r="JFM46" s="502"/>
      <c r="JFN46" s="502" t="s">
        <v>124</v>
      </c>
      <c r="JFO46" s="502"/>
      <c r="JFP46" s="502"/>
      <c r="JFQ46" s="502"/>
      <c r="JFR46" s="502" t="s">
        <v>124</v>
      </c>
      <c r="JFS46" s="502"/>
      <c r="JFT46" s="502"/>
      <c r="JFU46" s="502"/>
      <c r="JFV46" s="502" t="s">
        <v>124</v>
      </c>
      <c r="JFW46" s="502"/>
      <c r="JFX46" s="502"/>
      <c r="JFY46" s="502"/>
      <c r="JFZ46" s="502" t="s">
        <v>124</v>
      </c>
      <c r="JGA46" s="502"/>
      <c r="JGB46" s="502"/>
      <c r="JGC46" s="502"/>
      <c r="JGD46" s="502" t="s">
        <v>124</v>
      </c>
      <c r="JGE46" s="502"/>
      <c r="JGF46" s="502"/>
      <c r="JGG46" s="502"/>
      <c r="JGH46" s="502" t="s">
        <v>124</v>
      </c>
      <c r="JGI46" s="502"/>
      <c r="JGJ46" s="502"/>
      <c r="JGK46" s="502"/>
      <c r="JGL46" s="502" t="s">
        <v>124</v>
      </c>
      <c r="JGM46" s="502"/>
      <c r="JGN46" s="502"/>
      <c r="JGO46" s="502"/>
      <c r="JGP46" s="502" t="s">
        <v>124</v>
      </c>
      <c r="JGQ46" s="502"/>
      <c r="JGR46" s="502"/>
      <c r="JGS46" s="502"/>
      <c r="JGT46" s="502" t="s">
        <v>124</v>
      </c>
      <c r="JGU46" s="502"/>
      <c r="JGV46" s="502"/>
      <c r="JGW46" s="502"/>
      <c r="JGX46" s="502" t="s">
        <v>124</v>
      </c>
      <c r="JGY46" s="502"/>
      <c r="JGZ46" s="502"/>
      <c r="JHA46" s="502"/>
      <c r="JHB46" s="502" t="s">
        <v>124</v>
      </c>
      <c r="JHC46" s="502"/>
      <c r="JHD46" s="502"/>
      <c r="JHE46" s="502"/>
      <c r="JHF46" s="502" t="s">
        <v>124</v>
      </c>
      <c r="JHG46" s="502"/>
      <c r="JHH46" s="502"/>
      <c r="JHI46" s="502"/>
      <c r="JHJ46" s="502" t="s">
        <v>124</v>
      </c>
      <c r="JHK46" s="502"/>
      <c r="JHL46" s="502"/>
      <c r="JHM46" s="502"/>
      <c r="JHN46" s="502" t="s">
        <v>124</v>
      </c>
      <c r="JHO46" s="502"/>
      <c r="JHP46" s="502"/>
      <c r="JHQ46" s="502"/>
      <c r="JHR46" s="502" t="s">
        <v>124</v>
      </c>
      <c r="JHS46" s="502"/>
      <c r="JHT46" s="502"/>
      <c r="JHU46" s="502"/>
      <c r="JHV46" s="502" t="s">
        <v>124</v>
      </c>
      <c r="JHW46" s="502"/>
      <c r="JHX46" s="502"/>
      <c r="JHY46" s="502"/>
      <c r="JHZ46" s="502" t="s">
        <v>124</v>
      </c>
      <c r="JIA46" s="502"/>
      <c r="JIB46" s="502"/>
      <c r="JIC46" s="502"/>
      <c r="JID46" s="502" t="s">
        <v>124</v>
      </c>
      <c r="JIE46" s="502"/>
      <c r="JIF46" s="502"/>
      <c r="JIG46" s="502"/>
      <c r="JIH46" s="502" t="s">
        <v>124</v>
      </c>
      <c r="JII46" s="502"/>
      <c r="JIJ46" s="502"/>
      <c r="JIK46" s="502"/>
      <c r="JIL46" s="502" t="s">
        <v>124</v>
      </c>
      <c r="JIM46" s="502"/>
      <c r="JIN46" s="502"/>
      <c r="JIO46" s="502"/>
      <c r="JIP46" s="502" t="s">
        <v>124</v>
      </c>
      <c r="JIQ46" s="502"/>
      <c r="JIR46" s="502"/>
      <c r="JIS46" s="502"/>
      <c r="JIT46" s="502" t="s">
        <v>124</v>
      </c>
      <c r="JIU46" s="502"/>
      <c r="JIV46" s="502"/>
      <c r="JIW46" s="502"/>
      <c r="JIX46" s="502" t="s">
        <v>124</v>
      </c>
      <c r="JIY46" s="502"/>
      <c r="JIZ46" s="502"/>
      <c r="JJA46" s="502"/>
      <c r="JJB46" s="502" t="s">
        <v>124</v>
      </c>
      <c r="JJC46" s="502"/>
      <c r="JJD46" s="502"/>
      <c r="JJE46" s="502"/>
      <c r="JJF46" s="502" t="s">
        <v>124</v>
      </c>
      <c r="JJG46" s="502"/>
      <c r="JJH46" s="502"/>
      <c r="JJI46" s="502"/>
      <c r="JJJ46" s="502" t="s">
        <v>124</v>
      </c>
      <c r="JJK46" s="502"/>
      <c r="JJL46" s="502"/>
      <c r="JJM46" s="502"/>
      <c r="JJN46" s="502" t="s">
        <v>124</v>
      </c>
      <c r="JJO46" s="502"/>
      <c r="JJP46" s="502"/>
      <c r="JJQ46" s="502"/>
      <c r="JJR46" s="502" t="s">
        <v>124</v>
      </c>
      <c r="JJS46" s="502"/>
      <c r="JJT46" s="502"/>
      <c r="JJU46" s="502"/>
      <c r="JJV46" s="502" t="s">
        <v>124</v>
      </c>
      <c r="JJW46" s="502"/>
      <c r="JJX46" s="502"/>
      <c r="JJY46" s="502"/>
      <c r="JJZ46" s="502" t="s">
        <v>124</v>
      </c>
      <c r="JKA46" s="502"/>
      <c r="JKB46" s="502"/>
      <c r="JKC46" s="502"/>
      <c r="JKD46" s="502" t="s">
        <v>124</v>
      </c>
      <c r="JKE46" s="502"/>
      <c r="JKF46" s="502"/>
      <c r="JKG46" s="502"/>
      <c r="JKH46" s="502" t="s">
        <v>124</v>
      </c>
      <c r="JKI46" s="502"/>
      <c r="JKJ46" s="502"/>
      <c r="JKK46" s="502"/>
      <c r="JKL46" s="502" t="s">
        <v>124</v>
      </c>
      <c r="JKM46" s="502"/>
      <c r="JKN46" s="502"/>
      <c r="JKO46" s="502"/>
      <c r="JKP46" s="502" t="s">
        <v>124</v>
      </c>
      <c r="JKQ46" s="502"/>
      <c r="JKR46" s="502"/>
      <c r="JKS46" s="502"/>
      <c r="JKT46" s="502" t="s">
        <v>124</v>
      </c>
      <c r="JKU46" s="502"/>
      <c r="JKV46" s="502"/>
      <c r="JKW46" s="502"/>
      <c r="JKX46" s="502" t="s">
        <v>124</v>
      </c>
      <c r="JKY46" s="502"/>
      <c r="JKZ46" s="502"/>
      <c r="JLA46" s="502"/>
      <c r="JLB46" s="502" t="s">
        <v>124</v>
      </c>
      <c r="JLC46" s="502"/>
      <c r="JLD46" s="502"/>
      <c r="JLE46" s="502"/>
      <c r="JLF46" s="502" t="s">
        <v>124</v>
      </c>
      <c r="JLG46" s="502"/>
      <c r="JLH46" s="502"/>
      <c r="JLI46" s="502"/>
      <c r="JLJ46" s="502" t="s">
        <v>124</v>
      </c>
      <c r="JLK46" s="502"/>
      <c r="JLL46" s="502"/>
      <c r="JLM46" s="502"/>
      <c r="JLN46" s="502" t="s">
        <v>124</v>
      </c>
      <c r="JLO46" s="502"/>
      <c r="JLP46" s="502"/>
      <c r="JLQ46" s="502"/>
      <c r="JLR46" s="502" t="s">
        <v>124</v>
      </c>
      <c r="JLS46" s="502"/>
      <c r="JLT46" s="502"/>
      <c r="JLU46" s="502"/>
      <c r="JLV46" s="502" t="s">
        <v>124</v>
      </c>
      <c r="JLW46" s="502"/>
      <c r="JLX46" s="502"/>
      <c r="JLY46" s="502"/>
      <c r="JLZ46" s="502" t="s">
        <v>124</v>
      </c>
      <c r="JMA46" s="502"/>
      <c r="JMB46" s="502"/>
      <c r="JMC46" s="502"/>
      <c r="JMD46" s="502" t="s">
        <v>124</v>
      </c>
      <c r="JME46" s="502"/>
      <c r="JMF46" s="502"/>
      <c r="JMG46" s="502"/>
      <c r="JMH46" s="502" t="s">
        <v>124</v>
      </c>
      <c r="JMI46" s="502"/>
      <c r="JMJ46" s="502"/>
      <c r="JMK46" s="502"/>
      <c r="JML46" s="502" t="s">
        <v>124</v>
      </c>
      <c r="JMM46" s="502"/>
      <c r="JMN46" s="502"/>
      <c r="JMO46" s="502"/>
      <c r="JMP46" s="502" t="s">
        <v>124</v>
      </c>
      <c r="JMQ46" s="502"/>
      <c r="JMR46" s="502"/>
      <c r="JMS46" s="502"/>
      <c r="JMT46" s="502" t="s">
        <v>124</v>
      </c>
      <c r="JMU46" s="502"/>
      <c r="JMV46" s="502"/>
      <c r="JMW46" s="502"/>
      <c r="JMX46" s="502" t="s">
        <v>124</v>
      </c>
      <c r="JMY46" s="502"/>
      <c r="JMZ46" s="502"/>
      <c r="JNA46" s="502"/>
      <c r="JNB46" s="502" t="s">
        <v>124</v>
      </c>
      <c r="JNC46" s="502"/>
      <c r="JND46" s="502"/>
      <c r="JNE46" s="502"/>
      <c r="JNF46" s="502" t="s">
        <v>124</v>
      </c>
      <c r="JNG46" s="502"/>
      <c r="JNH46" s="502"/>
      <c r="JNI46" s="502"/>
      <c r="JNJ46" s="502" t="s">
        <v>124</v>
      </c>
      <c r="JNK46" s="502"/>
      <c r="JNL46" s="502"/>
      <c r="JNM46" s="502"/>
      <c r="JNN46" s="502" t="s">
        <v>124</v>
      </c>
      <c r="JNO46" s="502"/>
      <c r="JNP46" s="502"/>
      <c r="JNQ46" s="502"/>
      <c r="JNR46" s="502" t="s">
        <v>124</v>
      </c>
      <c r="JNS46" s="502"/>
      <c r="JNT46" s="502"/>
      <c r="JNU46" s="502"/>
      <c r="JNV46" s="502" t="s">
        <v>124</v>
      </c>
      <c r="JNW46" s="502"/>
      <c r="JNX46" s="502"/>
      <c r="JNY46" s="502"/>
      <c r="JNZ46" s="502" t="s">
        <v>124</v>
      </c>
      <c r="JOA46" s="502"/>
      <c r="JOB46" s="502"/>
      <c r="JOC46" s="502"/>
      <c r="JOD46" s="502" t="s">
        <v>124</v>
      </c>
      <c r="JOE46" s="502"/>
      <c r="JOF46" s="502"/>
      <c r="JOG46" s="502"/>
      <c r="JOH46" s="502" t="s">
        <v>124</v>
      </c>
      <c r="JOI46" s="502"/>
      <c r="JOJ46" s="502"/>
      <c r="JOK46" s="502"/>
      <c r="JOL46" s="502" t="s">
        <v>124</v>
      </c>
      <c r="JOM46" s="502"/>
      <c r="JON46" s="502"/>
      <c r="JOO46" s="502"/>
      <c r="JOP46" s="502" t="s">
        <v>124</v>
      </c>
      <c r="JOQ46" s="502"/>
      <c r="JOR46" s="502"/>
      <c r="JOS46" s="502"/>
      <c r="JOT46" s="502" t="s">
        <v>124</v>
      </c>
      <c r="JOU46" s="502"/>
      <c r="JOV46" s="502"/>
      <c r="JOW46" s="502"/>
      <c r="JOX46" s="502" t="s">
        <v>124</v>
      </c>
      <c r="JOY46" s="502"/>
      <c r="JOZ46" s="502"/>
      <c r="JPA46" s="502"/>
      <c r="JPB46" s="502" t="s">
        <v>124</v>
      </c>
      <c r="JPC46" s="502"/>
      <c r="JPD46" s="502"/>
      <c r="JPE46" s="502"/>
      <c r="JPF46" s="502" t="s">
        <v>124</v>
      </c>
      <c r="JPG46" s="502"/>
      <c r="JPH46" s="502"/>
      <c r="JPI46" s="502"/>
      <c r="JPJ46" s="502" t="s">
        <v>124</v>
      </c>
      <c r="JPK46" s="502"/>
      <c r="JPL46" s="502"/>
      <c r="JPM46" s="502"/>
      <c r="JPN46" s="502" t="s">
        <v>124</v>
      </c>
      <c r="JPO46" s="502"/>
      <c r="JPP46" s="502"/>
      <c r="JPQ46" s="502"/>
      <c r="JPR46" s="502" t="s">
        <v>124</v>
      </c>
      <c r="JPS46" s="502"/>
      <c r="JPT46" s="502"/>
      <c r="JPU46" s="502"/>
      <c r="JPV46" s="502" t="s">
        <v>124</v>
      </c>
      <c r="JPW46" s="502"/>
      <c r="JPX46" s="502"/>
      <c r="JPY46" s="502"/>
      <c r="JPZ46" s="502" t="s">
        <v>124</v>
      </c>
      <c r="JQA46" s="502"/>
      <c r="JQB46" s="502"/>
      <c r="JQC46" s="502"/>
      <c r="JQD46" s="502" t="s">
        <v>124</v>
      </c>
      <c r="JQE46" s="502"/>
      <c r="JQF46" s="502"/>
      <c r="JQG46" s="502"/>
      <c r="JQH46" s="502" t="s">
        <v>124</v>
      </c>
      <c r="JQI46" s="502"/>
      <c r="JQJ46" s="502"/>
      <c r="JQK46" s="502"/>
      <c r="JQL46" s="502" t="s">
        <v>124</v>
      </c>
      <c r="JQM46" s="502"/>
      <c r="JQN46" s="502"/>
      <c r="JQO46" s="502"/>
      <c r="JQP46" s="502" t="s">
        <v>124</v>
      </c>
      <c r="JQQ46" s="502"/>
      <c r="JQR46" s="502"/>
      <c r="JQS46" s="502"/>
      <c r="JQT46" s="502" t="s">
        <v>124</v>
      </c>
      <c r="JQU46" s="502"/>
      <c r="JQV46" s="502"/>
      <c r="JQW46" s="502"/>
      <c r="JQX46" s="502" t="s">
        <v>124</v>
      </c>
      <c r="JQY46" s="502"/>
      <c r="JQZ46" s="502"/>
      <c r="JRA46" s="502"/>
      <c r="JRB46" s="502" t="s">
        <v>124</v>
      </c>
      <c r="JRC46" s="502"/>
      <c r="JRD46" s="502"/>
      <c r="JRE46" s="502"/>
      <c r="JRF46" s="502" t="s">
        <v>124</v>
      </c>
      <c r="JRG46" s="502"/>
      <c r="JRH46" s="502"/>
      <c r="JRI46" s="502"/>
      <c r="JRJ46" s="502" t="s">
        <v>124</v>
      </c>
      <c r="JRK46" s="502"/>
      <c r="JRL46" s="502"/>
      <c r="JRM46" s="502"/>
      <c r="JRN46" s="502" t="s">
        <v>124</v>
      </c>
      <c r="JRO46" s="502"/>
      <c r="JRP46" s="502"/>
      <c r="JRQ46" s="502"/>
      <c r="JRR46" s="502" t="s">
        <v>124</v>
      </c>
      <c r="JRS46" s="502"/>
      <c r="JRT46" s="502"/>
      <c r="JRU46" s="502"/>
      <c r="JRV46" s="502" t="s">
        <v>124</v>
      </c>
      <c r="JRW46" s="502"/>
      <c r="JRX46" s="502"/>
      <c r="JRY46" s="502"/>
      <c r="JRZ46" s="502" t="s">
        <v>124</v>
      </c>
      <c r="JSA46" s="502"/>
      <c r="JSB46" s="502"/>
      <c r="JSC46" s="502"/>
      <c r="JSD46" s="502" t="s">
        <v>124</v>
      </c>
      <c r="JSE46" s="502"/>
      <c r="JSF46" s="502"/>
      <c r="JSG46" s="502"/>
      <c r="JSH46" s="502" t="s">
        <v>124</v>
      </c>
      <c r="JSI46" s="502"/>
      <c r="JSJ46" s="502"/>
      <c r="JSK46" s="502"/>
      <c r="JSL46" s="502" t="s">
        <v>124</v>
      </c>
      <c r="JSM46" s="502"/>
      <c r="JSN46" s="502"/>
      <c r="JSO46" s="502"/>
      <c r="JSP46" s="502" t="s">
        <v>124</v>
      </c>
      <c r="JSQ46" s="502"/>
      <c r="JSR46" s="502"/>
      <c r="JSS46" s="502"/>
      <c r="JST46" s="502" t="s">
        <v>124</v>
      </c>
      <c r="JSU46" s="502"/>
      <c r="JSV46" s="502"/>
      <c r="JSW46" s="502"/>
      <c r="JSX46" s="502" t="s">
        <v>124</v>
      </c>
      <c r="JSY46" s="502"/>
      <c r="JSZ46" s="502"/>
      <c r="JTA46" s="502"/>
      <c r="JTB46" s="502" t="s">
        <v>124</v>
      </c>
      <c r="JTC46" s="502"/>
      <c r="JTD46" s="502"/>
      <c r="JTE46" s="502"/>
      <c r="JTF46" s="502" t="s">
        <v>124</v>
      </c>
      <c r="JTG46" s="502"/>
      <c r="JTH46" s="502"/>
      <c r="JTI46" s="502"/>
      <c r="JTJ46" s="502" t="s">
        <v>124</v>
      </c>
      <c r="JTK46" s="502"/>
      <c r="JTL46" s="502"/>
      <c r="JTM46" s="502"/>
      <c r="JTN46" s="502" t="s">
        <v>124</v>
      </c>
      <c r="JTO46" s="502"/>
      <c r="JTP46" s="502"/>
      <c r="JTQ46" s="502"/>
      <c r="JTR46" s="502" t="s">
        <v>124</v>
      </c>
      <c r="JTS46" s="502"/>
      <c r="JTT46" s="502"/>
      <c r="JTU46" s="502"/>
      <c r="JTV46" s="502" t="s">
        <v>124</v>
      </c>
      <c r="JTW46" s="502"/>
      <c r="JTX46" s="502"/>
      <c r="JTY46" s="502"/>
      <c r="JTZ46" s="502" t="s">
        <v>124</v>
      </c>
      <c r="JUA46" s="502"/>
      <c r="JUB46" s="502"/>
      <c r="JUC46" s="502"/>
      <c r="JUD46" s="502" t="s">
        <v>124</v>
      </c>
      <c r="JUE46" s="502"/>
      <c r="JUF46" s="502"/>
      <c r="JUG46" s="502"/>
      <c r="JUH46" s="502" t="s">
        <v>124</v>
      </c>
      <c r="JUI46" s="502"/>
      <c r="JUJ46" s="502"/>
      <c r="JUK46" s="502"/>
      <c r="JUL46" s="502" t="s">
        <v>124</v>
      </c>
      <c r="JUM46" s="502"/>
      <c r="JUN46" s="502"/>
      <c r="JUO46" s="502"/>
      <c r="JUP46" s="502" t="s">
        <v>124</v>
      </c>
      <c r="JUQ46" s="502"/>
      <c r="JUR46" s="502"/>
      <c r="JUS46" s="502"/>
      <c r="JUT46" s="502" t="s">
        <v>124</v>
      </c>
      <c r="JUU46" s="502"/>
      <c r="JUV46" s="502"/>
      <c r="JUW46" s="502"/>
      <c r="JUX46" s="502" t="s">
        <v>124</v>
      </c>
      <c r="JUY46" s="502"/>
      <c r="JUZ46" s="502"/>
      <c r="JVA46" s="502"/>
      <c r="JVB46" s="502" t="s">
        <v>124</v>
      </c>
      <c r="JVC46" s="502"/>
      <c r="JVD46" s="502"/>
      <c r="JVE46" s="502"/>
      <c r="JVF46" s="502" t="s">
        <v>124</v>
      </c>
      <c r="JVG46" s="502"/>
      <c r="JVH46" s="502"/>
      <c r="JVI46" s="502"/>
      <c r="JVJ46" s="502" t="s">
        <v>124</v>
      </c>
      <c r="JVK46" s="502"/>
      <c r="JVL46" s="502"/>
      <c r="JVM46" s="502"/>
      <c r="JVN46" s="502" t="s">
        <v>124</v>
      </c>
      <c r="JVO46" s="502"/>
      <c r="JVP46" s="502"/>
      <c r="JVQ46" s="502"/>
      <c r="JVR46" s="502" t="s">
        <v>124</v>
      </c>
      <c r="JVS46" s="502"/>
      <c r="JVT46" s="502"/>
      <c r="JVU46" s="502"/>
      <c r="JVV46" s="502" t="s">
        <v>124</v>
      </c>
      <c r="JVW46" s="502"/>
      <c r="JVX46" s="502"/>
      <c r="JVY46" s="502"/>
      <c r="JVZ46" s="502" t="s">
        <v>124</v>
      </c>
      <c r="JWA46" s="502"/>
      <c r="JWB46" s="502"/>
      <c r="JWC46" s="502"/>
      <c r="JWD46" s="502" t="s">
        <v>124</v>
      </c>
      <c r="JWE46" s="502"/>
      <c r="JWF46" s="502"/>
      <c r="JWG46" s="502"/>
      <c r="JWH46" s="502" t="s">
        <v>124</v>
      </c>
      <c r="JWI46" s="502"/>
      <c r="JWJ46" s="502"/>
      <c r="JWK46" s="502"/>
      <c r="JWL46" s="502" t="s">
        <v>124</v>
      </c>
      <c r="JWM46" s="502"/>
      <c r="JWN46" s="502"/>
      <c r="JWO46" s="502"/>
      <c r="JWP46" s="502" t="s">
        <v>124</v>
      </c>
      <c r="JWQ46" s="502"/>
      <c r="JWR46" s="502"/>
      <c r="JWS46" s="502"/>
      <c r="JWT46" s="502" t="s">
        <v>124</v>
      </c>
      <c r="JWU46" s="502"/>
      <c r="JWV46" s="502"/>
      <c r="JWW46" s="502"/>
      <c r="JWX46" s="502" t="s">
        <v>124</v>
      </c>
      <c r="JWY46" s="502"/>
      <c r="JWZ46" s="502"/>
      <c r="JXA46" s="502"/>
      <c r="JXB46" s="502" t="s">
        <v>124</v>
      </c>
      <c r="JXC46" s="502"/>
      <c r="JXD46" s="502"/>
      <c r="JXE46" s="502"/>
      <c r="JXF46" s="502" t="s">
        <v>124</v>
      </c>
      <c r="JXG46" s="502"/>
      <c r="JXH46" s="502"/>
      <c r="JXI46" s="502"/>
      <c r="JXJ46" s="502" t="s">
        <v>124</v>
      </c>
      <c r="JXK46" s="502"/>
      <c r="JXL46" s="502"/>
      <c r="JXM46" s="502"/>
      <c r="JXN46" s="502" t="s">
        <v>124</v>
      </c>
      <c r="JXO46" s="502"/>
      <c r="JXP46" s="502"/>
      <c r="JXQ46" s="502"/>
      <c r="JXR46" s="502" t="s">
        <v>124</v>
      </c>
      <c r="JXS46" s="502"/>
      <c r="JXT46" s="502"/>
      <c r="JXU46" s="502"/>
      <c r="JXV46" s="502" t="s">
        <v>124</v>
      </c>
      <c r="JXW46" s="502"/>
      <c r="JXX46" s="502"/>
      <c r="JXY46" s="502"/>
      <c r="JXZ46" s="502" t="s">
        <v>124</v>
      </c>
      <c r="JYA46" s="502"/>
      <c r="JYB46" s="502"/>
      <c r="JYC46" s="502"/>
      <c r="JYD46" s="502" t="s">
        <v>124</v>
      </c>
      <c r="JYE46" s="502"/>
      <c r="JYF46" s="502"/>
      <c r="JYG46" s="502"/>
      <c r="JYH46" s="502" t="s">
        <v>124</v>
      </c>
      <c r="JYI46" s="502"/>
      <c r="JYJ46" s="502"/>
      <c r="JYK46" s="502"/>
      <c r="JYL46" s="502" t="s">
        <v>124</v>
      </c>
      <c r="JYM46" s="502"/>
      <c r="JYN46" s="502"/>
      <c r="JYO46" s="502"/>
      <c r="JYP46" s="502" t="s">
        <v>124</v>
      </c>
      <c r="JYQ46" s="502"/>
      <c r="JYR46" s="502"/>
      <c r="JYS46" s="502"/>
      <c r="JYT46" s="502" t="s">
        <v>124</v>
      </c>
      <c r="JYU46" s="502"/>
      <c r="JYV46" s="502"/>
      <c r="JYW46" s="502"/>
      <c r="JYX46" s="502" t="s">
        <v>124</v>
      </c>
      <c r="JYY46" s="502"/>
      <c r="JYZ46" s="502"/>
      <c r="JZA46" s="502"/>
      <c r="JZB46" s="502" t="s">
        <v>124</v>
      </c>
      <c r="JZC46" s="502"/>
      <c r="JZD46" s="502"/>
      <c r="JZE46" s="502"/>
      <c r="JZF46" s="502" t="s">
        <v>124</v>
      </c>
      <c r="JZG46" s="502"/>
      <c r="JZH46" s="502"/>
      <c r="JZI46" s="502"/>
      <c r="JZJ46" s="502" t="s">
        <v>124</v>
      </c>
      <c r="JZK46" s="502"/>
      <c r="JZL46" s="502"/>
      <c r="JZM46" s="502"/>
      <c r="JZN46" s="502" t="s">
        <v>124</v>
      </c>
      <c r="JZO46" s="502"/>
      <c r="JZP46" s="502"/>
      <c r="JZQ46" s="502"/>
      <c r="JZR46" s="502" t="s">
        <v>124</v>
      </c>
      <c r="JZS46" s="502"/>
      <c r="JZT46" s="502"/>
      <c r="JZU46" s="502"/>
      <c r="JZV46" s="502" t="s">
        <v>124</v>
      </c>
      <c r="JZW46" s="502"/>
      <c r="JZX46" s="502"/>
      <c r="JZY46" s="502"/>
      <c r="JZZ46" s="502" t="s">
        <v>124</v>
      </c>
      <c r="KAA46" s="502"/>
      <c r="KAB46" s="502"/>
      <c r="KAC46" s="502"/>
      <c r="KAD46" s="502" t="s">
        <v>124</v>
      </c>
      <c r="KAE46" s="502"/>
      <c r="KAF46" s="502"/>
      <c r="KAG46" s="502"/>
      <c r="KAH46" s="502" t="s">
        <v>124</v>
      </c>
      <c r="KAI46" s="502"/>
      <c r="KAJ46" s="502"/>
      <c r="KAK46" s="502"/>
      <c r="KAL46" s="502" t="s">
        <v>124</v>
      </c>
      <c r="KAM46" s="502"/>
      <c r="KAN46" s="502"/>
      <c r="KAO46" s="502"/>
      <c r="KAP46" s="502" t="s">
        <v>124</v>
      </c>
      <c r="KAQ46" s="502"/>
      <c r="KAR46" s="502"/>
      <c r="KAS46" s="502"/>
      <c r="KAT46" s="502" t="s">
        <v>124</v>
      </c>
      <c r="KAU46" s="502"/>
      <c r="KAV46" s="502"/>
      <c r="KAW46" s="502"/>
      <c r="KAX46" s="502" t="s">
        <v>124</v>
      </c>
      <c r="KAY46" s="502"/>
      <c r="KAZ46" s="502"/>
      <c r="KBA46" s="502"/>
      <c r="KBB46" s="502" t="s">
        <v>124</v>
      </c>
      <c r="KBC46" s="502"/>
      <c r="KBD46" s="502"/>
      <c r="KBE46" s="502"/>
      <c r="KBF46" s="502" t="s">
        <v>124</v>
      </c>
      <c r="KBG46" s="502"/>
      <c r="KBH46" s="502"/>
      <c r="KBI46" s="502"/>
      <c r="KBJ46" s="502" t="s">
        <v>124</v>
      </c>
      <c r="KBK46" s="502"/>
      <c r="KBL46" s="502"/>
      <c r="KBM46" s="502"/>
      <c r="KBN46" s="502" t="s">
        <v>124</v>
      </c>
      <c r="KBO46" s="502"/>
      <c r="KBP46" s="502"/>
      <c r="KBQ46" s="502"/>
      <c r="KBR46" s="502" t="s">
        <v>124</v>
      </c>
      <c r="KBS46" s="502"/>
      <c r="KBT46" s="502"/>
      <c r="KBU46" s="502"/>
      <c r="KBV46" s="502" t="s">
        <v>124</v>
      </c>
      <c r="KBW46" s="502"/>
      <c r="KBX46" s="502"/>
      <c r="KBY46" s="502"/>
      <c r="KBZ46" s="502" t="s">
        <v>124</v>
      </c>
      <c r="KCA46" s="502"/>
      <c r="KCB46" s="502"/>
      <c r="KCC46" s="502"/>
      <c r="KCD46" s="502" t="s">
        <v>124</v>
      </c>
      <c r="KCE46" s="502"/>
      <c r="KCF46" s="502"/>
      <c r="KCG46" s="502"/>
      <c r="KCH46" s="502" t="s">
        <v>124</v>
      </c>
      <c r="KCI46" s="502"/>
      <c r="KCJ46" s="502"/>
      <c r="KCK46" s="502"/>
      <c r="KCL46" s="502" t="s">
        <v>124</v>
      </c>
      <c r="KCM46" s="502"/>
      <c r="KCN46" s="502"/>
      <c r="KCO46" s="502"/>
      <c r="KCP46" s="502" t="s">
        <v>124</v>
      </c>
      <c r="KCQ46" s="502"/>
      <c r="KCR46" s="502"/>
      <c r="KCS46" s="502"/>
      <c r="KCT46" s="502" t="s">
        <v>124</v>
      </c>
      <c r="KCU46" s="502"/>
      <c r="KCV46" s="502"/>
      <c r="KCW46" s="502"/>
      <c r="KCX46" s="502" t="s">
        <v>124</v>
      </c>
      <c r="KCY46" s="502"/>
      <c r="KCZ46" s="502"/>
      <c r="KDA46" s="502"/>
      <c r="KDB46" s="502" t="s">
        <v>124</v>
      </c>
      <c r="KDC46" s="502"/>
      <c r="KDD46" s="502"/>
      <c r="KDE46" s="502"/>
      <c r="KDF46" s="502" t="s">
        <v>124</v>
      </c>
      <c r="KDG46" s="502"/>
      <c r="KDH46" s="502"/>
      <c r="KDI46" s="502"/>
      <c r="KDJ46" s="502" t="s">
        <v>124</v>
      </c>
      <c r="KDK46" s="502"/>
      <c r="KDL46" s="502"/>
      <c r="KDM46" s="502"/>
      <c r="KDN46" s="502" t="s">
        <v>124</v>
      </c>
      <c r="KDO46" s="502"/>
      <c r="KDP46" s="502"/>
      <c r="KDQ46" s="502"/>
      <c r="KDR46" s="502" t="s">
        <v>124</v>
      </c>
      <c r="KDS46" s="502"/>
      <c r="KDT46" s="502"/>
      <c r="KDU46" s="502"/>
      <c r="KDV46" s="502" t="s">
        <v>124</v>
      </c>
      <c r="KDW46" s="502"/>
      <c r="KDX46" s="502"/>
      <c r="KDY46" s="502"/>
      <c r="KDZ46" s="502" t="s">
        <v>124</v>
      </c>
      <c r="KEA46" s="502"/>
      <c r="KEB46" s="502"/>
      <c r="KEC46" s="502"/>
      <c r="KED46" s="502" t="s">
        <v>124</v>
      </c>
      <c r="KEE46" s="502"/>
      <c r="KEF46" s="502"/>
      <c r="KEG46" s="502"/>
      <c r="KEH46" s="502" t="s">
        <v>124</v>
      </c>
      <c r="KEI46" s="502"/>
      <c r="KEJ46" s="502"/>
      <c r="KEK46" s="502"/>
      <c r="KEL46" s="502" t="s">
        <v>124</v>
      </c>
      <c r="KEM46" s="502"/>
      <c r="KEN46" s="502"/>
      <c r="KEO46" s="502"/>
      <c r="KEP46" s="502" t="s">
        <v>124</v>
      </c>
      <c r="KEQ46" s="502"/>
      <c r="KER46" s="502"/>
      <c r="KES46" s="502"/>
      <c r="KET46" s="502" t="s">
        <v>124</v>
      </c>
      <c r="KEU46" s="502"/>
      <c r="KEV46" s="502"/>
      <c r="KEW46" s="502"/>
      <c r="KEX46" s="502" t="s">
        <v>124</v>
      </c>
      <c r="KEY46" s="502"/>
      <c r="KEZ46" s="502"/>
      <c r="KFA46" s="502"/>
      <c r="KFB46" s="502" t="s">
        <v>124</v>
      </c>
      <c r="KFC46" s="502"/>
      <c r="KFD46" s="502"/>
      <c r="KFE46" s="502"/>
      <c r="KFF46" s="502" t="s">
        <v>124</v>
      </c>
      <c r="KFG46" s="502"/>
      <c r="KFH46" s="502"/>
      <c r="KFI46" s="502"/>
      <c r="KFJ46" s="502" t="s">
        <v>124</v>
      </c>
      <c r="KFK46" s="502"/>
      <c r="KFL46" s="502"/>
      <c r="KFM46" s="502"/>
      <c r="KFN46" s="502" t="s">
        <v>124</v>
      </c>
      <c r="KFO46" s="502"/>
      <c r="KFP46" s="502"/>
      <c r="KFQ46" s="502"/>
      <c r="KFR46" s="502" t="s">
        <v>124</v>
      </c>
      <c r="KFS46" s="502"/>
      <c r="KFT46" s="502"/>
      <c r="KFU46" s="502"/>
      <c r="KFV46" s="502" t="s">
        <v>124</v>
      </c>
      <c r="KFW46" s="502"/>
      <c r="KFX46" s="502"/>
      <c r="KFY46" s="502"/>
      <c r="KFZ46" s="502" t="s">
        <v>124</v>
      </c>
      <c r="KGA46" s="502"/>
      <c r="KGB46" s="502"/>
      <c r="KGC46" s="502"/>
      <c r="KGD46" s="502" t="s">
        <v>124</v>
      </c>
      <c r="KGE46" s="502"/>
      <c r="KGF46" s="502"/>
      <c r="KGG46" s="502"/>
      <c r="KGH46" s="502" t="s">
        <v>124</v>
      </c>
      <c r="KGI46" s="502"/>
      <c r="KGJ46" s="502"/>
      <c r="KGK46" s="502"/>
      <c r="KGL46" s="502" t="s">
        <v>124</v>
      </c>
      <c r="KGM46" s="502"/>
      <c r="KGN46" s="502"/>
      <c r="KGO46" s="502"/>
      <c r="KGP46" s="502" t="s">
        <v>124</v>
      </c>
      <c r="KGQ46" s="502"/>
      <c r="KGR46" s="502"/>
      <c r="KGS46" s="502"/>
      <c r="KGT46" s="502" t="s">
        <v>124</v>
      </c>
      <c r="KGU46" s="502"/>
      <c r="KGV46" s="502"/>
      <c r="KGW46" s="502"/>
      <c r="KGX46" s="502" t="s">
        <v>124</v>
      </c>
      <c r="KGY46" s="502"/>
      <c r="KGZ46" s="502"/>
      <c r="KHA46" s="502"/>
      <c r="KHB46" s="502" t="s">
        <v>124</v>
      </c>
      <c r="KHC46" s="502"/>
      <c r="KHD46" s="502"/>
      <c r="KHE46" s="502"/>
      <c r="KHF46" s="502" t="s">
        <v>124</v>
      </c>
      <c r="KHG46" s="502"/>
      <c r="KHH46" s="502"/>
      <c r="KHI46" s="502"/>
      <c r="KHJ46" s="502" t="s">
        <v>124</v>
      </c>
      <c r="KHK46" s="502"/>
      <c r="KHL46" s="502"/>
      <c r="KHM46" s="502"/>
      <c r="KHN46" s="502" t="s">
        <v>124</v>
      </c>
      <c r="KHO46" s="502"/>
      <c r="KHP46" s="502"/>
      <c r="KHQ46" s="502"/>
      <c r="KHR46" s="502" t="s">
        <v>124</v>
      </c>
      <c r="KHS46" s="502"/>
      <c r="KHT46" s="502"/>
      <c r="KHU46" s="502"/>
      <c r="KHV46" s="502" t="s">
        <v>124</v>
      </c>
      <c r="KHW46" s="502"/>
      <c r="KHX46" s="502"/>
      <c r="KHY46" s="502"/>
      <c r="KHZ46" s="502" t="s">
        <v>124</v>
      </c>
      <c r="KIA46" s="502"/>
      <c r="KIB46" s="502"/>
      <c r="KIC46" s="502"/>
      <c r="KID46" s="502" t="s">
        <v>124</v>
      </c>
      <c r="KIE46" s="502"/>
      <c r="KIF46" s="502"/>
      <c r="KIG46" s="502"/>
      <c r="KIH46" s="502" t="s">
        <v>124</v>
      </c>
      <c r="KII46" s="502"/>
      <c r="KIJ46" s="502"/>
      <c r="KIK46" s="502"/>
      <c r="KIL46" s="502" t="s">
        <v>124</v>
      </c>
      <c r="KIM46" s="502"/>
      <c r="KIN46" s="502"/>
      <c r="KIO46" s="502"/>
      <c r="KIP46" s="502" t="s">
        <v>124</v>
      </c>
      <c r="KIQ46" s="502"/>
      <c r="KIR46" s="502"/>
      <c r="KIS46" s="502"/>
      <c r="KIT46" s="502" t="s">
        <v>124</v>
      </c>
      <c r="KIU46" s="502"/>
      <c r="KIV46" s="502"/>
      <c r="KIW46" s="502"/>
      <c r="KIX46" s="502" t="s">
        <v>124</v>
      </c>
      <c r="KIY46" s="502"/>
      <c r="KIZ46" s="502"/>
      <c r="KJA46" s="502"/>
      <c r="KJB46" s="502" t="s">
        <v>124</v>
      </c>
      <c r="KJC46" s="502"/>
      <c r="KJD46" s="502"/>
      <c r="KJE46" s="502"/>
      <c r="KJF46" s="502" t="s">
        <v>124</v>
      </c>
      <c r="KJG46" s="502"/>
      <c r="KJH46" s="502"/>
      <c r="KJI46" s="502"/>
      <c r="KJJ46" s="502" t="s">
        <v>124</v>
      </c>
      <c r="KJK46" s="502"/>
      <c r="KJL46" s="502"/>
      <c r="KJM46" s="502"/>
      <c r="KJN46" s="502" t="s">
        <v>124</v>
      </c>
      <c r="KJO46" s="502"/>
      <c r="KJP46" s="502"/>
      <c r="KJQ46" s="502"/>
      <c r="KJR46" s="502" t="s">
        <v>124</v>
      </c>
      <c r="KJS46" s="502"/>
      <c r="KJT46" s="502"/>
      <c r="KJU46" s="502"/>
      <c r="KJV46" s="502" t="s">
        <v>124</v>
      </c>
      <c r="KJW46" s="502"/>
      <c r="KJX46" s="502"/>
      <c r="KJY46" s="502"/>
      <c r="KJZ46" s="502" t="s">
        <v>124</v>
      </c>
      <c r="KKA46" s="502"/>
      <c r="KKB46" s="502"/>
      <c r="KKC46" s="502"/>
      <c r="KKD46" s="502" t="s">
        <v>124</v>
      </c>
      <c r="KKE46" s="502"/>
      <c r="KKF46" s="502"/>
      <c r="KKG46" s="502"/>
      <c r="KKH46" s="502" t="s">
        <v>124</v>
      </c>
      <c r="KKI46" s="502"/>
      <c r="KKJ46" s="502"/>
      <c r="KKK46" s="502"/>
      <c r="KKL46" s="502" t="s">
        <v>124</v>
      </c>
      <c r="KKM46" s="502"/>
      <c r="KKN46" s="502"/>
      <c r="KKO46" s="502"/>
      <c r="KKP46" s="502" t="s">
        <v>124</v>
      </c>
      <c r="KKQ46" s="502"/>
      <c r="KKR46" s="502"/>
      <c r="KKS46" s="502"/>
      <c r="KKT46" s="502" t="s">
        <v>124</v>
      </c>
      <c r="KKU46" s="502"/>
      <c r="KKV46" s="502"/>
      <c r="KKW46" s="502"/>
      <c r="KKX46" s="502" t="s">
        <v>124</v>
      </c>
      <c r="KKY46" s="502"/>
      <c r="KKZ46" s="502"/>
      <c r="KLA46" s="502"/>
      <c r="KLB46" s="502" t="s">
        <v>124</v>
      </c>
      <c r="KLC46" s="502"/>
      <c r="KLD46" s="502"/>
      <c r="KLE46" s="502"/>
      <c r="KLF46" s="502" t="s">
        <v>124</v>
      </c>
      <c r="KLG46" s="502"/>
      <c r="KLH46" s="502"/>
      <c r="KLI46" s="502"/>
      <c r="KLJ46" s="502" t="s">
        <v>124</v>
      </c>
      <c r="KLK46" s="502"/>
      <c r="KLL46" s="502"/>
      <c r="KLM46" s="502"/>
      <c r="KLN46" s="502" t="s">
        <v>124</v>
      </c>
      <c r="KLO46" s="502"/>
      <c r="KLP46" s="502"/>
      <c r="KLQ46" s="502"/>
      <c r="KLR46" s="502" t="s">
        <v>124</v>
      </c>
      <c r="KLS46" s="502"/>
      <c r="KLT46" s="502"/>
      <c r="KLU46" s="502"/>
      <c r="KLV46" s="502" t="s">
        <v>124</v>
      </c>
      <c r="KLW46" s="502"/>
      <c r="KLX46" s="502"/>
      <c r="KLY46" s="502"/>
      <c r="KLZ46" s="502" t="s">
        <v>124</v>
      </c>
      <c r="KMA46" s="502"/>
      <c r="KMB46" s="502"/>
      <c r="KMC46" s="502"/>
      <c r="KMD46" s="502" t="s">
        <v>124</v>
      </c>
      <c r="KME46" s="502"/>
      <c r="KMF46" s="502"/>
      <c r="KMG46" s="502"/>
      <c r="KMH46" s="502" t="s">
        <v>124</v>
      </c>
      <c r="KMI46" s="502"/>
      <c r="KMJ46" s="502"/>
      <c r="KMK46" s="502"/>
      <c r="KML46" s="502" t="s">
        <v>124</v>
      </c>
      <c r="KMM46" s="502"/>
      <c r="KMN46" s="502"/>
      <c r="KMO46" s="502"/>
      <c r="KMP46" s="502" t="s">
        <v>124</v>
      </c>
      <c r="KMQ46" s="502"/>
      <c r="KMR46" s="502"/>
      <c r="KMS46" s="502"/>
      <c r="KMT46" s="502" t="s">
        <v>124</v>
      </c>
      <c r="KMU46" s="502"/>
      <c r="KMV46" s="502"/>
      <c r="KMW46" s="502"/>
      <c r="KMX46" s="502" t="s">
        <v>124</v>
      </c>
      <c r="KMY46" s="502"/>
      <c r="KMZ46" s="502"/>
      <c r="KNA46" s="502"/>
      <c r="KNB46" s="502" t="s">
        <v>124</v>
      </c>
      <c r="KNC46" s="502"/>
      <c r="KND46" s="502"/>
      <c r="KNE46" s="502"/>
      <c r="KNF46" s="502" t="s">
        <v>124</v>
      </c>
      <c r="KNG46" s="502"/>
      <c r="KNH46" s="502"/>
      <c r="KNI46" s="502"/>
      <c r="KNJ46" s="502" t="s">
        <v>124</v>
      </c>
      <c r="KNK46" s="502"/>
      <c r="KNL46" s="502"/>
      <c r="KNM46" s="502"/>
      <c r="KNN46" s="502" t="s">
        <v>124</v>
      </c>
      <c r="KNO46" s="502"/>
      <c r="KNP46" s="502"/>
      <c r="KNQ46" s="502"/>
      <c r="KNR46" s="502" t="s">
        <v>124</v>
      </c>
      <c r="KNS46" s="502"/>
      <c r="KNT46" s="502"/>
      <c r="KNU46" s="502"/>
      <c r="KNV46" s="502" t="s">
        <v>124</v>
      </c>
      <c r="KNW46" s="502"/>
      <c r="KNX46" s="502"/>
      <c r="KNY46" s="502"/>
      <c r="KNZ46" s="502" t="s">
        <v>124</v>
      </c>
      <c r="KOA46" s="502"/>
      <c r="KOB46" s="502"/>
      <c r="KOC46" s="502"/>
      <c r="KOD46" s="502" t="s">
        <v>124</v>
      </c>
      <c r="KOE46" s="502"/>
      <c r="KOF46" s="502"/>
      <c r="KOG46" s="502"/>
      <c r="KOH46" s="502" t="s">
        <v>124</v>
      </c>
      <c r="KOI46" s="502"/>
      <c r="KOJ46" s="502"/>
      <c r="KOK46" s="502"/>
      <c r="KOL46" s="502" t="s">
        <v>124</v>
      </c>
      <c r="KOM46" s="502"/>
      <c r="KON46" s="502"/>
      <c r="KOO46" s="502"/>
      <c r="KOP46" s="502" t="s">
        <v>124</v>
      </c>
      <c r="KOQ46" s="502"/>
      <c r="KOR46" s="502"/>
      <c r="KOS46" s="502"/>
      <c r="KOT46" s="502" t="s">
        <v>124</v>
      </c>
      <c r="KOU46" s="502"/>
      <c r="KOV46" s="502"/>
      <c r="KOW46" s="502"/>
      <c r="KOX46" s="502" t="s">
        <v>124</v>
      </c>
      <c r="KOY46" s="502"/>
      <c r="KOZ46" s="502"/>
      <c r="KPA46" s="502"/>
      <c r="KPB46" s="502" t="s">
        <v>124</v>
      </c>
      <c r="KPC46" s="502"/>
      <c r="KPD46" s="502"/>
      <c r="KPE46" s="502"/>
      <c r="KPF46" s="502" t="s">
        <v>124</v>
      </c>
      <c r="KPG46" s="502"/>
      <c r="KPH46" s="502"/>
      <c r="KPI46" s="502"/>
      <c r="KPJ46" s="502" t="s">
        <v>124</v>
      </c>
      <c r="KPK46" s="502"/>
      <c r="KPL46" s="502"/>
      <c r="KPM46" s="502"/>
      <c r="KPN46" s="502" t="s">
        <v>124</v>
      </c>
      <c r="KPO46" s="502"/>
      <c r="KPP46" s="502"/>
      <c r="KPQ46" s="502"/>
      <c r="KPR46" s="502" t="s">
        <v>124</v>
      </c>
      <c r="KPS46" s="502"/>
      <c r="KPT46" s="502"/>
      <c r="KPU46" s="502"/>
      <c r="KPV46" s="502" t="s">
        <v>124</v>
      </c>
      <c r="KPW46" s="502"/>
      <c r="KPX46" s="502"/>
      <c r="KPY46" s="502"/>
      <c r="KPZ46" s="502" t="s">
        <v>124</v>
      </c>
      <c r="KQA46" s="502"/>
      <c r="KQB46" s="502"/>
      <c r="KQC46" s="502"/>
      <c r="KQD46" s="502" t="s">
        <v>124</v>
      </c>
      <c r="KQE46" s="502"/>
      <c r="KQF46" s="502"/>
      <c r="KQG46" s="502"/>
      <c r="KQH46" s="502" t="s">
        <v>124</v>
      </c>
      <c r="KQI46" s="502"/>
      <c r="KQJ46" s="502"/>
      <c r="KQK46" s="502"/>
      <c r="KQL46" s="502" t="s">
        <v>124</v>
      </c>
      <c r="KQM46" s="502"/>
      <c r="KQN46" s="502"/>
      <c r="KQO46" s="502"/>
      <c r="KQP46" s="502" t="s">
        <v>124</v>
      </c>
      <c r="KQQ46" s="502"/>
      <c r="KQR46" s="502"/>
      <c r="KQS46" s="502"/>
      <c r="KQT46" s="502" t="s">
        <v>124</v>
      </c>
      <c r="KQU46" s="502"/>
      <c r="KQV46" s="502"/>
      <c r="KQW46" s="502"/>
      <c r="KQX46" s="502" t="s">
        <v>124</v>
      </c>
      <c r="KQY46" s="502"/>
      <c r="KQZ46" s="502"/>
      <c r="KRA46" s="502"/>
      <c r="KRB46" s="502" t="s">
        <v>124</v>
      </c>
      <c r="KRC46" s="502"/>
      <c r="KRD46" s="502"/>
      <c r="KRE46" s="502"/>
      <c r="KRF46" s="502" t="s">
        <v>124</v>
      </c>
      <c r="KRG46" s="502"/>
      <c r="KRH46" s="502"/>
      <c r="KRI46" s="502"/>
      <c r="KRJ46" s="502" t="s">
        <v>124</v>
      </c>
      <c r="KRK46" s="502"/>
      <c r="KRL46" s="502"/>
      <c r="KRM46" s="502"/>
      <c r="KRN46" s="502" t="s">
        <v>124</v>
      </c>
      <c r="KRO46" s="502"/>
      <c r="KRP46" s="502"/>
      <c r="KRQ46" s="502"/>
      <c r="KRR46" s="502" t="s">
        <v>124</v>
      </c>
      <c r="KRS46" s="502"/>
      <c r="KRT46" s="502"/>
      <c r="KRU46" s="502"/>
      <c r="KRV46" s="502" t="s">
        <v>124</v>
      </c>
      <c r="KRW46" s="502"/>
      <c r="KRX46" s="502"/>
      <c r="KRY46" s="502"/>
      <c r="KRZ46" s="502" t="s">
        <v>124</v>
      </c>
      <c r="KSA46" s="502"/>
      <c r="KSB46" s="502"/>
      <c r="KSC46" s="502"/>
      <c r="KSD46" s="502" t="s">
        <v>124</v>
      </c>
      <c r="KSE46" s="502"/>
      <c r="KSF46" s="502"/>
      <c r="KSG46" s="502"/>
      <c r="KSH46" s="502" t="s">
        <v>124</v>
      </c>
      <c r="KSI46" s="502"/>
      <c r="KSJ46" s="502"/>
      <c r="KSK46" s="502"/>
      <c r="KSL46" s="502" t="s">
        <v>124</v>
      </c>
      <c r="KSM46" s="502"/>
      <c r="KSN46" s="502"/>
      <c r="KSO46" s="502"/>
      <c r="KSP46" s="502" t="s">
        <v>124</v>
      </c>
      <c r="KSQ46" s="502"/>
      <c r="KSR46" s="502"/>
      <c r="KSS46" s="502"/>
      <c r="KST46" s="502" t="s">
        <v>124</v>
      </c>
      <c r="KSU46" s="502"/>
      <c r="KSV46" s="502"/>
      <c r="KSW46" s="502"/>
      <c r="KSX46" s="502" t="s">
        <v>124</v>
      </c>
      <c r="KSY46" s="502"/>
      <c r="KSZ46" s="502"/>
      <c r="KTA46" s="502"/>
      <c r="KTB46" s="502" t="s">
        <v>124</v>
      </c>
      <c r="KTC46" s="502"/>
      <c r="KTD46" s="502"/>
      <c r="KTE46" s="502"/>
      <c r="KTF46" s="502" t="s">
        <v>124</v>
      </c>
      <c r="KTG46" s="502"/>
      <c r="KTH46" s="502"/>
      <c r="KTI46" s="502"/>
      <c r="KTJ46" s="502" t="s">
        <v>124</v>
      </c>
      <c r="KTK46" s="502"/>
      <c r="KTL46" s="502"/>
      <c r="KTM46" s="502"/>
      <c r="KTN46" s="502" t="s">
        <v>124</v>
      </c>
      <c r="KTO46" s="502"/>
      <c r="KTP46" s="502"/>
      <c r="KTQ46" s="502"/>
      <c r="KTR46" s="502" t="s">
        <v>124</v>
      </c>
      <c r="KTS46" s="502"/>
      <c r="KTT46" s="502"/>
      <c r="KTU46" s="502"/>
      <c r="KTV46" s="502" t="s">
        <v>124</v>
      </c>
      <c r="KTW46" s="502"/>
      <c r="KTX46" s="502"/>
      <c r="KTY46" s="502"/>
      <c r="KTZ46" s="502" t="s">
        <v>124</v>
      </c>
      <c r="KUA46" s="502"/>
      <c r="KUB46" s="502"/>
      <c r="KUC46" s="502"/>
      <c r="KUD46" s="502" t="s">
        <v>124</v>
      </c>
      <c r="KUE46" s="502"/>
      <c r="KUF46" s="502"/>
      <c r="KUG46" s="502"/>
      <c r="KUH46" s="502" t="s">
        <v>124</v>
      </c>
      <c r="KUI46" s="502"/>
      <c r="KUJ46" s="502"/>
      <c r="KUK46" s="502"/>
      <c r="KUL46" s="502" t="s">
        <v>124</v>
      </c>
      <c r="KUM46" s="502"/>
      <c r="KUN46" s="502"/>
      <c r="KUO46" s="502"/>
      <c r="KUP46" s="502" t="s">
        <v>124</v>
      </c>
      <c r="KUQ46" s="502"/>
      <c r="KUR46" s="502"/>
      <c r="KUS46" s="502"/>
      <c r="KUT46" s="502" t="s">
        <v>124</v>
      </c>
      <c r="KUU46" s="502"/>
      <c r="KUV46" s="502"/>
      <c r="KUW46" s="502"/>
      <c r="KUX46" s="502" t="s">
        <v>124</v>
      </c>
      <c r="KUY46" s="502"/>
      <c r="KUZ46" s="502"/>
      <c r="KVA46" s="502"/>
      <c r="KVB46" s="502" t="s">
        <v>124</v>
      </c>
      <c r="KVC46" s="502"/>
      <c r="KVD46" s="502"/>
      <c r="KVE46" s="502"/>
      <c r="KVF46" s="502" t="s">
        <v>124</v>
      </c>
      <c r="KVG46" s="502"/>
      <c r="KVH46" s="502"/>
      <c r="KVI46" s="502"/>
      <c r="KVJ46" s="502" t="s">
        <v>124</v>
      </c>
      <c r="KVK46" s="502"/>
      <c r="KVL46" s="502"/>
      <c r="KVM46" s="502"/>
      <c r="KVN46" s="502" t="s">
        <v>124</v>
      </c>
      <c r="KVO46" s="502"/>
      <c r="KVP46" s="502"/>
      <c r="KVQ46" s="502"/>
      <c r="KVR46" s="502" t="s">
        <v>124</v>
      </c>
      <c r="KVS46" s="502"/>
      <c r="KVT46" s="502"/>
      <c r="KVU46" s="502"/>
      <c r="KVV46" s="502" t="s">
        <v>124</v>
      </c>
      <c r="KVW46" s="502"/>
      <c r="KVX46" s="502"/>
      <c r="KVY46" s="502"/>
      <c r="KVZ46" s="502" t="s">
        <v>124</v>
      </c>
      <c r="KWA46" s="502"/>
      <c r="KWB46" s="502"/>
      <c r="KWC46" s="502"/>
      <c r="KWD46" s="502" t="s">
        <v>124</v>
      </c>
      <c r="KWE46" s="502"/>
      <c r="KWF46" s="502"/>
      <c r="KWG46" s="502"/>
      <c r="KWH46" s="502" t="s">
        <v>124</v>
      </c>
      <c r="KWI46" s="502"/>
      <c r="KWJ46" s="502"/>
      <c r="KWK46" s="502"/>
      <c r="KWL46" s="502" t="s">
        <v>124</v>
      </c>
      <c r="KWM46" s="502"/>
      <c r="KWN46" s="502"/>
      <c r="KWO46" s="502"/>
      <c r="KWP46" s="502" t="s">
        <v>124</v>
      </c>
      <c r="KWQ46" s="502"/>
      <c r="KWR46" s="502"/>
      <c r="KWS46" s="502"/>
      <c r="KWT46" s="502" t="s">
        <v>124</v>
      </c>
      <c r="KWU46" s="502"/>
      <c r="KWV46" s="502"/>
      <c r="KWW46" s="502"/>
      <c r="KWX46" s="502" t="s">
        <v>124</v>
      </c>
      <c r="KWY46" s="502"/>
      <c r="KWZ46" s="502"/>
      <c r="KXA46" s="502"/>
      <c r="KXB46" s="502" t="s">
        <v>124</v>
      </c>
      <c r="KXC46" s="502"/>
      <c r="KXD46" s="502"/>
      <c r="KXE46" s="502"/>
      <c r="KXF46" s="502" t="s">
        <v>124</v>
      </c>
      <c r="KXG46" s="502"/>
      <c r="KXH46" s="502"/>
      <c r="KXI46" s="502"/>
      <c r="KXJ46" s="502" t="s">
        <v>124</v>
      </c>
      <c r="KXK46" s="502"/>
      <c r="KXL46" s="502"/>
      <c r="KXM46" s="502"/>
      <c r="KXN46" s="502" t="s">
        <v>124</v>
      </c>
      <c r="KXO46" s="502"/>
      <c r="KXP46" s="502"/>
      <c r="KXQ46" s="502"/>
      <c r="KXR46" s="502" t="s">
        <v>124</v>
      </c>
      <c r="KXS46" s="502"/>
      <c r="KXT46" s="502"/>
      <c r="KXU46" s="502"/>
      <c r="KXV46" s="502" t="s">
        <v>124</v>
      </c>
      <c r="KXW46" s="502"/>
      <c r="KXX46" s="502"/>
      <c r="KXY46" s="502"/>
      <c r="KXZ46" s="502" t="s">
        <v>124</v>
      </c>
      <c r="KYA46" s="502"/>
      <c r="KYB46" s="502"/>
      <c r="KYC46" s="502"/>
      <c r="KYD46" s="502" t="s">
        <v>124</v>
      </c>
      <c r="KYE46" s="502"/>
      <c r="KYF46" s="502"/>
      <c r="KYG46" s="502"/>
      <c r="KYH46" s="502" t="s">
        <v>124</v>
      </c>
      <c r="KYI46" s="502"/>
      <c r="KYJ46" s="502"/>
      <c r="KYK46" s="502"/>
      <c r="KYL46" s="502" t="s">
        <v>124</v>
      </c>
      <c r="KYM46" s="502"/>
      <c r="KYN46" s="502"/>
      <c r="KYO46" s="502"/>
      <c r="KYP46" s="502" t="s">
        <v>124</v>
      </c>
      <c r="KYQ46" s="502"/>
      <c r="KYR46" s="502"/>
      <c r="KYS46" s="502"/>
      <c r="KYT46" s="502" t="s">
        <v>124</v>
      </c>
      <c r="KYU46" s="502"/>
      <c r="KYV46" s="502"/>
      <c r="KYW46" s="502"/>
      <c r="KYX46" s="502" t="s">
        <v>124</v>
      </c>
      <c r="KYY46" s="502"/>
      <c r="KYZ46" s="502"/>
      <c r="KZA46" s="502"/>
      <c r="KZB46" s="502" t="s">
        <v>124</v>
      </c>
      <c r="KZC46" s="502"/>
      <c r="KZD46" s="502"/>
      <c r="KZE46" s="502"/>
      <c r="KZF46" s="502" t="s">
        <v>124</v>
      </c>
      <c r="KZG46" s="502"/>
      <c r="KZH46" s="502"/>
      <c r="KZI46" s="502"/>
      <c r="KZJ46" s="502" t="s">
        <v>124</v>
      </c>
      <c r="KZK46" s="502"/>
      <c r="KZL46" s="502"/>
      <c r="KZM46" s="502"/>
      <c r="KZN46" s="502" t="s">
        <v>124</v>
      </c>
      <c r="KZO46" s="502"/>
      <c r="KZP46" s="502"/>
      <c r="KZQ46" s="502"/>
      <c r="KZR46" s="502" t="s">
        <v>124</v>
      </c>
      <c r="KZS46" s="502"/>
      <c r="KZT46" s="502"/>
      <c r="KZU46" s="502"/>
      <c r="KZV46" s="502" t="s">
        <v>124</v>
      </c>
      <c r="KZW46" s="502"/>
      <c r="KZX46" s="502"/>
      <c r="KZY46" s="502"/>
      <c r="KZZ46" s="502" t="s">
        <v>124</v>
      </c>
      <c r="LAA46" s="502"/>
      <c r="LAB46" s="502"/>
      <c r="LAC46" s="502"/>
      <c r="LAD46" s="502" t="s">
        <v>124</v>
      </c>
      <c r="LAE46" s="502"/>
      <c r="LAF46" s="502"/>
      <c r="LAG46" s="502"/>
      <c r="LAH46" s="502" t="s">
        <v>124</v>
      </c>
      <c r="LAI46" s="502"/>
      <c r="LAJ46" s="502"/>
      <c r="LAK46" s="502"/>
      <c r="LAL46" s="502" t="s">
        <v>124</v>
      </c>
      <c r="LAM46" s="502"/>
      <c r="LAN46" s="502"/>
      <c r="LAO46" s="502"/>
      <c r="LAP46" s="502" t="s">
        <v>124</v>
      </c>
      <c r="LAQ46" s="502"/>
      <c r="LAR46" s="502"/>
      <c r="LAS46" s="502"/>
      <c r="LAT46" s="502" t="s">
        <v>124</v>
      </c>
      <c r="LAU46" s="502"/>
      <c r="LAV46" s="502"/>
      <c r="LAW46" s="502"/>
      <c r="LAX46" s="502" t="s">
        <v>124</v>
      </c>
      <c r="LAY46" s="502"/>
      <c r="LAZ46" s="502"/>
      <c r="LBA46" s="502"/>
      <c r="LBB46" s="502" t="s">
        <v>124</v>
      </c>
      <c r="LBC46" s="502"/>
      <c r="LBD46" s="502"/>
      <c r="LBE46" s="502"/>
      <c r="LBF46" s="502" t="s">
        <v>124</v>
      </c>
      <c r="LBG46" s="502"/>
      <c r="LBH46" s="502"/>
      <c r="LBI46" s="502"/>
      <c r="LBJ46" s="502" t="s">
        <v>124</v>
      </c>
      <c r="LBK46" s="502"/>
      <c r="LBL46" s="502"/>
      <c r="LBM46" s="502"/>
      <c r="LBN46" s="502" t="s">
        <v>124</v>
      </c>
      <c r="LBO46" s="502"/>
      <c r="LBP46" s="502"/>
      <c r="LBQ46" s="502"/>
      <c r="LBR46" s="502" t="s">
        <v>124</v>
      </c>
      <c r="LBS46" s="502"/>
      <c r="LBT46" s="502"/>
      <c r="LBU46" s="502"/>
      <c r="LBV46" s="502" t="s">
        <v>124</v>
      </c>
      <c r="LBW46" s="502"/>
      <c r="LBX46" s="502"/>
      <c r="LBY46" s="502"/>
      <c r="LBZ46" s="502" t="s">
        <v>124</v>
      </c>
      <c r="LCA46" s="502"/>
      <c r="LCB46" s="502"/>
      <c r="LCC46" s="502"/>
      <c r="LCD46" s="502" t="s">
        <v>124</v>
      </c>
      <c r="LCE46" s="502"/>
      <c r="LCF46" s="502"/>
      <c r="LCG46" s="502"/>
      <c r="LCH46" s="502" t="s">
        <v>124</v>
      </c>
      <c r="LCI46" s="502"/>
      <c r="LCJ46" s="502"/>
      <c r="LCK46" s="502"/>
      <c r="LCL46" s="502" t="s">
        <v>124</v>
      </c>
      <c r="LCM46" s="502"/>
      <c r="LCN46" s="502"/>
      <c r="LCO46" s="502"/>
      <c r="LCP46" s="502" t="s">
        <v>124</v>
      </c>
      <c r="LCQ46" s="502"/>
      <c r="LCR46" s="502"/>
      <c r="LCS46" s="502"/>
      <c r="LCT46" s="502" t="s">
        <v>124</v>
      </c>
      <c r="LCU46" s="502"/>
      <c r="LCV46" s="502"/>
      <c r="LCW46" s="502"/>
      <c r="LCX46" s="502" t="s">
        <v>124</v>
      </c>
      <c r="LCY46" s="502"/>
      <c r="LCZ46" s="502"/>
      <c r="LDA46" s="502"/>
      <c r="LDB46" s="502" t="s">
        <v>124</v>
      </c>
      <c r="LDC46" s="502"/>
      <c r="LDD46" s="502"/>
      <c r="LDE46" s="502"/>
      <c r="LDF46" s="502" t="s">
        <v>124</v>
      </c>
      <c r="LDG46" s="502"/>
      <c r="LDH46" s="502"/>
      <c r="LDI46" s="502"/>
      <c r="LDJ46" s="502" t="s">
        <v>124</v>
      </c>
      <c r="LDK46" s="502"/>
      <c r="LDL46" s="502"/>
      <c r="LDM46" s="502"/>
      <c r="LDN46" s="502" t="s">
        <v>124</v>
      </c>
      <c r="LDO46" s="502"/>
      <c r="LDP46" s="502"/>
      <c r="LDQ46" s="502"/>
      <c r="LDR46" s="502" t="s">
        <v>124</v>
      </c>
      <c r="LDS46" s="502"/>
      <c r="LDT46" s="502"/>
      <c r="LDU46" s="502"/>
      <c r="LDV46" s="502" t="s">
        <v>124</v>
      </c>
      <c r="LDW46" s="502"/>
      <c r="LDX46" s="502"/>
      <c r="LDY46" s="502"/>
      <c r="LDZ46" s="502" t="s">
        <v>124</v>
      </c>
      <c r="LEA46" s="502"/>
      <c r="LEB46" s="502"/>
      <c r="LEC46" s="502"/>
      <c r="LED46" s="502" t="s">
        <v>124</v>
      </c>
      <c r="LEE46" s="502"/>
      <c r="LEF46" s="502"/>
      <c r="LEG46" s="502"/>
      <c r="LEH46" s="502" t="s">
        <v>124</v>
      </c>
      <c r="LEI46" s="502"/>
      <c r="LEJ46" s="502"/>
      <c r="LEK46" s="502"/>
      <c r="LEL46" s="502" t="s">
        <v>124</v>
      </c>
      <c r="LEM46" s="502"/>
      <c r="LEN46" s="502"/>
      <c r="LEO46" s="502"/>
      <c r="LEP46" s="502" t="s">
        <v>124</v>
      </c>
      <c r="LEQ46" s="502"/>
      <c r="LER46" s="502"/>
      <c r="LES46" s="502"/>
      <c r="LET46" s="502" t="s">
        <v>124</v>
      </c>
      <c r="LEU46" s="502"/>
      <c r="LEV46" s="502"/>
      <c r="LEW46" s="502"/>
      <c r="LEX46" s="502" t="s">
        <v>124</v>
      </c>
      <c r="LEY46" s="502"/>
      <c r="LEZ46" s="502"/>
      <c r="LFA46" s="502"/>
      <c r="LFB46" s="502" t="s">
        <v>124</v>
      </c>
      <c r="LFC46" s="502"/>
      <c r="LFD46" s="502"/>
      <c r="LFE46" s="502"/>
      <c r="LFF46" s="502" t="s">
        <v>124</v>
      </c>
      <c r="LFG46" s="502"/>
      <c r="LFH46" s="502"/>
      <c r="LFI46" s="502"/>
      <c r="LFJ46" s="502" t="s">
        <v>124</v>
      </c>
      <c r="LFK46" s="502"/>
      <c r="LFL46" s="502"/>
      <c r="LFM46" s="502"/>
      <c r="LFN46" s="502" t="s">
        <v>124</v>
      </c>
      <c r="LFO46" s="502"/>
      <c r="LFP46" s="502"/>
      <c r="LFQ46" s="502"/>
      <c r="LFR46" s="502" t="s">
        <v>124</v>
      </c>
      <c r="LFS46" s="502"/>
      <c r="LFT46" s="502"/>
      <c r="LFU46" s="502"/>
      <c r="LFV46" s="502" t="s">
        <v>124</v>
      </c>
      <c r="LFW46" s="502"/>
      <c r="LFX46" s="502"/>
      <c r="LFY46" s="502"/>
      <c r="LFZ46" s="502" t="s">
        <v>124</v>
      </c>
      <c r="LGA46" s="502"/>
      <c r="LGB46" s="502"/>
      <c r="LGC46" s="502"/>
      <c r="LGD46" s="502" t="s">
        <v>124</v>
      </c>
      <c r="LGE46" s="502"/>
      <c r="LGF46" s="502"/>
      <c r="LGG46" s="502"/>
      <c r="LGH46" s="502" t="s">
        <v>124</v>
      </c>
      <c r="LGI46" s="502"/>
      <c r="LGJ46" s="502"/>
      <c r="LGK46" s="502"/>
      <c r="LGL46" s="502" t="s">
        <v>124</v>
      </c>
      <c r="LGM46" s="502"/>
      <c r="LGN46" s="502"/>
      <c r="LGO46" s="502"/>
      <c r="LGP46" s="502" t="s">
        <v>124</v>
      </c>
      <c r="LGQ46" s="502"/>
      <c r="LGR46" s="502"/>
      <c r="LGS46" s="502"/>
      <c r="LGT46" s="502" t="s">
        <v>124</v>
      </c>
      <c r="LGU46" s="502"/>
      <c r="LGV46" s="502"/>
      <c r="LGW46" s="502"/>
      <c r="LGX46" s="502" t="s">
        <v>124</v>
      </c>
      <c r="LGY46" s="502"/>
      <c r="LGZ46" s="502"/>
      <c r="LHA46" s="502"/>
      <c r="LHB46" s="502" t="s">
        <v>124</v>
      </c>
      <c r="LHC46" s="502"/>
      <c r="LHD46" s="502"/>
      <c r="LHE46" s="502"/>
      <c r="LHF46" s="502" t="s">
        <v>124</v>
      </c>
      <c r="LHG46" s="502"/>
      <c r="LHH46" s="502"/>
      <c r="LHI46" s="502"/>
      <c r="LHJ46" s="502" t="s">
        <v>124</v>
      </c>
      <c r="LHK46" s="502"/>
      <c r="LHL46" s="502"/>
      <c r="LHM46" s="502"/>
      <c r="LHN46" s="502" t="s">
        <v>124</v>
      </c>
      <c r="LHO46" s="502"/>
      <c r="LHP46" s="502"/>
      <c r="LHQ46" s="502"/>
      <c r="LHR46" s="502" t="s">
        <v>124</v>
      </c>
      <c r="LHS46" s="502"/>
      <c r="LHT46" s="502"/>
      <c r="LHU46" s="502"/>
      <c r="LHV46" s="502" t="s">
        <v>124</v>
      </c>
      <c r="LHW46" s="502"/>
      <c r="LHX46" s="502"/>
      <c r="LHY46" s="502"/>
      <c r="LHZ46" s="502" t="s">
        <v>124</v>
      </c>
      <c r="LIA46" s="502"/>
      <c r="LIB46" s="502"/>
      <c r="LIC46" s="502"/>
      <c r="LID46" s="502" t="s">
        <v>124</v>
      </c>
      <c r="LIE46" s="502"/>
      <c r="LIF46" s="502"/>
      <c r="LIG46" s="502"/>
      <c r="LIH46" s="502" t="s">
        <v>124</v>
      </c>
      <c r="LII46" s="502"/>
      <c r="LIJ46" s="502"/>
      <c r="LIK46" s="502"/>
      <c r="LIL46" s="502" t="s">
        <v>124</v>
      </c>
      <c r="LIM46" s="502"/>
      <c r="LIN46" s="502"/>
      <c r="LIO46" s="502"/>
      <c r="LIP46" s="502" t="s">
        <v>124</v>
      </c>
      <c r="LIQ46" s="502"/>
      <c r="LIR46" s="502"/>
      <c r="LIS46" s="502"/>
      <c r="LIT46" s="502" t="s">
        <v>124</v>
      </c>
      <c r="LIU46" s="502"/>
      <c r="LIV46" s="502"/>
      <c r="LIW46" s="502"/>
      <c r="LIX46" s="502" t="s">
        <v>124</v>
      </c>
      <c r="LIY46" s="502"/>
      <c r="LIZ46" s="502"/>
      <c r="LJA46" s="502"/>
      <c r="LJB46" s="502" t="s">
        <v>124</v>
      </c>
      <c r="LJC46" s="502"/>
      <c r="LJD46" s="502"/>
      <c r="LJE46" s="502"/>
      <c r="LJF46" s="502" t="s">
        <v>124</v>
      </c>
      <c r="LJG46" s="502"/>
      <c r="LJH46" s="502"/>
      <c r="LJI46" s="502"/>
      <c r="LJJ46" s="502" t="s">
        <v>124</v>
      </c>
      <c r="LJK46" s="502"/>
      <c r="LJL46" s="502"/>
      <c r="LJM46" s="502"/>
      <c r="LJN46" s="502" t="s">
        <v>124</v>
      </c>
      <c r="LJO46" s="502"/>
      <c r="LJP46" s="502"/>
      <c r="LJQ46" s="502"/>
      <c r="LJR46" s="502" t="s">
        <v>124</v>
      </c>
      <c r="LJS46" s="502"/>
      <c r="LJT46" s="502"/>
      <c r="LJU46" s="502"/>
      <c r="LJV46" s="502" t="s">
        <v>124</v>
      </c>
      <c r="LJW46" s="502"/>
      <c r="LJX46" s="502"/>
      <c r="LJY46" s="502"/>
      <c r="LJZ46" s="502" t="s">
        <v>124</v>
      </c>
      <c r="LKA46" s="502"/>
      <c r="LKB46" s="502"/>
      <c r="LKC46" s="502"/>
      <c r="LKD46" s="502" t="s">
        <v>124</v>
      </c>
      <c r="LKE46" s="502"/>
      <c r="LKF46" s="502"/>
      <c r="LKG46" s="502"/>
      <c r="LKH46" s="502" t="s">
        <v>124</v>
      </c>
      <c r="LKI46" s="502"/>
      <c r="LKJ46" s="502"/>
      <c r="LKK46" s="502"/>
      <c r="LKL46" s="502" t="s">
        <v>124</v>
      </c>
      <c r="LKM46" s="502"/>
      <c r="LKN46" s="502"/>
      <c r="LKO46" s="502"/>
      <c r="LKP46" s="502" t="s">
        <v>124</v>
      </c>
      <c r="LKQ46" s="502"/>
      <c r="LKR46" s="502"/>
      <c r="LKS46" s="502"/>
      <c r="LKT46" s="502" t="s">
        <v>124</v>
      </c>
      <c r="LKU46" s="502"/>
      <c r="LKV46" s="502"/>
      <c r="LKW46" s="502"/>
      <c r="LKX46" s="502" t="s">
        <v>124</v>
      </c>
      <c r="LKY46" s="502"/>
      <c r="LKZ46" s="502"/>
      <c r="LLA46" s="502"/>
      <c r="LLB46" s="502" t="s">
        <v>124</v>
      </c>
      <c r="LLC46" s="502"/>
      <c r="LLD46" s="502"/>
      <c r="LLE46" s="502"/>
      <c r="LLF46" s="502" t="s">
        <v>124</v>
      </c>
      <c r="LLG46" s="502"/>
      <c r="LLH46" s="502"/>
      <c r="LLI46" s="502"/>
      <c r="LLJ46" s="502" t="s">
        <v>124</v>
      </c>
      <c r="LLK46" s="502"/>
      <c r="LLL46" s="502"/>
      <c r="LLM46" s="502"/>
      <c r="LLN46" s="502" t="s">
        <v>124</v>
      </c>
      <c r="LLO46" s="502"/>
      <c r="LLP46" s="502"/>
      <c r="LLQ46" s="502"/>
      <c r="LLR46" s="502" t="s">
        <v>124</v>
      </c>
      <c r="LLS46" s="502"/>
      <c r="LLT46" s="502"/>
      <c r="LLU46" s="502"/>
      <c r="LLV46" s="502" t="s">
        <v>124</v>
      </c>
      <c r="LLW46" s="502"/>
      <c r="LLX46" s="502"/>
      <c r="LLY46" s="502"/>
      <c r="LLZ46" s="502" t="s">
        <v>124</v>
      </c>
      <c r="LMA46" s="502"/>
      <c r="LMB46" s="502"/>
      <c r="LMC46" s="502"/>
      <c r="LMD46" s="502" t="s">
        <v>124</v>
      </c>
      <c r="LME46" s="502"/>
      <c r="LMF46" s="502"/>
      <c r="LMG46" s="502"/>
      <c r="LMH46" s="502" t="s">
        <v>124</v>
      </c>
      <c r="LMI46" s="502"/>
      <c r="LMJ46" s="502"/>
      <c r="LMK46" s="502"/>
      <c r="LML46" s="502" t="s">
        <v>124</v>
      </c>
      <c r="LMM46" s="502"/>
      <c r="LMN46" s="502"/>
      <c r="LMO46" s="502"/>
      <c r="LMP46" s="502" t="s">
        <v>124</v>
      </c>
      <c r="LMQ46" s="502"/>
      <c r="LMR46" s="502"/>
      <c r="LMS46" s="502"/>
      <c r="LMT46" s="502" t="s">
        <v>124</v>
      </c>
      <c r="LMU46" s="502"/>
      <c r="LMV46" s="502"/>
      <c r="LMW46" s="502"/>
      <c r="LMX46" s="502" t="s">
        <v>124</v>
      </c>
      <c r="LMY46" s="502"/>
      <c r="LMZ46" s="502"/>
      <c r="LNA46" s="502"/>
      <c r="LNB46" s="502" t="s">
        <v>124</v>
      </c>
      <c r="LNC46" s="502"/>
      <c r="LND46" s="502"/>
      <c r="LNE46" s="502"/>
      <c r="LNF46" s="502" t="s">
        <v>124</v>
      </c>
      <c r="LNG46" s="502"/>
      <c r="LNH46" s="502"/>
      <c r="LNI46" s="502"/>
      <c r="LNJ46" s="502" t="s">
        <v>124</v>
      </c>
      <c r="LNK46" s="502"/>
      <c r="LNL46" s="502"/>
      <c r="LNM46" s="502"/>
      <c r="LNN46" s="502" t="s">
        <v>124</v>
      </c>
      <c r="LNO46" s="502"/>
      <c r="LNP46" s="502"/>
      <c r="LNQ46" s="502"/>
      <c r="LNR46" s="502" t="s">
        <v>124</v>
      </c>
      <c r="LNS46" s="502"/>
      <c r="LNT46" s="502"/>
      <c r="LNU46" s="502"/>
      <c r="LNV46" s="502" t="s">
        <v>124</v>
      </c>
      <c r="LNW46" s="502"/>
      <c r="LNX46" s="502"/>
      <c r="LNY46" s="502"/>
      <c r="LNZ46" s="502" t="s">
        <v>124</v>
      </c>
      <c r="LOA46" s="502"/>
      <c r="LOB46" s="502"/>
      <c r="LOC46" s="502"/>
      <c r="LOD46" s="502" t="s">
        <v>124</v>
      </c>
      <c r="LOE46" s="502"/>
      <c r="LOF46" s="502"/>
      <c r="LOG46" s="502"/>
      <c r="LOH46" s="502" t="s">
        <v>124</v>
      </c>
      <c r="LOI46" s="502"/>
      <c r="LOJ46" s="502"/>
      <c r="LOK46" s="502"/>
      <c r="LOL46" s="502" t="s">
        <v>124</v>
      </c>
      <c r="LOM46" s="502"/>
      <c r="LON46" s="502"/>
      <c r="LOO46" s="502"/>
      <c r="LOP46" s="502" t="s">
        <v>124</v>
      </c>
      <c r="LOQ46" s="502"/>
      <c r="LOR46" s="502"/>
      <c r="LOS46" s="502"/>
      <c r="LOT46" s="502" t="s">
        <v>124</v>
      </c>
      <c r="LOU46" s="502"/>
      <c r="LOV46" s="502"/>
      <c r="LOW46" s="502"/>
      <c r="LOX46" s="502" t="s">
        <v>124</v>
      </c>
      <c r="LOY46" s="502"/>
      <c r="LOZ46" s="502"/>
      <c r="LPA46" s="502"/>
      <c r="LPB46" s="502" t="s">
        <v>124</v>
      </c>
      <c r="LPC46" s="502"/>
      <c r="LPD46" s="502"/>
      <c r="LPE46" s="502"/>
      <c r="LPF46" s="502" t="s">
        <v>124</v>
      </c>
      <c r="LPG46" s="502"/>
      <c r="LPH46" s="502"/>
      <c r="LPI46" s="502"/>
      <c r="LPJ46" s="502" t="s">
        <v>124</v>
      </c>
      <c r="LPK46" s="502"/>
      <c r="LPL46" s="502"/>
      <c r="LPM46" s="502"/>
      <c r="LPN46" s="502" t="s">
        <v>124</v>
      </c>
      <c r="LPO46" s="502"/>
      <c r="LPP46" s="502"/>
      <c r="LPQ46" s="502"/>
      <c r="LPR46" s="502" t="s">
        <v>124</v>
      </c>
      <c r="LPS46" s="502"/>
      <c r="LPT46" s="502"/>
      <c r="LPU46" s="502"/>
      <c r="LPV46" s="502" t="s">
        <v>124</v>
      </c>
      <c r="LPW46" s="502"/>
      <c r="LPX46" s="502"/>
      <c r="LPY46" s="502"/>
      <c r="LPZ46" s="502" t="s">
        <v>124</v>
      </c>
      <c r="LQA46" s="502"/>
      <c r="LQB46" s="502"/>
      <c r="LQC46" s="502"/>
      <c r="LQD46" s="502" t="s">
        <v>124</v>
      </c>
      <c r="LQE46" s="502"/>
      <c r="LQF46" s="502"/>
      <c r="LQG46" s="502"/>
      <c r="LQH46" s="502" t="s">
        <v>124</v>
      </c>
      <c r="LQI46" s="502"/>
      <c r="LQJ46" s="502"/>
      <c r="LQK46" s="502"/>
      <c r="LQL46" s="502" t="s">
        <v>124</v>
      </c>
      <c r="LQM46" s="502"/>
      <c r="LQN46" s="502"/>
      <c r="LQO46" s="502"/>
      <c r="LQP46" s="502" t="s">
        <v>124</v>
      </c>
      <c r="LQQ46" s="502"/>
      <c r="LQR46" s="502"/>
      <c r="LQS46" s="502"/>
      <c r="LQT46" s="502" t="s">
        <v>124</v>
      </c>
      <c r="LQU46" s="502"/>
      <c r="LQV46" s="502"/>
      <c r="LQW46" s="502"/>
      <c r="LQX46" s="502" t="s">
        <v>124</v>
      </c>
      <c r="LQY46" s="502"/>
      <c r="LQZ46" s="502"/>
      <c r="LRA46" s="502"/>
      <c r="LRB46" s="502" t="s">
        <v>124</v>
      </c>
      <c r="LRC46" s="502"/>
      <c r="LRD46" s="502"/>
      <c r="LRE46" s="502"/>
      <c r="LRF46" s="502" t="s">
        <v>124</v>
      </c>
      <c r="LRG46" s="502"/>
      <c r="LRH46" s="502"/>
      <c r="LRI46" s="502"/>
      <c r="LRJ46" s="502" t="s">
        <v>124</v>
      </c>
      <c r="LRK46" s="502"/>
      <c r="LRL46" s="502"/>
      <c r="LRM46" s="502"/>
      <c r="LRN46" s="502" t="s">
        <v>124</v>
      </c>
      <c r="LRO46" s="502"/>
      <c r="LRP46" s="502"/>
      <c r="LRQ46" s="502"/>
      <c r="LRR46" s="502" t="s">
        <v>124</v>
      </c>
      <c r="LRS46" s="502"/>
      <c r="LRT46" s="502"/>
      <c r="LRU46" s="502"/>
      <c r="LRV46" s="502" t="s">
        <v>124</v>
      </c>
      <c r="LRW46" s="502"/>
      <c r="LRX46" s="502"/>
      <c r="LRY46" s="502"/>
      <c r="LRZ46" s="502" t="s">
        <v>124</v>
      </c>
      <c r="LSA46" s="502"/>
      <c r="LSB46" s="502"/>
      <c r="LSC46" s="502"/>
      <c r="LSD46" s="502" t="s">
        <v>124</v>
      </c>
      <c r="LSE46" s="502"/>
      <c r="LSF46" s="502"/>
      <c r="LSG46" s="502"/>
      <c r="LSH46" s="502" t="s">
        <v>124</v>
      </c>
      <c r="LSI46" s="502"/>
      <c r="LSJ46" s="502"/>
      <c r="LSK46" s="502"/>
      <c r="LSL46" s="502" t="s">
        <v>124</v>
      </c>
      <c r="LSM46" s="502"/>
      <c r="LSN46" s="502"/>
      <c r="LSO46" s="502"/>
      <c r="LSP46" s="502" t="s">
        <v>124</v>
      </c>
      <c r="LSQ46" s="502"/>
      <c r="LSR46" s="502"/>
      <c r="LSS46" s="502"/>
      <c r="LST46" s="502" t="s">
        <v>124</v>
      </c>
      <c r="LSU46" s="502"/>
      <c r="LSV46" s="502"/>
      <c r="LSW46" s="502"/>
      <c r="LSX46" s="502" t="s">
        <v>124</v>
      </c>
      <c r="LSY46" s="502"/>
      <c r="LSZ46" s="502"/>
      <c r="LTA46" s="502"/>
      <c r="LTB46" s="502" t="s">
        <v>124</v>
      </c>
      <c r="LTC46" s="502"/>
      <c r="LTD46" s="502"/>
      <c r="LTE46" s="502"/>
      <c r="LTF46" s="502" t="s">
        <v>124</v>
      </c>
      <c r="LTG46" s="502"/>
      <c r="LTH46" s="502"/>
      <c r="LTI46" s="502"/>
      <c r="LTJ46" s="502" t="s">
        <v>124</v>
      </c>
      <c r="LTK46" s="502"/>
      <c r="LTL46" s="502"/>
      <c r="LTM46" s="502"/>
      <c r="LTN46" s="502" t="s">
        <v>124</v>
      </c>
      <c r="LTO46" s="502"/>
      <c r="LTP46" s="502"/>
      <c r="LTQ46" s="502"/>
      <c r="LTR46" s="502" t="s">
        <v>124</v>
      </c>
      <c r="LTS46" s="502"/>
      <c r="LTT46" s="502"/>
      <c r="LTU46" s="502"/>
      <c r="LTV46" s="502" t="s">
        <v>124</v>
      </c>
      <c r="LTW46" s="502"/>
      <c r="LTX46" s="502"/>
      <c r="LTY46" s="502"/>
      <c r="LTZ46" s="502" t="s">
        <v>124</v>
      </c>
      <c r="LUA46" s="502"/>
      <c r="LUB46" s="502"/>
      <c r="LUC46" s="502"/>
      <c r="LUD46" s="502" t="s">
        <v>124</v>
      </c>
      <c r="LUE46" s="502"/>
      <c r="LUF46" s="502"/>
      <c r="LUG46" s="502"/>
      <c r="LUH46" s="502" t="s">
        <v>124</v>
      </c>
      <c r="LUI46" s="502"/>
      <c r="LUJ46" s="502"/>
      <c r="LUK46" s="502"/>
      <c r="LUL46" s="502" t="s">
        <v>124</v>
      </c>
      <c r="LUM46" s="502"/>
      <c r="LUN46" s="502"/>
      <c r="LUO46" s="502"/>
      <c r="LUP46" s="502" t="s">
        <v>124</v>
      </c>
      <c r="LUQ46" s="502"/>
      <c r="LUR46" s="502"/>
      <c r="LUS46" s="502"/>
      <c r="LUT46" s="502" t="s">
        <v>124</v>
      </c>
      <c r="LUU46" s="502"/>
      <c r="LUV46" s="502"/>
      <c r="LUW46" s="502"/>
      <c r="LUX46" s="502" t="s">
        <v>124</v>
      </c>
      <c r="LUY46" s="502"/>
      <c r="LUZ46" s="502"/>
      <c r="LVA46" s="502"/>
      <c r="LVB46" s="502" t="s">
        <v>124</v>
      </c>
      <c r="LVC46" s="502"/>
      <c r="LVD46" s="502"/>
      <c r="LVE46" s="502"/>
      <c r="LVF46" s="502" t="s">
        <v>124</v>
      </c>
      <c r="LVG46" s="502"/>
      <c r="LVH46" s="502"/>
      <c r="LVI46" s="502"/>
      <c r="LVJ46" s="502" t="s">
        <v>124</v>
      </c>
      <c r="LVK46" s="502"/>
      <c r="LVL46" s="502"/>
      <c r="LVM46" s="502"/>
      <c r="LVN46" s="502" t="s">
        <v>124</v>
      </c>
      <c r="LVO46" s="502"/>
      <c r="LVP46" s="502"/>
      <c r="LVQ46" s="502"/>
      <c r="LVR46" s="502" t="s">
        <v>124</v>
      </c>
      <c r="LVS46" s="502"/>
      <c r="LVT46" s="502"/>
      <c r="LVU46" s="502"/>
      <c r="LVV46" s="502" t="s">
        <v>124</v>
      </c>
      <c r="LVW46" s="502"/>
      <c r="LVX46" s="502"/>
      <c r="LVY46" s="502"/>
      <c r="LVZ46" s="502" t="s">
        <v>124</v>
      </c>
      <c r="LWA46" s="502"/>
      <c r="LWB46" s="502"/>
      <c r="LWC46" s="502"/>
      <c r="LWD46" s="502" t="s">
        <v>124</v>
      </c>
      <c r="LWE46" s="502"/>
      <c r="LWF46" s="502"/>
      <c r="LWG46" s="502"/>
      <c r="LWH46" s="502" t="s">
        <v>124</v>
      </c>
      <c r="LWI46" s="502"/>
      <c r="LWJ46" s="502"/>
      <c r="LWK46" s="502"/>
      <c r="LWL46" s="502" t="s">
        <v>124</v>
      </c>
      <c r="LWM46" s="502"/>
      <c r="LWN46" s="502"/>
      <c r="LWO46" s="502"/>
      <c r="LWP46" s="502" t="s">
        <v>124</v>
      </c>
      <c r="LWQ46" s="502"/>
      <c r="LWR46" s="502"/>
      <c r="LWS46" s="502"/>
      <c r="LWT46" s="502" t="s">
        <v>124</v>
      </c>
      <c r="LWU46" s="502"/>
      <c r="LWV46" s="502"/>
      <c r="LWW46" s="502"/>
      <c r="LWX46" s="502" t="s">
        <v>124</v>
      </c>
      <c r="LWY46" s="502"/>
      <c r="LWZ46" s="502"/>
      <c r="LXA46" s="502"/>
      <c r="LXB46" s="502" t="s">
        <v>124</v>
      </c>
      <c r="LXC46" s="502"/>
      <c r="LXD46" s="502"/>
      <c r="LXE46" s="502"/>
      <c r="LXF46" s="502" t="s">
        <v>124</v>
      </c>
      <c r="LXG46" s="502"/>
      <c r="LXH46" s="502"/>
      <c r="LXI46" s="502"/>
      <c r="LXJ46" s="502" t="s">
        <v>124</v>
      </c>
      <c r="LXK46" s="502"/>
      <c r="LXL46" s="502"/>
      <c r="LXM46" s="502"/>
      <c r="LXN46" s="502" t="s">
        <v>124</v>
      </c>
      <c r="LXO46" s="502"/>
      <c r="LXP46" s="502"/>
      <c r="LXQ46" s="502"/>
      <c r="LXR46" s="502" t="s">
        <v>124</v>
      </c>
      <c r="LXS46" s="502"/>
      <c r="LXT46" s="502"/>
      <c r="LXU46" s="502"/>
      <c r="LXV46" s="502" t="s">
        <v>124</v>
      </c>
      <c r="LXW46" s="502"/>
      <c r="LXX46" s="502"/>
      <c r="LXY46" s="502"/>
      <c r="LXZ46" s="502" t="s">
        <v>124</v>
      </c>
      <c r="LYA46" s="502"/>
      <c r="LYB46" s="502"/>
      <c r="LYC46" s="502"/>
      <c r="LYD46" s="502" t="s">
        <v>124</v>
      </c>
      <c r="LYE46" s="502"/>
      <c r="LYF46" s="502"/>
      <c r="LYG46" s="502"/>
      <c r="LYH46" s="502" t="s">
        <v>124</v>
      </c>
      <c r="LYI46" s="502"/>
      <c r="LYJ46" s="502"/>
      <c r="LYK46" s="502"/>
      <c r="LYL46" s="502" t="s">
        <v>124</v>
      </c>
      <c r="LYM46" s="502"/>
      <c r="LYN46" s="502"/>
      <c r="LYO46" s="502"/>
      <c r="LYP46" s="502" t="s">
        <v>124</v>
      </c>
      <c r="LYQ46" s="502"/>
      <c r="LYR46" s="502"/>
      <c r="LYS46" s="502"/>
      <c r="LYT46" s="502" t="s">
        <v>124</v>
      </c>
      <c r="LYU46" s="502"/>
      <c r="LYV46" s="502"/>
      <c r="LYW46" s="502"/>
      <c r="LYX46" s="502" t="s">
        <v>124</v>
      </c>
      <c r="LYY46" s="502"/>
      <c r="LYZ46" s="502"/>
      <c r="LZA46" s="502"/>
      <c r="LZB46" s="502" t="s">
        <v>124</v>
      </c>
      <c r="LZC46" s="502"/>
      <c r="LZD46" s="502"/>
      <c r="LZE46" s="502"/>
      <c r="LZF46" s="502" t="s">
        <v>124</v>
      </c>
      <c r="LZG46" s="502"/>
      <c r="LZH46" s="502"/>
      <c r="LZI46" s="502"/>
      <c r="LZJ46" s="502" t="s">
        <v>124</v>
      </c>
      <c r="LZK46" s="502"/>
      <c r="LZL46" s="502"/>
      <c r="LZM46" s="502"/>
      <c r="LZN46" s="502" t="s">
        <v>124</v>
      </c>
      <c r="LZO46" s="502"/>
      <c r="LZP46" s="502"/>
      <c r="LZQ46" s="502"/>
      <c r="LZR46" s="502" t="s">
        <v>124</v>
      </c>
      <c r="LZS46" s="502"/>
      <c r="LZT46" s="502"/>
      <c r="LZU46" s="502"/>
      <c r="LZV46" s="502" t="s">
        <v>124</v>
      </c>
      <c r="LZW46" s="502"/>
      <c r="LZX46" s="502"/>
      <c r="LZY46" s="502"/>
      <c r="LZZ46" s="502" t="s">
        <v>124</v>
      </c>
      <c r="MAA46" s="502"/>
      <c r="MAB46" s="502"/>
      <c r="MAC46" s="502"/>
      <c r="MAD46" s="502" t="s">
        <v>124</v>
      </c>
      <c r="MAE46" s="502"/>
      <c r="MAF46" s="502"/>
      <c r="MAG46" s="502"/>
      <c r="MAH46" s="502" t="s">
        <v>124</v>
      </c>
      <c r="MAI46" s="502"/>
      <c r="MAJ46" s="502"/>
      <c r="MAK46" s="502"/>
      <c r="MAL46" s="502" t="s">
        <v>124</v>
      </c>
      <c r="MAM46" s="502"/>
      <c r="MAN46" s="502"/>
      <c r="MAO46" s="502"/>
      <c r="MAP46" s="502" t="s">
        <v>124</v>
      </c>
      <c r="MAQ46" s="502"/>
      <c r="MAR46" s="502"/>
      <c r="MAS46" s="502"/>
      <c r="MAT46" s="502" t="s">
        <v>124</v>
      </c>
      <c r="MAU46" s="502"/>
      <c r="MAV46" s="502"/>
      <c r="MAW46" s="502"/>
      <c r="MAX46" s="502" t="s">
        <v>124</v>
      </c>
      <c r="MAY46" s="502"/>
      <c r="MAZ46" s="502"/>
      <c r="MBA46" s="502"/>
      <c r="MBB46" s="502" t="s">
        <v>124</v>
      </c>
      <c r="MBC46" s="502"/>
      <c r="MBD46" s="502"/>
      <c r="MBE46" s="502"/>
      <c r="MBF46" s="502" t="s">
        <v>124</v>
      </c>
      <c r="MBG46" s="502"/>
      <c r="MBH46" s="502"/>
      <c r="MBI46" s="502"/>
      <c r="MBJ46" s="502" t="s">
        <v>124</v>
      </c>
      <c r="MBK46" s="502"/>
      <c r="MBL46" s="502"/>
      <c r="MBM46" s="502"/>
      <c r="MBN46" s="502" t="s">
        <v>124</v>
      </c>
      <c r="MBO46" s="502"/>
      <c r="MBP46" s="502"/>
      <c r="MBQ46" s="502"/>
      <c r="MBR46" s="502" t="s">
        <v>124</v>
      </c>
      <c r="MBS46" s="502"/>
      <c r="MBT46" s="502"/>
      <c r="MBU46" s="502"/>
      <c r="MBV46" s="502" t="s">
        <v>124</v>
      </c>
      <c r="MBW46" s="502"/>
      <c r="MBX46" s="502"/>
      <c r="MBY46" s="502"/>
      <c r="MBZ46" s="502" t="s">
        <v>124</v>
      </c>
      <c r="MCA46" s="502"/>
      <c r="MCB46" s="502"/>
      <c r="MCC46" s="502"/>
      <c r="MCD46" s="502" t="s">
        <v>124</v>
      </c>
      <c r="MCE46" s="502"/>
      <c r="MCF46" s="502"/>
      <c r="MCG46" s="502"/>
      <c r="MCH46" s="502" t="s">
        <v>124</v>
      </c>
      <c r="MCI46" s="502"/>
      <c r="MCJ46" s="502"/>
      <c r="MCK46" s="502"/>
      <c r="MCL46" s="502" t="s">
        <v>124</v>
      </c>
      <c r="MCM46" s="502"/>
      <c r="MCN46" s="502"/>
      <c r="MCO46" s="502"/>
      <c r="MCP46" s="502" t="s">
        <v>124</v>
      </c>
      <c r="MCQ46" s="502"/>
      <c r="MCR46" s="502"/>
      <c r="MCS46" s="502"/>
      <c r="MCT46" s="502" t="s">
        <v>124</v>
      </c>
      <c r="MCU46" s="502"/>
      <c r="MCV46" s="502"/>
      <c r="MCW46" s="502"/>
      <c r="MCX46" s="502" t="s">
        <v>124</v>
      </c>
      <c r="MCY46" s="502"/>
      <c r="MCZ46" s="502"/>
      <c r="MDA46" s="502"/>
      <c r="MDB46" s="502" t="s">
        <v>124</v>
      </c>
      <c r="MDC46" s="502"/>
      <c r="MDD46" s="502"/>
      <c r="MDE46" s="502"/>
      <c r="MDF46" s="502" t="s">
        <v>124</v>
      </c>
      <c r="MDG46" s="502"/>
      <c r="MDH46" s="502"/>
      <c r="MDI46" s="502"/>
      <c r="MDJ46" s="502" t="s">
        <v>124</v>
      </c>
      <c r="MDK46" s="502"/>
      <c r="MDL46" s="502"/>
      <c r="MDM46" s="502"/>
      <c r="MDN46" s="502" t="s">
        <v>124</v>
      </c>
      <c r="MDO46" s="502"/>
      <c r="MDP46" s="502"/>
      <c r="MDQ46" s="502"/>
      <c r="MDR46" s="502" t="s">
        <v>124</v>
      </c>
      <c r="MDS46" s="502"/>
      <c r="MDT46" s="502"/>
      <c r="MDU46" s="502"/>
      <c r="MDV46" s="502" t="s">
        <v>124</v>
      </c>
      <c r="MDW46" s="502"/>
      <c r="MDX46" s="502"/>
      <c r="MDY46" s="502"/>
      <c r="MDZ46" s="502" t="s">
        <v>124</v>
      </c>
      <c r="MEA46" s="502"/>
      <c r="MEB46" s="502"/>
      <c r="MEC46" s="502"/>
      <c r="MED46" s="502" t="s">
        <v>124</v>
      </c>
      <c r="MEE46" s="502"/>
      <c r="MEF46" s="502"/>
      <c r="MEG46" s="502"/>
      <c r="MEH46" s="502" t="s">
        <v>124</v>
      </c>
      <c r="MEI46" s="502"/>
      <c r="MEJ46" s="502"/>
      <c r="MEK46" s="502"/>
      <c r="MEL46" s="502" t="s">
        <v>124</v>
      </c>
      <c r="MEM46" s="502"/>
      <c r="MEN46" s="502"/>
      <c r="MEO46" s="502"/>
      <c r="MEP46" s="502" t="s">
        <v>124</v>
      </c>
      <c r="MEQ46" s="502"/>
      <c r="MER46" s="502"/>
      <c r="MES46" s="502"/>
      <c r="MET46" s="502" t="s">
        <v>124</v>
      </c>
      <c r="MEU46" s="502"/>
      <c r="MEV46" s="502"/>
      <c r="MEW46" s="502"/>
      <c r="MEX46" s="502" t="s">
        <v>124</v>
      </c>
      <c r="MEY46" s="502"/>
      <c r="MEZ46" s="502"/>
      <c r="MFA46" s="502"/>
      <c r="MFB46" s="502" t="s">
        <v>124</v>
      </c>
      <c r="MFC46" s="502"/>
      <c r="MFD46" s="502"/>
      <c r="MFE46" s="502"/>
      <c r="MFF46" s="502" t="s">
        <v>124</v>
      </c>
      <c r="MFG46" s="502"/>
      <c r="MFH46" s="502"/>
      <c r="MFI46" s="502"/>
      <c r="MFJ46" s="502" t="s">
        <v>124</v>
      </c>
      <c r="MFK46" s="502"/>
      <c r="MFL46" s="502"/>
      <c r="MFM46" s="502"/>
      <c r="MFN46" s="502" t="s">
        <v>124</v>
      </c>
      <c r="MFO46" s="502"/>
      <c r="MFP46" s="502"/>
      <c r="MFQ46" s="502"/>
      <c r="MFR46" s="502" t="s">
        <v>124</v>
      </c>
      <c r="MFS46" s="502"/>
      <c r="MFT46" s="502"/>
      <c r="MFU46" s="502"/>
      <c r="MFV46" s="502" t="s">
        <v>124</v>
      </c>
      <c r="MFW46" s="502"/>
      <c r="MFX46" s="502"/>
      <c r="MFY46" s="502"/>
      <c r="MFZ46" s="502" t="s">
        <v>124</v>
      </c>
      <c r="MGA46" s="502"/>
      <c r="MGB46" s="502"/>
      <c r="MGC46" s="502"/>
      <c r="MGD46" s="502" t="s">
        <v>124</v>
      </c>
      <c r="MGE46" s="502"/>
      <c r="MGF46" s="502"/>
      <c r="MGG46" s="502"/>
      <c r="MGH46" s="502" t="s">
        <v>124</v>
      </c>
      <c r="MGI46" s="502"/>
      <c r="MGJ46" s="502"/>
      <c r="MGK46" s="502"/>
      <c r="MGL46" s="502" t="s">
        <v>124</v>
      </c>
      <c r="MGM46" s="502"/>
      <c r="MGN46" s="502"/>
      <c r="MGO46" s="502"/>
      <c r="MGP46" s="502" t="s">
        <v>124</v>
      </c>
      <c r="MGQ46" s="502"/>
      <c r="MGR46" s="502"/>
      <c r="MGS46" s="502"/>
      <c r="MGT46" s="502" t="s">
        <v>124</v>
      </c>
      <c r="MGU46" s="502"/>
      <c r="MGV46" s="502"/>
      <c r="MGW46" s="502"/>
      <c r="MGX46" s="502" t="s">
        <v>124</v>
      </c>
      <c r="MGY46" s="502"/>
      <c r="MGZ46" s="502"/>
      <c r="MHA46" s="502"/>
      <c r="MHB46" s="502" t="s">
        <v>124</v>
      </c>
      <c r="MHC46" s="502"/>
      <c r="MHD46" s="502"/>
      <c r="MHE46" s="502"/>
      <c r="MHF46" s="502" t="s">
        <v>124</v>
      </c>
      <c r="MHG46" s="502"/>
      <c r="MHH46" s="502"/>
      <c r="MHI46" s="502"/>
      <c r="MHJ46" s="502" t="s">
        <v>124</v>
      </c>
      <c r="MHK46" s="502"/>
      <c r="MHL46" s="502"/>
      <c r="MHM46" s="502"/>
      <c r="MHN46" s="502" t="s">
        <v>124</v>
      </c>
      <c r="MHO46" s="502"/>
      <c r="MHP46" s="502"/>
      <c r="MHQ46" s="502"/>
      <c r="MHR46" s="502" t="s">
        <v>124</v>
      </c>
      <c r="MHS46" s="502"/>
      <c r="MHT46" s="502"/>
      <c r="MHU46" s="502"/>
      <c r="MHV46" s="502" t="s">
        <v>124</v>
      </c>
      <c r="MHW46" s="502"/>
      <c r="MHX46" s="502"/>
      <c r="MHY46" s="502"/>
      <c r="MHZ46" s="502" t="s">
        <v>124</v>
      </c>
      <c r="MIA46" s="502"/>
      <c r="MIB46" s="502"/>
      <c r="MIC46" s="502"/>
      <c r="MID46" s="502" t="s">
        <v>124</v>
      </c>
      <c r="MIE46" s="502"/>
      <c r="MIF46" s="502"/>
      <c r="MIG46" s="502"/>
      <c r="MIH46" s="502" t="s">
        <v>124</v>
      </c>
      <c r="MII46" s="502"/>
      <c r="MIJ46" s="502"/>
      <c r="MIK46" s="502"/>
      <c r="MIL46" s="502" t="s">
        <v>124</v>
      </c>
      <c r="MIM46" s="502"/>
      <c r="MIN46" s="502"/>
      <c r="MIO46" s="502"/>
      <c r="MIP46" s="502" t="s">
        <v>124</v>
      </c>
      <c r="MIQ46" s="502"/>
      <c r="MIR46" s="502"/>
      <c r="MIS46" s="502"/>
      <c r="MIT46" s="502" t="s">
        <v>124</v>
      </c>
      <c r="MIU46" s="502"/>
      <c r="MIV46" s="502"/>
      <c r="MIW46" s="502"/>
      <c r="MIX46" s="502" t="s">
        <v>124</v>
      </c>
      <c r="MIY46" s="502"/>
      <c r="MIZ46" s="502"/>
      <c r="MJA46" s="502"/>
      <c r="MJB46" s="502" t="s">
        <v>124</v>
      </c>
      <c r="MJC46" s="502"/>
      <c r="MJD46" s="502"/>
      <c r="MJE46" s="502"/>
      <c r="MJF46" s="502" t="s">
        <v>124</v>
      </c>
      <c r="MJG46" s="502"/>
      <c r="MJH46" s="502"/>
      <c r="MJI46" s="502"/>
      <c r="MJJ46" s="502" t="s">
        <v>124</v>
      </c>
      <c r="MJK46" s="502"/>
      <c r="MJL46" s="502"/>
      <c r="MJM46" s="502"/>
      <c r="MJN46" s="502" t="s">
        <v>124</v>
      </c>
      <c r="MJO46" s="502"/>
      <c r="MJP46" s="502"/>
      <c r="MJQ46" s="502"/>
      <c r="MJR46" s="502" t="s">
        <v>124</v>
      </c>
      <c r="MJS46" s="502"/>
      <c r="MJT46" s="502"/>
      <c r="MJU46" s="502"/>
      <c r="MJV46" s="502" t="s">
        <v>124</v>
      </c>
      <c r="MJW46" s="502"/>
      <c r="MJX46" s="502"/>
      <c r="MJY46" s="502"/>
      <c r="MJZ46" s="502" t="s">
        <v>124</v>
      </c>
      <c r="MKA46" s="502"/>
      <c r="MKB46" s="502"/>
      <c r="MKC46" s="502"/>
      <c r="MKD46" s="502" t="s">
        <v>124</v>
      </c>
      <c r="MKE46" s="502"/>
      <c r="MKF46" s="502"/>
      <c r="MKG46" s="502"/>
      <c r="MKH46" s="502" t="s">
        <v>124</v>
      </c>
      <c r="MKI46" s="502"/>
      <c r="MKJ46" s="502"/>
      <c r="MKK46" s="502"/>
      <c r="MKL46" s="502" t="s">
        <v>124</v>
      </c>
      <c r="MKM46" s="502"/>
      <c r="MKN46" s="502"/>
      <c r="MKO46" s="502"/>
      <c r="MKP46" s="502" t="s">
        <v>124</v>
      </c>
      <c r="MKQ46" s="502"/>
      <c r="MKR46" s="502"/>
      <c r="MKS46" s="502"/>
      <c r="MKT46" s="502" t="s">
        <v>124</v>
      </c>
      <c r="MKU46" s="502"/>
      <c r="MKV46" s="502"/>
      <c r="MKW46" s="502"/>
      <c r="MKX46" s="502" t="s">
        <v>124</v>
      </c>
      <c r="MKY46" s="502"/>
      <c r="MKZ46" s="502"/>
      <c r="MLA46" s="502"/>
      <c r="MLB46" s="502" t="s">
        <v>124</v>
      </c>
      <c r="MLC46" s="502"/>
      <c r="MLD46" s="502"/>
      <c r="MLE46" s="502"/>
      <c r="MLF46" s="502" t="s">
        <v>124</v>
      </c>
      <c r="MLG46" s="502"/>
      <c r="MLH46" s="502"/>
      <c r="MLI46" s="502"/>
      <c r="MLJ46" s="502" t="s">
        <v>124</v>
      </c>
      <c r="MLK46" s="502"/>
      <c r="MLL46" s="502"/>
      <c r="MLM46" s="502"/>
      <c r="MLN46" s="502" t="s">
        <v>124</v>
      </c>
      <c r="MLO46" s="502"/>
      <c r="MLP46" s="502"/>
      <c r="MLQ46" s="502"/>
      <c r="MLR46" s="502" t="s">
        <v>124</v>
      </c>
      <c r="MLS46" s="502"/>
      <c r="MLT46" s="502"/>
      <c r="MLU46" s="502"/>
      <c r="MLV46" s="502" t="s">
        <v>124</v>
      </c>
      <c r="MLW46" s="502"/>
      <c r="MLX46" s="502"/>
      <c r="MLY46" s="502"/>
      <c r="MLZ46" s="502" t="s">
        <v>124</v>
      </c>
      <c r="MMA46" s="502"/>
      <c r="MMB46" s="502"/>
      <c r="MMC46" s="502"/>
      <c r="MMD46" s="502" t="s">
        <v>124</v>
      </c>
      <c r="MME46" s="502"/>
      <c r="MMF46" s="502"/>
      <c r="MMG46" s="502"/>
      <c r="MMH46" s="502" t="s">
        <v>124</v>
      </c>
      <c r="MMI46" s="502"/>
      <c r="MMJ46" s="502"/>
      <c r="MMK46" s="502"/>
      <c r="MML46" s="502" t="s">
        <v>124</v>
      </c>
      <c r="MMM46" s="502"/>
      <c r="MMN46" s="502"/>
      <c r="MMO46" s="502"/>
      <c r="MMP46" s="502" t="s">
        <v>124</v>
      </c>
      <c r="MMQ46" s="502"/>
      <c r="MMR46" s="502"/>
      <c r="MMS46" s="502"/>
      <c r="MMT46" s="502" t="s">
        <v>124</v>
      </c>
      <c r="MMU46" s="502"/>
      <c r="MMV46" s="502"/>
      <c r="MMW46" s="502"/>
      <c r="MMX46" s="502" t="s">
        <v>124</v>
      </c>
      <c r="MMY46" s="502"/>
      <c r="MMZ46" s="502"/>
      <c r="MNA46" s="502"/>
      <c r="MNB46" s="502" t="s">
        <v>124</v>
      </c>
      <c r="MNC46" s="502"/>
      <c r="MND46" s="502"/>
      <c r="MNE46" s="502"/>
      <c r="MNF46" s="502" t="s">
        <v>124</v>
      </c>
      <c r="MNG46" s="502"/>
      <c r="MNH46" s="502"/>
      <c r="MNI46" s="502"/>
      <c r="MNJ46" s="502" t="s">
        <v>124</v>
      </c>
      <c r="MNK46" s="502"/>
      <c r="MNL46" s="502"/>
      <c r="MNM46" s="502"/>
      <c r="MNN46" s="502" t="s">
        <v>124</v>
      </c>
      <c r="MNO46" s="502"/>
      <c r="MNP46" s="502"/>
      <c r="MNQ46" s="502"/>
      <c r="MNR46" s="502" t="s">
        <v>124</v>
      </c>
      <c r="MNS46" s="502"/>
      <c r="MNT46" s="502"/>
      <c r="MNU46" s="502"/>
      <c r="MNV46" s="502" t="s">
        <v>124</v>
      </c>
      <c r="MNW46" s="502"/>
      <c r="MNX46" s="502"/>
      <c r="MNY46" s="502"/>
      <c r="MNZ46" s="502" t="s">
        <v>124</v>
      </c>
      <c r="MOA46" s="502"/>
      <c r="MOB46" s="502"/>
      <c r="MOC46" s="502"/>
      <c r="MOD46" s="502" t="s">
        <v>124</v>
      </c>
      <c r="MOE46" s="502"/>
      <c r="MOF46" s="502"/>
      <c r="MOG46" s="502"/>
      <c r="MOH46" s="502" t="s">
        <v>124</v>
      </c>
      <c r="MOI46" s="502"/>
      <c r="MOJ46" s="502"/>
      <c r="MOK46" s="502"/>
      <c r="MOL46" s="502" t="s">
        <v>124</v>
      </c>
      <c r="MOM46" s="502"/>
      <c r="MON46" s="502"/>
      <c r="MOO46" s="502"/>
      <c r="MOP46" s="502" t="s">
        <v>124</v>
      </c>
      <c r="MOQ46" s="502"/>
      <c r="MOR46" s="502"/>
      <c r="MOS46" s="502"/>
      <c r="MOT46" s="502" t="s">
        <v>124</v>
      </c>
      <c r="MOU46" s="502"/>
      <c r="MOV46" s="502"/>
      <c r="MOW46" s="502"/>
      <c r="MOX46" s="502" t="s">
        <v>124</v>
      </c>
      <c r="MOY46" s="502"/>
      <c r="MOZ46" s="502"/>
      <c r="MPA46" s="502"/>
      <c r="MPB46" s="502" t="s">
        <v>124</v>
      </c>
      <c r="MPC46" s="502"/>
      <c r="MPD46" s="502"/>
      <c r="MPE46" s="502"/>
      <c r="MPF46" s="502" t="s">
        <v>124</v>
      </c>
      <c r="MPG46" s="502"/>
      <c r="MPH46" s="502"/>
      <c r="MPI46" s="502"/>
      <c r="MPJ46" s="502" t="s">
        <v>124</v>
      </c>
      <c r="MPK46" s="502"/>
      <c r="MPL46" s="502"/>
      <c r="MPM46" s="502"/>
      <c r="MPN46" s="502" t="s">
        <v>124</v>
      </c>
      <c r="MPO46" s="502"/>
      <c r="MPP46" s="502"/>
      <c r="MPQ46" s="502"/>
      <c r="MPR46" s="502" t="s">
        <v>124</v>
      </c>
      <c r="MPS46" s="502"/>
      <c r="MPT46" s="502"/>
      <c r="MPU46" s="502"/>
      <c r="MPV46" s="502" t="s">
        <v>124</v>
      </c>
      <c r="MPW46" s="502"/>
      <c r="MPX46" s="502"/>
      <c r="MPY46" s="502"/>
      <c r="MPZ46" s="502" t="s">
        <v>124</v>
      </c>
      <c r="MQA46" s="502"/>
      <c r="MQB46" s="502"/>
      <c r="MQC46" s="502"/>
      <c r="MQD46" s="502" t="s">
        <v>124</v>
      </c>
      <c r="MQE46" s="502"/>
      <c r="MQF46" s="502"/>
      <c r="MQG46" s="502"/>
      <c r="MQH46" s="502" t="s">
        <v>124</v>
      </c>
      <c r="MQI46" s="502"/>
      <c r="MQJ46" s="502"/>
      <c r="MQK46" s="502"/>
      <c r="MQL46" s="502" t="s">
        <v>124</v>
      </c>
      <c r="MQM46" s="502"/>
      <c r="MQN46" s="502"/>
      <c r="MQO46" s="502"/>
      <c r="MQP46" s="502" t="s">
        <v>124</v>
      </c>
      <c r="MQQ46" s="502"/>
      <c r="MQR46" s="502"/>
      <c r="MQS46" s="502"/>
      <c r="MQT46" s="502" t="s">
        <v>124</v>
      </c>
      <c r="MQU46" s="502"/>
      <c r="MQV46" s="502"/>
      <c r="MQW46" s="502"/>
      <c r="MQX46" s="502" t="s">
        <v>124</v>
      </c>
      <c r="MQY46" s="502"/>
      <c r="MQZ46" s="502"/>
      <c r="MRA46" s="502"/>
      <c r="MRB46" s="502" t="s">
        <v>124</v>
      </c>
      <c r="MRC46" s="502"/>
      <c r="MRD46" s="502"/>
      <c r="MRE46" s="502"/>
      <c r="MRF46" s="502" t="s">
        <v>124</v>
      </c>
      <c r="MRG46" s="502"/>
      <c r="MRH46" s="502"/>
      <c r="MRI46" s="502"/>
      <c r="MRJ46" s="502" t="s">
        <v>124</v>
      </c>
      <c r="MRK46" s="502"/>
      <c r="MRL46" s="502"/>
      <c r="MRM46" s="502"/>
      <c r="MRN46" s="502" t="s">
        <v>124</v>
      </c>
      <c r="MRO46" s="502"/>
      <c r="MRP46" s="502"/>
      <c r="MRQ46" s="502"/>
      <c r="MRR46" s="502" t="s">
        <v>124</v>
      </c>
      <c r="MRS46" s="502"/>
      <c r="MRT46" s="502"/>
      <c r="MRU46" s="502"/>
      <c r="MRV46" s="502" t="s">
        <v>124</v>
      </c>
      <c r="MRW46" s="502"/>
      <c r="MRX46" s="502"/>
      <c r="MRY46" s="502"/>
      <c r="MRZ46" s="502" t="s">
        <v>124</v>
      </c>
      <c r="MSA46" s="502"/>
      <c r="MSB46" s="502"/>
      <c r="MSC46" s="502"/>
      <c r="MSD46" s="502" t="s">
        <v>124</v>
      </c>
      <c r="MSE46" s="502"/>
      <c r="MSF46" s="502"/>
      <c r="MSG46" s="502"/>
      <c r="MSH46" s="502" t="s">
        <v>124</v>
      </c>
      <c r="MSI46" s="502"/>
      <c r="MSJ46" s="502"/>
      <c r="MSK46" s="502"/>
      <c r="MSL46" s="502" t="s">
        <v>124</v>
      </c>
      <c r="MSM46" s="502"/>
      <c r="MSN46" s="502"/>
      <c r="MSO46" s="502"/>
      <c r="MSP46" s="502" t="s">
        <v>124</v>
      </c>
      <c r="MSQ46" s="502"/>
      <c r="MSR46" s="502"/>
      <c r="MSS46" s="502"/>
      <c r="MST46" s="502" t="s">
        <v>124</v>
      </c>
      <c r="MSU46" s="502"/>
      <c r="MSV46" s="502"/>
      <c r="MSW46" s="502"/>
      <c r="MSX46" s="502" t="s">
        <v>124</v>
      </c>
      <c r="MSY46" s="502"/>
      <c r="MSZ46" s="502"/>
      <c r="MTA46" s="502"/>
      <c r="MTB46" s="502" t="s">
        <v>124</v>
      </c>
      <c r="MTC46" s="502"/>
      <c r="MTD46" s="502"/>
      <c r="MTE46" s="502"/>
      <c r="MTF46" s="502" t="s">
        <v>124</v>
      </c>
      <c r="MTG46" s="502"/>
      <c r="MTH46" s="502"/>
      <c r="MTI46" s="502"/>
      <c r="MTJ46" s="502" t="s">
        <v>124</v>
      </c>
      <c r="MTK46" s="502"/>
      <c r="MTL46" s="502"/>
      <c r="MTM46" s="502"/>
      <c r="MTN46" s="502" t="s">
        <v>124</v>
      </c>
      <c r="MTO46" s="502"/>
      <c r="MTP46" s="502"/>
      <c r="MTQ46" s="502"/>
      <c r="MTR46" s="502" t="s">
        <v>124</v>
      </c>
      <c r="MTS46" s="502"/>
      <c r="MTT46" s="502"/>
      <c r="MTU46" s="502"/>
      <c r="MTV46" s="502" t="s">
        <v>124</v>
      </c>
      <c r="MTW46" s="502"/>
      <c r="MTX46" s="502"/>
      <c r="MTY46" s="502"/>
      <c r="MTZ46" s="502" t="s">
        <v>124</v>
      </c>
      <c r="MUA46" s="502"/>
      <c r="MUB46" s="502"/>
      <c r="MUC46" s="502"/>
      <c r="MUD46" s="502" t="s">
        <v>124</v>
      </c>
      <c r="MUE46" s="502"/>
      <c r="MUF46" s="502"/>
      <c r="MUG46" s="502"/>
      <c r="MUH46" s="502" t="s">
        <v>124</v>
      </c>
      <c r="MUI46" s="502"/>
      <c r="MUJ46" s="502"/>
      <c r="MUK46" s="502"/>
      <c r="MUL46" s="502" t="s">
        <v>124</v>
      </c>
      <c r="MUM46" s="502"/>
      <c r="MUN46" s="502"/>
      <c r="MUO46" s="502"/>
      <c r="MUP46" s="502" t="s">
        <v>124</v>
      </c>
      <c r="MUQ46" s="502"/>
      <c r="MUR46" s="502"/>
      <c r="MUS46" s="502"/>
      <c r="MUT46" s="502" t="s">
        <v>124</v>
      </c>
      <c r="MUU46" s="502"/>
      <c r="MUV46" s="502"/>
      <c r="MUW46" s="502"/>
      <c r="MUX46" s="502" t="s">
        <v>124</v>
      </c>
      <c r="MUY46" s="502"/>
      <c r="MUZ46" s="502"/>
      <c r="MVA46" s="502"/>
      <c r="MVB46" s="502" t="s">
        <v>124</v>
      </c>
      <c r="MVC46" s="502"/>
      <c r="MVD46" s="502"/>
      <c r="MVE46" s="502"/>
      <c r="MVF46" s="502" t="s">
        <v>124</v>
      </c>
      <c r="MVG46" s="502"/>
      <c r="MVH46" s="502"/>
      <c r="MVI46" s="502"/>
      <c r="MVJ46" s="502" t="s">
        <v>124</v>
      </c>
      <c r="MVK46" s="502"/>
      <c r="MVL46" s="502"/>
      <c r="MVM46" s="502"/>
      <c r="MVN46" s="502" t="s">
        <v>124</v>
      </c>
      <c r="MVO46" s="502"/>
      <c r="MVP46" s="502"/>
      <c r="MVQ46" s="502"/>
      <c r="MVR46" s="502" t="s">
        <v>124</v>
      </c>
      <c r="MVS46" s="502"/>
      <c r="MVT46" s="502"/>
      <c r="MVU46" s="502"/>
      <c r="MVV46" s="502" t="s">
        <v>124</v>
      </c>
      <c r="MVW46" s="502"/>
      <c r="MVX46" s="502"/>
      <c r="MVY46" s="502"/>
      <c r="MVZ46" s="502" t="s">
        <v>124</v>
      </c>
      <c r="MWA46" s="502"/>
      <c r="MWB46" s="502"/>
      <c r="MWC46" s="502"/>
      <c r="MWD46" s="502" t="s">
        <v>124</v>
      </c>
      <c r="MWE46" s="502"/>
      <c r="MWF46" s="502"/>
      <c r="MWG46" s="502"/>
      <c r="MWH46" s="502" t="s">
        <v>124</v>
      </c>
      <c r="MWI46" s="502"/>
      <c r="MWJ46" s="502"/>
      <c r="MWK46" s="502"/>
      <c r="MWL46" s="502" t="s">
        <v>124</v>
      </c>
      <c r="MWM46" s="502"/>
      <c r="MWN46" s="502"/>
      <c r="MWO46" s="502"/>
      <c r="MWP46" s="502" t="s">
        <v>124</v>
      </c>
      <c r="MWQ46" s="502"/>
      <c r="MWR46" s="502"/>
      <c r="MWS46" s="502"/>
      <c r="MWT46" s="502" t="s">
        <v>124</v>
      </c>
      <c r="MWU46" s="502"/>
      <c r="MWV46" s="502"/>
      <c r="MWW46" s="502"/>
      <c r="MWX46" s="502" t="s">
        <v>124</v>
      </c>
      <c r="MWY46" s="502"/>
      <c r="MWZ46" s="502"/>
      <c r="MXA46" s="502"/>
      <c r="MXB46" s="502" t="s">
        <v>124</v>
      </c>
      <c r="MXC46" s="502"/>
      <c r="MXD46" s="502"/>
      <c r="MXE46" s="502"/>
      <c r="MXF46" s="502" t="s">
        <v>124</v>
      </c>
      <c r="MXG46" s="502"/>
      <c r="MXH46" s="502"/>
      <c r="MXI46" s="502"/>
      <c r="MXJ46" s="502" t="s">
        <v>124</v>
      </c>
      <c r="MXK46" s="502"/>
      <c r="MXL46" s="502"/>
      <c r="MXM46" s="502"/>
      <c r="MXN46" s="502" t="s">
        <v>124</v>
      </c>
      <c r="MXO46" s="502"/>
      <c r="MXP46" s="502"/>
      <c r="MXQ46" s="502"/>
      <c r="MXR46" s="502" t="s">
        <v>124</v>
      </c>
      <c r="MXS46" s="502"/>
      <c r="MXT46" s="502"/>
      <c r="MXU46" s="502"/>
      <c r="MXV46" s="502" t="s">
        <v>124</v>
      </c>
      <c r="MXW46" s="502"/>
      <c r="MXX46" s="502"/>
      <c r="MXY46" s="502"/>
      <c r="MXZ46" s="502" t="s">
        <v>124</v>
      </c>
      <c r="MYA46" s="502"/>
      <c r="MYB46" s="502"/>
      <c r="MYC46" s="502"/>
      <c r="MYD46" s="502" t="s">
        <v>124</v>
      </c>
      <c r="MYE46" s="502"/>
      <c r="MYF46" s="502"/>
      <c r="MYG46" s="502"/>
      <c r="MYH46" s="502" t="s">
        <v>124</v>
      </c>
      <c r="MYI46" s="502"/>
      <c r="MYJ46" s="502"/>
      <c r="MYK46" s="502"/>
      <c r="MYL46" s="502" t="s">
        <v>124</v>
      </c>
      <c r="MYM46" s="502"/>
      <c r="MYN46" s="502"/>
      <c r="MYO46" s="502"/>
      <c r="MYP46" s="502" t="s">
        <v>124</v>
      </c>
      <c r="MYQ46" s="502"/>
      <c r="MYR46" s="502"/>
      <c r="MYS46" s="502"/>
      <c r="MYT46" s="502" t="s">
        <v>124</v>
      </c>
      <c r="MYU46" s="502"/>
      <c r="MYV46" s="502"/>
      <c r="MYW46" s="502"/>
      <c r="MYX46" s="502" t="s">
        <v>124</v>
      </c>
      <c r="MYY46" s="502"/>
      <c r="MYZ46" s="502"/>
      <c r="MZA46" s="502"/>
      <c r="MZB46" s="502" t="s">
        <v>124</v>
      </c>
      <c r="MZC46" s="502"/>
      <c r="MZD46" s="502"/>
      <c r="MZE46" s="502"/>
      <c r="MZF46" s="502" t="s">
        <v>124</v>
      </c>
      <c r="MZG46" s="502"/>
      <c r="MZH46" s="502"/>
      <c r="MZI46" s="502"/>
      <c r="MZJ46" s="502" t="s">
        <v>124</v>
      </c>
      <c r="MZK46" s="502"/>
      <c r="MZL46" s="502"/>
      <c r="MZM46" s="502"/>
      <c r="MZN46" s="502" t="s">
        <v>124</v>
      </c>
      <c r="MZO46" s="502"/>
      <c r="MZP46" s="502"/>
      <c r="MZQ46" s="502"/>
      <c r="MZR46" s="502" t="s">
        <v>124</v>
      </c>
      <c r="MZS46" s="502"/>
      <c r="MZT46" s="502"/>
      <c r="MZU46" s="502"/>
      <c r="MZV46" s="502" t="s">
        <v>124</v>
      </c>
      <c r="MZW46" s="502"/>
      <c r="MZX46" s="502"/>
      <c r="MZY46" s="502"/>
      <c r="MZZ46" s="502" t="s">
        <v>124</v>
      </c>
      <c r="NAA46" s="502"/>
      <c r="NAB46" s="502"/>
      <c r="NAC46" s="502"/>
      <c r="NAD46" s="502" t="s">
        <v>124</v>
      </c>
      <c r="NAE46" s="502"/>
      <c r="NAF46" s="502"/>
      <c r="NAG46" s="502"/>
      <c r="NAH46" s="502" t="s">
        <v>124</v>
      </c>
      <c r="NAI46" s="502"/>
      <c r="NAJ46" s="502"/>
      <c r="NAK46" s="502"/>
      <c r="NAL46" s="502" t="s">
        <v>124</v>
      </c>
      <c r="NAM46" s="502"/>
      <c r="NAN46" s="502"/>
      <c r="NAO46" s="502"/>
      <c r="NAP46" s="502" t="s">
        <v>124</v>
      </c>
      <c r="NAQ46" s="502"/>
      <c r="NAR46" s="502"/>
      <c r="NAS46" s="502"/>
      <c r="NAT46" s="502" t="s">
        <v>124</v>
      </c>
      <c r="NAU46" s="502"/>
      <c r="NAV46" s="502"/>
      <c r="NAW46" s="502"/>
      <c r="NAX46" s="502" t="s">
        <v>124</v>
      </c>
      <c r="NAY46" s="502"/>
      <c r="NAZ46" s="502"/>
      <c r="NBA46" s="502"/>
      <c r="NBB46" s="502" t="s">
        <v>124</v>
      </c>
      <c r="NBC46" s="502"/>
      <c r="NBD46" s="502"/>
      <c r="NBE46" s="502"/>
      <c r="NBF46" s="502" t="s">
        <v>124</v>
      </c>
      <c r="NBG46" s="502"/>
      <c r="NBH46" s="502"/>
      <c r="NBI46" s="502"/>
      <c r="NBJ46" s="502" t="s">
        <v>124</v>
      </c>
      <c r="NBK46" s="502"/>
      <c r="NBL46" s="502"/>
      <c r="NBM46" s="502"/>
      <c r="NBN46" s="502" t="s">
        <v>124</v>
      </c>
      <c r="NBO46" s="502"/>
      <c r="NBP46" s="502"/>
      <c r="NBQ46" s="502"/>
      <c r="NBR46" s="502" t="s">
        <v>124</v>
      </c>
      <c r="NBS46" s="502"/>
      <c r="NBT46" s="502"/>
      <c r="NBU46" s="502"/>
      <c r="NBV46" s="502" t="s">
        <v>124</v>
      </c>
      <c r="NBW46" s="502"/>
      <c r="NBX46" s="502"/>
      <c r="NBY46" s="502"/>
      <c r="NBZ46" s="502" t="s">
        <v>124</v>
      </c>
      <c r="NCA46" s="502"/>
      <c r="NCB46" s="502"/>
      <c r="NCC46" s="502"/>
      <c r="NCD46" s="502" t="s">
        <v>124</v>
      </c>
      <c r="NCE46" s="502"/>
      <c r="NCF46" s="502"/>
      <c r="NCG46" s="502"/>
      <c r="NCH46" s="502" t="s">
        <v>124</v>
      </c>
      <c r="NCI46" s="502"/>
      <c r="NCJ46" s="502"/>
      <c r="NCK46" s="502"/>
      <c r="NCL46" s="502" t="s">
        <v>124</v>
      </c>
      <c r="NCM46" s="502"/>
      <c r="NCN46" s="502"/>
      <c r="NCO46" s="502"/>
      <c r="NCP46" s="502" t="s">
        <v>124</v>
      </c>
      <c r="NCQ46" s="502"/>
      <c r="NCR46" s="502"/>
      <c r="NCS46" s="502"/>
      <c r="NCT46" s="502" t="s">
        <v>124</v>
      </c>
      <c r="NCU46" s="502"/>
      <c r="NCV46" s="502"/>
      <c r="NCW46" s="502"/>
      <c r="NCX46" s="502" t="s">
        <v>124</v>
      </c>
      <c r="NCY46" s="502"/>
      <c r="NCZ46" s="502"/>
      <c r="NDA46" s="502"/>
      <c r="NDB46" s="502" t="s">
        <v>124</v>
      </c>
      <c r="NDC46" s="502"/>
      <c r="NDD46" s="502"/>
      <c r="NDE46" s="502"/>
      <c r="NDF46" s="502" t="s">
        <v>124</v>
      </c>
      <c r="NDG46" s="502"/>
      <c r="NDH46" s="502"/>
      <c r="NDI46" s="502"/>
      <c r="NDJ46" s="502" t="s">
        <v>124</v>
      </c>
      <c r="NDK46" s="502"/>
      <c r="NDL46" s="502"/>
      <c r="NDM46" s="502"/>
      <c r="NDN46" s="502" t="s">
        <v>124</v>
      </c>
      <c r="NDO46" s="502"/>
      <c r="NDP46" s="502"/>
      <c r="NDQ46" s="502"/>
      <c r="NDR46" s="502" t="s">
        <v>124</v>
      </c>
      <c r="NDS46" s="502"/>
      <c r="NDT46" s="502"/>
      <c r="NDU46" s="502"/>
      <c r="NDV46" s="502" t="s">
        <v>124</v>
      </c>
      <c r="NDW46" s="502"/>
      <c r="NDX46" s="502"/>
      <c r="NDY46" s="502"/>
      <c r="NDZ46" s="502" t="s">
        <v>124</v>
      </c>
      <c r="NEA46" s="502"/>
      <c r="NEB46" s="502"/>
      <c r="NEC46" s="502"/>
      <c r="NED46" s="502" t="s">
        <v>124</v>
      </c>
      <c r="NEE46" s="502"/>
      <c r="NEF46" s="502"/>
      <c r="NEG46" s="502"/>
      <c r="NEH46" s="502" t="s">
        <v>124</v>
      </c>
      <c r="NEI46" s="502"/>
      <c r="NEJ46" s="502"/>
      <c r="NEK46" s="502"/>
      <c r="NEL46" s="502" t="s">
        <v>124</v>
      </c>
      <c r="NEM46" s="502"/>
      <c r="NEN46" s="502"/>
      <c r="NEO46" s="502"/>
      <c r="NEP46" s="502" t="s">
        <v>124</v>
      </c>
      <c r="NEQ46" s="502"/>
      <c r="NER46" s="502"/>
      <c r="NES46" s="502"/>
      <c r="NET46" s="502" t="s">
        <v>124</v>
      </c>
      <c r="NEU46" s="502"/>
      <c r="NEV46" s="502"/>
      <c r="NEW46" s="502"/>
      <c r="NEX46" s="502" t="s">
        <v>124</v>
      </c>
      <c r="NEY46" s="502"/>
      <c r="NEZ46" s="502"/>
      <c r="NFA46" s="502"/>
      <c r="NFB46" s="502" t="s">
        <v>124</v>
      </c>
      <c r="NFC46" s="502"/>
      <c r="NFD46" s="502"/>
      <c r="NFE46" s="502"/>
      <c r="NFF46" s="502" t="s">
        <v>124</v>
      </c>
      <c r="NFG46" s="502"/>
      <c r="NFH46" s="502"/>
      <c r="NFI46" s="502"/>
      <c r="NFJ46" s="502" t="s">
        <v>124</v>
      </c>
      <c r="NFK46" s="502"/>
      <c r="NFL46" s="502"/>
      <c r="NFM46" s="502"/>
      <c r="NFN46" s="502" t="s">
        <v>124</v>
      </c>
      <c r="NFO46" s="502"/>
      <c r="NFP46" s="502"/>
      <c r="NFQ46" s="502"/>
      <c r="NFR46" s="502" t="s">
        <v>124</v>
      </c>
      <c r="NFS46" s="502"/>
      <c r="NFT46" s="502"/>
      <c r="NFU46" s="502"/>
      <c r="NFV46" s="502" t="s">
        <v>124</v>
      </c>
      <c r="NFW46" s="502"/>
      <c r="NFX46" s="502"/>
      <c r="NFY46" s="502"/>
      <c r="NFZ46" s="502" t="s">
        <v>124</v>
      </c>
      <c r="NGA46" s="502"/>
      <c r="NGB46" s="502"/>
      <c r="NGC46" s="502"/>
      <c r="NGD46" s="502" t="s">
        <v>124</v>
      </c>
      <c r="NGE46" s="502"/>
      <c r="NGF46" s="502"/>
      <c r="NGG46" s="502"/>
      <c r="NGH46" s="502" t="s">
        <v>124</v>
      </c>
      <c r="NGI46" s="502"/>
      <c r="NGJ46" s="502"/>
      <c r="NGK46" s="502"/>
      <c r="NGL46" s="502" t="s">
        <v>124</v>
      </c>
      <c r="NGM46" s="502"/>
      <c r="NGN46" s="502"/>
      <c r="NGO46" s="502"/>
      <c r="NGP46" s="502" t="s">
        <v>124</v>
      </c>
      <c r="NGQ46" s="502"/>
      <c r="NGR46" s="502"/>
      <c r="NGS46" s="502"/>
      <c r="NGT46" s="502" t="s">
        <v>124</v>
      </c>
      <c r="NGU46" s="502"/>
      <c r="NGV46" s="502"/>
      <c r="NGW46" s="502"/>
      <c r="NGX46" s="502" t="s">
        <v>124</v>
      </c>
      <c r="NGY46" s="502"/>
      <c r="NGZ46" s="502"/>
      <c r="NHA46" s="502"/>
      <c r="NHB46" s="502" t="s">
        <v>124</v>
      </c>
      <c r="NHC46" s="502"/>
      <c r="NHD46" s="502"/>
      <c r="NHE46" s="502"/>
      <c r="NHF46" s="502" t="s">
        <v>124</v>
      </c>
      <c r="NHG46" s="502"/>
      <c r="NHH46" s="502"/>
      <c r="NHI46" s="502"/>
      <c r="NHJ46" s="502" t="s">
        <v>124</v>
      </c>
      <c r="NHK46" s="502"/>
      <c r="NHL46" s="502"/>
      <c r="NHM46" s="502"/>
      <c r="NHN46" s="502" t="s">
        <v>124</v>
      </c>
      <c r="NHO46" s="502"/>
      <c r="NHP46" s="502"/>
      <c r="NHQ46" s="502"/>
      <c r="NHR46" s="502" t="s">
        <v>124</v>
      </c>
      <c r="NHS46" s="502"/>
      <c r="NHT46" s="502"/>
      <c r="NHU46" s="502"/>
      <c r="NHV46" s="502" t="s">
        <v>124</v>
      </c>
      <c r="NHW46" s="502"/>
      <c r="NHX46" s="502"/>
      <c r="NHY46" s="502"/>
      <c r="NHZ46" s="502" t="s">
        <v>124</v>
      </c>
      <c r="NIA46" s="502"/>
      <c r="NIB46" s="502"/>
      <c r="NIC46" s="502"/>
      <c r="NID46" s="502" t="s">
        <v>124</v>
      </c>
      <c r="NIE46" s="502"/>
      <c r="NIF46" s="502"/>
      <c r="NIG46" s="502"/>
      <c r="NIH46" s="502" t="s">
        <v>124</v>
      </c>
      <c r="NII46" s="502"/>
      <c r="NIJ46" s="502"/>
      <c r="NIK46" s="502"/>
      <c r="NIL46" s="502" t="s">
        <v>124</v>
      </c>
      <c r="NIM46" s="502"/>
      <c r="NIN46" s="502"/>
      <c r="NIO46" s="502"/>
      <c r="NIP46" s="502" t="s">
        <v>124</v>
      </c>
      <c r="NIQ46" s="502"/>
      <c r="NIR46" s="502"/>
      <c r="NIS46" s="502"/>
      <c r="NIT46" s="502" t="s">
        <v>124</v>
      </c>
      <c r="NIU46" s="502"/>
      <c r="NIV46" s="502"/>
      <c r="NIW46" s="502"/>
      <c r="NIX46" s="502" t="s">
        <v>124</v>
      </c>
      <c r="NIY46" s="502"/>
      <c r="NIZ46" s="502"/>
      <c r="NJA46" s="502"/>
      <c r="NJB46" s="502" t="s">
        <v>124</v>
      </c>
      <c r="NJC46" s="502"/>
      <c r="NJD46" s="502"/>
      <c r="NJE46" s="502"/>
      <c r="NJF46" s="502" t="s">
        <v>124</v>
      </c>
      <c r="NJG46" s="502"/>
      <c r="NJH46" s="502"/>
      <c r="NJI46" s="502"/>
      <c r="NJJ46" s="502" t="s">
        <v>124</v>
      </c>
      <c r="NJK46" s="502"/>
      <c r="NJL46" s="502"/>
      <c r="NJM46" s="502"/>
      <c r="NJN46" s="502" t="s">
        <v>124</v>
      </c>
      <c r="NJO46" s="502"/>
      <c r="NJP46" s="502"/>
      <c r="NJQ46" s="502"/>
      <c r="NJR46" s="502" t="s">
        <v>124</v>
      </c>
      <c r="NJS46" s="502"/>
      <c r="NJT46" s="502"/>
      <c r="NJU46" s="502"/>
      <c r="NJV46" s="502" t="s">
        <v>124</v>
      </c>
      <c r="NJW46" s="502"/>
      <c r="NJX46" s="502"/>
      <c r="NJY46" s="502"/>
      <c r="NJZ46" s="502" t="s">
        <v>124</v>
      </c>
      <c r="NKA46" s="502"/>
      <c r="NKB46" s="502"/>
      <c r="NKC46" s="502"/>
      <c r="NKD46" s="502" t="s">
        <v>124</v>
      </c>
      <c r="NKE46" s="502"/>
      <c r="NKF46" s="502"/>
      <c r="NKG46" s="502"/>
      <c r="NKH46" s="502" t="s">
        <v>124</v>
      </c>
      <c r="NKI46" s="502"/>
      <c r="NKJ46" s="502"/>
      <c r="NKK46" s="502"/>
      <c r="NKL46" s="502" t="s">
        <v>124</v>
      </c>
      <c r="NKM46" s="502"/>
      <c r="NKN46" s="502"/>
      <c r="NKO46" s="502"/>
      <c r="NKP46" s="502" t="s">
        <v>124</v>
      </c>
      <c r="NKQ46" s="502"/>
      <c r="NKR46" s="502"/>
      <c r="NKS46" s="502"/>
      <c r="NKT46" s="502" t="s">
        <v>124</v>
      </c>
      <c r="NKU46" s="502"/>
      <c r="NKV46" s="502"/>
      <c r="NKW46" s="502"/>
      <c r="NKX46" s="502" t="s">
        <v>124</v>
      </c>
      <c r="NKY46" s="502"/>
      <c r="NKZ46" s="502"/>
      <c r="NLA46" s="502"/>
      <c r="NLB46" s="502" t="s">
        <v>124</v>
      </c>
      <c r="NLC46" s="502"/>
      <c r="NLD46" s="502"/>
      <c r="NLE46" s="502"/>
      <c r="NLF46" s="502" t="s">
        <v>124</v>
      </c>
      <c r="NLG46" s="502"/>
      <c r="NLH46" s="502"/>
      <c r="NLI46" s="502"/>
      <c r="NLJ46" s="502" t="s">
        <v>124</v>
      </c>
      <c r="NLK46" s="502"/>
      <c r="NLL46" s="502"/>
      <c r="NLM46" s="502"/>
      <c r="NLN46" s="502" t="s">
        <v>124</v>
      </c>
      <c r="NLO46" s="502"/>
      <c r="NLP46" s="502"/>
      <c r="NLQ46" s="502"/>
      <c r="NLR46" s="502" t="s">
        <v>124</v>
      </c>
      <c r="NLS46" s="502"/>
      <c r="NLT46" s="502"/>
      <c r="NLU46" s="502"/>
      <c r="NLV46" s="502" t="s">
        <v>124</v>
      </c>
      <c r="NLW46" s="502"/>
      <c r="NLX46" s="502"/>
      <c r="NLY46" s="502"/>
      <c r="NLZ46" s="502" t="s">
        <v>124</v>
      </c>
      <c r="NMA46" s="502"/>
      <c r="NMB46" s="502"/>
      <c r="NMC46" s="502"/>
      <c r="NMD46" s="502" t="s">
        <v>124</v>
      </c>
      <c r="NME46" s="502"/>
      <c r="NMF46" s="502"/>
      <c r="NMG46" s="502"/>
      <c r="NMH46" s="502" t="s">
        <v>124</v>
      </c>
      <c r="NMI46" s="502"/>
      <c r="NMJ46" s="502"/>
      <c r="NMK46" s="502"/>
      <c r="NML46" s="502" t="s">
        <v>124</v>
      </c>
      <c r="NMM46" s="502"/>
      <c r="NMN46" s="502"/>
      <c r="NMO46" s="502"/>
      <c r="NMP46" s="502" t="s">
        <v>124</v>
      </c>
      <c r="NMQ46" s="502"/>
      <c r="NMR46" s="502"/>
      <c r="NMS46" s="502"/>
      <c r="NMT46" s="502" t="s">
        <v>124</v>
      </c>
      <c r="NMU46" s="502"/>
      <c r="NMV46" s="502"/>
      <c r="NMW46" s="502"/>
      <c r="NMX46" s="502" t="s">
        <v>124</v>
      </c>
      <c r="NMY46" s="502"/>
      <c r="NMZ46" s="502"/>
      <c r="NNA46" s="502"/>
      <c r="NNB46" s="502" t="s">
        <v>124</v>
      </c>
      <c r="NNC46" s="502"/>
      <c r="NND46" s="502"/>
      <c r="NNE46" s="502"/>
      <c r="NNF46" s="502" t="s">
        <v>124</v>
      </c>
      <c r="NNG46" s="502"/>
      <c r="NNH46" s="502"/>
      <c r="NNI46" s="502"/>
      <c r="NNJ46" s="502" t="s">
        <v>124</v>
      </c>
      <c r="NNK46" s="502"/>
      <c r="NNL46" s="502"/>
      <c r="NNM46" s="502"/>
      <c r="NNN46" s="502" t="s">
        <v>124</v>
      </c>
      <c r="NNO46" s="502"/>
      <c r="NNP46" s="502"/>
      <c r="NNQ46" s="502"/>
      <c r="NNR46" s="502" t="s">
        <v>124</v>
      </c>
      <c r="NNS46" s="502"/>
      <c r="NNT46" s="502"/>
      <c r="NNU46" s="502"/>
      <c r="NNV46" s="502" t="s">
        <v>124</v>
      </c>
      <c r="NNW46" s="502"/>
      <c r="NNX46" s="502"/>
      <c r="NNY46" s="502"/>
      <c r="NNZ46" s="502" t="s">
        <v>124</v>
      </c>
      <c r="NOA46" s="502"/>
      <c r="NOB46" s="502"/>
      <c r="NOC46" s="502"/>
      <c r="NOD46" s="502" t="s">
        <v>124</v>
      </c>
      <c r="NOE46" s="502"/>
      <c r="NOF46" s="502"/>
      <c r="NOG46" s="502"/>
      <c r="NOH46" s="502" t="s">
        <v>124</v>
      </c>
      <c r="NOI46" s="502"/>
      <c r="NOJ46" s="502"/>
      <c r="NOK46" s="502"/>
      <c r="NOL46" s="502" t="s">
        <v>124</v>
      </c>
      <c r="NOM46" s="502"/>
      <c r="NON46" s="502"/>
      <c r="NOO46" s="502"/>
      <c r="NOP46" s="502" t="s">
        <v>124</v>
      </c>
      <c r="NOQ46" s="502"/>
      <c r="NOR46" s="502"/>
      <c r="NOS46" s="502"/>
      <c r="NOT46" s="502" t="s">
        <v>124</v>
      </c>
      <c r="NOU46" s="502"/>
      <c r="NOV46" s="502"/>
      <c r="NOW46" s="502"/>
      <c r="NOX46" s="502" t="s">
        <v>124</v>
      </c>
      <c r="NOY46" s="502"/>
      <c r="NOZ46" s="502"/>
      <c r="NPA46" s="502"/>
      <c r="NPB46" s="502" t="s">
        <v>124</v>
      </c>
      <c r="NPC46" s="502"/>
      <c r="NPD46" s="502"/>
      <c r="NPE46" s="502"/>
      <c r="NPF46" s="502" t="s">
        <v>124</v>
      </c>
      <c r="NPG46" s="502"/>
      <c r="NPH46" s="502"/>
      <c r="NPI46" s="502"/>
      <c r="NPJ46" s="502" t="s">
        <v>124</v>
      </c>
      <c r="NPK46" s="502"/>
      <c r="NPL46" s="502"/>
      <c r="NPM46" s="502"/>
      <c r="NPN46" s="502" t="s">
        <v>124</v>
      </c>
      <c r="NPO46" s="502"/>
      <c r="NPP46" s="502"/>
      <c r="NPQ46" s="502"/>
      <c r="NPR46" s="502" t="s">
        <v>124</v>
      </c>
      <c r="NPS46" s="502"/>
      <c r="NPT46" s="502"/>
      <c r="NPU46" s="502"/>
      <c r="NPV46" s="502" t="s">
        <v>124</v>
      </c>
      <c r="NPW46" s="502"/>
      <c r="NPX46" s="502"/>
      <c r="NPY46" s="502"/>
      <c r="NPZ46" s="502" t="s">
        <v>124</v>
      </c>
      <c r="NQA46" s="502"/>
      <c r="NQB46" s="502"/>
      <c r="NQC46" s="502"/>
      <c r="NQD46" s="502" t="s">
        <v>124</v>
      </c>
      <c r="NQE46" s="502"/>
      <c r="NQF46" s="502"/>
      <c r="NQG46" s="502"/>
      <c r="NQH46" s="502" t="s">
        <v>124</v>
      </c>
      <c r="NQI46" s="502"/>
      <c r="NQJ46" s="502"/>
      <c r="NQK46" s="502"/>
      <c r="NQL46" s="502" t="s">
        <v>124</v>
      </c>
      <c r="NQM46" s="502"/>
      <c r="NQN46" s="502"/>
      <c r="NQO46" s="502"/>
      <c r="NQP46" s="502" t="s">
        <v>124</v>
      </c>
      <c r="NQQ46" s="502"/>
      <c r="NQR46" s="502"/>
      <c r="NQS46" s="502"/>
      <c r="NQT46" s="502" t="s">
        <v>124</v>
      </c>
      <c r="NQU46" s="502"/>
      <c r="NQV46" s="502"/>
      <c r="NQW46" s="502"/>
      <c r="NQX46" s="502" t="s">
        <v>124</v>
      </c>
      <c r="NQY46" s="502"/>
      <c r="NQZ46" s="502"/>
      <c r="NRA46" s="502"/>
      <c r="NRB46" s="502" t="s">
        <v>124</v>
      </c>
      <c r="NRC46" s="502"/>
      <c r="NRD46" s="502"/>
      <c r="NRE46" s="502"/>
      <c r="NRF46" s="502" t="s">
        <v>124</v>
      </c>
      <c r="NRG46" s="502"/>
      <c r="NRH46" s="502"/>
      <c r="NRI46" s="502"/>
      <c r="NRJ46" s="502" t="s">
        <v>124</v>
      </c>
      <c r="NRK46" s="502"/>
      <c r="NRL46" s="502"/>
      <c r="NRM46" s="502"/>
      <c r="NRN46" s="502" t="s">
        <v>124</v>
      </c>
      <c r="NRO46" s="502"/>
      <c r="NRP46" s="502"/>
      <c r="NRQ46" s="502"/>
      <c r="NRR46" s="502" t="s">
        <v>124</v>
      </c>
      <c r="NRS46" s="502"/>
      <c r="NRT46" s="502"/>
      <c r="NRU46" s="502"/>
      <c r="NRV46" s="502" t="s">
        <v>124</v>
      </c>
      <c r="NRW46" s="502"/>
      <c r="NRX46" s="502"/>
      <c r="NRY46" s="502"/>
      <c r="NRZ46" s="502" t="s">
        <v>124</v>
      </c>
      <c r="NSA46" s="502"/>
      <c r="NSB46" s="502"/>
      <c r="NSC46" s="502"/>
      <c r="NSD46" s="502" t="s">
        <v>124</v>
      </c>
      <c r="NSE46" s="502"/>
      <c r="NSF46" s="502"/>
      <c r="NSG46" s="502"/>
      <c r="NSH46" s="502" t="s">
        <v>124</v>
      </c>
      <c r="NSI46" s="502"/>
      <c r="NSJ46" s="502"/>
      <c r="NSK46" s="502"/>
      <c r="NSL46" s="502" t="s">
        <v>124</v>
      </c>
      <c r="NSM46" s="502"/>
      <c r="NSN46" s="502"/>
      <c r="NSO46" s="502"/>
      <c r="NSP46" s="502" t="s">
        <v>124</v>
      </c>
      <c r="NSQ46" s="502"/>
      <c r="NSR46" s="502"/>
      <c r="NSS46" s="502"/>
      <c r="NST46" s="502" t="s">
        <v>124</v>
      </c>
      <c r="NSU46" s="502"/>
      <c r="NSV46" s="502"/>
      <c r="NSW46" s="502"/>
      <c r="NSX46" s="502" t="s">
        <v>124</v>
      </c>
      <c r="NSY46" s="502"/>
      <c r="NSZ46" s="502"/>
      <c r="NTA46" s="502"/>
      <c r="NTB46" s="502" t="s">
        <v>124</v>
      </c>
      <c r="NTC46" s="502"/>
      <c r="NTD46" s="502"/>
      <c r="NTE46" s="502"/>
      <c r="NTF46" s="502" t="s">
        <v>124</v>
      </c>
      <c r="NTG46" s="502"/>
      <c r="NTH46" s="502"/>
      <c r="NTI46" s="502"/>
      <c r="NTJ46" s="502" t="s">
        <v>124</v>
      </c>
      <c r="NTK46" s="502"/>
      <c r="NTL46" s="502"/>
      <c r="NTM46" s="502"/>
      <c r="NTN46" s="502" t="s">
        <v>124</v>
      </c>
      <c r="NTO46" s="502"/>
      <c r="NTP46" s="502"/>
      <c r="NTQ46" s="502"/>
      <c r="NTR46" s="502" t="s">
        <v>124</v>
      </c>
      <c r="NTS46" s="502"/>
      <c r="NTT46" s="502"/>
      <c r="NTU46" s="502"/>
      <c r="NTV46" s="502" t="s">
        <v>124</v>
      </c>
      <c r="NTW46" s="502"/>
      <c r="NTX46" s="502"/>
      <c r="NTY46" s="502"/>
      <c r="NTZ46" s="502" t="s">
        <v>124</v>
      </c>
      <c r="NUA46" s="502"/>
      <c r="NUB46" s="502"/>
      <c r="NUC46" s="502"/>
      <c r="NUD46" s="502" t="s">
        <v>124</v>
      </c>
      <c r="NUE46" s="502"/>
      <c r="NUF46" s="502"/>
      <c r="NUG46" s="502"/>
      <c r="NUH46" s="502" t="s">
        <v>124</v>
      </c>
      <c r="NUI46" s="502"/>
      <c r="NUJ46" s="502"/>
      <c r="NUK46" s="502"/>
      <c r="NUL46" s="502" t="s">
        <v>124</v>
      </c>
      <c r="NUM46" s="502"/>
      <c r="NUN46" s="502"/>
      <c r="NUO46" s="502"/>
      <c r="NUP46" s="502" t="s">
        <v>124</v>
      </c>
      <c r="NUQ46" s="502"/>
      <c r="NUR46" s="502"/>
      <c r="NUS46" s="502"/>
      <c r="NUT46" s="502" t="s">
        <v>124</v>
      </c>
      <c r="NUU46" s="502"/>
      <c r="NUV46" s="502"/>
      <c r="NUW46" s="502"/>
      <c r="NUX46" s="502" t="s">
        <v>124</v>
      </c>
      <c r="NUY46" s="502"/>
      <c r="NUZ46" s="502"/>
      <c r="NVA46" s="502"/>
      <c r="NVB46" s="502" t="s">
        <v>124</v>
      </c>
      <c r="NVC46" s="502"/>
      <c r="NVD46" s="502"/>
      <c r="NVE46" s="502"/>
      <c r="NVF46" s="502" t="s">
        <v>124</v>
      </c>
      <c r="NVG46" s="502"/>
      <c r="NVH46" s="502"/>
      <c r="NVI46" s="502"/>
      <c r="NVJ46" s="502" t="s">
        <v>124</v>
      </c>
      <c r="NVK46" s="502"/>
      <c r="NVL46" s="502"/>
      <c r="NVM46" s="502"/>
      <c r="NVN46" s="502" t="s">
        <v>124</v>
      </c>
      <c r="NVO46" s="502"/>
      <c r="NVP46" s="502"/>
      <c r="NVQ46" s="502"/>
      <c r="NVR46" s="502" t="s">
        <v>124</v>
      </c>
      <c r="NVS46" s="502"/>
      <c r="NVT46" s="502"/>
      <c r="NVU46" s="502"/>
      <c r="NVV46" s="502" t="s">
        <v>124</v>
      </c>
      <c r="NVW46" s="502"/>
      <c r="NVX46" s="502"/>
      <c r="NVY46" s="502"/>
      <c r="NVZ46" s="502" t="s">
        <v>124</v>
      </c>
      <c r="NWA46" s="502"/>
      <c r="NWB46" s="502"/>
      <c r="NWC46" s="502"/>
      <c r="NWD46" s="502" t="s">
        <v>124</v>
      </c>
      <c r="NWE46" s="502"/>
      <c r="NWF46" s="502"/>
      <c r="NWG46" s="502"/>
      <c r="NWH46" s="502" t="s">
        <v>124</v>
      </c>
      <c r="NWI46" s="502"/>
      <c r="NWJ46" s="502"/>
      <c r="NWK46" s="502"/>
      <c r="NWL46" s="502" t="s">
        <v>124</v>
      </c>
      <c r="NWM46" s="502"/>
      <c r="NWN46" s="502"/>
      <c r="NWO46" s="502"/>
      <c r="NWP46" s="502" t="s">
        <v>124</v>
      </c>
      <c r="NWQ46" s="502"/>
      <c r="NWR46" s="502"/>
      <c r="NWS46" s="502"/>
      <c r="NWT46" s="502" t="s">
        <v>124</v>
      </c>
      <c r="NWU46" s="502"/>
      <c r="NWV46" s="502"/>
      <c r="NWW46" s="502"/>
      <c r="NWX46" s="502" t="s">
        <v>124</v>
      </c>
      <c r="NWY46" s="502"/>
      <c r="NWZ46" s="502"/>
      <c r="NXA46" s="502"/>
      <c r="NXB46" s="502" t="s">
        <v>124</v>
      </c>
      <c r="NXC46" s="502"/>
      <c r="NXD46" s="502"/>
      <c r="NXE46" s="502"/>
      <c r="NXF46" s="502" t="s">
        <v>124</v>
      </c>
      <c r="NXG46" s="502"/>
      <c r="NXH46" s="502"/>
      <c r="NXI46" s="502"/>
      <c r="NXJ46" s="502" t="s">
        <v>124</v>
      </c>
      <c r="NXK46" s="502"/>
      <c r="NXL46" s="502"/>
      <c r="NXM46" s="502"/>
      <c r="NXN46" s="502" t="s">
        <v>124</v>
      </c>
      <c r="NXO46" s="502"/>
      <c r="NXP46" s="502"/>
      <c r="NXQ46" s="502"/>
      <c r="NXR46" s="502" t="s">
        <v>124</v>
      </c>
      <c r="NXS46" s="502"/>
      <c r="NXT46" s="502"/>
      <c r="NXU46" s="502"/>
      <c r="NXV46" s="502" t="s">
        <v>124</v>
      </c>
      <c r="NXW46" s="502"/>
      <c r="NXX46" s="502"/>
      <c r="NXY46" s="502"/>
      <c r="NXZ46" s="502" t="s">
        <v>124</v>
      </c>
      <c r="NYA46" s="502"/>
      <c r="NYB46" s="502"/>
      <c r="NYC46" s="502"/>
      <c r="NYD46" s="502" t="s">
        <v>124</v>
      </c>
      <c r="NYE46" s="502"/>
      <c r="NYF46" s="502"/>
      <c r="NYG46" s="502"/>
      <c r="NYH46" s="502" t="s">
        <v>124</v>
      </c>
      <c r="NYI46" s="502"/>
      <c r="NYJ46" s="502"/>
      <c r="NYK46" s="502"/>
      <c r="NYL46" s="502" t="s">
        <v>124</v>
      </c>
      <c r="NYM46" s="502"/>
      <c r="NYN46" s="502"/>
      <c r="NYO46" s="502"/>
      <c r="NYP46" s="502" t="s">
        <v>124</v>
      </c>
      <c r="NYQ46" s="502"/>
      <c r="NYR46" s="502"/>
      <c r="NYS46" s="502"/>
      <c r="NYT46" s="502" t="s">
        <v>124</v>
      </c>
      <c r="NYU46" s="502"/>
      <c r="NYV46" s="502"/>
      <c r="NYW46" s="502"/>
      <c r="NYX46" s="502" t="s">
        <v>124</v>
      </c>
      <c r="NYY46" s="502"/>
      <c r="NYZ46" s="502"/>
      <c r="NZA46" s="502"/>
      <c r="NZB46" s="502" t="s">
        <v>124</v>
      </c>
      <c r="NZC46" s="502"/>
      <c r="NZD46" s="502"/>
      <c r="NZE46" s="502"/>
      <c r="NZF46" s="502" t="s">
        <v>124</v>
      </c>
      <c r="NZG46" s="502"/>
      <c r="NZH46" s="502"/>
      <c r="NZI46" s="502"/>
      <c r="NZJ46" s="502" t="s">
        <v>124</v>
      </c>
      <c r="NZK46" s="502"/>
      <c r="NZL46" s="502"/>
      <c r="NZM46" s="502"/>
      <c r="NZN46" s="502" t="s">
        <v>124</v>
      </c>
      <c r="NZO46" s="502"/>
      <c r="NZP46" s="502"/>
      <c r="NZQ46" s="502"/>
      <c r="NZR46" s="502" t="s">
        <v>124</v>
      </c>
      <c r="NZS46" s="502"/>
      <c r="NZT46" s="502"/>
      <c r="NZU46" s="502"/>
      <c r="NZV46" s="502" t="s">
        <v>124</v>
      </c>
      <c r="NZW46" s="502"/>
      <c r="NZX46" s="502"/>
      <c r="NZY46" s="502"/>
      <c r="NZZ46" s="502" t="s">
        <v>124</v>
      </c>
      <c r="OAA46" s="502"/>
      <c r="OAB46" s="502"/>
      <c r="OAC46" s="502"/>
      <c r="OAD46" s="502" t="s">
        <v>124</v>
      </c>
      <c r="OAE46" s="502"/>
      <c r="OAF46" s="502"/>
      <c r="OAG46" s="502"/>
      <c r="OAH46" s="502" t="s">
        <v>124</v>
      </c>
      <c r="OAI46" s="502"/>
      <c r="OAJ46" s="502"/>
      <c r="OAK46" s="502"/>
      <c r="OAL46" s="502" t="s">
        <v>124</v>
      </c>
      <c r="OAM46" s="502"/>
      <c r="OAN46" s="502"/>
      <c r="OAO46" s="502"/>
      <c r="OAP46" s="502" t="s">
        <v>124</v>
      </c>
      <c r="OAQ46" s="502"/>
      <c r="OAR46" s="502"/>
      <c r="OAS46" s="502"/>
      <c r="OAT46" s="502" t="s">
        <v>124</v>
      </c>
      <c r="OAU46" s="502"/>
      <c r="OAV46" s="502"/>
      <c r="OAW46" s="502"/>
      <c r="OAX46" s="502" t="s">
        <v>124</v>
      </c>
      <c r="OAY46" s="502"/>
      <c r="OAZ46" s="502"/>
      <c r="OBA46" s="502"/>
      <c r="OBB46" s="502" t="s">
        <v>124</v>
      </c>
      <c r="OBC46" s="502"/>
      <c r="OBD46" s="502"/>
      <c r="OBE46" s="502"/>
      <c r="OBF46" s="502" t="s">
        <v>124</v>
      </c>
      <c r="OBG46" s="502"/>
      <c r="OBH46" s="502"/>
      <c r="OBI46" s="502"/>
      <c r="OBJ46" s="502" t="s">
        <v>124</v>
      </c>
      <c r="OBK46" s="502"/>
      <c r="OBL46" s="502"/>
      <c r="OBM46" s="502"/>
      <c r="OBN46" s="502" t="s">
        <v>124</v>
      </c>
      <c r="OBO46" s="502"/>
      <c r="OBP46" s="502"/>
      <c r="OBQ46" s="502"/>
      <c r="OBR46" s="502" t="s">
        <v>124</v>
      </c>
      <c r="OBS46" s="502"/>
      <c r="OBT46" s="502"/>
      <c r="OBU46" s="502"/>
      <c r="OBV46" s="502" t="s">
        <v>124</v>
      </c>
      <c r="OBW46" s="502"/>
      <c r="OBX46" s="502"/>
      <c r="OBY46" s="502"/>
      <c r="OBZ46" s="502" t="s">
        <v>124</v>
      </c>
      <c r="OCA46" s="502"/>
      <c r="OCB46" s="502"/>
      <c r="OCC46" s="502"/>
      <c r="OCD46" s="502" t="s">
        <v>124</v>
      </c>
      <c r="OCE46" s="502"/>
      <c r="OCF46" s="502"/>
      <c r="OCG46" s="502"/>
      <c r="OCH46" s="502" t="s">
        <v>124</v>
      </c>
      <c r="OCI46" s="502"/>
      <c r="OCJ46" s="502"/>
      <c r="OCK46" s="502"/>
      <c r="OCL46" s="502" t="s">
        <v>124</v>
      </c>
      <c r="OCM46" s="502"/>
      <c r="OCN46" s="502"/>
      <c r="OCO46" s="502"/>
      <c r="OCP46" s="502" t="s">
        <v>124</v>
      </c>
      <c r="OCQ46" s="502"/>
      <c r="OCR46" s="502"/>
      <c r="OCS46" s="502"/>
      <c r="OCT46" s="502" t="s">
        <v>124</v>
      </c>
      <c r="OCU46" s="502"/>
      <c r="OCV46" s="502"/>
      <c r="OCW46" s="502"/>
      <c r="OCX46" s="502" t="s">
        <v>124</v>
      </c>
      <c r="OCY46" s="502"/>
      <c r="OCZ46" s="502"/>
      <c r="ODA46" s="502"/>
      <c r="ODB46" s="502" t="s">
        <v>124</v>
      </c>
      <c r="ODC46" s="502"/>
      <c r="ODD46" s="502"/>
      <c r="ODE46" s="502"/>
      <c r="ODF46" s="502" t="s">
        <v>124</v>
      </c>
      <c r="ODG46" s="502"/>
      <c r="ODH46" s="502"/>
      <c r="ODI46" s="502"/>
      <c r="ODJ46" s="502" t="s">
        <v>124</v>
      </c>
      <c r="ODK46" s="502"/>
      <c r="ODL46" s="502"/>
      <c r="ODM46" s="502"/>
      <c r="ODN46" s="502" t="s">
        <v>124</v>
      </c>
      <c r="ODO46" s="502"/>
      <c r="ODP46" s="502"/>
      <c r="ODQ46" s="502"/>
      <c r="ODR46" s="502" t="s">
        <v>124</v>
      </c>
      <c r="ODS46" s="502"/>
      <c r="ODT46" s="502"/>
      <c r="ODU46" s="502"/>
      <c r="ODV46" s="502" t="s">
        <v>124</v>
      </c>
      <c r="ODW46" s="502"/>
      <c r="ODX46" s="502"/>
      <c r="ODY46" s="502"/>
      <c r="ODZ46" s="502" t="s">
        <v>124</v>
      </c>
      <c r="OEA46" s="502"/>
      <c r="OEB46" s="502"/>
      <c r="OEC46" s="502"/>
      <c r="OED46" s="502" t="s">
        <v>124</v>
      </c>
      <c r="OEE46" s="502"/>
      <c r="OEF46" s="502"/>
      <c r="OEG46" s="502"/>
      <c r="OEH46" s="502" t="s">
        <v>124</v>
      </c>
      <c r="OEI46" s="502"/>
      <c r="OEJ46" s="502"/>
      <c r="OEK46" s="502"/>
      <c r="OEL46" s="502" t="s">
        <v>124</v>
      </c>
      <c r="OEM46" s="502"/>
      <c r="OEN46" s="502"/>
      <c r="OEO46" s="502"/>
      <c r="OEP46" s="502" t="s">
        <v>124</v>
      </c>
      <c r="OEQ46" s="502"/>
      <c r="OER46" s="502"/>
      <c r="OES46" s="502"/>
      <c r="OET46" s="502" t="s">
        <v>124</v>
      </c>
      <c r="OEU46" s="502"/>
      <c r="OEV46" s="502"/>
      <c r="OEW46" s="502"/>
      <c r="OEX46" s="502" t="s">
        <v>124</v>
      </c>
      <c r="OEY46" s="502"/>
      <c r="OEZ46" s="502"/>
      <c r="OFA46" s="502"/>
      <c r="OFB46" s="502" t="s">
        <v>124</v>
      </c>
      <c r="OFC46" s="502"/>
      <c r="OFD46" s="502"/>
      <c r="OFE46" s="502"/>
      <c r="OFF46" s="502" t="s">
        <v>124</v>
      </c>
      <c r="OFG46" s="502"/>
      <c r="OFH46" s="502"/>
      <c r="OFI46" s="502"/>
      <c r="OFJ46" s="502" t="s">
        <v>124</v>
      </c>
      <c r="OFK46" s="502"/>
      <c r="OFL46" s="502"/>
      <c r="OFM46" s="502"/>
      <c r="OFN46" s="502" t="s">
        <v>124</v>
      </c>
      <c r="OFO46" s="502"/>
      <c r="OFP46" s="502"/>
      <c r="OFQ46" s="502"/>
      <c r="OFR46" s="502" t="s">
        <v>124</v>
      </c>
      <c r="OFS46" s="502"/>
      <c r="OFT46" s="502"/>
      <c r="OFU46" s="502"/>
      <c r="OFV46" s="502" t="s">
        <v>124</v>
      </c>
      <c r="OFW46" s="502"/>
      <c r="OFX46" s="502"/>
      <c r="OFY46" s="502"/>
      <c r="OFZ46" s="502" t="s">
        <v>124</v>
      </c>
      <c r="OGA46" s="502"/>
      <c r="OGB46" s="502"/>
      <c r="OGC46" s="502"/>
      <c r="OGD46" s="502" t="s">
        <v>124</v>
      </c>
      <c r="OGE46" s="502"/>
      <c r="OGF46" s="502"/>
      <c r="OGG46" s="502"/>
      <c r="OGH46" s="502" t="s">
        <v>124</v>
      </c>
      <c r="OGI46" s="502"/>
      <c r="OGJ46" s="502"/>
      <c r="OGK46" s="502"/>
      <c r="OGL46" s="502" t="s">
        <v>124</v>
      </c>
      <c r="OGM46" s="502"/>
      <c r="OGN46" s="502"/>
      <c r="OGO46" s="502"/>
      <c r="OGP46" s="502" t="s">
        <v>124</v>
      </c>
      <c r="OGQ46" s="502"/>
      <c r="OGR46" s="502"/>
      <c r="OGS46" s="502"/>
      <c r="OGT46" s="502" t="s">
        <v>124</v>
      </c>
      <c r="OGU46" s="502"/>
      <c r="OGV46" s="502"/>
      <c r="OGW46" s="502"/>
      <c r="OGX46" s="502" t="s">
        <v>124</v>
      </c>
      <c r="OGY46" s="502"/>
      <c r="OGZ46" s="502"/>
      <c r="OHA46" s="502"/>
      <c r="OHB46" s="502" t="s">
        <v>124</v>
      </c>
      <c r="OHC46" s="502"/>
      <c r="OHD46" s="502"/>
      <c r="OHE46" s="502"/>
      <c r="OHF46" s="502" t="s">
        <v>124</v>
      </c>
      <c r="OHG46" s="502"/>
      <c r="OHH46" s="502"/>
      <c r="OHI46" s="502"/>
      <c r="OHJ46" s="502" t="s">
        <v>124</v>
      </c>
      <c r="OHK46" s="502"/>
      <c r="OHL46" s="502"/>
      <c r="OHM46" s="502"/>
      <c r="OHN46" s="502" t="s">
        <v>124</v>
      </c>
      <c r="OHO46" s="502"/>
      <c r="OHP46" s="502"/>
      <c r="OHQ46" s="502"/>
      <c r="OHR46" s="502" t="s">
        <v>124</v>
      </c>
      <c r="OHS46" s="502"/>
      <c r="OHT46" s="502"/>
      <c r="OHU46" s="502"/>
      <c r="OHV46" s="502" t="s">
        <v>124</v>
      </c>
      <c r="OHW46" s="502"/>
      <c r="OHX46" s="502"/>
      <c r="OHY46" s="502"/>
      <c r="OHZ46" s="502" t="s">
        <v>124</v>
      </c>
      <c r="OIA46" s="502"/>
      <c r="OIB46" s="502"/>
      <c r="OIC46" s="502"/>
      <c r="OID46" s="502" t="s">
        <v>124</v>
      </c>
      <c r="OIE46" s="502"/>
      <c r="OIF46" s="502"/>
      <c r="OIG46" s="502"/>
      <c r="OIH46" s="502" t="s">
        <v>124</v>
      </c>
      <c r="OII46" s="502"/>
      <c r="OIJ46" s="502"/>
      <c r="OIK46" s="502"/>
      <c r="OIL46" s="502" t="s">
        <v>124</v>
      </c>
      <c r="OIM46" s="502"/>
      <c r="OIN46" s="502"/>
      <c r="OIO46" s="502"/>
      <c r="OIP46" s="502" t="s">
        <v>124</v>
      </c>
      <c r="OIQ46" s="502"/>
      <c r="OIR46" s="502"/>
      <c r="OIS46" s="502"/>
      <c r="OIT46" s="502" t="s">
        <v>124</v>
      </c>
      <c r="OIU46" s="502"/>
      <c r="OIV46" s="502"/>
      <c r="OIW46" s="502"/>
      <c r="OIX46" s="502" t="s">
        <v>124</v>
      </c>
      <c r="OIY46" s="502"/>
      <c r="OIZ46" s="502"/>
      <c r="OJA46" s="502"/>
      <c r="OJB46" s="502" t="s">
        <v>124</v>
      </c>
      <c r="OJC46" s="502"/>
      <c r="OJD46" s="502"/>
      <c r="OJE46" s="502"/>
      <c r="OJF46" s="502" t="s">
        <v>124</v>
      </c>
      <c r="OJG46" s="502"/>
      <c r="OJH46" s="502"/>
      <c r="OJI46" s="502"/>
      <c r="OJJ46" s="502" t="s">
        <v>124</v>
      </c>
      <c r="OJK46" s="502"/>
      <c r="OJL46" s="502"/>
      <c r="OJM46" s="502"/>
      <c r="OJN46" s="502" t="s">
        <v>124</v>
      </c>
      <c r="OJO46" s="502"/>
      <c r="OJP46" s="502"/>
      <c r="OJQ46" s="502"/>
      <c r="OJR46" s="502" t="s">
        <v>124</v>
      </c>
      <c r="OJS46" s="502"/>
      <c r="OJT46" s="502"/>
      <c r="OJU46" s="502"/>
      <c r="OJV46" s="502" t="s">
        <v>124</v>
      </c>
      <c r="OJW46" s="502"/>
      <c r="OJX46" s="502"/>
      <c r="OJY46" s="502"/>
      <c r="OJZ46" s="502" t="s">
        <v>124</v>
      </c>
      <c r="OKA46" s="502"/>
      <c r="OKB46" s="502"/>
      <c r="OKC46" s="502"/>
      <c r="OKD46" s="502" t="s">
        <v>124</v>
      </c>
      <c r="OKE46" s="502"/>
      <c r="OKF46" s="502"/>
      <c r="OKG46" s="502"/>
      <c r="OKH46" s="502" t="s">
        <v>124</v>
      </c>
      <c r="OKI46" s="502"/>
      <c r="OKJ46" s="502"/>
      <c r="OKK46" s="502"/>
      <c r="OKL46" s="502" t="s">
        <v>124</v>
      </c>
      <c r="OKM46" s="502"/>
      <c r="OKN46" s="502"/>
      <c r="OKO46" s="502"/>
      <c r="OKP46" s="502" t="s">
        <v>124</v>
      </c>
      <c r="OKQ46" s="502"/>
      <c r="OKR46" s="502"/>
      <c r="OKS46" s="502"/>
      <c r="OKT46" s="502" t="s">
        <v>124</v>
      </c>
      <c r="OKU46" s="502"/>
      <c r="OKV46" s="502"/>
      <c r="OKW46" s="502"/>
      <c r="OKX46" s="502" t="s">
        <v>124</v>
      </c>
      <c r="OKY46" s="502"/>
      <c r="OKZ46" s="502"/>
      <c r="OLA46" s="502"/>
      <c r="OLB46" s="502" t="s">
        <v>124</v>
      </c>
      <c r="OLC46" s="502"/>
      <c r="OLD46" s="502"/>
      <c r="OLE46" s="502"/>
      <c r="OLF46" s="502" t="s">
        <v>124</v>
      </c>
      <c r="OLG46" s="502"/>
      <c r="OLH46" s="502"/>
      <c r="OLI46" s="502"/>
      <c r="OLJ46" s="502" t="s">
        <v>124</v>
      </c>
      <c r="OLK46" s="502"/>
      <c r="OLL46" s="502"/>
      <c r="OLM46" s="502"/>
      <c r="OLN46" s="502" t="s">
        <v>124</v>
      </c>
      <c r="OLO46" s="502"/>
      <c r="OLP46" s="502"/>
      <c r="OLQ46" s="502"/>
      <c r="OLR46" s="502" t="s">
        <v>124</v>
      </c>
      <c r="OLS46" s="502"/>
      <c r="OLT46" s="502"/>
      <c r="OLU46" s="502"/>
      <c r="OLV46" s="502" t="s">
        <v>124</v>
      </c>
      <c r="OLW46" s="502"/>
      <c r="OLX46" s="502"/>
      <c r="OLY46" s="502"/>
      <c r="OLZ46" s="502" t="s">
        <v>124</v>
      </c>
      <c r="OMA46" s="502"/>
      <c r="OMB46" s="502"/>
      <c r="OMC46" s="502"/>
      <c r="OMD46" s="502" t="s">
        <v>124</v>
      </c>
      <c r="OME46" s="502"/>
      <c r="OMF46" s="502"/>
      <c r="OMG46" s="502"/>
      <c r="OMH46" s="502" t="s">
        <v>124</v>
      </c>
      <c r="OMI46" s="502"/>
      <c r="OMJ46" s="502"/>
      <c r="OMK46" s="502"/>
      <c r="OML46" s="502" t="s">
        <v>124</v>
      </c>
      <c r="OMM46" s="502"/>
      <c r="OMN46" s="502"/>
      <c r="OMO46" s="502"/>
      <c r="OMP46" s="502" t="s">
        <v>124</v>
      </c>
      <c r="OMQ46" s="502"/>
      <c r="OMR46" s="502"/>
      <c r="OMS46" s="502"/>
      <c r="OMT46" s="502" t="s">
        <v>124</v>
      </c>
      <c r="OMU46" s="502"/>
      <c r="OMV46" s="502"/>
      <c r="OMW46" s="502"/>
      <c r="OMX46" s="502" t="s">
        <v>124</v>
      </c>
      <c r="OMY46" s="502"/>
      <c r="OMZ46" s="502"/>
      <c r="ONA46" s="502"/>
      <c r="ONB46" s="502" t="s">
        <v>124</v>
      </c>
      <c r="ONC46" s="502"/>
      <c r="OND46" s="502"/>
      <c r="ONE46" s="502"/>
      <c r="ONF46" s="502" t="s">
        <v>124</v>
      </c>
      <c r="ONG46" s="502"/>
      <c r="ONH46" s="502"/>
      <c r="ONI46" s="502"/>
      <c r="ONJ46" s="502" t="s">
        <v>124</v>
      </c>
      <c r="ONK46" s="502"/>
      <c r="ONL46" s="502"/>
      <c r="ONM46" s="502"/>
      <c r="ONN46" s="502" t="s">
        <v>124</v>
      </c>
      <c r="ONO46" s="502"/>
      <c r="ONP46" s="502"/>
      <c r="ONQ46" s="502"/>
      <c r="ONR46" s="502" t="s">
        <v>124</v>
      </c>
      <c r="ONS46" s="502"/>
      <c r="ONT46" s="502"/>
      <c r="ONU46" s="502"/>
      <c r="ONV46" s="502" t="s">
        <v>124</v>
      </c>
      <c r="ONW46" s="502"/>
      <c r="ONX46" s="502"/>
      <c r="ONY46" s="502"/>
      <c r="ONZ46" s="502" t="s">
        <v>124</v>
      </c>
      <c r="OOA46" s="502"/>
      <c r="OOB46" s="502"/>
      <c r="OOC46" s="502"/>
      <c r="OOD46" s="502" t="s">
        <v>124</v>
      </c>
      <c r="OOE46" s="502"/>
      <c r="OOF46" s="502"/>
      <c r="OOG46" s="502"/>
      <c r="OOH46" s="502" t="s">
        <v>124</v>
      </c>
      <c r="OOI46" s="502"/>
      <c r="OOJ46" s="502"/>
      <c r="OOK46" s="502"/>
      <c r="OOL46" s="502" t="s">
        <v>124</v>
      </c>
      <c r="OOM46" s="502"/>
      <c r="OON46" s="502"/>
      <c r="OOO46" s="502"/>
      <c r="OOP46" s="502" t="s">
        <v>124</v>
      </c>
      <c r="OOQ46" s="502"/>
      <c r="OOR46" s="502"/>
      <c r="OOS46" s="502"/>
      <c r="OOT46" s="502" t="s">
        <v>124</v>
      </c>
      <c r="OOU46" s="502"/>
      <c r="OOV46" s="502"/>
      <c r="OOW46" s="502"/>
      <c r="OOX46" s="502" t="s">
        <v>124</v>
      </c>
      <c r="OOY46" s="502"/>
      <c r="OOZ46" s="502"/>
      <c r="OPA46" s="502"/>
      <c r="OPB46" s="502" t="s">
        <v>124</v>
      </c>
      <c r="OPC46" s="502"/>
      <c r="OPD46" s="502"/>
      <c r="OPE46" s="502"/>
      <c r="OPF46" s="502" t="s">
        <v>124</v>
      </c>
      <c r="OPG46" s="502"/>
      <c r="OPH46" s="502"/>
      <c r="OPI46" s="502"/>
      <c r="OPJ46" s="502" t="s">
        <v>124</v>
      </c>
      <c r="OPK46" s="502"/>
      <c r="OPL46" s="502"/>
      <c r="OPM46" s="502"/>
      <c r="OPN46" s="502" t="s">
        <v>124</v>
      </c>
      <c r="OPO46" s="502"/>
      <c r="OPP46" s="502"/>
      <c r="OPQ46" s="502"/>
      <c r="OPR46" s="502" t="s">
        <v>124</v>
      </c>
      <c r="OPS46" s="502"/>
      <c r="OPT46" s="502"/>
      <c r="OPU46" s="502"/>
      <c r="OPV46" s="502" t="s">
        <v>124</v>
      </c>
      <c r="OPW46" s="502"/>
      <c r="OPX46" s="502"/>
      <c r="OPY46" s="502"/>
      <c r="OPZ46" s="502" t="s">
        <v>124</v>
      </c>
      <c r="OQA46" s="502"/>
      <c r="OQB46" s="502"/>
      <c r="OQC46" s="502"/>
      <c r="OQD46" s="502" t="s">
        <v>124</v>
      </c>
      <c r="OQE46" s="502"/>
      <c r="OQF46" s="502"/>
      <c r="OQG46" s="502"/>
      <c r="OQH46" s="502" t="s">
        <v>124</v>
      </c>
      <c r="OQI46" s="502"/>
      <c r="OQJ46" s="502"/>
      <c r="OQK46" s="502"/>
      <c r="OQL46" s="502" t="s">
        <v>124</v>
      </c>
      <c r="OQM46" s="502"/>
      <c r="OQN46" s="502"/>
      <c r="OQO46" s="502"/>
      <c r="OQP46" s="502" t="s">
        <v>124</v>
      </c>
      <c r="OQQ46" s="502"/>
      <c r="OQR46" s="502"/>
      <c r="OQS46" s="502"/>
      <c r="OQT46" s="502" t="s">
        <v>124</v>
      </c>
      <c r="OQU46" s="502"/>
      <c r="OQV46" s="502"/>
      <c r="OQW46" s="502"/>
      <c r="OQX46" s="502" t="s">
        <v>124</v>
      </c>
      <c r="OQY46" s="502"/>
      <c r="OQZ46" s="502"/>
      <c r="ORA46" s="502"/>
      <c r="ORB46" s="502" t="s">
        <v>124</v>
      </c>
      <c r="ORC46" s="502"/>
      <c r="ORD46" s="502"/>
      <c r="ORE46" s="502"/>
      <c r="ORF46" s="502" t="s">
        <v>124</v>
      </c>
      <c r="ORG46" s="502"/>
      <c r="ORH46" s="502"/>
      <c r="ORI46" s="502"/>
      <c r="ORJ46" s="502" t="s">
        <v>124</v>
      </c>
      <c r="ORK46" s="502"/>
      <c r="ORL46" s="502"/>
      <c r="ORM46" s="502"/>
      <c r="ORN46" s="502" t="s">
        <v>124</v>
      </c>
      <c r="ORO46" s="502"/>
      <c r="ORP46" s="502"/>
      <c r="ORQ46" s="502"/>
      <c r="ORR46" s="502" t="s">
        <v>124</v>
      </c>
      <c r="ORS46" s="502"/>
      <c r="ORT46" s="502"/>
      <c r="ORU46" s="502"/>
      <c r="ORV46" s="502" t="s">
        <v>124</v>
      </c>
      <c r="ORW46" s="502"/>
      <c r="ORX46" s="502"/>
      <c r="ORY46" s="502"/>
      <c r="ORZ46" s="502" t="s">
        <v>124</v>
      </c>
      <c r="OSA46" s="502"/>
      <c r="OSB46" s="502"/>
      <c r="OSC46" s="502"/>
      <c r="OSD46" s="502" t="s">
        <v>124</v>
      </c>
      <c r="OSE46" s="502"/>
      <c r="OSF46" s="502"/>
      <c r="OSG46" s="502"/>
      <c r="OSH46" s="502" t="s">
        <v>124</v>
      </c>
      <c r="OSI46" s="502"/>
      <c r="OSJ46" s="502"/>
      <c r="OSK46" s="502"/>
      <c r="OSL46" s="502" t="s">
        <v>124</v>
      </c>
      <c r="OSM46" s="502"/>
      <c r="OSN46" s="502"/>
      <c r="OSO46" s="502"/>
      <c r="OSP46" s="502" t="s">
        <v>124</v>
      </c>
      <c r="OSQ46" s="502"/>
      <c r="OSR46" s="502"/>
      <c r="OSS46" s="502"/>
      <c r="OST46" s="502" t="s">
        <v>124</v>
      </c>
      <c r="OSU46" s="502"/>
      <c r="OSV46" s="502"/>
      <c r="OSW46" s="502"/>
      <c r="OSX46" s="502" t="s">
        <v>124</v>
      </c>
      <c r="OSY46" s="502"/>
      <c r="OSZ46" s="502"/>
      <c r="OTA46" s="502"/>
      <c r="OTB46" s="502" t="s">
        <v>124</v>
      </c>
      <c r="OTC46" s="502"/>
      <c r="OTD46" s="502"/>
      <c r="OTE46" s="502"/>
      <c r="OTF46" s="502" t="s">
        <v>124</v>
      </c>
      <c r="OTG46" s="502"/>
      <c r="OTH46" s="502"/>
      <c r="OTI46" s="502"/>
      <c r="OTJ46" s="502" t="s">
        <v>124</v>
      </c>
      <c r="OTK46" s="502"/>
      <c r="OTL46" s="502"/>
      <c r="OTM46" s="502"/>
      <c r="OTN46" s="502" t="s">
        <v>124</v>
      </c>
      <c r="OTO46" s="502"/>
      <c r="OTP46" s="502"/>
      <c r="OTQ46" s="502"/>
      <c r="OTR46" s="502" t="s">
        <v>124</v>
      </c>
      <c r="OTS46" s="502"/>
      <c r="OTT46" s="502"/>
      <c r="OTU46" s="502"/>
      <c r="OTV46" s="502" t="s">
        <v>124</v>
      </c>
      <c r="OTW46" s="502"/>
      <c r="OTX46" s="502"/>
      <c r="OTY46" s="502"/>
      <c r="OTZ46" s="502" t="s">
        <v>124</v>
      </c>
      <c r="OUA46" s="502"/>
      <c r="OUB46" s="502"/>
      <c r="OUC46" s="502"/>
      <c r="OUD46" s="502" t="s">
        <v>124</v>
      </c>
      <c r="OUE46" s="502"/>
      <c r="OUF46" s="502"/>
      <c r="OUG46" s="502"/>
      <c r="OUH46" s="502" t="s">
        <v>124</v>
      </c>
      <c r="OUI46" s="502"/>
      <c r="OUJ46" s="502"/>
      <c r="OUK46" s="502"/>
      <c r="OUL46" s="502" t="s">
        <v>124</v>
      </c>
      <c r="OUM46" s="502"/>
      <c r="OUN46" s="502"/>
      <c r="OUO46" s="502"/>
      <c r="OUP46" s="502" t="s">
        <v>124</v>
      </c>
      <c r="OUQ46" s="502"/>
      <c r="OUR46" s="502"/>
      <c r="OUS46" s="502"/>
      <c r="OUT46" s="502" t="s">
        <v>124</v>
      </c>
      <c r="OUU46" s="502"/>
      <c r="OUV46" s="502"/>
      <c r="OUW46" s="502"/>
      <c r="OUX46" s="502" t="s">
        <v>124</v>
      </c>
      <c r="OUY46" s="502"/>
      <c r="OUZ46" s="502"/>
      <c r="OVA46" s="502"/>
      <c r="OVB46" s="502" t="s">
        <v>124</v>
      </c>
      <c r="OVC46" s="502"/>
      <c r="OVD46" s="502"/>
      <c r="OVE46" s="502"/>
      <c r="OVF46" s="502" t="s">
        <v>124</v>
      </c>
      <c r="OVG46" s="502"/>
      <c r="OVH46" s="502"/>
      <c r="OVI46" s="502"/>
      <c r="OVJ46" s="502" t="s">
        <v>124</v>
      </c>
      <c r="OVK46" s="502"/>
      <c r="OVL46" s="502"/>
      <c r="OVM46" s="502"/>
      <c r="OVN46" s="502" t="s">
        <v>124</v>
      </c>
      <c r="OVO46" s="502"/>
      <c r="OVP46" s="502"/>
      <c r="OVQ46" s="502"/>
      <c r="OVR46" s="502" t="s">
        <v>124</v>
      </c>
      <c r="OVS46" s="502"/>
      <c r="OVT46" s="502"/>
      <c r="OVU46" s="502"/>
      <c r="OVV46" s="502" t="s">
        <v>124</v>
      </c>
      <c r="OVW46" s="502"/>
      <c r="OVX46" s="502"/>
      <c r="OVY46" s="502"/>
      <c r="OVZ46" s="502" t="s">
        <v>124</v>
      </c>
      <c r="OWA46" s="502"/>
      <c r="OWB46" s="502"/>
      <c r="OWC46" s="502"/>
      <c r="OWD46" s="502" t="s">
        <v>124</v>
      </c>
      <c r="OWE46" s="502"/>
      <c r="OWF46" s="502"/>
      <c r="OWG46" s="502"/>
      <c r="OWH46" s="502" t="s">
        <v>124</v>
      </c>
      <c r="OWI46" s="502"/>
      <c r="OWJ46" s="502"/>
      <c r="OWK46" s="502"/>
      <c r="OWL46" s="502" t="s">
        <v>124</v>
      </c>
      <c r="OWM46" s="502"/>
      <c r="OWN46" s="502"/>
      <c r="OWO46" s="502"/>
      <c r="OWP46" s="502" t="s">
        <v>124</v>
      </c>
      <c r="OWQ46" s="502"/>
      <c r="OWR46" s="502"/>
      <c r="OWS46" s="502"/>
      <c r="OWT46" s="502" t="s">
        <v>124</v>
      </c>
      <c r="OWU46" s="502"/>
      <c r="OWV46" s="502"/>
      <c r="OWW46" s="502"/>
      <c r="OWX46" s="502" t="s">
        <v>124</v>
      </c>
      <c r="OWY46" s="502"/>
      <c r="OWZ46" s="502"/>
      <c r="OXA46" s="502"/>
      <c r="OXB46" s="502" t="s">
        <v>124</v>
      </c>
      <c r="OXC46" s="502"/>
      <c r="OXD46" s="502"/>
      <c r="OXE46" s="502"/>
      <c r="OXF46" s="502" t="s">
        <v>124</v>
      </c>
      <c r="OXG46" s="502"/>
      <c r="OXH46" s="502"/>
      <c r="OXI46" s="502"/>
      <c r="OXJ46" s="502" t="s">
        <v>124</v>
      </c>
      <c r="OXK46" s="502"/>
      <c r="OXL46" s="502"/>
      <c r="OXM46" s="502"/>
      <c r="OXN46" s="502" t="s">
        <v>124</v>
      </c>
      <c r="OXO46" s="502"/>
      <c r="OXP46" s="502"/>
      <c r="OXQ46" s="502"/>
      <c r="OXR46" s="502" t="s">
        <v>124</v>
      </c>
      <c r="OXS46" s="502"/>
      <c r="OXT46" s="502"/>
      <c r="OXU46" s="502"/>
      <c r="OXV46" s="502" t="s">
        <v>124</v>
      </c>
      <c r="OXW46" s="502"/>
      <c r="OXX46" s="502"/>
      <c r="OXY46" s="502"/>
      <c r="OXZ46" s="502" t="s">
        <v>124</v>
      </c>
      <c r="OYA46" s="502"/>
      <c r="OYB46" s="502"/>
      <c r="OYC46" s="502"/>
      <c r="OYD46" s="502" t="s">
        <v>124</v>
      </c>
      <c r="OYE46" s="502"/>
      <c r="OYF46" s="502"/>
      <c r="OYG46" s="502"/>
      <c r="OYH46" s="502" t="s">
        <v>124</v>
      </c>
      <c r="OYI46" s="502"/>
      <c r="OYJ46" s="502"/>
      <c r="OYK46" s="502"/>
      <c r="OYL46" s="502" t="s">
        <v>124</v>
      </c>
      <c r="OYM46" s="502"/>
      <c r="OYN46" s="502"/>
      <c r="OYO46" s="502"/>
      <c r="OYP46" s="502" t="s">
        <v>124</v>
      </c>
      <c r="OYQ46" s="502"/>
      <c r="OYR46" s="502"/>
      <c r="OYS46" s="502"/>
      <c r="OYT46" s="502" t="s">
        <v>124</v>
      </c>
      <c r="OYU46" s="502"/>
      <c r="OYV46" s="502"/>
      <c r="OYW46" s="502"/>
      <c r="OYX46" s="502" t="s">
        <v>124</v>
      </c>
      <c r="OYY46" s="502"/>
      <c r="OYZ46" s="502"/>
      <c r="OZA46" s="502"/>
      <c r="OZB46" s="502" t="s">
        <v>124</v>
      </c>
      <c r="OZC46" s="502"/>
      <c r="OZD46" s="502"/>
      <c r="OZE46" s="502"/>
      <c r="OZF46" s="502" t="s">
        <v>124</v>
      </c>
      <c r="OZG46" s="502"/>
      <c r="OZH46" s="502"/>
      <c r="OZI46" s="502"/>
      <c r="OZJ46" s="502" t="s">
        <v>124</v>
      </c>
      <c r="OZK46" s="502"/>
      <c r="OZL46" s="502"/>
      <c r="OZM46" s="502"/>
      <c r="OZN46" s="502" t="s">
        <v>124</v>
      </c>
      <c r="OZO46" s="502"/>
      <c r="OZP46" s="502"/>
      <c r="OZQ46" s="502"/>
      <c r="OZR46" s="502" t="s">
        <v>124</v>
      </c>
      <c r="OZS46" s="502"/>
      <c r="OZT46" s="502"/>
      <c r="OZU46" s="502"/>
      <c r="OZV46" s="502" t="s">
        <v>124</v>
      </c>
      <c r="OZW46" s="502"/>
      <c r="OZX46" s="502"/>
      <c r="OZY46" s="502"/>
      <c r="OZZ46" s="502" t="s">
        <v>124</v>
      </c>
      <c r="PAA46" s="502"/>
      <c r="PAB46" s="502"/>
      <c r="PAC46" s="502"/>
      <c r="PAD46" s="502" t="s">
        <v>124</v>
      </c>
      <c r="PAE46" s="502"/>
      <c r="PAF46" s="502"/>
      <c r="PAG46" s="502"/>
      <c r="PAH46" s="502" t="s">
        <v>124</v>
      </c>
      <c r="PAI46" s="502"/>
      <c r="PAJ46" s="502"/>
      <c r="PAK46" s="502"/>
      <c r="PAL46" s="502" t="s">
        <v>124</v>
      </c>
      <c r="PAM46" s="502"/>
      <c r="PAN46" s="502"/>
      <c r="PAO46" s="502"/>
      <c r="PAP46" s="502" t="s">
        <v>124</v>
      </c>
      <c r="PAQ46" s="502"/>
      <c r="PAR46" s="502"/>
      <c r="PAS46" s="502"/>
      <c r="PAT46" s="502" t="s">
        <v>124</v>
      </c>
      <c r="PAU46" s="502"/>
      <c r="PAV46" s="502"/>
      <c r="PAW46" s="502"/>
      <c r="PAX46" s="502" t="s">
        <v>124</v>
      </c>
      <c r="PAY46" s="502"/>
      <c r="PAZ46" s="502"/>
      <c r="PBA46" s="502"/>
      <c r="PBB46" s="502" t="s">
        <v>124</v>
      </c>
      <c r="PBC46" s="502"/>
      <c r="PBD46" s="502"/>
      <c r="PBE46" s="502"/>
      <c r="PBF46" s="502" t="s">
        <v>124</v>
      </c>
      <c r="PBG46" s="502"/>
      <c r="PBH46" s="502"/>
      <c r="PBI46" s="502"/>
      <c r="PBJ46" s="502" t="s">
        <v>124</v>
      </c>
      <c r="PBK46" s="502"/>
      <c r="PBL46" s="502"/>
      <c r="PBM46" s="502"/>
      <c r="PBN46" s="502" t="s">
        <v>124</v>
      </c>
      <c r="PBO46" s="502"/>
      <c r="PBP46" s="502"/>
      <c r="PBQ46" s="502"/>
      <c r="PBR46" s="502" t="s">
        <v>124</v>
      </c>
      <c r="PBS46" s="502"/>
      <c r="PBT46" s="502"/>
      <c r="PBU46" s="502"/>
      <c r="PBV46" s="502" t="s">
        <v>124</v>
      </c>
      <c r="PBW46" s="502"/>
      <c r="PBX46" s="502"/>
      <c r="PBY46" s="502"/>
      <c r="PBZ46" s="502" t="s">
        <v>124</v>
      </c>
      <c r="PCA46" s="502"/>
      <c r="PCB46" s="502"/>
      <c r="PCC46" s="502"/>
      <c r="PCD46" s="502" t="s">
        <v>124</v>
      </c>
      <c r="PCE46" s="502"/>
      <c r="PCF46" s="502"/>
      <c r="PCG46" s="502"/>
      <c r="PCH46" s="502" t="s">
        <v>124</v>
      </c>
      <c r="PCI46" s="502"/>
      <c r="PCJ46" s="502"/>
      <c r="PCK46" s="502"/>
      <c r="PCL46" s="502" t="s">
        <v>124</v>
      </c>
      <c r="PCM46" s="502"/>
      <c r="PCN46" s="502"/>
      <c r="PCO46" s="502"/>
      <c r="PCP46" s="502" t="s">
        <v>124</v>
      </c>
      <c r="PCQ46" s="502"/>
      <c r="PCR46" s="502"/>
      <c r="PCS46" s="502"/>
      <c r="PCT46" s="502" t="s">
        <v>124</v>
      </c>
      <c r="PCU46" s="502"/>
      <c r="PCV46" s="502"/>
      <c r="PCW46" s="502"/>
      <c r="PCX46" s="502" t="s">
        <v>124</v>
      </c>
      <c r="PCY46" s="502"/>
      <c r="PCZ46" s="502"/>
      <c r="PDA46" s="502"/>
      <c r="PDB46" s="502" t="s">
        <v>124</v>
      </c>
      <c r="PDC46" s="502"/>
      <c r="PDD46" s="502"/>
      <c r="PDE46" s="502"/>
      <c r="PDF46" s="502" t="s">
        <v>124</v>
      </c>
      <c r="PDG46" s="502"/>
      <c r="PDH46" s="502"/>
      <c r="PDI46" s="502"/>
      <c r="PDJ46" s="502" t="s">
        <v>124</v>
      </c>
      <c r="PDK46" s="502"/>
      <c r="PDL46" s="502"/>
      <c r="PDM46" s="502"/>
      <c r="PDN46" s="502" t="s">
        <v>124</v>
      </c>
      <c r="PDO46" s="502"/>
      <c r="PDP46" s="502"/>
      <c r="PDQ46" s="502"/>
      <c r="PDR46" s="502" t="s">
        <v>124</v>
      </c>
      <c r="PDS46" s="502"/>
      <c r="PDT46" s="502"/>
      <c r="PDU46" s="502"/>
      <c r="PDV46" s="502" t="s">
        <v>124</v>
      </c>
      <c r="PDW46" s="502"/>
      <c r="PDX46" s="502"/>
      <c r="PDY46" s="502"/>
      <c r="PDZ46" s="502" t="s">
        <v>124</v>
      </c>
      <c r="PEA46" s="502"/>
      <c r="PEB46" s="502"/>
      <c r="PEC46" s="502"/>
      <c r="PED46" s="502" t="s">
        <v>124</v>
      </c>
      <c r="PEE46" s="502"/>
      <c r="PEF46" s="502"/>
      <c r="PEG46" s="502"/>
      <c r="PEH46" s="502" t="s">
        <v>124</v>
      </c>
      <c r="PEI46" s="502"/>
      <c r="PEJ46" s="502"/>
      <c r="PEK46" s="502"/>
      <c r="PEL46" s="502" t="s">
        <v>124</v>
      </c>
      <c r="PEM46" s="502"/>
      <c r="PEN46" s="502"/>
      <c r="PEO46" s="502"/>
      <c r="PEP46" s="502" t="s">
        <v>124</v>
      </c>
      <c r="PEQ46" s="502"/>
      <c r="PER46" s="502"/>
      <c r="PES46" s="502"/>
      <c r="PET46" s="502" t="s">
        <v>124</v>
      </c>
      <c r="PEU46" s="502"/>
      <c r="PEV46" s="502"/>
      <c r="PEW46" s="502"/>
      <c r="PEX46" s="502" t="s">
        <v>124</v>
      </c>
      <c r="PEY46" s="502"/>
      <c r="PEZ46" s="502"/>
      <c r="PFA46" s="502"/>
      <c r="PFB46" s="502" t="s">
        <v>124</v>
      </c>
      <c r="PFC46" s="502"/>
      <c r="PFD46" s="502"/>
      <c r="PFE46" s="502"/>
      <c r="PFF46" s="502" t="s">
        <v>124</v>
      </c>
      <c r="PFG46" s="502"/>
      <c r="PFH46" s="502"/>
      <c r="PFI46" s="502"/>
      <c r="PFJ46" s="502" t="s">
        <v>124</v>
      </c>
      <c r="PFK46" s="502"/>
      <c r="PFL46" s="502"/>
      <c r="PFM46" s="502"/>
      <c r="PFN46" s="502" t="s">
        <v>124</v>
      </c>
      <c r="PFO46" s="502"/>
      <c r="PFP46" s="502"/>
      <c r="PFQ46" s="502"/>
      <c r="PFR46" s="502" t="s">
        <v>124</v>
      </c>
      <c r="PFS46" s="502"/>
      <c r="PFT46" s="502"/>
      <c r="PFU46" s="502"/>
      <c r="PFV46" s="502" t="s">
        <v>124</v>
      </c>
      <c r="PFW46" s="502"/>
      <c r="PFX46" s="502"/>
      <c r="PFY46" s="502"/>
      <c r="PFZ46" s="502" t="s">
        <v>124</v>
      </c>
      <c r="PGA46" s="502"/>
      <c r="PGB46" s="502"/>
      <c r="PGC46" s="502"/>
      <c r="PGD46" s="502" t="s">
        <v>124</v>
      </c>
      <c r="PGE46" s="502"/>
      <c r="PGF46" s="502"/>
      <c r="PGG46" s="502"/>
      <c r="PGH46" s="502" t="s">
        <v>124</v>
      </c>
      <c r="PGI46" s="502"/>
      <c r="PGJ46" s="502"/>
      <c r="PGK46" s="502"/>
      <c r="PGL46" s="502" t="s">
        <v>124</v>
      </c>
      <c r="PGM46" s="502"/>
      <c r="PGN46" s="502"/>
      <c r="PGO46" s="502"/>
      <c r="PGP46" s="502" t="s">
        <v>124</v>
      </c>
      <c r="PGQ46" s="502"/>
      <c r="PGR46" s="502"/>
      <c r="PGS46" s="502"/>
      <c r="PGT46" s="502" t="s">
        <v>124</v>
      </c>
      <c r="PGU46" s="502"/>
      <c r="PGV46" s="502"/>
      <c r="PGW46" s="502"/>
      <c r="PGX46" s="502" t="s">
        <v>124</v>
      </c>
      <c r="PGY46" s="502"/>
      <c r="PGZ46" s="502"/>
      <c r="PHA46" s="502"/>
      <c r="PHB46" s="502" t="s">
        <v>124</v>
      </c>
      <c r="PHC46" s="502"/>
      <c r="PHD46" s="502"/>
      <c r="PHE46" s="502"/>
      <c r="PHF46" s="502" t="s">
        <v>124</v>
      </c>
      <c r="PHG46" s="502"/>
      <c r="PHH46" s="502"/>
      <c r="PHI46" s="502"/>
      <c r="PHJ46" s="502" t="s">
        <v>124</v>
      </c>
      <c r="PHK46" s="502"/>
      <c r="PHL46" s="502"/>
      <c r="PHM46" s="502"/>
      <c r="PHN46" s="502" t="s">
        <v>124</v>
      </c>
      <c r="PHO46" s="502"/>
      <c r="PHP46" s="502"/>
      <c r="PHQ46" s="502"/>
      <c r="PHR46" s="502" t="s">
        <v>124</v>
      </c>
      <c r="PHS46" s="502"/>
      <c r="PHT46" s="502"/>
      <c r="PHU46" s="502"/>
      <c r="PHV46" s="502" t="s">
        <v>124</v>
      </c>
      <c r="PHW46" s="502"/>
      <c r="PHX46" s="502"/>
      <c r="PHY46" s="502"/>
      <c r="PHZ46" s="502" t="s">
        <v>124</v>
      </c>
      <c r="PIA46" s="502"/>
      <c r="PIB46" s="502"/>
      <c r="PIC46" s="502"/>
      <c r="PID46" s="502" t="s">
        <v>124</v>
      </c>
      <c r="PIE46" s="502"/>
      <c r="PIF46" s="502"/>
      <c r="PIG46" s="502"/>
      <c r="PIH46" s="502" t="s">
        <v>124</v>
      </c>
      <c r="PII46" s="502"/>
      <c r="PIJ46" s="502"/>
      <c r="PIK46" s="502"/>
      <c r="PIL46" s="502" t="s">
        <v>124</v>
      </c>
      <c r="PIM46" s="502"/>
      <c r="PIN46" s="502"/>
      <c r="PIO46" s="502"/>
      <c r="PIP46" s="502" t="s">
        <v>124</v>
      </c>
      <c r="PIQ46" s="502"/>
      <c r="PIR46" s="502"/>
      <c r="PIS46" s="502"/>
      <c r="PIT46" s="502" t="s">
        <v>124</v>
      </c>
      <c r="PIU46" s="502"/>
      <c r="PIV46" s="502"/>
      <c r="PIW46" s="502"/>
      <c r="PIX46" s="502" t="s">
        <v>124</v>
      </c>
      <c r="PIY46" s="502"/>
      <c r="PIZ46" s="502"/>
      <c r="PJA46" s="502"/>
      <c r="PJB46" s="502" t="s">
        <v>124</v>
      </c>
      <c r="PJC46" s="502"/>
      <c r="PJD46" s="502"/>
      <c r="PJE46" s="502"/>
      <c r="PJF46" s="502" t="s">
        <v>124</v>
      </c>
      <c r="PJG46" s="502"/>
      <c r="PJH46" s="502"/>
      <c r="PJI46" s="502"/>
      <c r="PJJ46" s="502" t="s">
        <v>124</v>
      </c>
      <c r="PJK46" s="502"/>
      <c r="PJL46" s="502"/>
      <c r="PJM46" s="502"/>
      <c r="PJN46" s="502" t="s">
        <v>124</v>
      </c>
      <c r="PJO46" s="502"/>
      <c r="PJP46" s="502"/>
      <c r="PJQ46" s="502"/>
      <c r="PJR46" s="502" t="s">
        <v>124</v>
      </c>
      <c r="PJS46" s="502"/>
      <c r="PJT46" s="502"/>
      <c r="PJU46" s="502"/>
      <c r="PJV46" s="502" t="s">
        <v>124</v>
      </c>
      <c r="PJW46" s="502"/>
      <c r="PJX46" s="502"/>
      <c r="PJY46" s="502"/>
      <c r="PJZ46" s="502" t="s">
        <v>124</v>
      </c>
      <c r="PKA46" s="502"/>
      <c r="PKB46" s="502"/>
      <c r="PKC46" s="502"/>
      <c r="PKD46" s="502" t="s">
        <v>124</v>
      </c>
      <c r="PKE46" s="502"/>
      <c r="PKF46" s="502"/>
      <c r="PKG46" s="502"/>
      <c r="PKH46" s="502" t="s">
        <v>124</v>
      </c>
      <c r="PKI46" s="502"/>
      <c r="PKJ46" s="502"/>
      <c r="PKK46" s="502"/>
      <c r="PKL46" s="502" t="s">
        <v>124</v>
      </c>
      <c r="PKM46" s="502"/>
      <c r="PKN46" s="502"/>
      <c r="PKO46" s="502"/>
      <c r="PKP46" s="502" t="s">
        <v>124</v>
      </c>
      <c r="PKQ46" s="502"/>
      <c r="PKR46" s="502"/>
      <c r="PKS46" s="502"/>
      <c r="PKT46" s="502" t="s">
        <v>124</v>
      </c>
      <c r="PKU46" s="502"/>
      <c r="PKV46" s="502"/>
      <c r="PKW46" s="502"/>
      <c r="PKX46" s="502" t="s">
        <v>124</v>
      </c>
      <c r="PKY46" s="502"/>
      <c r="PKZ46" s="502"/>
      <c r="PLA46" s="502"/>
      <c r="PLB46" s="502" t="s">
        <v>124</v>
      </c>
      <c r="PLC46" s="502"/>
      <c r="PLD46" s="502"/>
      <c r="PLE46" s="502"/>
      <c r="PLF46" s="502" t="s">
        <v>124</v>
      </c>
      <c r="PLG46" s="502"/>
      <c r="PLH46" s="502"/>
      <c r="PLI46" s="502"/>
      <c r="PLJ46" s="502" t="s">
        <v>124</v>
      </c>
      <c r="PLK46" s="502"/>
      <c r="PLL46" s="502"/>
      <c r="PLM46" s="502"/>
      <c r="PLN46" s="502" t="s">
        <v>124</v>
      </c>
      <c r="PLO46" s="502"/>
      <c r="PLP46" s="502"/>
      <c r="PLQ46" s="502"/>
      <c r="PLR46" s="502" t="s">
        <v>124</v>
      </c>
      <c r="PLS46" s="502"/>
      <c r="PLT46" s="502"/>
      <c r="PLU46" s="502"/>
      <c r="PLV46" s="502" t="s">
        <v>124</v>
      </c>
      <c r="PLW46" s="502"/>
      <c r="PLX46" s="502"/>
      <c r="PLY46" s="502"/>
      <c r="PLZ46" s="502" t="s">
        <v>124</v>
      </c>
      <c r="PMA46" s="502"/>
      <c r="PMB46" s="502"/>
      <c r="PMC46" s="502"/>
      <c r="PMD46" s="502" t="s">
        <v>124</v>
      </c>
      <c r="PME46" s="502"/>
      <c r="PMF46" s="502"/>
      <c r="PMG46" s="502"/>
      <c r="PMH46" s="502" t="s">
        <v>124</v>
      </c>
      <c r="PMI46" s="502"/>
      <c r="PMJ46" s="502"/>
      <c r="PMK46" s="502"/>
      <c r="PML46" s="502" t="s">
        <v>124</v>
      </c>
      <c r="PMM46" s="502"/>
      <c r="PMN46" s="502"/>
      <c r="PMO46" s="502"/>
      <c r="PMP46" s="502" t="s">
        <v>124</v>
      </c>
      <c r="PMQ46" s="502"/>
      <c r="PMR46" s="502"/>
      <c r="PMS46" s="502"/>
      <c r="PMT46" s="502" t="s">
        <v>124</v>
      </c>
      <c r="PMU46" s="502"/>
      <c r="PMV46" s="502"/>
      <c r="PMW46" s="502"/>
      <c r="PMX46" s="502" t="s">
        <v>124</v>
      </c>
      <c r="PMY46" s="502"/>
      <c r="PMZ46" s="502"/>
      <c r="PNA46" s="502"/>
      <c r="PNB46" s="502" t="s">
        <v>124</v>
      </c>
      <c r="PNC46" s="502"/>
      <c r="PND46" s="502"/>
      <c r="PNE46" s="502"/>
      <c r="PNF46" s="502" t="s">
        <v>124</v>
      </c>
      <c r="PNG46" s="502"/>
      <c r="PNH46" s="502"/>
      <c r="PNI46" s="502"/>
      <c r="PNJ46" s="502" t="s">
        <v>124</v>
      </c>
      <c r="PNK46" s="502"/>
      <c r="PNL46" s="502"/>
      <c r="PNM46" s="502"/>
      <c r="PNN46" s="502" t="s">
        <v>124</v>
      </c>
      <c r="PNO46" s="502"/>
      <c r="PNP46" s="502"/>
      <c r="PNQ46" s="502"/>
      <c r="PNR46" s="502" t="s">
        <v>124</v>
      </c>
      <c r="PNS46" s="502"/>
      <c r="PNT46" s="502"/>
      <c r="PNU46" s="502"/>
      <c r="PNV46" s="502" t="s">
        <v>124</v>
      </c>
      <c r="PNW46" s="502"/>
      <c r="PNX46" s="502"/>
      <c r="PNY46" s="502"/>
      <c r="PNZ46" s="502" t="s">
        <v>124</v>
      </c>
      <c r="POA46" s="502"/>
      <c r="POB46" s="502"/>
      <c r="POC46" s="502"/>
      <c r="POD46" s="502" t="s">
        <v>124</v>
      </c>
      <c r="POE46" s="502"/>
      <c r="POF46" s="502"/>
      <c r="POG46" s="502"/>
      <c r="POH46" s="502" t="s">
        <v>124</v>
      </c>
      <c r="POI46" s="502"/>
      <c r="POJ46" s="502"/>
      <c r="POK46" s="502"/>
      <c r="POL46" s="502" t="s">
        <v>124</v>
      </c>
      <c r="POM46" s="502"/>
      <c r="PON46" s="502"/>
      <c r="POO46" s="502"/>
      <c r="POP46" s="502" t="s">
        <v>124</v>
      </c>
      <c r="POQ46" s="502"/>
      <c r="POR46" s="502"/>
      <c r="POS46" s="502"/>
      <c r="POT46" s="502" t="s">
        <v>124</v>
      </c>
      <c r="POU46" s="502"/>
      <c r="POV46" s="502"/>
      <c r="POW46" s="502"/>
      <c r="POX46" s="502" t="s">
        <v>124</v>
      </c>
      <c r="POY46" s="502"/>
      <c r="POZ46" s="502"/>
      <c r="PPA46" s="502"/>
      <c r="PPB46" s="502" t="s">
        <v>124</v>
      </c>
      <c r="PPC46" s="502"/>
      <c r="PPD46" s="502"/>
      <c r="PPE46" s="502"/>
      <c r="PPF46" s="502" t="s">
        <v>124</v>
      </c>
      <c r="PPG46" s="502"/>
      <c r="PPH46" s="502"/>
      <c r="PPI46" s="502"/>
      <c r="PPJ46" s="502" t="s">
        <v>124</v>
      </c>
      <c r="PPK46" s="502"/>
      <c r="PPL46" s="502"/>
      <c r="PPM46" s="502"/>
      <c r="PPN46" s="502" t="s">
        <v>124</v>
      </c>
      <c r="PPO46" s="502"/>
      <c r="PPP46" s="502"/>
      <c r="PPQ46" s="502"/>
      <c r="PPR46" s="502" t="s">
        <v>124</v>
      </c>
      <c r="PPS46" s="502"/>
      <c r="PPT46" s="502"/>
      <c r="PPU46" s="502"/>
      <c r="PPV46" s="502" t="s">
        <v>124</v>
      </c>
      <c r="PPW46" s="502"/>
      <c r="PPX46" s="502"/>
      <c r="PPY46" s="502"/>
      <c r="PPZ46" s="502" t="s">
        <v>124</v>
      </c>
      <c r="PQA46" s="502"/>
      <c r="PQB46" s="502"/>
      <c r="PQC46" s="502"/>
      <c r="PQD46" s="502" t="s">
        <v>124</v>
      </c>
      <c r="PQE46" s="502"/>
      <c r="PQF46" s="502"/>
      <c r="PQG46" s="502"/>
      <c r="PQH46" s="502" t="s">
        <v>124</v>
      </c>
      <c r="PQI46" s="502"/>
      <c r="PQJ46" s="502"/>
      <c r="PQK46" s="502"/>
      <c r="PQL46" s="502" t="s">
        <v>124</v>
      </c>
      <c r="PQM46" s="502"/>
      <c r="PQN46" s="502"/>
      <c r="PQO46" s="502"/>
      <c r="PQP46" s="502" t="s">
        <v>124</v>
      </c>
      <c r="PQQ46" s="502"/>
      <c r="PQR46" s="502"/>
      <c r="PQS46" s="502"/>
      <c r="PQT46" s="502" t="s">
        <v>124</v>
      </c>
      <c r="PQU46" s="502"/>
      <c r="PQV46" s="502"/>
      <c r="PQW46" s="502"/>
      <c r="PQX46" s="502" t="s">
        <v>124</v>
      </c>
      <c r="PQY46" s="502"/>
      <c r="PQZ46" s="502"/>
      <c r="PRA46" s="502"/>
      <c r="PRB46" s="502" t="s">
        <v>124</v>
      </c>
      <c r="PRC46" s="502"/>
      <c r="PRD46" s="502"/>
      <c r="PRE46" s="502"/>
      <c r="PRF46" s="502" t="s">
        <v>124</v>
      </c>
      <c r="PRG46" s="502"/>
      <c r="PRH46" s="502"/>
      <c r="PRI46" s="502"/>
      <c r="PRJ46" s="502" t="s">
        <v>124</v>
      </c>
      <c r="PRK46" s="502"/>
      <c r="PRL46" s="502"/>
      <c r="PRM46" s="502"/>
      <c r="PRN46" s="502" t="s">
        <v>124</v>
      </c>
      <c r="PRO46" s="502"/>
      <c r="PRP46" s="502"/>
      <c r="PRQ46" s="502"/>
      <c r="PRR46" s="502" t="s">
        <v>124</v>
      </c>
      <c r="PRS46" s="502"/>
      <c r="PRT46" s="502"/>
      <c r="PRU46" s="502"/>
      <c r="PRV46" s="502" t="s">
        <v>124</v>
      </c>
      <c r="PRW46" s="502"/>
      <c r="PRX46" s="502"/>
      <c r="PRY46" s="502"/>
      <c r="PRZ46" s="502" t="s">
        <v>124</v>
      </c>
      <c r="PSA46" s="502"/>
      <c r="PSB46" s="502"/>
      <c r="PSC46" s="502"/>
      <c r="PSD46" s="502" t="s">
        <v>124</v>
      </c>
      <c r="PSE46" s="502"/>
      <c r="PSF46" s="502"/>
      <c r="PSG46" s="502"/>
      <c r="PSH46" s="502" t="s">
        <v>124</v>
      </c>
      <c r="PSI46" s="502"/>
      <c r="PSJ46" s="502"/>
      <c r="PSK46" s="502"/>
      <c r="PSL46" s="502" t="s">
        <v>124</v>
      </c>
      <c r="PSM46" s="502"/>
      <c r="PSN46" s="502"/>
      <c r="PSO46" s="502"/>
      <c r="PSP46" s="502" t="s">
        <v>124</v>
      </c>
      <c r="PSQ46" s="502"/>
      <c r="PSR46" s="502"/>
      <c r="PSS46" s="502"/>
      <c r="PST46" s="502" t="s">
        <v>124</v>
      </c>
      <c r="PSU46" s="502"/>
      <c r="PSV46" s="502"/>
      <c r="PSW46" s="502"/>
      <c r="PSX46" s="502" t="s">
        <v>124</v>
      </c>
      <c r="PSY46" s="502"/>
      <c r="PSZ46" s="502"/>
      <c r="PTA46" s="502"/>
      <c r="PTB46" s="502" t="s">
        <v>124</v>
      </c>
      <c r="PTC46" s="502"/>
      <c r="PTD46" s="502"/>
      <c r="PTE46" s="502"/>
      <c r="PTF46" s="502" t="s">
        <v>124</v>
      </c>
      <c r="PTG46" s="502"/>
      <c r="PTH46" s="502"/>
      <c r="PTI46" s="502"/>
      <c r="PTJ46" s="502" t="s">
        <v>124</v>
      </c>
      <c r="PTK46" s="502"/>
      <c r="PTL46" s="502"/>
      <c r="PTM46" s="502"/>
      <c r="PTN46" s="502" t="s">
        <v>124</v>
      </c>
      <c r="PTO46" s="502"/>
      <c r="PTP46" s="502"/>
      <c r="PTQ46" s="502"/>
      <c r="PTR46" s="502" t="s">
        <v>124</v>
      </c>
      <c r="PTS46" s="502"/>
      <c r="PTT46" s="502"/>
      <c r="PTU46" s="502"/>
      <c r="PTV46" s="502" t="s">
        <v>124</v>
      </c>
      <c r="PTW46" s="502"/>
      <c r="PTX46" s="502"/>
      <c r="PTY46" s="502"/>
      <c r="PTZ46" s="502" t="s">
        <v>124</v>
      </c>
      <c r="PUA46" s="502"/>
      <c r="PUB46" s="502"/>
      <c r="PUC46" s="502"/>
      <c r="PUD46" s="502" t="s">
        <v>124</v>
      </c>
      <c r="PUE46" s="502"/>
      <c r="PUF46" s="502"/>
      <c r="PUG46" s="502"/>
      <c r="PUH46" s="502" t="s">
        <v>124</v>
      </c>
      <c r="PUI46" s="502"/>
      <c r="PUJ46" s="502"/>
      <c r="PUK46" s="502"/>
      <c r="PUL46" s="502" t="s">
        <v>124</v>
      </c>
      <c r="PUM46" s="502"/>
      <c r="PUN46" s="502"/>
      <c r="PUO46" s="502"/>
      <c r="PUP46" s="502" t="s">
        <v>124</v>
      </c>
      <c r="PUQ46" s="502"/>
      <c r="PUR46" s="502"/>
      <c r="PUS46" s="502"/>
      <c r="PUT46" s="502" t="s">
        <v>124</v>
      </c>
      <c r="PUU46" s="502"/>
      <c r="PUV46" s="502"/>
      <c r="PUW46" s="502"/>
      <c r="PUX46" s="502" t="s">
        <v>124</v>
      </c>
      <c r="PUY46" s="502"/>
      <c r="PUZ46" s="502"/>
      <c r="PVA46" s="502"/>
      <c r="PVB46" s="502" t="s">
        <v>124</v>
      </c>
      <c r="PVC46" s="502"/>
      <c r="PVD46" s="502"/>
      <c r="PVE46" s="502"/>
      <c r="PVF46" s="502" t="s">
        <v>124</v>
      </c>
      <c r="PVG46" s="502"/>
      <c r="PVH46" s="502"/>
      <c r="PVI46" s="502"/>
      <c r="PVJ46" s="502" t="s">
        <v>124</v>
      </c>
      <c r="PVK46" s="502"/>
      <c r="PVL46" s="502"/>
      <c r="PVM46" s="502"/>
      <c r="PVN46" s="502" t="s">
        <v>124</v>
      </c>
      <c r="PVO46" s="502"/>
      <c r="PVP46" s="502"/>
      <c r="PVQ46" s="502"/>
      <c r="PVR46" s="502" t="s">
        <v>124</v>
      </c>
      <c r="PVS46" s="502"/>
      <c r="PVT46" s="502"/>
      <c r="PVU46" s="502"/>
      <c r="PVV46" s="502" t="s">
        <v>124</v>
      </c>
      <c r="PVW46" s="502"/>
      <c r="PVX46" s="502"/>
      <c r="PVY46" s="502"/>
      <c r="PVZ46" s="502" t="s">
        <v>124</v>
      </c>
      <c r="PWA46" s="502"/>
      <c r="PWB46" s="502"/>
      <c r="PWC46" s="502"/>
      <c r="PWD46" s="502" t="s">
        <v>124</v>
      </c>
      <c r="PWE46" s="502"/>
      <c r="PWF46" s="502"/>
      <c r="PWG46" s="502"/>
      <c r="PWH46" s="502" t="s">
        <v>124</v>
      </c>
      <c r="PWI46" s="502"/>
      <c r="PWJ46" s="502"/>
      <c r="PWK46" s="502"/>
      <c r="PWL46" s="502" t="s">
        <v>124</v>
      </c>
      <c r="PWM46" s="502"/>
      <c r="PWN46" s="502"/>
      <c r="PWO46" s="502"/>
      <c r="PWP46" s="502" t="s">
        <v>124</v>
      </c>
      <c r="PWQ46" s="502"/>
      <c r="PWR46" s="502"/>
      <c r="PWS46" s="502"/>
      <c r="PWT46" s="502" t="s">
        <v>124</v>
      </c>
      <c r="PWU46" s="502"/>
      <c r="PWV46" s="502"/>
      <c r="PWW46" s="502"/>
      <c r="PWX46" s="502" t="s">
        <v>124</v>
      </c>
      <c r="PWY46" s="502"/>
      <c r="PWZ46" s="502"/>
      <c r="PXA46" s="502"/>
      <c r="PXB46" s="502" t="s">
        <v>124</v>
      </c>
      <c r="PXC46" s="502"/>
      <c r="PXD46" s="502"/>
      <c r="PXE46" s="502"/>
      <c r="PXF46" s="502" t="s">
        <v>124</v>
      </c>
      <c r="PXG46" s="502"/>
      <c r="PXH46" s="502"/>
      <c r="PXI46" s="502"/>
      <c r="PXJ46" s="502" t="s">
        <v>124</v>
      </c>
      <c r="PXK46" s="502"/>
      <c r="PXL46" s="502"/>
      <c r="PXM46" s="502"/>
      <c r="PXN46" s="502" t="s">
        <v>124</v>
      </c>
      <c r="PXO46" s="502"/>
      <c r="PXP46" s="502"/>
      <c r="PXQ46" s="502"/>
      <c r="PXR46" s="502" t="s">
        <v>124</v>
      </c>
      <c r="PXS46" s="502"/>
      <c r="PXT46" s="502"/>
      <c r="PXU46" s="502"/>
      <c r="PXV46" s="502" t="s">
        <v>124</v>
      </c>
      <c r="PXW46" s="502"/>
      <c r="PXX46" s="502"/>
      <c r="PXY46" s="502"/>
      <c r="PXZ46" s="502" t="s">
        <v>124</v>
      </c>
      <c r="PYA46" s="502"/>
      <c r="PYB46" s="502"/>
      <c r="PYC46" s="502"/>
      <c r="PYD46" s="502" t="s">
        <v>124</v>
      </c>
      <c r="PYE46" s="502"/>
      <c r="PYF46" s="502"/>
      <c r="PYG46" s="502"/>
      <c r="PYH46" s="502" t="s">
        <v>124</v>
      </c>
      <c r="PYI46" s="502"/>
      <c r="PYJ46" s="502"/>
      <c r="PYK46" s="502"/>
      <c r="PYL46" s="502" t="s">
        <v>124</v>
      </c>
      <c r="PYM46" s="502"/>
      <c r="PYN46" s="502"/>
      <c r="PYO46" s="502"/>
      <c r="PYP46" s="502" t="s">
        <v>124</v>
      </c>
      <c r="PYQ46" s="502"/>
      <c r="PYR46" s="502"/>
      <c r="PYS46" s="502"/>
      <c r="PYT46" s="502" t="s">
        <v>124</v>
      </c>
      <c r="PYU46" s="502"/>
      <c r="PYV46" s="502"/>
      <c r="PYW46" s="502"/>
      <c r="PYX46" s="502" t="s">
        <v>124</v>
      </c>
      <c r="PYY46" s="502"/>
      <c r="PYZ46" s="502"/>
      <c r="PZA46" s="502"/>
      <c r="PZB46" s="502" t="s">
        <v>124</v>
      </c>
      <c r="PZC46" s="502"/>
      <c r="PZD46" s="502"/>
      <c r="PZE46" s="502"/>
      <c r="PZF46" s="502" t="s">
        <v>124</v>
      </c>
      <c r="PZG46" s="502"/>
      <c r="PZH46" s="502"/>
      <c r="PZI46" s="502"/>
      <c r="PZJ46" s="502" t="s">
        <v>124</v>
      </c>
      <c r="PZK46" s="502"/>
      <c r="PZL46" s="502"/>
      <c r="PZM46" s="502"/>
      <c r="PZN46" s="502" t="s">
        <v>124</v>
      </c>
      <c r="PZO46" s="502"/>
      <c r="PZP46" s="502"/>
      <c r="PZQ46" s="502"/>
      <c r="PZR46" s="502" t="s">
        <v>124</v>
      </c>
      <c r="PZS46" s="502"/>
      <c r="PZT46" s="502"/>
      <c r="PZU46" s="502"/>
      <c r="PZV46" s="502" t="s">
        <v>124</v>
      </c>
      <c r="PZW46" s="502"/>
      <c r="PZX46" s="502"/>
      <c r="PZY46" s="502"/>
      <c r="PZZ46" s="502" t="s">
        <v>124</v>
      </c>
      <c r="QAA46" s="502"/>
      <c r="QAB46" s="502"/>
      <c r="QAC46" s="502"/>
      <c r="QAD46" s="502" t="s">
        <v>124</v>
      </c>
      <c r="QAE46" s="502"/>
      <c r="QAF46" s="502"/>
      <c r="QAG46" s="502"/>
      <c r="QAH46" s="502" t="s">
        <v>124</v>
      </c>
      <c r="QAI46" s="502"/>
      <c r="QAJ46" s="502"/>
      <c r="QAK46" s="502"/>
      <c r="QAL46" s="502" t="s">
        <v>124</v>
      </c>
      <c r="QAM46" s="502"/>
      <c r="QAN46" s="502"/>
      <c r="QAO46" s="502"/>
      <c r="QAP46" s="502" t="s">
        <v>124</v>
      </c>
      <c r="QAQ46" s="502"/>
      <c r="QAR46" s="502"/>
      <c r="QAS46" s="502"/>
      <c r="QAT46" s="502" t="s">
        <v>124</v>
      </c>
      <c r="QAU46" s="502"/>
      <c r="QAV46" s="502"/>
      <c r="QAW46" s="502"/>
      <c r="QAX46" s="502" t="s">
        <v>124</v>
      </c>
      <c r="QAY46" s="502"/>
      <c r="QAZ46" s="502"/>
      <c r="QBA46" s="502"/>
      <c r="QBB46" s="502" t="s">
        <v>124</v>
      </c>
      <c r="QBC46" s="502"/>
      <c r="QBD46" s="502"/>
      <c r="QBE46" s="502"/>
      <c r="QBF46" s="502" t="s">
        <v>124</v>
      </c>
      <c r="QBG46" s="502"/>
      <c r="QBH46" s="502"/>
      <c r="QBI46" s="502"/>
      <c r="QBJ46" s="502" t="s">
        <v>124</v>
      </c>
      <c r="QBK46" s="502"/>
      <c r="QBL46" s="502"/>
      <c r="QBM46" s="502"/>
      <c r="QBN46" s="502" t="s">
        <v>124</v>
      </c>
      <c r="QBO46" s="502"/>
      <c r="QBP46" s="502"/>
      <c r="QBQ46" s="502"/>
      <c r="QBR46" s="502" t="s">
        <v>124</v>
      </c>
      <c r="QBS46" s="502"/>
      <c r="QBT46" s="502"/>
      <c r="QBU46" s="502"/>
      <c r="QBV46" s="502" t="s">
        <v>124</v>
      </c>
      <c r="QBW46" s="502"/>
      <c r="QBX46" s="502"/>
      <c r="QBY46" s="502"/>
      <c r="QBZ46" s="502" t="s">
        <v>124</v>
      </c>
      <c r="QCA46" s="502"/>
      <c r="QCB46" s="502"/>
      <c r="QCC46" s="502"/>
      <c r="QCD46" s="502" t="s">
        <v>124</v>
      </c>
      <c r="QCE46" s="502"/>
      <c r="QCF46" s="502"/>
      <c r="QCG46" s="502"/>
      <c r="QCH46" s="502" t="s">
        <v>124</v>
      </c>
      <c r="QCI46" s="502"/>
      <c r="QCJ46" s="502"/>
      <c r="QCK46" s="502"/>
      <c r="QCL46" s="502" t="s">
        <v>124</v>
      </c>
      <c r="QCM46" s="502"/>
      <c r="QCN46" s="502"/>
      <c r="QCO46" s="502"/>
      <c r="QCP46" s="502" t="s">
        <v>124</v>
      </c>
      <c r="QCQ46" s="502"/>
      <c r="QCR46" s="502"/>
      <c r="QCS46" s="502"/>
      <c r="QCT46" s="502" t="s">
        <v>124</v>
      </c>
      <c r="QCU46" s="502"/>
      <c r="QCV46" s="502"/>
      <c r="QCW46" s="502"/>
      <c r="QCX46" s="502" t="s">
        <v>124</v>
      </c>
      <c r="QCY46" s="502"/>
      <c r="QCZ46" s="502"/>
      <c r="QDA46" s="502"/>
      <c r="QDB46" s="502" t="s">
        <v>124</v>
      </c>
      <c r="QDC46" s="502"/>
      <c r="QDD46" s="502"/>
      <c r="QDE46" s="502"/>
      <c r="QDF46" s="502" t="s">
        <v>124</v>
      </c>
      <c r="QDG46" s="502"/>
      <c r="QDH46" s="502"/>
      <c r="QDI46" s="502"/>
      <c r="QDJ46" s="502" t="s">
        <v>124</v>
      </c>
      <c r="QDK46" s="502"/>
      <c r="QDL46" s="502"/>
      <c r="QDM46" s="502"/>
      <c r="QDN46" s="502" t="s">
        <v>124</v>
      </c>
      <c r="QDO46" s="502"/>
      <c r="QDP46" s="502"/>
      <c r="QDQ46" s="502"/>
      <c r="QDR46" s="502" t="s">
        <v>124</v>
      </c>
      <c r="QDS46" s="502"/>
      <c r="QDT46" s="502"/>
      <c r="QDU46" s="502"/>
      <c r="QDV46" s="502" t="s">
        <v>124</v>
      </c>
      <c r="QDW46" s="502"/>
      <c r="QDX46" s="502"/>
      <c r="QDY46" s="502"/>
      <c r="QDZ46" s="502" t="s">
        <v>124</v>
      </c>
      <c r="QEA46" s="502"/>
      <c r="QEB46" s="502"/>
      <c r="QEC46" s="502"/>
      <c r="QED46" s="502" t="s">
        <v>124</v>
      </c>
      <c r="QEE46" s="502"/>
      <c r="QEF46" s="502"/>
      <c r="QEG46" s="502"/>
      <c r="QEH46" s="502" t="s">
        <v>124</v>
      </c>
      <c r="QEI46" s="502"/>
      <c r="QEJ46" s="502"/>
      <c r="QEK46" s="502"/>
      <c r="QEL46" s="502" t="s">
        <v>124</v>
      </c>
      <c r="QEM46" s="502"/>
      <c r="QEN46" s="502"/>
      <c r="QEO46" s="502"/>
      <c r="QEP46" s="502" t="s">
        <v>124</v>
      </c>
      <c r="QEQ46" s="502"/>
      <c r="QER46" s="502"/>
      <c r="QES46" s="502"/>
      <c r="QET46" s="502" t="s">
        <v>124</v>
      </c>
      <c r="QEU46" s="502"/>
      <c r="QEV46" s="502"/>
      <c r="QEW46" s="502"/>
      <c r="QEX46" s="502" t="s">
        <v>124</v>
      </c>
      <c r="QEY46" s="502"/>
      <c r="QEZ46" s="502"/>
      <c r="QFA46" s="502"/>
      <c r="QFB46" s="502" t="s">
        <v>124</v>
      </c>
      <c r="QFC46" s="502"/>
      <c r="QFD46" s="502"/>
      <c r="QFE46" s="502"/>
      <c r="QFF46" s="502" t="s">
        <v>124</v>
      </c>
      <c r="QFG46" s="502"/>
      <c r="QFH46" s="502"/>
      <c r="QFI46" s="502"/>
      <c r="QFJ46" s="502" t="s">
        <v>124</v>
      </c>
      <c r="QFK46" s="502"/>
      <c r="QFL46" s="502"/>
      <c r="QFM46" s="502"/>
      <c r="QFN46" s="502" t="s">
        <v>124</v>
      </c>
      <c r="QFO46" s="502"/>
      <c r="QFP46" s="502"/>
      <c r="QFQ46" s="502"/>
      <c r="QFR46" s="502" t="s">
        <v>124</v>
      </c>
      <c r="QFS46" s="502"/>
      <c r="QFT46" s="502"/>
      <c r="QFU46" s="502"/>
      <c r="QFV46" s="502" t="s">
        <v>124</v>
      </c>
      <c r="QFW46" s="502"/>
      <c r="QFX46" s="502"/>
      <c r="QFY46" s="502"/>
      <c r="QFZ46" s="502" t="s">
        <v>124</v>
      </c>
      <c r="QGA46" s="502"/>
      <c r="QGB46" s="502"/>
      <c r="QGC46" s="502"/>
      <c r="QGD46" s="502" t="s">
        <v>124</v>
      </c>
      <c r="QGE46" s="502"/>
      <c r="QGF46" s="502"/>
      <c r="QGG46" s="502"/>
      <c r="QGH46" s="502" t="s">
        <v>124</v>
      </c>
      <c r="QGI46" s="502"/>
      <c r="QGJ46" s="502"/>
      <c r="QGK46" s="502"/>
      <c r="QGL46" s="502" t="s">
        <v>124</v>
      </c>
      <c r="QGM46" s="502"/>
      <c r="QGN46" s="502"/>
      <c r="QGO46" s="502"/>
      <c r="QGP46" s="502" t="s">
        <v>124</v>
      </c>
      <c r="QGQ46" s="502"/>
      <c r="QGR46" s="502"/>
      <c r="QGS46" s="502"/>
      <c r="QGT46" s="502" t="s">
        <v>124</v>
      </c>
      <c r="QGU46" s="502"/>
      <c r="QGV46" s="502"/>
      <c r="QGW46" s="502"/>
      <c r="QGX46" s="502" t="s">
        <v>124</v>
      </c>
      <c r="QGY46" s="502"/>
      <c r="QGZ46" s="502"/>
      <c r="QHA46" s="502"/>
      <c r="QHB46" s="502" t="s">
        <v>124</v>
      </c>
      <c r="QHC46" s="502"/>
      <c r="QHD46" s="502"/>
      <c r="QHE46" s="502"/>
      <c r="QHF46" s="502" t="s">
        <v>124</v>
      </c>
      <c r="QHG46" s="502"/>
      <c r="QHH46" s="502"/>
      <c r="QHI46" s="502"/>
      <c r="QHJ46" s="502" t="s">
        <v>124</v>
      </c>
      <c r="QHK46" s="502"/>
      <c r="QHL46" s="502"/>
      <c r="QHM46" s="502"/>
      <c r="QHN46" s="502" t="s">
        <v>124</v>
      </c>
      <c r="QHO46" s="502"/>
      <c r="QHP46" s="502"/>
      <c r="QHQ46" s="502"/>
      <c r="QHR46" s="502" t="s">
        <v>124</v>
      </c>
      <c r="QHS46" s="502"/>
      <c r="QHT46" s="502"/>
      <c r="QHU46" s="502"/>
      <c r="QHV46" s="502" t="s">
        <v>124</v>
      </c>
      <c r="QHW46" s="502"/>
      <c r="QHX46" s="502"/>
      <c r="QHY46" s="502"/>
      <c r="QHZ46" s="502" t="s">
        <v>124</v>
      </c>
      <c r="QIA46" s="502"/>
      <c r="QIB46" s="502"/>
      <c r="QIC46" s="502"/>
      <c r="QID46" s="502" t="s">
        <v>124</v>
      </c>
      <c r="QIE46" s="502"/>
      <c r="QIF46" s="502"/>
      <c r="QIG46" s="502"/>
      <c r="QIH46" s="502" t="s">
        <v>124</v>
      </c>
      <c r="QII46" s="502"/>
      <c r="QIJ46" s="502"/>
      <c r="QIK46" s="502"/>
      <c r="QIL46" s="502" t="s">
        <v>124</v>
      </c>
      <c r="QIM46" s="502"/>
      <c r="QIN46" s="502"/>
      <c r="QIO46" s="502"/>
      <c r="QIP46" s="502" t="s">
        <v>124</v>
      </c>
      <c r="QIQ46" s="502"/>
      <c r="QIR46" s="502"/>
      <c r="QIS46" s="502"/>
      <c r="QIT46" s="502" t="s">
        <v>124</v>
      </c>
      <c r="QIU46" s="502"/>
      <c r="QIV46" s="502"/>
      <c r="QIW46" s="502"/>
      <c r="QIX46" s="502" t="s">
        <v>124</v>
      </c>
      <c r="QIY46" s="502"/>
      <c r="QIZ46" s="502"/>
      <c r="QJA46" s="502"/>
      <c r="QJB46" s="502" t="s">
        <v>124</v>
      </c>
      <c r="QJC46" s="502"/>
      <c r="QJD46" s="502"/>
      <c r="QJE46" s="502"/>
      <c r="QJF46" s="502" t="s">
        <v>124</v>
      </c>
      <c r="QJG46" s="502"/>
      <c r="QJH46" s="502"/>
      <c r="QJI46" s="502"/>
      <c r="QJJ46" s="502" t="s">
        <v>124</v>
      </c>
      <c r="QJK46" s="502"/>
      <c r="QJL46" s="502"/>
      <c r="QJM46" s="502"/>
      <c r="QJN46" s="502" t="s">
        <v>124</v>
      </c>
      <c r="QJO46" s="502"/>
      <c r="QJP46" s="502"/>
      <c r="QJQ46" s="502"/>
      <c r="QJR46" s="502" t="s">
        <v>124</v>
      </c>
      <c r="QJS46" s="502"/>
      <c r="QJT46" s="502"/>
      <c r="QJU46" s="502"/>
      <c r="QJV46" s="502" t="s">
        <v>124</v>
      </c>
      <c r="QJW46" s="502"/>
      <c r="QJX46" s="502"/>
      <c r="QJY46" s="502"/>
      <c r="QJZ46" s="502" t="s">
        <v>124</v>
      </c>
      <c r="QKA46" s="502"/>
      <c r="QKB46" s="502"/>
      <c r="QKC46" s="502"/>
      <c r="QKD46" s="502" t="s">
        <v>124</v>
      </c>
      <c r="QKE46" s="502"/>
      <c r="QKF46" s="502"/>
      <c r="QKG46" s="502"/>
      <c r="QKH46" s="502" t="s">
        <v>124</v>
      </c>
      <c r="QKI46" s="502"/>
      <c r="QKJ46" s="502"/>
      <c r="QKK46" s="502"/>
      <c r="QKL46" s="502" t="s">
        <v>124</v>
      </c>
      <c r="QKM46" s="502"/>
      <c r="QKN46" s="502"/>
      <c r="QKO46" s="502"/>
      <c r="QKP46" s="502" t="s">
        <v>124</v>
      </c>
      <c r="QKQ46" s="502"/>
      <c r="QKR46" s="502"/>
      <c r="QKS46" s="502"/>
      <c r="QKT46" s="502" t="s">
        <v>124</v>
      </c>
      <c r="QKU46" s="502"/>
      <c r="QKV46" s="502"/>
      <c r="QKW46" s="502"/>
      <c r="QKX46" s="502" t="s">
        <v>124</v>
      </c>
      <c r="QKY46" s="502"/>
      <c r="QKZ46" s="502"/>
      <c r="QLA46" s="502"/>
      <c r="QLB46" s="502" t="s">
        <v>124</v>
      </c>
      <c r="QLC46" s="502"/>
      <c r="QLD46" s="502"/>
      <c r="QLE46" s="502"/>
      <c r="QLF46" s="502" t="s">
        <v>124</v>
      </c>
      <c r="QLG46" s="502"/>
      <c r="QLH46" s="502"/>
      <c r="QLI46" s="502"/>
      <c r="QLJ46" s="502" t="s">
        <v>124</v>
      </c>
      <c r="QLK46" s="502"/>
      <c r="QLL46" s="502"/>
      <c r="QLM46" s="502"/>
      <c r="QLN46" s="502" t="s">
        <v>124</v>
      </c>
      <c r="QLO46" s="502"/>
      <c r="QLP46" s="502"/>
      <c r="QLQ46" s="502"/>
      <c r="QLR46" s="502" t="s">
        <v>124</v>
      </c>
      <c r="QLS46" s="502"/>
      <c r="QLT46" s="502"/>
      <c r="QLU46" s="502"/>
      <c r="QLV46" s="502" t="s">
        <v>124</v>
      </c>
      <c r="QLW46" s="502"/>
      <c r="QLX46" s="502"/>
      <c r="QLY46" s="502"/>
      <c r="QLZ46" s="502" t="s">
        <v>124</v>
      </c>
      <c r="QMA46" s="502"/>
      <c r="QMB46" s="502"/>
      <c r="QMC46" s="502"/>
      <c r="QMD46" s="502" t="s">
        <v>124</v>
      </c>
      <c r="QME46" s="502"/>
      <c r="QMF46" s="502"/>
      <c r="QMG46" s="502"/>
      <c r="QMH46" s="502" t="s">
        <v>124</v>
      </c>
      <c r="QMI46" s="502"/>
      <c r="QMJ46" s="502"/>
      <c r="QMK46" s="502"/>
      <c r="QML46" s="502" t="s">
        <v>124</v>
      </c>
      <c r="QMM46" s="502"/>
      <c r="QMN46" s="502"/>
      <c r="QMO46" s="502"/>
      <c r="QMP46" s="502" t="s">
        <v>124</v>
      </c>
      <c r="QMQ46" s="502"/>
      <c r="QMR46" s="502"/>
      <c r="QMS46" s="502"/>
      <c r="QMT46" s="502" t="s">
        <v>124</v>
      </c>
      <c r="QMU46" s="502"/>
      <c r="QMV46" s="502"/>
      <c r="QMW46" s="502"/>
      <c r="QMX46" s="502" t="s">
        <v>124</v>
      </c>
      <c r="QMY46" s="502"/>
      <c r="QMZ46" s="502"/>
      <c r="QNA46" s="502"/>
      <c r="QNB46" s="502" t="s">
        <v>124</v>
      </c>
      <c r="QNC46" s="502"/>
      <c r="QND46" s="502"/>
      <c r="QNE46" s="502"/>
      <c r="QNF46" s="502" t="s">
        <v>124</v>
      </c>
      <c r="QNG46" s="502"/>
      <c r="QNH46" s="502"/>
      <c r="QNI46" s="502"/>
      <c r="QNJ46" s="502" t="s">
        <v>124</v>
      </c>
      <c r="QNK46" s="502"/>
      <c r="QNL46" s="502"/>
      <c r="QNM46" s="502"/>
      <c r="QNN46" s="502" t="s">
        <v>124</v>
      </c>
      <c r="QNO46" s="502"/>
      <c r="QNP46" s="502"/>
      <c r="QNQ46" s="502"/>
      <c r="QNR46" s="502" t="s">
        <v>124</v>
      </c>
      <c r="QNS46" s="502"/>
      <c r="QNT46" s="502"/>
      <c r="QNU46" s="502"/>
      <c r="QNV46" s="502" t="s">
        <v>124</v>
      </c>
      <c r="QNW46" s="502"/>
      <c r="QNX46" s="502"/>
      <c r="QNY46" s="502"/>
      <c r="QNZ46" s="502" t="s">
        <v>124</v>
      </c>
      <c r="QOA46" s="502"/>
      <c r="QOB46" s="502"/>
      <c r="QOC46" s="502"/>
      <c r="QOD46" s="502" t="s">
        <v>124</v>
      </c>
      <c r="QOE46" s="502"/>
      <c r="QOF46" s="502"/>
      <c r="QOG46" s="502"/>
      <c r="QOH46" s="502" t="s">
        <v>124</v>
      </c>
      <c r="QOI46" s="502"/>
      <c r="QOJ46" s="502"/>
      <c r="QOK46" s="502"/>
      <c r="QOL46" s="502" t="s">
        <v>124</v>
      </c>
      <c r="QOM46" s="502"/>
      <c r="QON46" s="502"/>
      <c r="QOO46" s="502"/>
      <c r="QOP46" s="502" t="s">
        <v>124</v>
      </c>
      <c r="QOQ46" s="502"/>
      <c r="QOR46" s="502"/>
      <c r="QOS46" s="502"/>
      <c r="QOT46" s="502" t="s">
        <v>124</v>
      </c>
      <c r="QOU46" s="502"/>
      <c r="QOV46" s="502"/>
      <c r="QOW46" s="502"/>
      <c r="QOX46" s="502" t="s">
        <v>124</v>
      </c>
      <c r="QOY46" s="502"/>
      <c r="QOZ46" s="502"/>
      <c r="QPA46" s="502"/>
      <c r="QPB46" s="502" t="s">
        <v>124</v>
      </c>
      <c r="QPC46" s="502"/>
      <c r="QPD46" s="502"/>
      <c r="QPE46" s="502"/>
      <c r="QPF46" s="502" t="s">
        <v>124</v>
      </c>
      <c r="QPG46" s="502"/>
      <c r="QPH46" s="502"/>
      <c r="QPI46" s="502"/>
      <c r="QPJ46" s="502" t="s">
        <v>124</v>
      </c>
      <c r="QPK46" s="502"/>
      <c r="QPL46" s="502"/>
      <c r="QPM46" s="502"/>
      <c r="QPN46" s="502" t="s">
        <v>124</v>
      </c>
      <c r="QPO46" s="502"/>
      <c r="QPP46" s="502"/>
      <c r="QPQ46" s="502"/>
      <c r="QPR46" s="502" t="s">
        <v>124</v>
      </c>
      <c r="QPS46" s="502"/>
      <c r="QPT46" s="502"/>
      <c r="QPU46" s="502"/>
      <c r="QPV46" s="502" t="s">
        <v>124</v>
      </c>
      <c r="QPW46" s="502"/>
      <c r="QPX46" s="502"/>
      <c r="QPY46" s="502"/>
      <c r="QPZ46" s="502" t="s">
        <v>124</v>
      </c>
      <c r="QQA46" s="502"/>
      <c r="QQB46" s="502"/>
      <c r="QQC46" s="502"/>
      <c r="QQD46" s="502" t="s">
        <v>124</v>
      </c>
      <c r="QQE46" s="502"/>
      <c r="QQF46" s="502"/>
      <c r="QQG46" s="502"/>
      <c r="QQH46" s="502" t="s">
        <v>124</v>
      </c>
      <c r="QQI46" s="502"/>
      <c r="QQJ46" s="502"/>
      <c r="QQK46" s="502"/>
      <c r="QQL46" s="502" t="s">
        <v>124</v>
      </c>
      <c r="QQM46" s="502"/>
      <c r="QQN46" s="502"/>
      <c r="QQO46" s="502"/>
      <c r="QQP46" s="502" t="s">
        <v>124</v>
      </c>
      <c r="QQQ46" s="502"/>
      <c r="QQR46" s="502"/>
      <c r="QQS46" s="502"/>
      <c r="QQT46" s="502" t="s">
        <v>124</v>
      </c>
      <c r="QQU46" s="502"/>
      <c r="QQV46" s="502"/>
      <c r="QQW46" s="502"/>
      <c r="QQX46" s="502" t="s">
        <v>124</v>
      </c>
      <c r="QQY46" s="502"/>
      <c r="QQZ46" s="502"/>
      <c r="QRA46" s="502"/>
      <c r="QRB46" s="502" t="s">
        <v>124</v>
      </c>
      <c r="QRC46" s="502"/>
      <c r="QRD46" s="502"/>
      <c r="QRE46" s="502"/>
      <c r="QRF46" s="502" t="s">
        <v>124</v>
      </c>
      <c r="QRG46" s="502"/>
      <c r="QRH46" s="502"/>
      <c r="QRI46" s="502"/>
      <c r="QRJ46" s="502" t="s">
        <v>124</v>
      </c>
      <c r="QRK46" s="502"/>
      <c r="QRL46" s="502"/>
      <c r="QRM46" s="502"/>
      <c r="QRN46" s="502" t="s">
        <v>124</v>
      </c>
      <c r="QRO46" s="502"/>
      <c r="QRP46" s="502"/>
      <c r="QRQ46" s="502"/>
      <c r="QRR46" s="502" t="s">
        <v>124</v>
      </c>
      <c r="QRS46" s="502"/>
      <c r="QRT46" s="502"/>
      <c r="QRU46" s="502"/>
      <c r="QRV46" s="502" t="s">
        <v>124</v>
      </c>
      <c r="QRW46" s="502"/>
      <c r="QRX46" s="502"/>
      <c r="QRY46" s="502"/>
      <c r="QRZ46" s="502" t="s">
        <v>124</v>
      </c>
      <c r="QSA46" s="502"/>
      <c r="QSB46" s="502"/>
      <c r="QSC46" s="502"/>
      <c r="QSD46" s="502" t="s">
        <v>124</v>
      </c>
      <c r="QSE46" s="502"/>
      <c r="QSF46" s="502"/>
      <c r="QSG46" s="502"/>
      <c r="QSH46" s="502" t="s">
        <v>124</v>
      </c>
      <c r="QSI46" s="502"/>
      <c r="QSJ46" s="502"/>
      <c r="QSK46" s="502"/>
      <c r="QSL46" s="502" t="s">
        <v>124</v>
      </c>
      <c r="QSM46" s="502"/>
      <c r="QSN46" s="502"/>
      <c r="QSO46" s="502"/>
      <c r="QSP46" s="502" t="s">
        <v>124</v>
      </c>
      <c r="QSQ46" s="502"/>
      <c r="QSR46" s="502"/>
      <c r="QSS46" s="502"/>
      <c r="QST46" s="502" t="s">
        <v>124</v>
      </c>
      <c r="QSU46" s="502"/>
      <c r="QSV46" s="502"/>
      <c r="QSW46" s="502"/>
      <c r="QSX46" s="502" t="s">
        <v>124</v>
      </c>
      <c r="QSY46" s="502"/>
      <c r="QSZ46" s="502"/>
      <c r="QTA46" s="502"/>
      <c r="QTB46" s="502" t="s">
        <v>124</v>
      </c>
      <c r="QTC46" s="502"/>
      <c r="QTD46" s="502"/>
      <c r="QTE46" s="502"/>
      <c r="QTF46" s="502" t="s">
        <v>124</v>
      </c>
      <c r="QTG46" s="502"/>
      <c r="QTH46" s="502"/>
      <c r="QTI46" s="502"/>
      <c r="QTJ46" s="502" t="s">
        <v>124</v>
      </c>
      <c r="QTK46" s="502"/>
      <c r="QTL46" s="502"/>
      <c r="QTM46" s="502"/>
      <c r="QTN46" s="502" t="s">
        <v>124</v>
      </c>
      <c r="QTO46" s="502"/>
      <c r="QTP46" s="502"/>
      <c r="QTQ46" s="502"/>
      <c r="QTR46" s="502" t="s">
        <v>124</v>
      </c>
      <c r="QTS46" s="502"/>
      <c r="QTT46" s="502"/>
      <c r="QTU46" s="502"/>
      <c r="QTV46" s="502" t="s">
        <v>124</v>
      </c>
      <c r="QTW46" s="502"/>
      <c r="QTX46" s="502"/>
      <c r="QTY46" s="502"/>
      <c r="QTZ46" s="502" t="s">
        <v>124</v>
      </c>
      <c r="QUA46" s="502"/>
      <c r="QUB46" s="502"/>
      <c r="QUC46" s="502"/>
      <c r="QUD46" s="502" t="s">
        <v>124</v>
      </c>
      <c r="QUE46" s="502"/>
      <c r="QUF46" s="502"/>
      <c r="QUG46" s="502"/>
      <c r="QUH46" s="502" t="s">
        <v>124</v>
      </c>
      <c r="QUI46" s="502"/>
      <c r="QUJ46" s="502"/>
      <c r="QUK46" s="502"/>
      <c r="QUL46" s="502" t="s">
        <v>124</v>
      </c>
      <c r="QUM46" s="502"/>
      <c r="QUN46" s="502"/>
      <c r="QUO46" s="502"/>
      <c r="QUP46" s="502" t="s">
        <v>124</v>
      </c>
      <c r="QUQ46" s="502"/>
      <c r="QUR46" s="502"/>
      <c r="QUS46" s="502"/>
      <c r="QUT46" s="502" t="s">
        <v>124</v>
      </c>
      <c r="QUU46" s="502"/>
      <c r="QUV46" s="502"/>
      <c r="QUW46" s="502"/>
      <c r="QUX46" s="502" t="s">
        <v>124</v>
      </c>
      <c r="QUY46" s="502"/>
      <c r="QUZ46" s="502"/>
      <c r="QVA46" s="502"/>
      <c r="QVB46" s="502" t="s">
        <v>124</v>
      </c>
      <c r="QVC46" s="502"/>
      <c r="QVD46" s="502"/>
      <c r="QVE46" s="502"/>
      <c r="QVF46" s="502" t="s">
        <v>124</v>
      </c>
      <c r="QVG46" s="502"/>
      <c r="QVH46" s="502"/>
      <c r="QVI46" s="502"/>
      <c r="QVJ46" s="502" t="s">
        <v>124</v>
      </c>
      <c r="QVK46" s="502"/>
      <c r="QVL46" s="502"/>
      <c r="QVM46" s="502"/>
      <c r="QVN46" s="502" t="s">
        <v>124</v>
      </c>
      <c r="QVO46" s="502"/>
      <c r="QVP46" s="502"/>
      <c r="QVQ46" s="502"/>
      <c r="QVR46" s="502" t="s">
        <v>124</v>
      </c>
      <c r="QVS46" s="502"/>
      <c r="QVT46" s="502"/>
      <c r="QVU46" s="502"/>
      <c r="QVV46" s="502" t="s">
        <v>124</v>
      </c>
      <c r="QVW46" s="502"/>
      <c r="QVX46" s="502"/>
      <c r="QVY46" s="502"/>
      <c r="QVZ46" s="502" t="s">
        <v>124</v>
      </c>
      <c r="QWA46" s="502"/>
      <c r="QWB46" s="502"/>
      <c r="QWC46" s="502"/>
      <c r="QWD46" s="502" t="s">
        <v>124</v>
      </c>
      <c r="QWE46" s="502"/>
      <c r="QWF46" s="502"/>
      <c r="QWG46" s="502"/>
      <c r="QWH46" s="502" t="s">
        <v>124</v>
      </c>
      <c r="QWI46" s="502"/>
      <c r="QWJ46" s="502"/>
      <c r="QWK46" s="502"/>
      <c r="QWL46" s="502" t="s">
        <v>124</v>
      </c>
      <c r="QWM46" s="502"/>
      <c r="QWN46" s="502"/>
      <c r="QWO46" s="502"/>
      <c r="QWP46" s="502" t="s">
        <v>124</v>
      </c>
      <c r="QWQ46" s="502"/>
      <c r="QWR46" s="502"/>
      <c r="QWS46" s="502"/>
      <c r="QWT46" s="502" t="s">
        <v>124</v>
      </c>
      <c r="QWU46" s="502"/>
      <c r="QWV46" s="502"/>
      <c r="QWW46" s="502"/>
      <c r="QWX46" s="502" t="s">
        <v>124</v>
      </c>
      <c r="QWY46" s="502"/>
      <c r="QWZ46" s="502"/>
      <c r="QXA46" s="502"/>
      <c r="QXB46" s="502" t="s">
        <v>124</v>
      </c>
      <c r="QXC46" s="502"/>
      <c r="QXD46" s="502"/>
      <c r="QXE46" s="502"/>
      <c r="QXF46" s="502" t="s">
        <v>124</v>
      </c>
      <c r="QXG46" s="502"/>
      <c r="QXH46" s="502"/>
      <c r="QXI46" s="502"/>
      <c r="QXJ46" s="502" t="s">
        <v>124</v>
      </c>
      <c r="QXK46" s="502"/>
      <c r="QXL46" s="502"/>
      <c r="QXM46" s="502"/>
      <c r="QXN46" s="502" t="s">
        <v>124</v>
      </c>
      <c r="QXO46" s="502"/>
      <c r="QXP46" s="502"/>
      <c r="QXQ46" s="502"/>
      <c r="QXR46" s="502" t="s">
        <v>124</v>
      </c>
      <c r="QXS46" s="502"/>
      <c r="QXT46" s="502"/>
      <c r="QXU46" s="502"/>
      <c r="QXV46" s="502" t="s">
        <v>124</v>
      </c>
      <c r="QXW46" s="502"/>
      <c r="QXX46" s="502"/>
      <c r="QXY46" s="502"/>
      <c r="QXZ46" s="502" t="s">
        <v>124</v>
      </c>
      <c r="QYA46" s="502"/>
      <c r="QYB46" s="502"/>
      <c r="QYC46" s="502"/>
      <c r="QYD46" s="502" t="s">
        <v>124</v>
      </c>
      <c r="QYE46" s="502"/>
      <c r="QYF46" s="502"/>
      <c r="QYG46" s="502"/>
      <c r="QYH46" s="502" t="s">
        <v>124</v>
      </c>
      <c r="QYI46" s="502"/>
      <c r="QYJ46" s="502"/>
      <c r="QYK46" s="502"/>
      <c r="QYL46" s="502" t="s">
        <v>124</v>
      </c>
      <c r="QYM46" s="502"/>
      <c r="QYN46" s="502"/>
      <c r="QYO46" s="502"/>
      <c r="QYP46" s="502" t="s">
        <v>124</v>
      </c>
      <c r="QYQ46" s="502"/>
      <c r="QYR46" s="502"/>
      <c r="QYS46" s="502"/>
      <c r="QYT46" s="502" t="s">
        <v>124</v>
      </c>
      <c r="QYU46" s="502"/>
      <c r="QYV46" s="502"/>
      <c r="QYW46" s="502"/>
      <c r="QYX46" s="502" t="s">
        <v>124</v>
      </c>
      <c r="QYY46" s="502"/>
      <c r="QYZ46" s="502"/>
      <c r="QZA46" s="502"/>
      <c r="QZB46" s="502" t="s">
        <v>124</v>
      </c>
      <c r="QZC46" s="502"/>
      <c r="QZD46" s="502"/>
      <c r="QZE46" s="502"/>
      <c r="QZF46" s="502" t="s">
        <v>124</v>
      </c>
      <c r="QZG46" s="502"/>
      <c r="QZH46" s="502"/>
      <c r="QZI46" s="502"/>
      <c r="QZJ46" s="502" t="s">
        <v>124</v>
      </c>
      <c r="QZK46" s="502"/>
      <c r="QZL46" s="502"/>
      <c r="QZM46" s="502"/>
      <c r="QZN46" s="502" t="s">
        <v>124</v>
      </c>
      <c r="QZO46" s="502"/>
      <c r="QZP46" s="502"/>
      <c r="QZQ46" s="502"/>
      <c r="QZR46" s="502" t="s">
        <v>124</v>
      </c>
      <c r="QZS46" s="502"/>
      <c r="QZT46" s="502"/>
      <c r="QZU46" s="502"/>
      <c r="QZV46" s="502" t="s">
        <v>124</v>
      </c>
      <c r="QZW46" s="502"/>
      <c r="QZX46" s="502"/>
      <c r="QZY46" s="502"/>
      <c r="QZZ46" s="502" t="s">
        <v>124</v>
      </c>
      <c r="RAA46" s="502"/>
      <c r="RAB46" s="502"/>
      <c r="RAC46" s="502"/>
      <c r="RAD46" s="502" t="s">
        <v>124</v>
      </c>
      <c r="RAE46" s="502"/>
      <c r="RAF46" s="502"/>
      <c r="RAG46" s="502"/>
      <c r="RAH46" s="502" t="s">
        <v>124</v>
      </c>
      <c r="RAI46" s="502"/>
      <c r="RAJ46" s="502"/>
      <c r="RAK46" s="502"/>
      <c r="RAL46" s="502" t="s">
        <v>124</v>
      </c>
      <c r="RAM46" s="502"/>
      <c r="RAN46" s="502"/>
      <c r="RAO46" s="502"/>
      <c r="RAP46" s="502" t="s">
        <v>124</v>
      </c>
      <c r="RAQ46" s="502"/>
      <c r="RAR46" s="502"/>
      <c r="RAS46" s="502"/>
      <c r="RAT46" s="502" t="s">
        <v>124</v>
      </c>
      <c r="RAU46" s="502"/>
      <c r="RAV46" s="502"/>
      <c r="RAW46" s="502"/>
      <c r="RAX46" s="502" t="s">
        <v>124</v>
      </c>
      <c r="RAY46" s="502"/>
      <c r="RAZ46" s="502"/>
      <c r="RBA46" s="502"/>
      <c r="RBB46" s="502" t="s">
        <v>124</v>
      </c>
      <c r="RBC46" s="502"/>
      <c r="RBD46" s="502"/>
      <c r="RBE46" s="502"/>
      <c r="RBF46" s="502" t="s">
        <v>124</v>
      </c>
      <c r="RBG46" s="502"/>
      <c r="RBH46" s="502"/>
      <c r="RBI46" s="502"/>
      <c r="RBJ46" s="502" t="s">
        <v>124</v>
      </c>
      <c r="RBK46" s="502"/>
      <c r="RBL46" s="502"/>
      <c r="RBM46" s="502"/>
      <c r="RBN46" s="502" t="s">
        <v>124</v>
      </c>
      <c r="RBO46" s="502"/>
      <c r="RBP46" s="502"/>
      <c r="RBQ46" s="502"/>
      <c r="RBR46" s="502" t="s">
        <v>124</v>
      </c>
      <c r="RBS46" s="502"/>
      <c r="RBT46" s="502"/>
      <c r="RBU46" s="502"/>
      <c r="RBV46" s="502" t="s">
        <v>124</v>
      </c>
      <c r="RBW46" s="502"/>
      <c r="RBX46" s="502"/>
      <c r="RBY46" s="502"/>
      <c r="RBZ46" s="502" t="s">
        <v>124</v>
      </c>
      <c r="RCA46" s="502"/>
      <c r="RCB46" s="502"/>
      <c r="RCC46" s="502"/>
      <c r="RCD46" s="502" t="s">
        <v>124</v>
      </c>
      <c r="RCE46" s="502"/>
      <c r="RCF46" s="502"/>
      <c r="RCG46" s="502"/>
      <c r="RCH46" s="502" t="s">
        <v>124</v>
      </c>
      <c r="RCI46" s="502"/>
      <c r="RCJ46" s="502"/>
      <c r="RCK46" s="502"/>
      <c r="RCL46" s="502" t="s">
        <v>124</v>
      </c>
      <c r="RCM46" s="502"/>
      <c r="RCN46" s="502"/>
      <c r="RCO46" s="502"/>
      <c r="RCP46" s="502" t="s">
        <v>124</v>
      </c>
      <c r="RCQ46" s="502"/>
      <c r="RCR46" s="502"/>
      <c r="RCS46" s="502"/>
      <c r="RCT46" s="502" t="s">
        <v>124</v>
      </c>
      <c r="RCU46" s="502"/>
      <c r="RCV46" s="502"/>
      <c r="RCW46" s="502"/>
      <c r="RCX46" s="502" t="s">
        <v>124</v>
      </c>
      <c r="RCY46" s="502"/>
      <c r="RCZ46" s="502"/>
      <c r="RDA46" s="502"/>
      <c r="RDB46" s="502" t="s">
        <v>124</v>
      </c>
      <c r="RDC46" s="502"/>
      <c r="RDD46" s="502"/>
      <c r="RDE46" s="502"/>
      <c r="RDF46" s="502" t="s">
        <v>124</v>
      </c>
      <c r="RDG46" s="502"/>
      <c r="RDH46" s="502"/>
      <c r="RDI46" s="502"/>
      <c r="RDJ46" s="502" t="s">
        <v>124</v>
      </c>
      <c r="RDK46" s="502"/>
      <c r="RDL46" s="502"/>
      <c r="RDM46" s="502"/>
      <c r="RDN46" s="502" t="s">
        <v>124</v>
      </c>
      <c r="RDO46" s="502"/>
      <c r="RDP46" s="502"/>
      <c r="RDQ46" s="502"/>
      <c r="RDR46" s="502" t="s">
        <v>124</v>
      </c>
      <c r="RDS46" s="502"/>
      <c r="RDT46" s="502"/>
      <c r="RDU46" s="502"/>
      <c r="RDV46" s="502" t="s">
        <v>124</v>
      </c>
      <c r="RDW46" s="502"/>
      <c r="RDX46" s="502"/>
      <c r="RDY46" s="502"/>
      <c r="RDZ46" s="502" t="s">
        <v>124</v>
      </c>
      <c r="REA46" s="502"/>
      <c r="REB46" s="502"/>
      <c r="REC46" s="502"/>
      <c r="RED46" s="502" t="s">
        <v>124</v>
      </c>
      <c r="REE46" s="502"/>
      <c r="REF46" s="502"/>
      <c r="REG46" s="502"/>
      <c r="REH46" s="502" t="s">
        <v>124</v>
      </c>
      <c r="REI46" s="502"/>
      <c r="REJ46" s="502"/>
      <c r="REK46" s="502"/>
      <c r="REL46" s="502" t="s">
        <v>124</v>
      </c>
      <c r="REM46" s="502"/>
      <c r="REN46" s="502"/>
      <c r="REO46" s="502"/>
      <c r="REP46" s="502" t="s">
        <v>124</v>
      </c>
      <c r="REQ46" s="502"/>
      <c r="RER46" s="502"/>
      <c r="RES46" s="502"/>
      <c r="RET46" s="502" t="s">
        <v>124</v>
      </c>
      <c r="REU46" s="502"/>
      <c r="REV46" s="502"/>
      <c r="REW46" s="502"/>
      <c r="REX46" s="502" t="s">
        <v>124</v>
      </c>
      <c r="REY46" s="502"/>
      <c r="REZ46" s="502"/>
      <c r="RFA46" s="502"/>
      <c r="RFB46" s="502" t="s">
        <v>124</v>
      </c>
      <c r="RFC46" s="502"/>
      <c r="RFD46" s="502"/>
      <c r="RFE46" s="502"/>
      <c r="RFF46" s="502" t="s">
        <v>124</v>
      </c>
      <c r="RFG46" s="502"/>
      <c r="RFH46" s="502"/>
      <c r="RFI46" s="502"/>
      <c r="RFJ46" s="502" t="s">
        <v>124</v>
      </c>
      <c r="RFK46" s="502"/>
      <c r="RFL46" s="502"/>
      <c r="RFM46" s="502"/>
      <c r="RFN46" s="502" t="s">
        <v>124</v>
      </c>
      <c r="RFO46" s="502"/>
      <c r="RFP46" s="502"/>
      <c r="RFQ46" s="502"/>
      <c r="RFR46" s="502" t="s">
        <v>124</v>
      </c>
      <c r="RFS46" s="502"/>
      <c r="RFT46" s="502"/>
      <c r="RFU46" s="502"/>
      <c r="RFV46" s="502" t="s">
        <v>124</v>
      </c>
      <c r="RFW46" s="502"/>
      <c r="RFX46" s="502"/>
      <c r="RFY46" s="502"/>
      <c r="RFZ46" s="502" t="s">
        <v>124</v>
      </c>
      <c r="RGA46" s="502"/>
      <c r="RGB46" s="502"/>
      <c r="RGC46" s="502"/>
      <c r="RGD46" s="502" t="s">
        <v>124</v>
      </c>
      <c r="RGE46" s="502"/>
      <c r="RGF46" s="502"/>
      <c r="RGG46" s="502"/>
      <c r="RGH46" s="502" t="s">
        <v>124</v>
      </c>
      <c r="RGI46" s="502"/>
      <c r="RGJ46" s="502"/>
      <c r="RGK46" s="502"/>
      <c r="RGL46" s="502" t="s">
        <v>124</v>
      </c>
      <c r="RGM46" s="502"/>
      <c r="RGN46" s="502"/>
      <c r="RGO46" s="502"/>
      <c r="RGP46" s="502" t="s">
        <v>124</v>
      </c>
      <c r="RGQ46" s="502"/>
      <c r="RGR46" s="502"/>
      <c r="RGS46" s="502"/>
      <c r="RGT46" s="502" t="s">
        <v>124</v>
      </c>
      <c r="RGU46" s="502"/>
      <c r="RGV46" s="502"/>
      <c r="RGW46" s="502"/>
      <c r="RGX46" s="502" t="s">
        <v>124</v>
      </c>
      <c r="RGY46" s="502"/>
      <c r="RGZ46" s="502"/>
      <c r="RHA46" s="502"/>
      <c r="RHB46" s="502" t="s">
        <v>124</v>
      </c>
      <c r="RHC46" s="502"/>
      <c r="RHD46" s="502"/>
      <c r="RHE46" s="502"/>
      <c r="RHF46" s="502" t="s">
        <v>124</v>
      </c>
      <c r="RHG46" s="502"/>
      <c r="RHH46" s="502"/>
      <c r="RHI46" s="502"/>
      <c r="RHJ46" s="502" t="s">
        <v>124</v>
      </c>
      <c r="RHK46" s="502"/>
      <c r="RHL46" s="502"/>
      <c r="RHM46" s="502"/>
      <c r="RHN46" s="502" t="s">
        <v>124</v>
      </c>
      <c r="RHO46" s="502"/>
      <c r="RHP46" s="502"/>
      <c r="RHQ46" s="502"/>
      <c r="RHR46" s="502" t="s">
        <v>124</v>
      </c>
      <c r="RHS46" s="502"/>
      <c r="RHT46" s="502"/>
      <c r="RHU46" s="502"/>
      <c r="RHV46" s="502" t="s">
        <v>124</v>
      </c>
      <c r="RHW46" s="502"/>
      <c r="RHX46" s="502"/>
      <c r="RHY46" s="502"/>
      <c r="RHZ46" s="502" t="s">
        <v>124</v>
      </c>
      <c r="RIA46" s="502"/>
      <c r="RIB46" s="502"/>
      <c r="RIC46" s="502"/>
      <c r="RID46" s="502" t="s">
        <v>124</v>
      </c>
      <c r="RIE46" s="502"/>
      <c r="RIF46" s="502"/>
      <c r="RIG46" s="502"/>
      <c r="RIH46" s="502" t="s">
        <v>124</v>
      </c>
      <c r="RII46" s="502"/>
      <c r="RIJ46" s="502"/>
      <c r="RIK46" s="502"/>
      <c r="RIL46" s="502" t="s">
        <v>124</v>
      </c>
      <c r="RIM46" s="502"/>
      <c r="RIN46" s="502"/>
      <c r="RIO46" s="502"/>
      <c r="RIP46" s="502" t="s">
        <v>124</v>
      </c>
      <c r="RIQ46" s="502"/>
      <c r="RIR46" s="502"/>
      <c r="RIS46" s="502"/>
      <c r="RIT46" s="502" t="s">
        <v>124</v>
      </c>
      <c r="RIU46" s="502"/>
      <c r="RIV46" s="502"/>
      <c r="RIW46" s="502"/>
      <c r="RIX46" s="502" t="s">
        <v>124</v>
      </c>
      <c r="RIY46" s="502"/>
      <c r="RIZ46" s="502"/>
      <c r="RJA46" s="502"/>
      <c r="RJB46" s="502" t="s">
        <v>124</v>
      </c>
      <c r="RJC46" s="502"/>
      <c r="RJD46" s="502"/>
      <c r="RJE46" s="502"/>
      <c r="RJF46" s="502" t="s">
        <v>124</v>
      </c>
      <c r="RJG46" s="502"/>
      <c r="RJH46" s="502"/>
      <c r="RJI46" s="502"/>
      <c r="RJJ46" s="502" t="s">
        <v>124</v>
      </c>
      <c r="RJK46" s="502"/>
      <c r="RJL46" s="502"/>
      <c r="RJM46" s="502"/>
      <c r="RJN46" s="502" t="s">
        <v>124</v>
      </c>
      <c r="RJO46" s="502"/>
      <c r="RJP46" s="502"/>
      <c r="RJQ46" s="502"/>
      <c r="RJR46" s="502" t="s">
        <v>124</v>
      </c>
      <c r="RJS46" s="502"/>
      <c r="RJT46" s="502"/>
      <c r="RJU46" s="502"/>
      <c r="RJV46" s="502" t="s">
        <v>124</v>
      </c>
      <c r="RJW46" s="502"/>
      <c r="RJX46" s="502"/>
      <c r="RJY46" s="502"/>
      <c r="RJZ46" s="502" t="s">
        <v>124</v>
      </c>
      <c r="RKA46" s="502"/>
      <c r="RKB46" s="502"/>
      <c r="RKC46" s="502"/>
      <c r="RKD46" s="502" t="s">
        <v>124</v>
      </c>
      <c r="RKE46" s="502"/>
      <c r="RKF46" s="502"/>
      <c r="RKG46" s="502"/>
      <c r="RKH46" s="502" t="s">
        <v>124</v>
      </c>
      <c r="RKI46" s="502"/>
      <c r="RKJ46" s="502"/>
      <c r="RKK46" s="502"/>
      <c r="RKL46" s="502" t="s">
        <v>124</v>
      </c>
      <c r="RKM46" s="502"/>
      <c r="RKN46" s="502"/>
      <c r="RKO46" s="502"/>
      <c r="RKP46" s="502" t="s">
        <v>124</v>
      </c>
      <c r="RKQ46" s="502"/>
      <c r="RKR46" s="502"/>
      <c r="RKS46" s="502"/>
      <c r="RKT46" s="502" t="s">
        <v>124</v>
      </c>
      <c r="RKU46" s="502"/>
      <c r="RKV46" s="502"/>
      <c r="RKW46" s="502"/>
      <c r="RKX46" s="502" t="s">
        <v>124</v>
      </c>
      <c r="RKY46" s="502"/>
      <c r="RKZ46" s="502"/>
      <c r="RLA46" s="502"/>
      <c r="RLB46" s="502" t="s">
        <v>124</v>
      </c>
      <c r="RLC46" s="502"/>
      <c r="RLD46" s="502"/>
      <c r="RLE46" s="502"/>
      <c r="RLF46" s="502" t="s">
        <v>124</v>
      </c>
      <c r="RLG46" s="502"/>
      <c r="RLH46" s="502"/>
      <c r="RLI46" s="502"/>
      <c r="RLJ46" s="502" t="s">
        <v>124</v>
      </c>
      <c r="RLK46" s="502"/>
      <c r="RLL46" s="502"/>
      <c r="RLM46" s="502"/>
      <c r="RLN46" s="502" t="s">
        <v>124</v>
      </c>
      <c r="RLO46" s="502"/>
      <c r="RLP46" s="502"/>
      <c r="RLQ46" s="502"/>
      <c r="RLR46" s="502" t="s">
        <v>124</v>
      </c>
      <c r="RLS46" s="502"/>
      <c r="RLT46" s="502"/>
      <c r="RLU46" s="502"/>
      <c r="RLV46" s="502" t="s">
        <v>124</v>
      </c>
      <c r="RLW46" s="502"/>
      <c r="RLX46" s="502"/>
      <c r="RLY46" s="502"/>
      <c r="RLZ46" s="502" t="s">
        <v>124</v>
      </c>
      <c r="RMA46" s="502"/>
      <c r="RMB46" s="502"/>
      <c r="RMC46" s="502"/>
      <c r="RMD46" s="502" t="s">
        <v>124</v>
      </c>
      <c r="RME46" s="502"/>
      <c r="RMF46" s="502"/>
      <c r="RMG46" s="502"/>
      <c r="RMH46" s="502" t="s">
        <v>124</v>
      </c>
      <c r="RMI46" s="502"/>
      <c r="RMJ46" s="502"/>
      <c r="RMK46" s="502"/>
      <c r="RML46" s="502" t="s">
        <v>124</v>
      </c>
      <c r="RMM46" s="502"/>
      <c r="RMN46" s="502"/>
      <c r="RMO46" s="502"/>
      <c r="RMP46" s="502" t="s">
        <v>124</v>
      </c>
      <c r="RMQ46" s="502"/>
      <c r="RMR46" s="502"/>
      <c r="RMS46" s="502"/>
      <c r="RMT46" s="502" t="s">
        <v>124</v>
      </c>
      <c r="RMU46" s="502"/>
      <c r="RMV46" s="502"/>
      <c r="RMW46" s="502"/>
      <c r="RMX46" s="502" t="s">
        <v>124</v>
      </c>
      <c r="RMY46" s="502"/>
      <c r="RMZ46" s="502"/>
      <c r="RNA46" s="502"/>
      <c r="RNB46" s="502" t="s">
        <v>124</v>
      </c>
      <c r="RNC46" s="502"/>
      <c r="RND46" s="502"/>
      <c r="RNE46" s="502"/>
      <c r="RNF46" s="502" t="s">
        <v>124</v>
      </c>
      <c r="RNG46" s="502"/>
      <c r="RNH46" s="502"/>
      <c r="RNI46" s="502"/>
      <c r="RNJ46" s="502" t="s">
        <v>124</v>
      </c>
      <c r="RNK46" s="502"/>
      <c r="RNL46" s="502"/>
      <c r="RNM46" s="502"/>
      <c r="RNN46" s="502" t="s">
        <v>124</v>
      </c>
      <c r="RNO46" s="502"/>
      <c r="RNP46" s="502"/>
      <c r="RNQ46" s="502"/>
      <c r="RNR46" s="502" t="s">
        <v>124</v>
      </c>
      <c r="RNS46" s="502"/>
      <c r="RNT46" s="502"/>
      <c r="RNU46" s="502"/>
      <c r="RNV46" s="502" t="s">
        <v>124</v>
      </c>
      <c r="RNW46" s="502"/>
      <c r="RNX46" s="502"/>
      <c r="RNY46" s="502"/>
      <c r="RNZ46" s="502" t="s">
        <v>124</v>
      </c>
      <c r="ROA46" s="502"/>
      <c r="ROB46" s="502"/>
      <c r="ROC46" s="502"/>
      <c r="ROD46" s="502" t="s">
        <v>124</v>
      </c>
      <c r="ROE46" s="502"/>
      <c r="ROF46" s="502"/>
      <c r="ROG46" s="502"/>
      <c r="ROH46" s="502" t="s">
        <v>124</v>
      </c>
      <c r="ROI46" s="502"/>
      <c r="ROJ46" s="502"/>
      <c r="ROK46" s="502"/>
      <c r="ROL46" s="502" t="s">
        <v>124</v>
      </c>
      <c r="ROM46" s="502"/>
      <c r="RON46" s="502"/>
      <c r="ROO46" s="502"/>
      <c r="ROP46" s="502" t="s">
        <v>124</v>
      </c>
      <c r="ROQ46" s="502"/>
      <c r="ROR46" s="502"/>
      <c r="ROS46" s="502"/>
      <c r="ROT46" s="502" t="s">
        <v>124</v>
      </c>
      <c r="ROU46" s="502"/>
      <c r="ROV46" s="502"/>
      <c r="ROW46" s="502"/>
      <c r="ROX46" s="502" t="s">
        <v>124</v>
      </c>
      <c r="ROY46" s="502"/>
      <c r="ROZ46" s="502"/>
      <c r="RPA46" s="502"/>
      <c r="RPB46" s="502" t="s">
        <v>124</v>
      </c>
      <c r="RPC46" s="502"/>
      <c r="RPD46" s="502"/>
      <c r="RPE46" s="502"/>
      <c r="RPF46" s="502" t="s">
        <v>124</v>
      </c>
      <c r="RPG46" s="502"/>
      <c r="RPH46" s="502"/>
      <c r="RPI46" s="502"/>
      <c r="RPJ46" s="502" t="s">
        <v>124</v>
      </c>
      <c r="RPK46" s="502"/>
      <c r="RPL46" s="502"/>
      <c r="RPM46" s="502"/>
      <c r="RPN46" s="502" t="s">
        <v>124</v>
      </c>
      <c r="RPO46" s="502"/>
      <c r="RPP46" s="502"/>
      <c r="RPQ46" s="502"/>
      <c r="RPR46" s="502" t="s">
        <v>124</v>
      </c>
      <c r="RPS46" s="502"/>
      <c r="RPT46" s="502"/>
      <c r="RPU46" s="502"/>
      <c r="RPV46" s="502" t="s">
        <v>124</v>
      </c>
      <c r="RPW46" s="502"/>
      <c r="RPX46" s="502"/>
      <c r="RPY46" s="502"/>
      <c r="RPZ46" s="502" t="s">
        <v>124</v>
      </c>
      <c r="RQA46" s="502"/>
      <c r="RQB46" s="502"/>
      <c r="RQC46" s="502"/>
      <c r="RQD46" s="502" t="s">
        <v>124</v>
      </c>
      <c r="RQE46" s="502"/>
      <c r="RQF46" s="502"/>
      <c r="RQG46" s="502"/>
      <c r="RQH46" s="502" t="s">
        <v>124</v>
      </c>
      <c r="RQI46" s="502"/>
      <c r="RQJ46" s="502"/>
      <c r="RQK46" s="502"/>
      <c r="RQL46" s="502" t="s">
        <v>124</v>
      </c>
      <c r="RQM46" s="502"/>
      <c r="RQN46" s="502"/>
      <c r="RQO46" s="502"/>
      <c r="RQP46" s="502" t="s">
        <v>124</v>
      </c>
      <c r="RQQ46" s="502"/>
      <c r="RQR46" s="502"/>
      <c r="RQS46" s="502"/>
      <c r="RQT46" s="502" t="s">
        <v>124</v>
      </c>
      <c r="RQU46" s="502"/>
      <c r="RQV46" s="502"/>
      <c r="RQW46" s="502"/>
      <c r="RQX46" s="502" t="s">
        <v>124</v>
      </c>
      <c r="RQY46" s="502"/>
      <c r="RQZ46" s="502"/>
      <c r="RRA46" s="502"/>
      <c r="RRB46" s="502" t="s">
        <v>124</v>
      </c>
      <c r="RRC46" s="502"/>
      <c r="RRD46" s="502"/>
      <c r="RRE46" s="502"/>
      <c r="RRF46" s="502" t="s">
        <v>124</v>
      </c>
      <c r="RRG46" s="502"/>
      <c r="RRH46" s="502"/>
      <c r="RRI46" s="502"/>
      <c r="RRJ46" s="502" t="s">
        <v>124</v>
      </c>
      <c r="RRK46" s="502"/>
      <c r="RRL46" s="502"/>
      <c r="RRM46" s="502"/>
      <c r="RRN46" s="502" t="s">
        <v>124</v>
      </c>
      <c r="RRO46" s="502"/>
      <c r="RRP46" s="502"/>
      <c r="RRQ46" s="502"/>
      <c r="RRR46" s="502" t="s">
        <v>124</v>
      </c>
      <c r="RRS46" s="502"/>
      <c r="RRT46" s="502"/>
      <c r="RRU46" s="502"/>
      <c r="RRV46" s="502" t="s">
        <v>124</v>
      </c>
      <c r="RRW46" s="502"/>
      <c r="RRX46" s="502"/>
      <c r="RRY46" s="502"/>
      <c r="RRZ46" s="502" t="s">
        <v>124</v>
      </c>
      <c r="RSA46" s="502"/>
      <c r="RSB46" s="502"/>
      <c r="RSC46" s="502"/>
      <c r="RSD46" s="502" t="s">
        <v>124</v>
      </c>
      <c r="RSE46" s="502"/>
      <c r="RSF46" s="502"/>
      <c r="RSG46" s="502"/>
      <c r="RSH46" s="502" t="s">
        <v>124</v>
      </c>
      <c r="RSI46" s="502"/>
      <c r="RSJ46" s="502"/>
      <c r="RSK46" s="502"/>
      <c r="RSL46" s="502" t="s">
        <v>124</v>
      </c>
      <c r="RSM46" s="502"/>
      <c r="RSN46" s="502"/>
      <c r="RSO46" s="502"/>
      <c r="RSP46" s="502" t="s">
        <v>124</v>
      </c>
      <c r="RSQ46" s="502"/>
      <c r="RSR46" s="502"/>
      <c r="RSS46" s="502"/>
      <c r="RST46" s="502" t="s">
        <v>124</v>
      </c>
      <c r="RSU46" s="502"/>
      <c r="RSV46" s="502"/>
      <c r="RSW46" s="502"/>
      <c r="RSX46" s="502" t="s">
        <v>124</v>
      </c>
      <c r="RSY46" s="502"/>
      <c r="RSZ46" s="502"/>
      <c r="RTA46" s="502"/>
      <c r="RTB46" s="502" t="s">
        <v>124</v>
      </c>
      <c r="RTC46" s="502"/>
      <c r="RTD46" s="502"/>
      <c r="RTE46" s="502"/>
      <c r="RTF46" s="502" t="s">
        <v>124</v>
      </c>
      <c r="RTG46" s="502"/>
      <c r="RTH46" s="502"/>
      <c r="RTI46" s="502"/>
      <c r="RTJ46" s="502" t="s">
        <v>124</v>
      </c>
      <c r="RTK46" s="502"/>
      <c r="RTL46" s="502"/>
      <c r="RTM46" s="502"/>
      <c r="RTN46" s="502" t="s">
        <v>124</v>
      </c>
      <c r="RTO46" s="502"/>
      <c r="RTP46" s="502"/>
      <c r="RTQ46" s="502"/>
      <c r="RTR46" s="502" t="s">
        <v>124</v>
      </c>
      <c r="RTS46" s="502"/>
      <c r="RTT46" s="502"/>
      <c r="RTU46" s="502"/>
      <c r="RTV46" s="502" t="s">
        <v>124</v>
      </c>
      <c r="RTW46" s="502"/>
      <c r="RTX46" s="502"/>
      <c r="RTY46" s="502"/>
      <c r="RTZ46" s="502" t="s">
        <v>124</v>
      </c>
      <c r="RUA46" s="502"/>
      <c r="RUB46" s="502"/>
      <c r="RUC46" s="502"/>
      <c r="RUD46" s="502" t="s">
        <v>124</v>
      </c>
      <c r="RUE46" s="502"/>
      <c r="RUF46" s="502"/>
      <c r="RUG46" s="502"/>
      <c r="RUH46" s="502" t="s">
        <v>124</v>
      </c>
      <c r="RUI46" s="502"/>
      <c r="RUJ46" s="502"/>
      <c r="RUK46" s="502"/>
      <c r="RUL46" s="502" t="s">
        <v>124</v>
      </c>
      <c r="RUM46" s="502"/>
      <c r="RUN46" s="502"/>
      <c r="RUO46" s="502"/>
      <c r="RUP46" s="502" t="s">
        <v>124</v>
      </c>
      <c r="RUQ46" s="502"/>
      <c r="RUR46" s="502"/>
      <c r="RUS46" s="502"/>
      <c r="RUT46" s="502" t="s">
        <v>124</v>
      </c>
      <c r="RUU46" s="502"/>
      <c r="RUV46" s="502"/>
      <c r="RUW46" s="502"/>
      <c r="RUX46" s="502" t="s">
        <v>124</v>
      </c>
      <c r="RUY46" s="502"/>
      <c r="RUZ46" s="502"/>
      <c r="RVA46" s="502"/>
      <c r="RVB46" s="502" t="s">
        <v>124</v>
      </c>
      <c r="RVC46" s="502"/>
      <c r="RVD46" s="502"/>
      <c r="RVE46" s="502"/>
      <c r="RVF46" s="502" t="s">
        <v>124</v>
      </c>
      <c r="RVG46" s="502"/>
      <c r="RVH46" s="502"/>
      <c r="RVI46" s="502"/>
      <c r="RVJ46" s="502" t="s">
        <v>124</v>
      </c>
      <c r="RVK46" s="502"/>
      <c r="RVL46" s="502"/>
      <c r="RVM46" s="502"/>
      <c r="RVN46" s="502" t="s">
        <v>124</v>
      </c>
      <c r="RVO46" s="502"/>
      <c r="RVP46" s="502"/>
      <c r="RVQ46" s="502"/>
      <c r="RVR46" s="502" t="s">
        <v>124</v>
      </c>
      <c r="RVS46" s="502"/>
      <c r="RVT46" s="502"/>
      <c r="RVU46" s="502"/>
      <c r="RVV46" s="502" t="s">
        <v>124</v>
      </c>
      <c r="RVW46" s="502"/>
      <c r="RVX46" s="502"/>
      <c r="RVY46" s="502"/>
      <c r="RVZ46" s="502" t="s">
        <v>124</v>
      </c>
      <c r="RWA46" s="502"/>
      <c r="RWB46" s="502"/>
      <c r="RWC46" s="502"/>
      <c r="RWD46" s="502" t="s">
        <v>124</v>
      </c>
      <c r="RWE46" s="502"/>
      <c r="RWF46" s="502"/>
      <c r="RWG46" s="502"/>
      <c r="RWH46" s="502" t="s">
        <v>124</v>
      </c>
      <c r="RWI46" s="502"/>
      <c r="RWJ46" s="502"/>
      <c r="RWK46" s="502"/>
      <c r="RWL46" s="502" t="s">
        <v>124</v>
      </c>
      <c r="RWM46" s="502"/>
      <c r="RWN46" s="502"/>
      <c r="RWO46" s="502"/>
      <c r="RWP46" s="502" t="s">
        <v>124</v>
      </c>
      <c r="RWQ46" s="502"/>
      <c r="RWR46" s="502"/>
      <c r="RWS46" s="502"/>
      <c r="RWT46" s="502" t="s">
        <v>124</v>
      </c>
      <c r="RWU46" s="502"/>
      <c r="RWV46" s="502"/>
      <c r="RWW46" s="502"/>
      <c r="RWX46" s="502" t="s">
        <v>124</v>
      </c>
      <c r="RWY46" s="502"/>
      <c r="RWZ46" s="502"/>
      <c r="RXA46" s="502"/>
      <c r="RXB46" s="502" t="s">
        <v>124</v>
      </c>
      <c r="RXC46" s="502"/>
      <c r="RXD46" s="502"/>
      <c r="RXE46" s="502"/>
      <c r="RXF46" s="502" t="s">
        <v>124</v>
      </c>
      <c r="RXG46" s="502"/>
      <c r="RXH46" s="502"/>
      <c r="RXI46" s="502"/>
      <c r="RXJ46" s="502" t="s">
        <v>124</v>
      </c>
      <c r="RXK46" s="502"/>
      <c r="RXL46" s="502"/>
      <c r="RXM46" s="502"/>
      <c r="RXN46" s="502" t="s">
        <v>124</v>
      </c>
      <c r="RXO46" s="502"/>
      <c r="RXP46" s="502"/>
      <c r="RXQ46" s="502"/>
      <c r="RXR46" s="502" t="s">
        <v>124</v>
      </c>
      <c r="RXS46" s="502"/>
      <c r="RXT46" s="502"/>
      <c r="RXU46" s="502"/>
      <c r="RXV46" s="502" t="s">
        <v>124</v>
      </c>
      <c r="RXW46" s="502"/>
      <c r="RXX46" s="502"/>
      <c r="RXY46" s="502"/>
      <c r="RXZ46" s="502" t="s">
        <v>124</v>
      </c>
      <c r="RYA46" s="502"/>
      <c r="RYB46" s="502"/>
      <c r="RYC46" s="502"/>
      <c r="RYD46" s="502" t="s">
        <v>124</v>
      </c>
      <c r="RYE46" s="502"/>
      <c r="RYF46" s="502"/>
      <c r="RYG46" s="502"/>
      <c r="RYH46" s="502" t="s">
        <v>124</v>
      </c>
      <c r="RYI46" s="502"/>
      <c r="RYJ46" s="502"/>
      <c r="RYK46" s="502"/>
      <c r="RYL46" s="502" t="s">
        <v>124</v>
      </c>
      <c r="RYM46" s="502"/>
      <c r="RYN46" s="502"/>
      <c r="RYO46" s="502"/>
      <c r="RYP46" s="502" t="s">
        <v>124</v>
      </c>
      <c r="RYQ46" s="502"/>
      <c r="RYR46" s="502"/>
      <c r="RYS46" s="502"/>
      <c r="RYT46" s="502" t="s">
        <v>124</v>
      </c>
      <c r="RYU46" s="502"/>
      <c r="RYV46" s="502"/>
      <c r="RYW46" s="502"/>
      <c r="RYX46" s="502" t="s">
        <v>124</v>
      </c>
      <c r="RYY46" s="502"/>
      <c r="RYZ46" s="502"/>
      <c r="RZA46" s="502"/>
      <c r="RZB46" s="502" t="s">
        <v>124</v>
      </c>
      <c r="RZC46" s="502"/>
      <c r="RZD46" s="502"/>
      <c r="RZE46" s="502"/>
      <c r="RZF46" s="502" t="s">
        <v>124</v>
      </c>
      <c r="RZG46" s="502"/>
      <c r="RZH46" s="502"/>
      <c r="RZI46" s="502"/>
      <c r="RZJ46" s="502" t="s">
        <v>124</v>
      </c>
      <c r="RZK46" s="502"/>
      <c r="RZL46" s="502"/>
      <c r="RZM46" s="502"/>
      <c r="RZN46" s="502" t="s">
        <v>124</v>
      </c>
      <c r="RZO46" s="502"/>
      <c r="RZP46" s="502"/>
      <c r="RZQ46" s="502"/>
      <c r="RZR46" s="502" t="s">
        <v>124</v>
      </c>
      <c r="RZS46" s="502"/>
      <c r="RZT46" s="502"/>
      <c r="RZU46" s="502"/>
      <c r="RZV46" s="502" t="s">
        <v>124</v>
      </c>
      <c r="RZW46" s="502"/>
      <c r="RZX46" s="502"/>
      <c r="RZY46" s="502"/>
      <c r="RZZ46" s="502" t="s">
        <v>124</v>
      </c>
      <c r="SAA46" s="502"/>
      <c r="SAB46" s="502"/>
      <c r="SAC46" s="502"/>
      <c r="SAD46" s="502" t="s">
        <v>124</v>
      </c>
      <c r="SAE46" s="502"/>
      <c r="SAF46" s="502"/>
      <c r="SAG46" s="502"/>
      <c r="SAH46" s="502" t="s">
        <v>124</v>
      </c>
      <c r="SAI46" s="502"/>
      <c r="SAJ46" s="502"/>
      <c r="SAK46" s="502"/>
      <c r="SAL46" s="502" t="s">
        <v>124</v>
      </c>
      <c r="SAM46" s="502"/>
      <c r="SAN46" s="502"/>
      <c r="SAO46" s="502"/>
      <c r="SAP46" s="502" t="s">
        <v>124</v>
      </c>
      <c r="SAQ46" s="502"/>
      <c r="SAR46" s="502"/>
      <c r="SAS46" s="502"/>
      <c r="SAT46" s="502" t="s">
        <v>124</v>
      </c>
      <c r="SAU46" s="502"/>
      <c r="SAV46" s="502"/>
      <c r="SAW46" s="502"/>
      <c r="SAX46" s="502" t="s">
        <v>124</v>
      </c>
      <c r="SAY46" s="502"/>
      <c r="SAZ46" s="502"/>
      <c r="SBA46" s="502"/>
      <c r="SBB46" s="502" t="s">
        <v>124</v>
      </c>
      <c r="SBC46" s="502"/>
      <c r="SBD46" s="502"/>
      <c r="SBE46" s="502"/>
      <c r="SBF46" s="502" t="s">
        <v>124</v>
      </c>
      <c r="SBG46" s="502"/>
      <c r="SBH46" s="502"/>
      <c r="SBI46" s="502"/>
      <c r="SBJ46" s="502" t="s">
        <v>124</v>
      </c>
      <c r="SBK46" s="502"/>
      <c r="SBL46" s="502"/>
      <c r="SBM46" s="502"/>
      <c r="SBN46" s="502" t="s">
        <v>124</v>
      </c>
      <c r="SBO46" s="502"/>
      <c r="SBP46" s="502"/>
      <c r="SBQ46" s="502"/>
      <c r="SBR46" s="502" t="s">
        <v>124</v>
      </c>
      <c r="SBS46" s="502"/>
      <c r="SBT46" s="502"/>
      <c r="SBU46" s="502"/>
      <c r="SBV46" s="502" t="s">
        <v>124</v>
      </c>
      <c r="SBW46" s="502"/>
      <c r="SBX46" s="502"/>
      <c r="SBY46" s="502"/>
      <c r="SBZ46" s="502" t="s">
        <v>124</v>
      </c>
      <c r="SCA46" s="502"/>
      <c r="SCB46" s="502"/>
      <c r="SCC46" s="502"/>
      <c r="SCD46" s="502" t="s">
        <v>124</v>
      </c>
      <c r="SCE46" s="502"/>
      <c r="SCF46" s="502"/>
      <c r="SCG46" s="502"/>
      <c r="SCH46" s="502" t="s">
        <v>124</v>
      </c>
      <c r="SCI46" s="502"/>
      <c r="SCJ46" s="502"/>
      <c r="SCK46" s="502"/>
      <c r="SCL46" s="502" t="s">
        <v>124</v>
      </c>
      <c r="SCM46" s="502"/>
      <c r="SCN46" s="502"/>
      <c r="SCO46" s="502"/>
      <c r="SCP46" s="502" t="s">
        <v>124</v>
      </c>
      <c r="SCQ46" s="502"/>
      <c r="SCR46" s="502"/>
      <c r="SCS46" s="502"/>
      <c r="SCT46" s="502" t="s">
        <v>124</v>
      </c>
      <c r="SCU46" s="502"/>
      <c r="SCV46" s="502"/>
      <c r="SCW46" s="502"/>
      <c r="SCX46" s="502" t="s">
        <v>124</v>
      </c>
      <c r="SCY46" s="502"/>
      <c r="SCZ46" s="502"/>
      <c r="SDA46" s="502"/>
      <c r="SDB46" s="502" t="s">
        <v>124</v>
      </c>
      <c r="SDC46" s="502"/>
      <c r="SDD46" s="502"/>
      <c r="SDE46" s="502"/>
      <c r="SDF46" s="502" t="s">
        <v>124</v>
      </c>
      <c r="SDG46" s="502"/>
      <c r="SDH46" s="502"/>
      <c r="SDI46" s="502"/>
      <c r="SDJ46" s="502" t="s">
        <v>124</v>
      </c>
      <c r="SDK46" s="502"/>
      <c r="SDL46" s="502"/>
      <c r="SDM46" s="502"/>
      <c r="SDN46" s="502" t="s">
        <v>124</v>
      </c>
      <c r="SDO46" s="502"/>
      <c r="SDP46" s="502"/>
      <c r="SDQ46" s="502"/>
      <c r="SDR46" s="502" t="s">
        <v>124</v>
      </c>
      <c r="SDS46" s="502"/>
      <c r="SDT46" s="502"/>
      <c r="SDU46" s="502"/>
      <c r="SDV46" s="502" t="s">
        <v>124</v>
      </c>
      <c r="SDW46" s="502"/>
      <c r="SDX46" s="502"/>
      <c r="SDY46" s="502"/>
      <c r="SDZ46" s="502" t="s">
        <v>124</v>
      </c>
      <c r="SEA46" s="502"/>
      <c r="SEB46" s="502"/>
      <c r="SEC46" s="502"/>
      <c r="SED46" s="502" t="s">
        <v>124</v>
      </c>
      <c r="SEE46" s="502"/>
      <c r="SEF46" s="502"/>
      <c r="SEG46" s="502"/>
      <c r="SEH46" s="502" t="s">
        <v>124</v>
      </c>
      <c r="SEI46" s="502"/>
      <c r="SEJ46" s="502"/>
      <c r="SEK46" s="502"/>
      <c r="SEL46" s="502" t="s">
        <v>124</v>
      </c>
      <c r="SEM46" s="502"/>
      <c r="SEN46" s="502"/>
      <c r="SEO46" s="502"/>
      <c r="SEP46" s="502" t="s">
        <v>124</v>
      </c>
      <c r="SEQ46" s="502"/>
      <c r="SER46" s="502"/>
      <c r="SES46" s="502"/>
      <c r="SET46" s="502" t="s">
        <v>124</v>
      </c>
      <c r="SEU46" s="502"/>
      <c r="SEV46" s="502"/>
      <c r="SEW46" s="502"/>
      <c r="SEX46" s="502" t="s">
        <v>124</v>
      </c>
      <c r="SEY46" s="502"/>
      <c r="SEZ46" s="502"/>
      <c r="SFA46" s="502"/>
      <c r="SFB46" s="502" t="s">
        <v>124</v>
      </c>
      <c r="SFC46" s="502"/>
      <c r="SFD46" s="502"/>
      <c r="SFE46" s="502"/>
      <c r="SFF46" s="502" t="s">
        <v>124</v>
      </c>
      <c r="SFG46" s="502"/>
      <c r="SFH46" s="502"/>
      <c r="SFI46" s="502"/>
      <c r="SFJ46" s="502" t="s">
        <v>124</v>
      </c>
      <c r="SFK46" s="502"/>
      <c r="SFL46" s="502"/>
      <c r="SFM46" s="502"/>
      <c r="SFN46" s="502" t="s">
        <v>124</v>
      </c>
      <c r="SFO46" s="502"/>
      <c r="SFP46" s="502"/>
      <c r="SFQ46" s="502"/>
      <c r="SFR46" s="502" t="s">
        <v>124</v>
      </c>
      <c r="SFS46" s="502"/>
      <c r="SFT46" s="502"/>
      <c r="SFU46" s="502"/>
      <c r="SFV46" s="502" t="s">
        <v>124</v>
      </c>
      <c r="SFW46" s="502"/>
      <c r="SFX46" s="502"/>
      <c r="SFY46" s="502"/>
      <c r="SFZ46" s="502" t="s">
        <v>124</v>
      </c>
      <c r="SGA46" s="502"/>
      <c r="SGB46" s="502"/>
      <c r="SGC46" s="502"/>
      <c r="SGD46" s="502" t="s">
        <v>124</v>
      </c>
      <c r="SGE46" s="502"/>
      <c r="SGF46" s="502"/>
      <c r="SGG46" s="502"/>
      <c r="SGH46" s="502" t="s">
        <v>124</v>
      </c>
      <c r="SGI46" s="502"/>
      <c r="SGJ46" s="502"/>
      <c r="SGK46" s="502"/>
      <c r="SGL46" s="502" t="s">
        <v>124</v>
      </c>
      <c r="SGM46" s="502"/>
      <c r="SGN46" s="502"/>
      <c r="SGO46" s="502"/>
      <c r="SGP46" s="502" t="s">
        <v>124</v>
      </c>
      <c r="SGQ46" s="502"/>
      <c r="SGR46" s="502"/>
      <c r="SGS46" s="502"/>
      <c r="SGT46" s="502" t="s">
        <v>124</v>
      </c>
      <c r="SGU46" s="502"/>
      <c r="SGV46" s="502"/>
      <c r="SGW46" s="502"/>
      <c r="SGX46" s="502" t="s">
        <v>124</v>
      </c>
      <c r="SGY46" s="502"/>
      <c r="SGZ46" s="502"/>
      <c r="SHA46" s="502"/>
      <c r="SHB46" s="502" t="s">
        <v>124</v>
      </c>
      <c r="SHC46" s="502"/>
      <c r="SHD46" s="502"/>
      <c r="SHE46" s="502"/>
      <c r="SHF46" s="502" t="s">
        <v>124</v>
      </c>
      <c r="SHG46" s="502"/>
      <c r="SHH46" s="502"/>
      <c r="SHI46" s="502"/>
      <c r="SHJ46" s="502" t="s">
        <v>124</v>
      </c>
      <c r="SHK46" s="502"/>
      <c r="SHL46" s="502"/>
      <c r="SHM46" s="502"/>
      <c r="SHN46" s="502" t="s">
        <v>124</v>
      </c>
      <c r="SHO46" s="502"/>
      <c r="SHP46" s="502"/>
      <c r="SHQ46" s="502"/>
      <c r="SHR46" s="502" t="s">
        <v>124</v>
      </c>
      <c r="SHS46" s="502"/>
      <c r="SHT46" s="502"/>
      <c r="SHU46" s="502"/>
      <c r="SHV46" s="502" t="s">
        <v>124</v>
      </c>
      <c r="SHW46" s="502"/>
      <c r="SHX46" s="502"/>
      <c r="SHY46" s="502"/>
      <c r="SHZ46" s="502" t="s">
        <v>124</v>
      </c>
      <c r="SIA46" s="502"/>
      <c r="SIB46" s="502"/>
      <c r="SIC46" s="502"/>
      <c r="SID46" s="502" t="s">
        <v>124</v>
      </c>
      <c r="SIE46" s="502"/>
      <c r="SIF46" s="502"/>
      <c r="SIG46" s="502"/>
      <c r="SIH46" s="502" t="s">
        <v>124</v>
      </c>
      <c r="SII46" s="502"/>
      <c r="SIJ46" s="502"/>
      <c r="SIK46" s="502"/>
      <c r="SIL46" s="502" t="s">
        <v>124</v>
      </c>
      <c r="SIM46" s="502"/>
      <c r="SIN46" s="502"/>
      <c r="SIO46" s="502"/>
      <c r="SIP46" s="502" t="s">
        <v>124</v>
      </c>
      <c r="SIQ46" s="502"/>
      <c r="SIR46" s="502"/>
      <c r="SIS46" s="502"/>
      <c r="SIT46" s="502" t="s">
        <v>124</v>
      </c>
      <c r="SIU46" s="502"/>
      <c r="SIV46" s="502"/>
      <c r="SIW46" s="502"/>
      <c r="SIX46" s="502" t="s">
        <v>124</v>
      </c>
      <c r="SIY46" s="502"/>
      <c r="SIZ46" s="502"/>
      <c r="SJA46" s="502"/>
      <c r="SJB46" s="502" t="s">
        <v>124</v>
      </c>
      <c r="SJC46" s="502"/>
      <c r="SJD46" s="502"/>
      <c r="SJE46" s="502"/>
      <c r="SJF46" s="502" t="s">
        <v>124</v>
      </c>
      <c r="SJG46" s="502"/>
      <c r="SJH46" s="502"/>
      <c r="SJI46" s="502"/>
      <c r="SJJ46" s="502" t="s">
        <v>124</v>
      </c>
      <c r="SJK46" s="502"/>
      <c r="SJL46" s="502"/>
      <c r="SJM46" s="502"/>
      <c r="SJN46" s="502" t="s">
        <v>124</v>
      </c>
      <c r="SJO46" s="502"/>
      <c r="SJP46" s="502"/>
      <c r="SJQ46" s="502"/>
      <c r="SJR46" s="502" t="s">
        <v>124</v>
      </c>
      <c r="SJS46" s="502"/>
      <c r="SJT46" s="502"/>
      <c r="SJU46" s="502"/>
      <c r="SJV46" s="502" t="s">
        <v>124</v>
      </c>
      <c r="SJW46" s="502"/>
      <c r="SJX46" s="502"/>
      <c r="SJY46" s="502"/>
      <c r="SJZ46" s="502" t="s">
        <v>124</v>
      </c>
      <c r="SKA46" s="502"/>
      <c r="SKB46" s="502"/>
      <c r="SKC46" s="502"/>
      <c r="SKD46" s="502" t="s">
        <v>124</v>
      </c>
      <c r="SKE46" s="502"/>
      <c r="SKF46" s="502"/>
      <c r="SKG46" s="502"/>
      <c r="SKH46" s="502" t="s">
        <v>124</v>
      </c>
      <c r="SKI46" s="502"/>
      <c r="SKJ46" s="502"/>
      <c r="SKK46" s="502"/>
      <c r="SKL46" s="502" t="s">
        <v>124</v>
      </c>
      <c r="SKM46" s="502"/>
      <c r="SKN46" s="502"/>
      <c r="SKO46" s="502"/>
      <c r="SKP46" s="502" t="s">
        <v>124</v>
      </c>
      <c r="SKQ46" s="502"/>
      <c r="SKR46" s="502"/>
      <c r="SKS46" s="502"/>
      <c r="SKT46" s="502" t="s">
        <v>124</v>
      </c>
      <c r="SKU46" s="502"/>
      <c r="SKV46" s="502"/>
      <c r="SKW46" s="502"/>
      <c r="SKX46" s="502" t="s">
        <v>124</v>
      </c>
      <c r="SKY46" s="502"/>
      <c r="SKZ46" s="502"/>
      <c r="SLA46" s="502"/>
      <c r="SLB46" s="502" t="s">
        <v>124</v>
      </c>
      <c r="SLC46" s="502"/>
      <c r="SLD46" s="502"/>
      <c r="SLE46" s="502"/>
      <c r="SLF46" s="502" t="s">
        <v>124</v>
      </c>
      <c r="SLG46" s="502"/>
      <c r="SLH46" s="502"/>
      <c r="SLI46" s="502"/>
      <c r="SLJ46" s="502" t="s">
        <v>124</v>
      </c>
      <c r="SLK46" s="502"/>
      <c r="SLL46" s="502"/>
      <c r="SLM46" s="502"/>
      <c r="SLN46" s="502" t="s">
        <v>124</v>
      </c>
      <c r="SLO46" s="502"/>
      <c r="SLP46" s="502"/>
      <c r="SLQ46" s="502"/>
      <c r="SLR46" s="502" t="s">
        <v>124</v>
      </c>
      <c r="SLS46" s="502"/>
      <c r="SLT46" s="502"/>
      <c r="SLU46" s="502"/>
      <c r="SLV46" s="502" t="s">
        <v>124</v>
      </c>
      <c r="SLW46" s="502"/>
      <c r="SLX46" s="502"/>
      <c r="SLY46" s="502"/>
      <c r="SLZ46" s="502" t="s">
        <v>124</v>
      </c>
      <c r="SMA46" s="502"/>
      <c r="SMB46" s="502"/>
      <c r="SMC46" s="502"/>
      <c r="SMD46" s="502" t="s">
        <v>124</v>
      </c>
      <c r="SME46" s="502"/>
      <c r="SMF46" s="502"/>
      <c r="SMG46" s="502"/>
      <c r="SMH46" s="502" t="s">
        <v>124</v>
      </c>
      <c r="SMI46" s="502"/>
      <c r="SMJ46" s="502"/>
      <c r="SMK46" s="502"/>
      <c r="SML46" s="502" t="s">
        <v>124</v>
      </c>
      <c r="SMM46" s="502"/>
      <c r="SMN46" s="502"/>
      <c r="SMO46" s="502"/>
      <c r="SMP46" s="502" t="s">
        <v>124</v>
      </c>
      <c r="SMQ46" s="502"/>
      <c r="SMR46" s="502"/>
      <c r="SMS46" s="502"/>
      <c r="SMT46" s="502" t="s">
        <v>124</v>
      </c>
      <c r="SMU46" s="502"/>
      <c r="SMV46" s="502"/>
      <c r="SMW46" s="502"/>
      <c r="SMX46" s="502" t="s">
        <v>124</v>
      </c>
      <c r="SMY46" s="502"/>
      <c r="SMZ46" s="502"/>
      <c r="SNA46" s="502"/>
      <c r="SNB46" s="502" t="s">
        <v>124</v>
      </c>
      <c r="SNC46" s="502"/>
      <c r="SND46" s="502"/>
      <c r="SNE46" s="502"/>
      <c r="SNF46" s="502" t="s">
        <v>124</v>
      </c>
      <c r="SNG46" s="502"/>
      <c r="SNH46" s="502"/>
      <c r="SNI46" s="502"/>
      <c r="SNJ46" s="502" t="s">
        <v>124</v>
      </c>
      <c r="SNK46" s="502"/>
      <c r="SNL46" s="502"/>
      <c r="SNM46" s="502"/>
      <c r="SNN46" s="502" t="s">
        <v>124</v>
      </c>
      <c r="SNO46" s="502"/>
      <c r="SNP46" s="502"/>
      <c r="SNQ46" s="502"/>
      <c r="SNR46" s="502" t="s">
        <v>124</v>
      </c>
      <c r="SNS46" s="502"/>
      <c r="SNT46" s="502"/>
      <c r="SNU46" s="502"/>
      <c r="SNV46" s="502" t="s">
        <v>124</v>
      </c>
      <c r="SNW46" s="502"/>
      <c r="SNX46" s="502"/>
      <c r="SNY46" s="502"/>
      <c r="SNZ46" s="502" t="s">
        <v>124</v>
      </c>
      <c r="SOA46" s="502"/>
      <c r="SOB46" s="502"/>
      <c r="SOC46" s="502"/>
      <c r="SOD46" s="502" t="s">
        <v>124</v>
      </c>
      <c r="SOE46" s="502"/>
      <c r="SOF46" s="502"/>
      <c r="SOG46" s="502"/>
      <c r="SOH46" s="502" t="s">
        <v>124</v>
      </c>
      <c r="SOI46" s="502"/>
      <c r="SOJ46" s="502"/>
      <c r="SOK46" s="502"/>
      <c r="SOL46" s="502" t="s">
        <v>124</v>
      </c>
      <c r="SOM46" s="502"/>
      <c r="SON46" s="502"/>
      <c r="SOO46" s="502"/>
      <c r="SOP46" s="502" t="s">
        <v>124</v>
      </c>
      <c r="SOQ46" s="502"/>
      <c r="SOR46" s="502"/>
      <c r="SOS46" s="502"/>
      <c r="SOT46" s="502" t="s">
        <v>124</v>
      </c>
      <c r="SOU46" s="502"/>
      <c r="SOV46" s="502"/>
      <c r="SOW46" s="502"/>
      <c r="SOX46" s="502" t="s">
        <v>124</v>
      </c>
      <c r="SOY46" s="502"/>
      <c r="SOZ46" s="502"/>
      <c r="SPA46" s="502"/>
      <c r="SPB46" s="502" t="s">
        <v>124</v>
      </c>
      <c r="SPC46" s="502"/>
      <c r="SPD46" s="502"/>
      <c r="SPE46" s="502"/>
      <c r="SPF46" s="502" t="s">
        <v>124</v>
      </c>
      <c r="SPG46" s="502"/>
      <c r="SPH46" s="502"/>
      <c r="SPI46" s="502"/>
      <c r="SPJ46" s="502" t="s">
        <v>124</v>
      </c>
      <c r="SPK46" s="502"/>
      <c r="SPL46" s="502"/>
      <c r="SPM46" s="502"/>
      <c r="SPN46" s="502" t="s">
        <v>124</v>
      </c>
      <c r="SPO46" s="502"/>
      <c r="SPP46" s="502"/>
      <c r="SPQ46" s="502"/>
      <c r="SPR46" s="502" t="s">
        <v>124</v>
      </c>
      <c r="SPS46" s="502"/>
      <c r="SPT46" s="502"/>
      <c r="SPU46" s="502"/>
      <c r="SPV46" s="502" t="s">
        <v>124</v>
      </c>
      <c r="SPW46" s="502"/>
      <c r="SPX46" s="502"/>
      <c r="SPY46" s="502"/>
      <c r="SPZ46" s="502" t="s">
        <v>124</v>
      </c>
      <c r="SQA46" s="502"/>
      <c r="SQB46" s="502"/>
      <c r="SQC46" s="502"/>
      <c r="SQD46" s="502" t="s">
        <v>124</v>
      </c>
      <c r="SQE46" s="502"/>
      <c r="SQF46" s="502"/>
      <c r="SQG46" s="502"/>
      <c r="SQH46" s="502" t="s">
        <v>124</v>
      </c>
      <c r="SQI46" s="502"/>
      <c r="SQJ46" s="502"/>
      <c r="SQK46" s="502"/>
      <c r="SQL46" s="502" t="s">
        <v>124</v>
      </c>
      <c r="SQM46" s="502"/>
      <c r="SQN46" s="502"/>
      <c r="SQO46" s="502"/>
      <c r="SQP46" s="502" t="s">
        <v>124</v>
      </c>
      <c r="SQQ46" s="502"/>
      <c r="SQR46" s="502"/>
      <c r="SQS46" s="502"/>
      <c r="SQT46" s="502" t="s">
        <v>124</v>
      </c>
      <c r="SQU46" s="502"/>
      <c r="SQV46" s="502"/>
      <c r="SQW46" s="502"/>
      <c r="SQX46" s="502" t="s">
        <v>124</v>
      </c>
      <c r="SQY46" s="502"/>
      <c r="SQZ46" s="502"/>
      <c r="SRA46" s="502"/>
      <c r="SRB46" s="502" t="s">
        <v>124</v>
      </c>
      <c r="SRC46" s="502"/>
      <c r="SRD46" s="502"/>
      <c r="SRE46" s="502"/>
      <c r="SRF46" s="502" t="s">
        <v>124</v>
      </c>
      <c r="SRG46" s="502"/>
      <c r="SRH46" s="502"/>
      <c r="SRI46" s="502"/>
      <c r="SRJ46" s="502" t="s">
        <v>124</v>
      </c>
      <c r="SRK46" s="502"/>
      <c r="SRL46" s="502"/>
      <c r="SRM46" s="502"/>
      <c r="SRN46" s="502" t="s">
        <v>124</v>
      </c>
      <c r="SRO46" s="502"/>
      <c r="SRP46" s="502"/>
      <c r="SRQ46" s="502"/>
      <c r="SRR46" s="502" t="s">
        <v>124</v>
      </c>
      <c r="SRS46" s="502"/>
      <c r="SRT46" s="502"/>
      <c r="SRU46" s="502"/>
      <c r="SRV46" s="502" t="s">
        <v>124</v>
      </c>
      <c r="SRW46" s="502"/>
      <c r="SRX46" s="502"/>
      <c r="SRY46" s="502"/>
      <c r="SRZ46" s="502" t="s">
        <v>124</v>
      </c>
      <c r="SSA46" s="502"/>
      <c r="SSB46" s="502"/>
      <c r="SSC46" s="502"/>
      <c r="SSD46" s="502" t="s">
        <v>124</v>
      </c>
      <c r="SSE46" s="502"/>
      <c r="SSF46" s="502"/>
      <c r="SSG46" s="502"/>
      <c r="SSH46" s="502" t="s">
        <v>124</v>
      </c>
      <c r="SSI46" s="502"/>
      <c r="SSJ46" s="502"/>
      <c r="SSK46" s="502"/>
      <c r="SSL46" s="502" t="s">
        <v>124</v>
      </c>
      <c r="SSM46" s="502"/>
      <c r="SSN46" s="502"/>
      <c r="SSO46" s="502"/>
      <c r="SSP46" s="502" t="s">
        <v>124</v>
      </c>
      <c r="SSQ46" s="502"/>
      <c r="SSR46" s="502"/>
      <c r="SSS46" s="502"/>
      <c r="SST46" s="502" t="s">
        <v>124</v>
      </c>
      <c r="SSU46" s="502"/>
      <c r="SSV46" s="502"/>
      <c r="SSW46" s="502"/>
      <c r="SSX46" s="502" t="s">
        <v>124</v>
      </c>
      <c r="SSY46" s="502"/>
      <c r="SSZ46" s="502"/>
      <c r="STA46" s="502"/>
      <c r="STB46" s="502" t="s">
        <v>124</v>
      </c>
      <c r="STC46" s="502"/>
      <c r="STD46" s="502"/>
      <c r="STE46" s="502"/>
      <c r="STF46" s="502" t="s">
        <v>124</v>
      </c>
      <c r="STG46" s="502"/>
      <c r="STH46" s="502"/>
      <c r="STI46" s="502"/>
      <c r="STJ46" s="502" t="s">
        <v>124</v>
      </c>
      <c r="STK46" s="502"/>
      <c r="STL46" s="502"/>
      <c r="STM46" s="502"/>
      <c r="STN46" s="502" t="s">
        <v>124</v>
      </c>
      <c r="STO46" s="502"/>
      <c r="STP46" s="502"/>
      <c r="STQ46" s="502"/>
      <c r="STR46" s="502" t="s">
        <v>124</v>
      </c>
      <c r="STS46" s="502"/>
      <c r="STT46" s="502"/>
      <c r="STU46" s="502"/>
      <c r="STV46" s="502" t="s">
        <v>124</v>
      </c>
      <c r="STW46" s="502"/>
      <c r="STX46" s="502"/>
      <c r="STY46" s="502"/>
      <c r="STZ46" s="502" t="s">
        <v>124</v>
      </c>
      <c r="SUA46" s="502"/>
      <c r="SUB46" s="502"/>
      <c r="SUC46" s="502"/>
      <c r="SUD46" s="502" t="s">
        <v>124</v>
      </c>
      <c r="SUE46" s="502"/>
      <c r="SUF46" s="502"/>
      <c r="SUG46" s="502"/>
      <c r="SUH46" s="502" t="s">
        <v>124</v>
      </c>
      <c r="SUI46" s="502"/>
      <c r="SUJ46" s="502"/>
      <c r="SUK46" s="502"/>
      <c r="SUL46" s="502" t="s">
        <v>124</v>
      </c>
      <c r="SUM46" s="502"/>
      <c r="SUN46" s="502"/>
      <c r="SUO46" s="502"/>
      <c r="SUP46" s="502" t="s">
        <v>124</v>
      </c>
      <c r="SUQ46" s="502"/>
      <c r="SUR46" s="502"/>
      <c r="SUS46" s="502"/>
      <c r="SUT46" s="502" t="s">
        <v>124</v>
      </c>
      <c r="SUU46" s="502"/>
      <c r="SUV46" s="502"/>
      <c r="SUW46" s="502"/>
      <c r="SUX46" s="502" t="s">
        <v>124</v>
      </c>
      <c r="SUY46" s="502"/>
      <c r="SUZ46" s="502"/>
      <c r="SVA46" s="502"/>
      <c r="SVB46" s="502" t="s">
        <v>124</v>
      </c>
      <c r="SVC46" s="502"/>
      <c r="SVD46" s="502"/>
      <c r="SVE46" s="502"/>
      <c r="SVF46" s="502" t="s">
        <v>124</v>
      </c>
      <c r="SVG46" s="502"/>
      <c r="SVH46" s="502"/>
      <c r="SVI46" s="502"/>
      <c r="SVJ46" s="502" t="s">
        <v>124</v>
      </c>
      <c r="SVK46" s="502"/>
      <c r="SVL46" s="502"/>
      <c r="SVM46" s="502"/>
      <c r="SVN46" s="502" t="s">
        <v>124</v>
      </c>
      <c r="SVO46" s="502"/>
      <c r="SVP46" s="502"/>
      <c r="SVQ46" s="502"/>
      <c r="SVR46" s="502" t="s">
        <v>124</v>
      </c>
      <c r="SVS46" s="502"/>
      <c r="SVT46" s="502"/>
      <c r="SVU46" s="502"/>
      <c r="SVV46" s="502" t="s">
        <v>124</v>
      </c>
      <c r="SVW46" s="502"/>
      <c r="SVX46" s="502"/>
      <c r="SVY46" s="502"/>
      <c r="SVZ46" s="502" t="s">
        <v>124</v>
      </c>
      <c r="SWA46" s="502"/>
      <c r="SWB46" s="502"/>
      <c r="SWC46" s="502"/>
      <c r="SWD46" s="502" t="s">
        <v>124</v>
      </c>
      <c r="SWE46" s="502"/>
      <c r="SWF46" s="502"/>
      <c r="SWG46" s="502"/>
      <c r="SWH46" s="502" t="s">
        <v>124</v>
      </c>
      <c r="SWI46" s="502"/>
      <c r="SWJ46" s="502"/>
      <c r="SWK46" s="502"/>
      <c r="SWL46" s="502" t="s">
        <v>124</v>
      </c>
      <c r="SWM46" s="502"/>
      <c r="SWN46" s="502"/>
      <c r="SWO46" s="502"/>
      <c r="SWP46" s="502" t="s">
        <v>124</v>
      </c>
      <c r="SWQ46" s="502"/>
      <c r="SWR46" s="502"/>
      <c r="SWS46" s="502"/>
      <c r="SWT46" s="502" t="s">
        <v>124</v>
      </c>
      <c r="SWU46" s="502"/>
      <c r="SWV46" s="502"/>
      <c r="SWW46" s="502"/>
      <c r="SWX46" s="502" t="s">
        <v>124</v>
      </c>
      <c r="SWY46" s="502"/>
      <c r="SWZ46" s="502"/>
      <c r="SXA46" s="502"/>
      <c r="SXB46" s="502" t="s">
        <v>124</v>
      </c>
      <c r="SXC46" s="502"/>
      <c r="SXD46" s="502"/>
      <c r="SXE46" s="502"/>
      <c r="SXF46" s="502" t="s">
        <v>124</v>
      </c>
      <c r="SXG46" s="502"/>
      <c r="SXH46" s="502"/>
      <c r="SXI46" s="502"/>
      <c r="SXJ46" s="502" t="s">
        <v>124</v>
      </c>
      <c r="SXK46" s="502"/>
      <c r="SXL46" s="502"/>
      <c r="SXM46" s="502"/>
      <c r="SXN46" s="502" t="s">
        <v>124</v>
      </c>
      <c r="SXO46" s="502"/>
      <c r="SXP46" s="502"/>
      <c r="SXQ46" s="502"/>
      <c r="SXR46" s="502" t="s">
        <v>124</v>
      </c>
      <c r="SXS46" s="502"/>
      <c r="SXT46" s="502"/>
      <c r="SXU46" s="502"/>
      <c r="SXV46" s="502" t="s">
        <v>124</v>
      </c>
      <c r="SXW46" s="502"/>
      <c r="SXX46" s="502"/>
      <c r="SXY46" s="502"/>
      <c r="SXZ46" s="502" t="s">
        <v>124</v>
      </c>
      <c r="SYA46" s="502"/>
      <c r="SYB46" s="502"/>
      <c r="SYC46" s="502"/>
      <c r="SYD46" s="502" t="s">
        <v>124</v>
      </c>
      <c r="SYE46" s="502"/>
      <c r="SYF46" s="502"/>
      <c r="SYG46" s="502"/>
      <c r="SYH46" s="502" t="s">
        <v>124</v>
      </c>
      <c r="SYI46" s="502"/>
      <c r="SYJ46" s="502"/>
      <c r="SYK46" s="502"/>
      <c r="SYL46" s="502" t="s">
        <v>124</v>
      </c>
      <c r="SYM46" s="502"/>
      <c r="SYN46" s="502"/>
      <c r="SYO46" s="502"/>
      <c r="SYP46" s="502" t="s">
        <v>124</v>
      </c>
      <c r="SYQ46" s="502"/>
      <c r="SYR46" s="502"/>
      <c r="SYS46" s="502"/>
      <c r="SYT46" s="502" t="s">
        <v>124</v>
      </c>
      <c r="SYU46" s="502"/>
      <c r="SYV46" s="502"/>
      <c r="SYW46" s="502"/>
      <c r="SYX46" s="502" t="s">
        <v>124</v>
      </c>
      <c r="SYY46" s="502"/>
      <c r="SYZ46" s="502"/>
      <c r="SZA46" s="502"/>
      <c r="SZB46" s="502" t="s">
        <v>124</v>
      </c>
      <c r="SZC46" s="502"/>
      <c r="SZD46" s="502"/>
      <c r="SZE46" s="502"/>
      <c r="SZF46" s="502" t="s">
        <v>124</v>
      </c>
      <c r="SZG46" s="502"/>
      <c r="SZH46" s="502"/>
      <c r="SZI46" s="502"/>
      <c r="SZJ46" s="502" t="s">
        <v>124</v>
      </c>
      <c r="SZK46" s="502"/>
      <c r="SZL46" s="502"/>
      <c r="SZM46" s="502"/>
      <c r="SZN46" s="502" t="s">
        <v>124</v>
      </c>
      <c r="SZO46" s="502"/>
      <c r="SZP46" s="502"/>
      <c r="SZQ46" s="502"/>
      <c r="SZR46" s="502" t="s">
        <v>124</v>
      </c>
      <c r="SZS46" s="502"/>
      <c r="SZT46" s="502"/>
      <c r="SZU46" s="502"/>
      <c r="SZV46" s="502" t="s">
        <v>124</v>
      </c>
      <c r="SZW46" s="502"/>
      <c r="SZX46" s="502"/>
      <c r="SZY46" s="502"/>
      <c r="SZZ46" s="502" t="s">
        <v>124</v>
      </c>
      <c r="TAA46" s="502"/>
      <c r="TAB46" s="502"/>
      <c r="TAC46" s="502"/>
      <c r="TAD46" s="502" t="s">
        <v>124</v>
      </c>
      <c r="TAE46" s="502"/>
      <c r="TAF46" s="502"/>
      <c r="TAG46" s="502"/>
      <c r="TAH46" s="502" t="s">
        <v>124</v>
      </c>
      <c r="TAI46" s="502"/>
      <c r="TAJ46" s="502"/>
      <c r="TAK46" s="502"/>
      <c r="TAL46" s="502" t="s">
        <v>124</v>
      </c>
      <c r="TAM46" s="502"/>
      <c r="TAN46" s="502"/>
      <c r="TAO46" s="502"/>
      <c r="TAP46" s="502" t="s">
        <v>124</v>
      </c>
      <c r="TAQ46" s="502"/>
      <c r="TAR46" s="502"/>
      <c r="TAS46" s="502"/>
      <c r="TAT46" s="502" t="s">
        <v>124</v>
      </c>
      <c r="TAU46" s="502"/>
      <c r="TAV46" s="502"/>
      <c r="TAW46" s="502"/>
      <c r="TAX46" s="502" t="s">
        <v>124</v>
      </c>
      <c r="TAY46" s="502"/>
      <c r="TAZ46" s="502"/>
      <c r="TBA46" s="502"/>
      <c r="TBB46" s="502" t="s">
        <v>124</v>
      </c>
      <c r="TBC46" s="502"/>
      <c r="TBD46" s="502"/>
      <c r="TBE46" s="502"/>
      <c r="TBF46" s="502" t="s">
        <v>124</v>
      </c>
      <c r="TBG46" s="502"/>
      <c r="TBH46" s="502"/>
      <c r="TBI46" s="502"/>
      <c r="TBJ46" s="502" t="s">
        <v>124</v>
      </c>
      <c r="TBK46" s="502"/>
      <c r="TBL46" s="502"/>
      <c r="TBM46" s="502"/>
      <c r="TBN46" s="502" t="s">
        <v>124</v>
      </c>
      <c r="TBO46" s="502"/>
      <c r="TBP46" s="502"/>
      <c r="TBQ46" s="502"/>
      <c r="TBR46" s="502" t="s">
        <v>124</v>
      </c>
      <c r="TBS46" s="502"/>
      <c r="TBT46" s="502"/>
      <c r="TBU46" s="502"/>
      <c r="TBV46" s="502" t="s">
        <v>124</v>
      </c>
      <c r="TBW46" s="502"/>
      <c r="TBX46" s="502"/>
      <c r="TBY46" s="502"/>
      <c r="TBZ46" s="502" t="s">
        <v>124</v>
      </c>
      <c r="TCA46" s="502"/>
      <c r="TCB46" s="502"/>
      <c r="TCC46" s="502"/>
      <c r="TCD46" s="502" t="s">
        <v>124</v>
      </c>
      <c r="TCE46" s="502"/>
      <c r="TCF46" s="502"/>
      <c r="TCG46" s="502"/>
      <c r="TCH46" s="502" t="s">
        <v>124</v>
      </c>
      <c r="TCI46" s="502"/>
      <c r="TCJ46" s="502"/>
      <c r="TCK46" s="502"/>
      <c r="TCL46" s="502" t="s">
        <v>124</v>
      </c>
      <c r="TCM46" s="502"/>
      <c r="TCN46" s="502"/>
      <c r="TCO46" s="502"/>
      <c r="TCP46" s="502" t="s">
        <v>124</v>
      </c>
      <c r="TCQ46" s="502"/>
      <c r="TCR46" s="502"/>
      <c r="TCS46" s="502"/>
      <c r="TCT46" s="502" t="s">
        <v>124</v>
      </c>
      <c r="TCU46" s="502"/>
      <c r="TCV46" s="502"/>
      <c r="TCW46" s="502"/>
      <c r="TCX46" s="502" t="s">
        <v>124</v>
      </c>
      <c r="TCY46" s="502"/>
      <c r="TCZ46" s="502"/>
      <c r="TDA46" s="502"/>
      <c r="TDB46" s="502" t="s">
        <v>124</v>
      </c>
      <c r="TDC46" s="502"/>
      <c r="TDD46" s="502"/>
      <c r="TDE46" s="502"/>
      <c r="TDF46" s="502" t="s">
        <v>124</v>
      </c>
      <c r="TDG46" s="502"/>
      <c r="TDH46" s="502"/>
      <c r="TDI46" s="502"/>
      <c r="TDJ46" s="502" t="s">
        <v>124</v>
      </c>
      <c r="TDK46" s="502"/>
      <c r="TDL46" s="502"/>
      <c r="TDM46" s="502"/>
      <c r="TDN46" s="502" t="s">
        <v>124</v>
      </c>
      <c r="TDO46" s="502"/>
      <c r="TDP46" s="502"/>
      <c r="TDQ46" s="502"/>
      <c r="TDR46" s="502" t="s">
        <v>124</v>
      </c>
      <c r="TDS46" s="502"/>
      <c r="TDT46" s="502"/>
      <c r="TDU46" s="502"/>
      <c r="TDV46" s="502" t="s">
        <v>124</v>
      </c>
      <c r="TDW46" s="502"/>
      <c r="TDX46" s="502"/>
      <c r="TDY46" s="502"/>
      <c r="TDZ46" s="502" t="s">
        <v>124</v>
      </c>
      <c r="TEA46" s="502"/>
      <c r="TEB46" s="502"/>
      <c r="TEC46" s="502"/>
      <c r="TED46" s="502" t="s">
        <v>124</v>
      </c>
      <c r="TEE46" s="502"/>
      <c r="TEF46" s="502"/>
      <c r="TEG46" s="502"/>
      <c r="TEH46" s="502" t="s">
        <v>124</v>
      </c>
      <c r="TEI46" s="502"/>
      <c r="TEJ46" s="502"/>
      <c r="TEK46" s="502"/>
      <c r="TEL46" s="502" t="s">
        <v>124</v>
      </c>
      <c r="TEM46" s="502"/>
      <c r="TEN46" s="502"/>
      <c r="TEO46" s="502"/>
      <c r="TEP46" s="502" t="s">
        <v>124</v>
      </c>
      <c r="TEQ46" s="502"/>
      <c r="TER46" s="502"/>
      <c r="TES46" s="502"/>
      <c r="TET46" s="502" t="s">
        <v>124</v>
      </c>
      <c r="TEU46" s="502"/>
      <c r="TEV46" s="502"/>
      <c r="TEW46" s="502"/>
      <c r="TEX46" s="502" t="s">
        <v>124</v>
      </c>
      <c r="TEY46" s="502"/>
      <c r="TEZ46" s="502"/>
      <c r="TFA46" s="502"/>
      <c r="TFB46" s="502" t="s">
        <v>124</v>
      </c>
      <c r="TFC46" s="502"/>
      <c r="TFD46" s="502"/>
      <c r="TFE46" s="502"/>
      <c r="TFF46" s="502" t="s">
        <v>124</v>
      </c>
      <c r="TFG46" s="502"/>
      <c r="TFH46" s="502"/>
      <c r="TFI46" s="502"/>
      <c r="TFJ46" s="502" t="s">
        <v>124</v>
      </c>
      <c r="TFK46" s="502"/>
      <c r="TFL46" s="502"/>
      <c r="TFM46" s="502"/>
      <c r="TFN46" s="502" t="s">
        <v>124</v>
      </c>
      <c r="TFO46" s="502"/>
      <c r="TFP46" s="502"/>
      <c r="TFQ46" s="502"/>
      <c r="TFR46" s="502" t="s">
        <v>124</v>
      </c>
      <c r="TFS46" s="502"/>
      <c r="TFT46" s="502"/>
      <c r="TFU46" s="502"/>
      <c r="TFV46" s="502" t="s">
        <v>124</v>
      </c>
      <c r="TFW46" s="502"/>
      <c r="TFX46" s="502"/>
      <c r="TFY46" s="502"/>
      <c r="TFZ46" s="502" t="s">
        <v>124</v>
      </c>
      <c r="TGA46" s="502"/>
      <c r="TGB46" s="502"/>
      <c r="TGC46" s="502"/>
      <c r="TGD46" s="502" t="s">
        <v>124</v>
      </c>
      <c r="TGE46" s="502"/>
      <c r="TGF46" s="502"/>
      <c r="TGG46" s="502"/>
      <c r="TGH46" s="502" t="s">
        <v>124</v>
      </c>
      <c r="TGI46" s="502"/>
      <c r="TGJ46" s="502"/>
      <c r="TGK46" s="502"/>
      <c r="TGL46" s="502" t="s">
        <v>124</v>
      </c>
      <c r="TGM46" s="502"/>
      <c r="TGN46" s="502"/>
      <c r="TGO46" s="502"/>
      <c r="TGP46" s="502" t="s">
        <v>124</v>
      </c>
      <c r="TGQ46" s="502"/>
      <c r="TGR46" s="502"/>
      <c r="TGS46" s="502"/>
      <c r="TGT46" s="502" t="s">
        <v>124</v>
      </c>
      <c r="TGU46" s="502"/>
      <c r="TGV46" s="502"/>
      <c r="TGW46" s="502"/>
      <c r="TGX46" s="502" t="s">
        <v>124</v>
      </c>
      <c r="TGY46" s="502"/>
      <c r="TGZ46" s="502"/>
      <c r="THA46" s="502"/>
      <c r="THB46" s="502" t="s">
        <v>124</v>
      </c>
      <c r="THC46" s="502"/>
      <c r="THD46" s="502"/>
      <c r="THE46" s="502"/>
      <c r="THF46" s="502" t="s">
        <v>124</v>
      </c>
      <c r="THG46" s="502"/>
      <c r="THH46" s="502"/>
      <c r="THI46" s="502"/>
      <c r="THJ46" s="502" t="s">
        <v>124</v>
      </c>
      <c r="THK46" s="502"/>
      <c r="THL46" s="502"/>
      <c r="THM46" s="502"/>
      <c r="THN46" s="502" t="s">
        <v>124</v>
      </c>
      <c r="THO46" s="502"/>
      <c r="THP46" s="502"/>
      <c r="THQ46" s="502"/>
      <c r="THR46" s="502" t="s">
        <v>124</v>
      </c>
      <c r="THS46" s="502"/>
      <c r="THT46" s="502"/>
      <c r="THU46" s="502"/>
      <c r="THV46" s="502" t="s">
        <v>124</v>
      </c>
      <c r="THW46" s="502"/>
      <c r="THX46" s="502"/>
      <c r="THY46" s="502"/>
      <c r="THZ46" s="502" t="s">
        <v>124</v>
      </c>
      <c r="TIA46" s="502"/>
      <c r="TIB46" s="502"/>
      <c r="TIC46" s="502"/>
      <c r="TID46" s="502" t="s">
        <v>124</v>
      </c>
      <c r="TIE46" s="502"/>
      <c r="TIF46" s="502"/>
      <c r="TIG46" s="502"/>
      <c r="TIH46" s="502" t="s">
        <v>124</v>
      </c>
      <c r="TII46" s="502"/>
      <c r="TIJ46" s="502"/>
      <c r="TIK46" s="502"/>
      <c r="TIL46" s="502" t="s">
        <v>124</v>
      </c>
      <c r="TIM46" s="502"/>
      <c r="TIN46" s="502"/>
      <c r="TIO46" s="502"/>
      <c r="TIP46" s="502" t="s">
        <v>124</v>
      </c>
      <c r="TIQ46" s="502"/>
      <c r="TIR46" s="502"/>
      <c r="TIS46" s="502"/>
      <c r="TIT46" s="502" t="s">
        <v>124</v>
      </c>
      <c r="TIU46" s="502"/>
      <c r="TIV46" s="502"/>
      <c r="TIW46" s="502"/>
      <c r="TIX46" s="502" t="s">
        <v>124</v>
      </c>
      <c r="TIY46" s="502"/>
      <c r="TIZ46" s="502"/>
      <c r="TJA46" s="502"/>
      <c r="TJB46" s="502" t="s">
        <v>124</v>
      </c>
      <c r="TJC46" s="502"/>
      <c r="TJD46" s="502"/>
      <c r="TJE46" s="502"/>
      <c r="TJF46" s="502" t="s">
        <v>124</v>
      </c>
      <c r="TJG46" s="502"/>
      <c r="TJH46" s="502"/>
      <c r="TJI46" s="502"/>
      <c r="TJJ46" s="502" t="s">
        <v>124</v>
      </c>
      <c r="TJK46" s="502"/>
      <c r="TJL46" s="502"/>
      <c r="TJM46" s="502"/>
      <c r="TJN46" s="502" t="s">
        <v>124</v>
      </c>
      <c r="TJO46" s="502"/>
      <c r="TJP46" s="502"/>
      <c r="TJQ46" s="502"/>
      <c r="TJR46" s="502" t="s">
        <v>124</v>
      </c>
      <c r="TJS46" s="502"/>
      <c r="TJT46" s="502"/>
      <c r="TJU46" s="502"/>
      <c r="TJV46" s="502" t="s">
        <v>124</v>
      </c>
      <c r="TJW46" s="502"/>
      <c r="TJX46" s="502"/>
      <c r="TJY46" s="502"/>
      <c r="TJZ46" s="502" t="s">
        <v>124</v>
      </c>
      <c r="TKA46" s="502"/>
      <c r="TKB46" s="502"/>
      <c r="TKC46" s="502"/>
      <c r="TKD46" s="502" t="s">
        <v>124</v>
      </c>
      <c r="TKE46" s="502"/>
      <c r="TKF46" s="502"/>
      <c r="TKG46" s="502"/>
      <c r="TKH46" s="502" t="s">
        <v>124</v>
      </c>
      <c r="TKI46" s="502"/>
      <c r="TKJ46" s="502"/>
      <c r="TKK46" s="502"/>
      <c r="TKL46" s="502" t="s">
        <v>124</v>
      </c>
      <c r="TKM46" s="502"/>
      <c r="TKN46" s="502"/>
      <c r="TKO46" s="502"/>
      <c r="TKP46" s="502" t="s">
        <v>124</v>
      </c>
      <c r="TKQ46" s="502"/>
      <c r="TKR46" s="502"/>
      <c r="TKS46" s="502"/>
      <c r="TKT46" s="502" t="s">
        <v>124</v>
      </c>
      <c r="TKU46" s="502"/>
      <c r="TKV46" s="502"/>
      <c r="TKW46" s="502"/>
      <c r="TKX46" s="502" t="s">
        <v>124</v>
      </c>
      <c r="TKY46" s="502"/>
      <c r="TKZ46" s="502"/>
      <c r="TLA46" s="502"/>
      <c r="TLB46" s="502" t="s">
        <v>124</v>
      </c>
      <c r="TLC46" s="502"/>
      <c r="TLD46" s="502"/>
      <c r="TLE46" s="502"/>
      <c r="TLF46" s="502" t="s">
        <v>124</v>
      </c>
      <c r="TLG46" s="502"/>
      <c r="TLH46" s="502"/>
      <c r="TLI46" s="502"/>
      <c r="TLJ46" s="502" t="s">
        <v>124</v>
      </c>
      <c r="TLK46" s="502"/>
      <c r="TLL46" s="502"/>
      <c r="TLM46" s="502"/>
      <c r="TLN46" s="502" t="s">
        <v>124</v>
      </c>
      <c r="TLO46" s="502"/>
      <c r="TLP46" s="502"/>
      <c r="TLQ46" s="502"/>
      <c r="TLR46" s="502" t="s">
        <v>124</v>
      </c>
      <c r="TLS46" s="502"/>
      <c r="TLT46" s="502"/>
      <c r="TLU46" s="502"/>
      <c r="TLV46" s="502" t="s">
        <v>124</v>
      </c>
      <c r="TLW46" s="502"/>
      <c r="TLX46" s="502"/>
      <c r="TLY46" s="502"/>
      <c r="TLZ46" s="502" t="s">
        <v>124</v>
      </c>
      <c r="TMA46" s="502"/>
      <c r="TMB46" s="502"/>
      <c r="TMC46" s="502"/>
      <c r="TMD46" s="502" t="s">
        <v>124</v>
      </c>
      <c r="TME46" s="502"/>
      <c r="TMF46" s="502"/>
      <c r="TMG46" s="502"/>
      <c r="TMH46" s="502" t="s">
        <v>124</v>
      </c>
      <c r="TMI46" s="502"/>
      <c r="TMJ46" s="502"/>
      <c r="TMK46" s="502"/>
      <c r="TML46" s="502" t="s">
        <v>124</v>
      </c>
      <c r="TMM46" s="502"/>
      <c r="TMN46" s="502"/>
      <c r="TMO46" s="502"/>
      <c r="TMP46" s="502" t="s">
        <v>124</v>
      </c>
      <c r="TMQ46" s="502"/>
      <c r="TMR46" s="502"/>
      <c r="TMS46" s="502"/>
      <c r="TMT46" s="502" t="s">
        <v>124</v>
      </c>
      <c r="TMU46" s="502"/>
      <c r="TMV46" s="502"/>
      <c r="TMW46" s="502"/>
      <c r="TMX46" s="502" t="s">
        <v>124</v>
      </c>
      <c r="TMY46" s="502"/>
      <c r="TMZ46" s="502"/>
      <c r="TNA46" s="502"/>
      <c r="TNB46" s="502" t="s">
        <v>124</v>
      </c>
      <c r="TNC46" s="502"/>
      <c r="TND46" s="502"/>
      <c r="TNE46" s="502"/>
      <c r="TNF46" s="502" t="s">
        <v>124</v>
      </c>
      <c r="TNG46" s="502"/>
      <c r="TNH46" s="502"/>
      <c r="TNI46" s="502"/>
      <c r="TNJ46" s="502" t="s">
        <v>124</v>
      </c>
      <c r="TNK46" s="502"/>
      <c r="TNL46" s="502"/>
      <c r="TNM46" s="502"/>
      <c r="TNN46" s="502" t="s">
        <v>124</v>
      </c>
      <c r="TNO46" s="502"/>
      <c r="TNP46" s="502"/>
      <c r="TNQ46" s="502"/>
      <c r="TNR46" s="502" t="s">
        <v>124</v>
      </c>
      <c r="TNS46" s="502"/>
      <c r="TNT46" s="502"/>
      <c r="TNU46" s="502"/>
      <c r="TNV46" s="502" t="s">
        <v>124</v>
      </c>
      <c r="TNW46" s="502"/>
      <c r="TNX46" s="502"/>
      <c r="TNY46" s="502"/>
      <c r="TNZ46" s="502" t="s">
        <v>124</v>
      </c>
      <c r="TOA46" s="502"/>
      <c r="TOB46" s="502"/>
      <c r="TOC46" s="502"/>
      <c r="TOD46" s="502" t="s">
        <v>124</v>
      </c>
      <c r="TOE46" s="502"/>
      <c r="TOF46" s="502"/>
      <c r="TOG46" s="502"/>
      <c r="TOH46" s="502" t="s">
        <v>124</v>
      </c>
      <c r="TOI46" s="502"/>
      <c r="TOJ46" s="502"/>
      <c r="TOK46" s="502"/>
      <c r="TOL46" s="502" t="s">
        <v>124</v>
      </c>
      <c r="TOM46" s="502"/>
      <c r="TON46" s="502"/>
      <c r="TOO46" s="502"/>
      <c r="TOP46" s="502" t="s">
        <v>124</v>
      </c>
      <c r="TOQ46" s="502"/>
      <c r="TOR46" s="502"/>
      <c r="TOS46" s="502"/>
      <c r="TOT46" s="502" t="s">
        <v>124</v>
      </c>
      <c r="TOU46" s="502"/>
      <c r="TOV46" s="502"/>
      <c r="TOW46" s="502"/>
      <c r="TOX46" s="502" t="s">
        <v>124</v>
      </c>
      <c r="TOY46" s="502"/>
      <c r="TOZ46" s="502"/>
      <c r="TPA46" s="502"/>
      <c r="TPB46" s="502" t="s">
        <v>124</v>
      </c>
      <c r="TPC46" s="502"/>
      <c r="TPD46" s="502"/>
      <c r="TPE46" s="502"/>
      <c r="TPF46" s="502" t="s">
        <v>124</v>
      </c>
      <c r="TPG46" s="502"/>
      <c r="TPH46" s="502"/>
      <c r="TPI46" s="502"/>
      <c r="TPJ46" s="502" t="s">
        <v>124</v>
      </c>
      <c r="TPK46" s="502"/>
      <c r="TPL46" s="502"/>
      <c r="TPM46" s="502"/>
      <c r="TPN46" s="502" t="s">
        <v>124</v>
      </c>
      <c r="TPO46" s="502"/>
      <c r="TPP46" s="502"/>
      <c r="TPQ46" s="502"/>
      <c r="TPR46" s="502" t="s">
        <v>124</v>
      </c>
      <c r="TPS46" s="502"/>
      <c r="TPT46" s="502"/>
      <c r="TPU46" s="502"/>
      <c r="TPV46" s="502" t="s">
        <v>124</v>
      </c>
      <c r="TPW46" s="502"/>
      <c r="TPX46" s="502"/>
      <c r="TPY46" s="502"/>
      <c r="TPZ46" s="502" t="s">
        <v>124</v>
      </c>
      <c r="TQA46" s="502"/>
      <c r="TQB46" s="502"/>
      <c r="TQC46" s="502"/>
      <c r="TQD46" s="502" t="s">
        <v>124</v>
      </c>
      <c r="TQE46" s="502"/>
      <c r="TQF46" s="502"/>
      <c r="TQG46" s="502"/>
      <c r="TQH46" s="502" t="s">
        <v>124</v>
      </c>
      <c r="TQI46" s="502"/>
      <c r="TQJ46" s="502"/>
      <c r="TQK46" s="502"/>
      <c r="TQL46" s="502" t="s">
        <v>124</v>
      </c>
      <c r="TQM46" s="502"/>
      <c r="TQN46" s="502"/>
      <c r="TQO46" s="502"/>
      <c r="TQP46" s="502" t="s">
        <v>124</v>
      </c>
      <c r="TQQ46" s="502"/>
      <c r="TQR46" s="502"/>
      <c r="TQS46" s="502"/>
      <c r="TQT46" s="502" t="s">
        <v>124</v>
      </c>
      <c r="TQU46" s="502"/>
      <c r="TQV46" s="502"/>
      <c r="TQW46" s="502"/>
      <c r="TQX46" s="502" t="s">
        <v>124</v>
      </c>
      <c r="TQY46" s="502"/>
      <c r="TQZ46" s="502"/>
      <c r="TRA46" s="502"/>
      <c r="TRB46" s="502" t="s">
        <v>124</v>
      </c>
      <c r="TRC46" s="502"/>
      <c r="TRD46" s="502"/>
      <c r="TRE46" s="502"/>
      <c r="TRF46" s="502" t="s">
        <v>124</v>
      </c>
      <c r="TRG46" s="502"/>
      <c r="TRH46" s="502"/>
      <c r="TRI46" s="502"/>
      <c r="TRJ46" s="502" t="s">
        <v>124</v>
      </c>
      <c r="TRK46" s="502"/>
      <c r="TRL46" s="502"/>
      <c r="TRM46" s="502"/>
      <c r="TRN46" s="502" t="s">
        <v>124</v>
      </c>
      <c r="TRO46" s="502"/>
      <c r="TRP46" s="502"/>
      <c r="TRQ46" s="502"/>
      <c r="TRR46" s="502" t="s">
        <v>124</v>
      </c>
      <c r="TRS46" s="502"/>
      <c r="TRT46" s="502"/>
      <c r="TRU46" s="502"/>
      <c r="TRV46" s="502" t="s">
        <v>124</v>
      </c>
      <c r="TRW46" s="502"/>
      <c r="TRX46" s="502"/>
      <c r="TRY46" s="502"/>
      <c r="TRZ46" s="502" t="s">
        <v>124</v>
      </c>
      <c r="TSA46" s="502"/>
      <c r="TSB46" s="502"/>
      <c r="TSC46" s="502"/>
      <c r="TSD46" s="502" t="s">
        <v>124</v>
      </c>
      <c r="TSE46" s="502"/>
      <c r="TSF46" s="502"/>
      <c r="TSG46" s="502"/>
      <c r="TSH46" s="502" t="s">
        <v>124</v>
      </c>
      <c r="TSI46" s="502"/>
      <c r="TSJ46" s="502"/>
      <c r="TSK46" s="502"/>
      <c r="TSL46" s="502" t="s">
        <v>124</v>
      </c>
      <c r="TSM46" s="502"/>
      <c r="TSN46" s="502"/>
      <c r="TSO46" s="502"/>
      <c r="TSP46" s="502" t="s">
        <v>124</v>
      </c>
      <c r="TSQ46" s="502"/>
      <c r="TSR46" s="502"/>
      <c r="TSS46" s="502"/>
      <c r="TST46" s="502" t="s">
        <v>124</v>
      </c>
      <c r="TSU46" s="502"/>
      <c r="TSV46" s="502"/>
      <c r="TSW46" s="502"/>
      <c r="TSX46" s="502" t="s">
        <v>124</v>
      </c>
      <c r="TSY46" s="502"/>
      <c r="TSZ46" s="502"/>
      <c r="TTA46" s="502"/>
      <c r="TTB46" s="502" t="s">
        <v>124</v>
      </c>
      <c r="TTC46" s="502"/>
      <c r="TTD46" s="502"/>
      <c r="TTE46" s="502"/>
      <c r="TTF46" s="502" t="s">
        <v>124</v>
      </c>
      <c r="TTG46" s="502"/>
      <c r="TTH46" s="502"/>
      <c r="TTI46" s="502"/>
      <c r="TTJ46" s="502" t="s">
        <v>124</v>
      </c>
      <c r="TTK46" s="502"/>
      <c r="TTL46" s="502"/>
      <c r="TTM46" s="502"/>
      <c r="TTN46" s="502" t="s">
        <v>124</v>
      </c>
      <c r="TTO46" s="502"/>
      <c r="TTP46" s="502"/>
      <c r="TTQ46" s="502"/>
      <c r="TTR46" s="502" t="s">
        <v>124</v>
      </c>
      <c r="TTS46" s="502"/>
      <c r="TTT46" s="502"/>
      <c r="TTU46" s="502"/>
      <c r="TTV46" s="502" t="s">
        <v>124</v>
      </c>
      <c r="TTW46" s="502"/>
      <c r="TTX46" s="502"/>
      <c r="TTY46" s="502"/>
      <c r="TTZ46" s="502" t="s">
        <v>124</v>
      </c>
      <c r="TUA46" s="502"/>
      <c r="TUB46" s="502"/>
      <c r="TUC46" s="502"/>
      <c r="TUD46" s="502" t="s">
        <v>124</v>
      </c>
      <c r="TUE46" s="502"/>
      <c r="TUF46" s="502"/>
      <c r="TUG46" s="502"/>
      <c r="TUH46" s="502" t="s">
        <v>124</v>
      </c>
      <c r="TUI46" s="502"/>
      <c r="TUJ46" s="502"/>
      <c r="TUK46" s="502"/>
      <c r="TUL46" s="502" t="s">
        <v>124</v>
      </c>
      <c r="TUM46" s="502"/>
      <c r="TUN46" s="502"/>
      <c r="TUO46" s="502"/>
      <c r="TUP46" s="502" t="s">
        <v>124</v>
      </c>
      <c r="TUQ46" s="502"/>
      <c r="TUR46" s="502"/>
      <c r="TUS46" s="502"/>
      <c r="TUT46" s="502" t="s">
        <v>124</v>
      </c>
      <c r="TUU46" s="502"/>
      <c r="TUV46" s="502"/>
      <c r="TUW46" s="502"/>
      <c r="TUX46" s="502" t="s">
        <v>124</v>
      </c>
      <c r="TUY46" s="502"/>
      <c r="TUZ46" s="502"/>
      <c r="TVA46" s="502"/>
      <c r="TVB46" s="502" t="s">
        <v>124</v>
      </c>
      <c r="TVC46" s="502"/>
      <c r="TVD46" s="502"/>
      <c r="TVE46" s="502"/>
      <c r="TVF46" s="502" t="s">
        <v>124</v>
      </c>
      <c r="TVG46" s="502"/>
      <c r="TVH46" s="502"/>
      <c r="TVI46" s="502"/>
      <c r="TVJ46" s="502" t="s">
        <v>124</v>
      </c>
      <c r="TVK46" s="502"/>
      <c r="TVL46" s="502"/>
      <c r="TVM46" s="502"/>
      <c r="TVN46" s="502" t="s">
        <v>124</v>
      </c>
      <c r="TVO46" s="502"/>
      <c r="TVP46" s="502"/>
      <c r="TVQ46" s="502"/>
      <c r="TVR46" s="502" t="s">
        <v>124</v>
      </c>
      <c r="TVS46" s="502"/>
      <c r="TVT46" s="502"/>
      <c r="TVU46" s="502"/>
      <c r="TVV46" s="502" t="s">
        <v>124</v>
      </c>
      <c r="TVW46" s="502"/>
      <c r="TVX46" s="502"/>
      <c r="TVY46" s="502"/>
      <c r="TVZ46" s="502" t="s">
        <v>124</v>
      </c>
      <c r="TWA46" s="502"/>
      <c r="TWB46" s="502"/>
      <c r="TWC46" s="502"/>
      <c r="TWD46" s="502" t="s">
        <v>124</v>
      </c>
      <c r="TWE46" s="502"/>
      <c r="TWF46" s="502"/>
      <c r="TWG46" s="502"/>
      <c r="TWH46" s="502" t="s">
        <v>124</v>
      </c>
      <c r="TWI46" s="502"/>
      <c r="TWJ46" s="502"/>
      <c r="TWK46" s="502"/>
      <c r="TWL46" s="502" t="s">
        <v>124</v>
      </c>
      <c r="TWM46" s="502"/>
      <c r="TWN46" s="502"/>
      <c r="TWO46" s="502"/>
      <c r="TWP46" s="502" t="s">
        <v>124</v>
      </c>
      <c r="TWQ46" s="502"/>
      <c r="TWR46" s="502"/>
      <c r="TWS46" s="502"/>
      <c r="TWT46" s="502" t="s">
        <v>124</v>
      </c>
      <c r="TWU46" s="502"/>
      <c r="TWV46" s="502"/>
      <c r="TWW46" s="502"/>
      <c r="TWX46" s="502" t="s">
        <v>124</v>
      </c>
      <c r="TWY46" s="502"/>
      <c r="TWZ46" s="502"/>
      <c r="TXA46" s="502"/>
      <c r="TXB46" s="502" t="s">
        <v>124</v>
      </c>
      <c r="TXC46" s="502"/>
      <c r="TXD46" s="502"/>
      <c r="TXE46" s="502"/>
      <c r="TXF46" s="502" t="s">
        <v>124</v>
      </c>
      <c r="TXG46" s="502"/>
      <c r="TXH46" s="502"/>
      <c r="TXI46" s="502"/>
      <c r="TXJ46" s="502" t="s">
        <v>124</v>
      </c>
      <c r="TXK46" s="502"/>
      <c r="TXL46" s="502"/>
      <c r="TXM46" s="502"/>
      <c r="TXN46" s="502" t="s">
        <v>124</v>
      </c>
      <c r="TXO46" s="502"/>
      <c r="TXP46" s="502"/>
      <c r="TXQ46" s="502"/>
      <c r="TXR46" s="502" t="s">
        <v>124</v>
      </c>
      <c r="TXS46" s="502"/>
      <c r="TXT46" s="502"/>
      <c r="TXU46" s="502"/>
      <c r="TXV46" s="502" t="s">
        <v>124</v>
      </c>
      <c r="TXW46" s="502"/>
      <c r="TXX46" s="502"/>
      <c r="TXY46" s="502"/>
      <c r="TXZ46" s="502" t="s">
        <v>124</v>
      </c>
      <c r="TYA46" s="502"/>
      <c r="TYB46" s="502"/>
      <c r="TYC46" s="502"/>
      <c r="TYD46" s="502" t="s">
        <v>124</v>
      </c>
      <c r="TYE46" s="502"/>
      <c r="TYF46" s="502"/>
      <c r="TYG46" s="502"/>
      <c r="TYH46" s="502" t="s">
        <v>124</v>
      </c>
      <c r="TYI46" s="502"/>
      <c r="TYJ46" s="502"/>
      <c r="TYK46" s="502"/>
      <c r="TYL46" s="502" t="s">
        <v>124</v>
      </c>
      <c r="TYM46" s="502"/>
      <c r="TYN46" s="502"/>
      <c r="TYO46" s="502"/>
      <c r="TYP46" s="502" t="s">
        <v>124</v>
      </c>
      <c r="TYQ46" s="502"/>
      <c r="TYR46" s="502"/>
      <c r="TYS46" s="502"/>
      <c r="TYT46" s="502" t="s">
        <v>124</v>
      </c>
      <c r="TYU46" s="502"/>
      <c r="TYV46" s="502"/>
      <c r="TYW46" s="502"/>
      <c r="TYX46" s="502" t="s">
        <v>124</v>
      </c>
      <c r="TYY46" s="502"/>
      <c r="TYZ46" s="502"/>
      <c r="TZA46" s="502"/>
      <c r="TZB46" s="502" t="s">
        <v>124</v>
      </c>
      <c r="TZC46" s="502"/>
      <c r="TZD46" s="502"/>
      <c r="TZE46" s="502"/>
      <c r="TZF46" s="502" t="s">
        <v>124</v>
      </c>
      <c r="TZG46" s="502"/>
      <c r="TZH46" s="502"/>
      <c r="TZI46" s="502"/>
      <c r="TZJ46" s="502" t="s">
        <v>124</v>
      </c>
      <c r="TZK46" s="502"/>
      <c r="TZL46" s="502"/>
      <c r="TZM46" s="502"/>
      <c r="TZN46" s="502" t="s">
        <v>124</v>
      </c>
      <c r="TZO46" s="502"/>
      <c r="TZP46" s="502"/>
      <c r="TZQ46" s="502"/>
      <c r="TZR46" s="502" t="s">
        <v>124</v>
      </c>
      <c r="TZS46" s="502"/>
      <c r="TZT46" s="502"/>
      <c r="TZU46" s="502"/>
      <c r="TZV46" s="502" t="s">
        <v>124</v>
      </c>
      <c r="TZW46" s="502"/>
      <c r="TZX46" s="502"/>
      <c r="TZY46" s="502"/>
      <c r="TZZ46" s="502" t="s">
        <v>124</v>
      </c>
      <c r="UAA46" s="502"/>
      <c r="UAB46" s="502"/>
      <c r="UAC46" s="502"/>
      <c r="UAD46" s="502" t="s">
        <v>124</v>
      </c>
      <c r="UAE46" s="502"/>
      <c r="UAF46" s="502"/>
      <c r="UAG46" s="502"/>
      <c r="UAH46" s="502" t="s">
        <v>124</v>
      </c>
      <c r="UAI46" s="502"/>
      <c r="UAJ46" s="502"/>
      <c r="UAK46" s="502"/>
      <c r="UAL46" s="502" t="s">
        <v>124</v>
      </c>
      <c r="UAM46" s="502"/>
      <c r="UAN46" s="502"/>
      <c r="UAO46" s="502"/>
      <c r="UAP46" s="502" t="s">
        <v>124</v>
      </c>
      <c r="UAQ46" s="502"/>
      <c r="UAR46" s="502"/>
      <c r="UAS46" s="502"/>
      <c r="UAT46" s="502" t="s">
        <v>124</v>
      </c>
      <c r="UAU46" s="502"/>
      <c r="UAV46" s="502"/>
      <c r="UAW46" s="502"/>
      <c r="UAX46" s="502" t="s">
        <v>124</v>
      </c>
      <c r="UAY46" s="502"/>
      <c r="UAZ46" s="502"/>
      <c r="UBA46" s="502"/>
      <c r="UBB46" s="502" t="s">
        <v>124</v>
      </c>
      <c r="UBC46" s="502"/>
      <c r="UBD46" s="502"/>
      <c r="UBE46" s="502"/>
      <c r="UBF46" s="502" t="s">
        <v>124</v>
      </c>
      <c r="UBG46" s="502"/>
      <c r="UBH46" s="502"/>
      <c r="UBI46" s="502"/>
      <c r="UBJ46" s="502" t="s">
        <v>124</v>
      </c>
      <c r="UBK46" s="502"/>
      <c r="UBL46" s="502"/>
      <c r="UBM46" s="502"/>
      <c r="UBN46" s="502" t="s">
        <v>124</v>
      </c>
      <c r="UBO46" s="502"/>
      <c r="UBP46" s="502"/>
      <c r="UBQ46" s="502"/>
      <c r="UBR46" s="502" t="s">
        <v>124</v>
      </c>
      <c r="UBS46" s="502"/>
      <c r="UBT46" s="502"/>
      <c r="UBU46" s="502"/>
      <c r="UBV46" s="502" t="s">
        <v>124</v>
      </c>
      <c r="UBW46" s="502"/>
      <c r="UBX46" s="502"/>
      <c r="UBY46" s="502"/>
      <c r="UBZ46" s="502" t="s">
        <v>124</v>
      </c>
      <c r="UCA46" s="502"/>
      <c r="UCB46" s="502"/>
      <c r="UCC46" s="502"/>
      <c r="UCD46" s="502" t="s">
        <v>124</v>
      </c>
      <c r="UCE46" s="502"/>
      <c r="UCF46" s="502"/>
      <c r="UCG46" s="502"/>
      <c r="UCH46" s="502" t="s">
        <v>124</v>
      </c>
      <c r="UCI46" s="502"/>
      <c r="UCJ46" s="502"/>
      <c r="UCK46" s="502"/>
      <c r="UCL46" s="502" t="s">
        <v>124</v>
      </c>
      <c r="UCM46" s="502"/>
      <c r="UCN46" s="502"/>
      <c r="UCO46" s="502"/>
      <c r="UCP46" s="502" t="s">
        <v>124</v>
      </c>
      <c r="UCQ46" s="502"/>
      <c r="UCR46" s="502"/>
      <c r="UCS46" s="502"/>
      <c r="UCT46" s="502" t="s">
        <v>124</v>
      </c>
      <c r="UCU46" s="502"/>
      <c r="UCV46" s="502"/>
      <c r="UCW46" s="502"/>
      <c r="UCX46" s="502" t="s">
        <v>124</v>
      </c>
      <c r="UCY46" s="502"/>
      <c r="UCZ46" s="502"/>
      <c r="UDA46" s="502"/>
      <c r="UDB46" s="502" t="s">
        <v>124</v>
      </c>
      <c r="UDC46" s="502"/>
      <c r="UDD46" s="502"/>
      <c r="UDE46" s="502"/>
      <c r="UDF46" s="502" t="s">
        <v>124</v>
      </c>
      <c r="UDG46" s="502"/>
      <c r="UDH46" s="502"/>
      <c r="UDI46" s="502"/>
      <c r="UDJ46" s="502" t="s">
        <v>124</v>
      </c>
      <c r="UDK46" s="502"/>
      <c r="UDL46" s="502"/>
      <c r="UDM46" s="502"/>
      <c r="UDN46" s="502" t="s">
        <v>124</v>
      </c>
      <c r="UDO46" s="502"/>
      <c r="UDP46" s="502"/>
      <c r="UDQ46" s="502"/>
      <c r="UDR46" s="502" t="s">
        <v>124</v>
      </c>
      <c r="UDS46" s="502"/>
      <c r="UDT46" s="502"/>
      <c r="UDU46" s="502"/>
      <c r="UDV46" s="502" t="s">
        <v>124</v>
      </c>
      <c r="UDW46" s="502"/>
      <c r="UDX46" s="502"/>
      <c r="UDY46" s="502"/>
      <c r="UDZ46" s="502" t="s">
        <v>124</v>
      </c>
      <c r="UEA46" s="502"/>
      <c r="UEB46" s="502"/>
      <c r="UEC46" s="502"/>
      <c r="UED46" s="502" t="s">
        <v>124</v>
      </c>
      <c r="UEE46" s="502"/>
      <c r="UEF46" s="502"/>
      <c r="UEG46" s="502"/>
      <c r="UEH46" s="502" t="s">
        <v>124</v>
      </c>
      <c r="UEI46" s="502"/>
      <c r="UEJ46" s="502"/>
      <c r="UEK46" s="502"/>
      <c r="UEL46" s="502" t="s">
        <v>124</v>
      </c>
      <c r="UEM46" s="502"/>
      <c r="UEN46" s="502"/>
      <c r="UEO46" s="502"/>
      <c r="UEP46" s="502" t="s">
        <v>124</v>
      </c>
      <c r="UEQ46" s="502"/>
      <c r="UER46" s="502"/>
      <c r="UES46" s="502"/>
      <c r="UET46" s="502" t="s">
        <v>124</v>
      </c>
      <c r="UEU46" s="502"/>
      <c r="UEV46" s="502"/>
      <c r="UEW46" s="502"/>
      <c r="UEX46" s="502" t="s">
        <v>124</v>
      </c>
      <c r="UEY46" s="502"/>
      <c r="UEZ46" s="502"/>
      <c r="UFA46" s="502"/>
      <c r="UFB46" s="502" t="s">
        <v>124</v>
      </c>
      <c r="UFC46" s="502"/>
      <c r="UFD46" s="502"/>
      <c r="UFE46" s="502"/>
      <c r="UFF46" s="502" t="s">
        <v>124</v>
      </c>
      <c r="UFG46" s="502"/>
      <c r="UFH46" s="502"/>
      <c r="UFI46" s="502"/>
      <c r="UFJ46" s="502" t="s">
        <v>124</v>
      </c>
      <c r="UFK46" s="502"/>
      <c r="UFL46" s="502"/>
      <c r="UFM46" s="502"/>
      <c r="UFN46" s="502" t="s">
        <v>124</v>
      </c>
      <c r="UFO46" s="502"/>
      <c r="UFP46" s="502"/>
      <c r="UFQ46" s="502"/>
      <c r="UFR46" s="502" t="s">
        <v>124</v>
      </c>
      <c r="UFS46" s="502"/>
      <c r="UFT46" s="502"/>
      <c r="UFU46" s="502"/>
      <c r="UFV46" s="502" t="s">
        <v>124</v>
      </c>
      <c r="UFW46" s="502"/>
      <c r="UFX46" s="502"/>
      <c r="UFY46" s="502"/>
      <c r="UFZ46" s="502" t="s">
        <v>124</v>
      </c>
      <c r="UGA46" s="502"/>
      <c r="UGB46" s="502"/>
      <c r="UGC46" s="502"/>
      <c r="UGD46" s="502" t="s">
        <v>124</v>
      </c>
      <c r="UGE46" s="502"/>
      <c r="UGF46" s="502"/>
      <c r="UGG46" s="502"/>
      <c r="UGH46" s="502" t="s">
        <v>124</v>
      </c>
      <c r="UGI46" s="502"/>
      <c r="UGJ46" s="502"/>
      <c r="UGK46" s="502"/>
      <c r="UGL46" s="502" t="s">
        <v>124</v>
      </c>
      <c r="UGM46" s="502"/>
      <c r="UGN46" s="502"/>
      <c r="UGO46" s="502"/>
      <c r="UGP46" s="502" t="s">
        <v>124</v>
      </c>
      <c r="UGQ46" s="502"/>
      <c r="UGR46" s="502"/>
      <c r="UGS46" s="502"/>
      <c r="UGT46" s="502" t="s">
        <v>124</v>
      </c>
      <c r="UGU46" s="502"/>
      <c r="UGV46" s="502"/>
      <c r="UGW46" s="502"/>
      <c r="UGX46" s="502" t="s">
        <v>124</v>
      </c>
      <c r="UGY46" s="502"/>
      <c r="UGZ46" s="502"/>
      <c r="UHA46" s="502"/>
      <c r="UHB46" s="502" t="s">
        <v>124</v>
      </c>
      <c r="UHC46" s="502"/>
      <c r="UHD46" s="502"/>
      <c r="UHE46" s="502"/>
      <c r="UHF46" s="502" t="s">
        <v>124</v>
      </c>
      <c r="UHG46" s="502"/>
      <c r="UHH46" s="502"/>
      <c r="UHI46" s="502"/>
      <c r="UHJ46" s="502" t="s">
        <v>124</v>
      </c>
      <c r="UHK46" s="502"/>
      <c r="UHL46" s="502"/>
      <c r="UHM46" s="502"/>
      <c r="UHN46" s="502" t="s">
        <v>124</v>
      </c>
      <c r="UHO46" s="502"/>
      <c r="UHP46" s="502"/>
      <c r="UHQ46" s="502"/>
      <c r="UHR46" s="502" t="s">
        <v>124</v>
      </c>
      <c r="UHS46" s="502"/>
      <c r="UHT46" s="502"/>
      <c r="UHU46" s="502"/>
      <c r="UHV46" s="502" t="s">
        <v>124</v>
      </c>
      <c r="UHW46" s="502"/>
      <c r="UHX46" s="502"/>
      <c r="UHY46" s="502"/>
      <c r="UHZ46" s="502" t="s">
        <v>124</v>
      </c>
      <c r="UIA46" s="502"/>
      <c r="UIB46" s="502"/>
      <c r="UIC46" s="502"/>
      <c r="UID46" s="502" t="s">
        <v>124</v>
      </c>
      <c r="UIE46" s="502"/>
      <c r="UIF46" s="502"/>
      <c r="UIG46" s="502"/>
      <c r="UIH46" s="502" t="s">
        <v>124</v>
      </c>
      <c r="UII46" s="502"/>
      <c r="UIJ46" s="502"/>
      <c r="UIK46" s="502"/>
      <c r="UIL46" s="502" t="s">
        <v>124</v>
      </c>
      <c r="UIM46" s="502"/>
      <c r="UIN46" s="502"/>
      <c r="UIO46" s="502"/>
      <c r="UIP46" s="502" t="s">
        <v>124</v>
      </c>
      <c r="UIQ46" s="502"/>
      <c r="UIR46" s="502"/>
      <c r="UIS46" s="502"/>
      <c r="UIT46" s="502" t="s">
        <v>124</v>
      </c>
      <c r="UIU46" s="502"/>
      <c r="UIV46" s="502"/>
      <c r="UIW46" s="502"/>
      <c r="UIX46" s="502" t="s">
        <v>124</v>
      </c>
      <c r="UIY46" s="502"/>
      <c r="UIZ46" s="502"/>
      <c r="UJA46" s="502"/>
      <c r="UJB46" s="502" t="s">
        <v>124</v>
      </c>
      <c r="UJC46" s="502"/>
      <c r="UJD46" s="502"/>
      <c r="UJE46" s="502"/>
      <c r="UJF46" s="502" t="s">
        <v>124</v>
      </c>
      <c r="UJG46" s="502"/>
      <c r="UJH46" s="502"/>
      <c r="UJI46" s="502"/>
      <c r="UJJ46" s="502" t="s">
        <v>124</v>
      </c>
      <c r="UJK46" s="502"/>
      <c r="UJL46" s="502"/>
      <c r="UJM46" s="502"/>
      <c r="UJN46" s="502" t="s">
        <v>124</v>
      </c>
      <c r="UJO46" s="502"/>
      <c r="UJP46" s="502"/>
      <c r="UJQ46" s="502"/>
      <c r="UJR46" s="502" t="s">
        <v>124</v>
      </c>
      <c r="UJS46" s="502"/>
      <c r="UJT46" s="502"/>
      <c r="UJU46" s="502"/>
      <c r="UJV46" s="502" t="s">
        <v>124</v>
      </c>
      <c r="UJW46" s="502"/>
      <c r="UJX46" s="502"/>
      <c r="UJY46" s="502"/>
      <c r="UJZ46" s="502" t="s">
        <v>124</v>
      </c>
      <c r="UKA46" s="502"/>
      <c r="UKB46" s="502"/>
      <c r="UKC46" s="502"/>
      <c r="UKD46" s="502" t="s">
        <v>124</v>
      </c>
      <c r="UKE46" s="502"/>
      <c r="UKF46" s="502"/>
      <c r="UKG46" s="502"/>
      <c r="UKH46" s="502" t="s">
        <v>124</v>
      </c>
      <c r="UKI46" s="502"/>
      <c r="UKJ46" s="502"/>
      <c r="UKK46" s="502"/>
      <c r="UKL46" s="502" t="s">
        <v>124</v>
      </c>
      <c r="UKM46" s="502"/>
      <c r="UKN46" s="502"/>
      <c r="UKO46" s="502"/>
      <c r="UKP46" s="502" t="s">
        <v>124</v>
      </c>
      <c r="UKQ46" s="502"/>
      <c r="UKR46" s="502"/>
      <c r="UKS46" s="502"/>
      <c r="UKT46" s="502" t="s">
        <v>124</v>
      </c>
      <c r="UKU46" s="502"/>
      <c r="UKV46" s="502"/>
      <c r="UKW46" s="502"/>
      <c r="UKX46" s="502" t="s">
        <v>124</v>
      </c>
      <c r="UKY46" s="502"/>
      <c r="UKZ46" s="502"/>
      <c r="ULA46" s="502"/>
      <c r="ULB46" s="502" t="s">
        <v>124</v>
      </c>
      <c r="ULC46" s="502"/>
      <c r="ULD46" s="502"/>
      <c r="ULE46" s="502"/>
      <c r="ULF46" s="502" t="s">
        <v>124</v>
      </c>
      <c r="ULG46" s="502"/>
      <c r="ULH46" s="502"/>
      <c r="ULI46" s="502"/>
      <c r="ULJ46" s="502" t="s">
        <v>124</v>
      </c>
      <c r="ULK46" s="502"/>
      <c r="ULL46" s="502"/>
      <c r="ULM46" s="502"/>
      <c r="ULN46" s="502" t="s">
        <v>124</v>
      </c>
      <c r="ULO46" s="502"/>
      <c r="ULP46" s="502"/>
      <c r="ULQ46" s="502"/>
      <c r="ULR46" s="502" t="s">
        <v>124</v>
      </c>
      <c r="ULS46" s="502"/>
      <c r="ULT46" s="502"/>
      <c r="ULU46" s="502"/>
      <c r="ULV46" s="502" t="s">
        <v>124</v>
      </c>
      <c r="ULW46" s="502"/>
      <c r="ULX46" s="502"/>
      <c r="ULY46" s="502"/>
      <c r="ULZ46" s="502" t="s">
        <v>124</v>
      </c>
      <c r="UMA46" s="502"/>
      <c r="UMB46" s="502"/>
      <c r="UMC46" s="502"/>
      <c r="UMD46" s="502" t="s">
        <v>124</v>
      </c>
      <c r="UME46" s="502"/>
      <c r="UMF46" s="502"/>
      <c r="UMG46" s="502"/>
      <c r="UMH46" s="502" t="s">
        <v>124</v>
      </c>
      <c r="UMI46" s="502"/>
      <c r="UMJ46" s="502"/>
      <c r="UMK46" s="502"/>
      <c r="UML46" s="502" t="s">
        <v>124</v>
      </c>
      <c r="UMM46" s="502"/>
      <c r="UMN46" s="502"/>
      <c r="UMO46" s="502"/>
      <c r="UMP46" s="502" t="s">
        <v>124</v>
      </c>
      <c r="UMQ46" s="502"/>
      <c r="UMR46" s="502"/>
      <c r="UMS46" s="502"/>
      <c r="UMT46" s="502" t="s">
        <v>124</v>
      </c>
      <c r="UMU46" s="502"/>
      <c r="UMV46" s="502"/>
      <c r="UMW46" s="502"/>
      <c r="UMX46" s="502" t="s">
        <v>124</v>
      </c>
      <c r="UMY46" s="502"/>
      <c r="UMZ46" s="502"/>
      <c r="UNA46" s="502"/>
      <c r="UNB46" s="502" t="s">
        <v>124</v>
      </c>
      <c r="UNC46" s="502"/>
      <c r="UND46" s="502"/>
      <c r="UNE46" s="502"/>
      <c r="UNF46" s="502" t="s">
        <v>124</v>
      </c>
      <c r="UNG46" s="502"/>
      <c r="UNH46" s="502"/>
      <c r="UNI46" s="502"/>
      <c r="UNJ46" s="502" t="s">
        <v>124</v>
      </c>
      <c r="UNK46" s="502"/>
      <c r="UNL46" s="502"/>
      <c r="UNM46" s="502"/>
      <c r="UNN46" s="502" t="s">
        <v>124</v>
      </c>
      <c r="UNO46" s="502"/>
      <c r="UNP46" s="502"/>
      <c r="UNQ46" s="502"/>
      <c r="UNR46" s="502" t="s">
        <v>124</v>
      </c>
      <c r="UNS46" s="502"/>
      <c r="UNT46" s="502"/>
      <c r="UNU46" s="502"/>
      <c r="UNV46" s="502" t="s">
        <v>124</v>
      </c>
      <c r="UNW46" s="502"/>
      <c r="UNX46" s="502"/>
      <c r="UNY46" s="502"/>
      <c r="UNZ46" s="502" t="s">
        <v>124</v>
      </c>
      <c r="UOA46" s="502"/>
      <c r="UOB46" s="502"/>
      <c r="UOC46" s="502"/>
      <c r="UOD46" s="502" t="s">
        <v>124</v>
      </c>
      <c r="UOE46" s="502"/>
      <c r="UOF46" s="502"/>
      <c r="UOG46" s="502"/>
      <c r="UOH46" s="502" t="s">
        <v>124</v>
      </c>
      <c r="UOI46" s="502"/>
      <c r="UOJ46" s="502"/>
      <c r="UOK46" s="502"/>
      <c r="UOL46" s="502" t="s">
        <v>124</v>
      </c>
      <c r="UOM46" s="502"/>
      <c r="UON46" s="502"/>
      <c r="UOO46" s="502"/>
      <c r="UOP46" s="502" t="s">
        <v>124</v>
      </c>
      <c r="UOQ46" s="502"/>
      <c r="UOR46" s="502"/>
      <c r="UOS46" s="502"/>
      <c r="UOT46" s="502" t="s">
        <v>124</v>
      </c>
      <c r="UOU46" s="502"/>
      <c r="UOV46" s="502"/>
      <c r="UOW46" s="502"/>
      <c r="UOX46" s="502" t="s">
        <v>124</v>
      </c>
      <c r="UOY46" s="502"/>
      <c r="UOZ46" s="502"/>
      <c r="UPA46" s="502"/>
      <c r="UPB46" s="502" t="s">
        <v>124</v>
      </c>
      <c r="UPC46" s="502"/>
      <c r="UPD46" s="502"/>
      <c r="UPE46" s="502"/>
      <c r="UPF46" s="502" t="s">
        <v>124</v>
      </c>
      <c r="UPG46" s="502"/>
      <c r="UPH46" s="502"/>
      <c r="UPI46" s="502"/>
      <c r="UPJ46" s="502" t="s">
        <v>124</v>
      </c>
      <c r="UPK46" s="502"/>
      <c r="UPL46" s="502"/>
      <c r="UPM46" s="502"/>
      <c r="UPN46" s="502" t="s">
        <v>124</v>
      </c>
      <c r="UPO46" s="502"/>
      <c r="UPP46" s="502"/>
      <c r="UPQ46" s="502"/>
      <c r="UPR46" s="502" t="s">
        <v>124</v>
      </c>
      <c r="UPS46" s="502"/>
      <c r="UPT46" s="502"/>
      <c r="UPU46" s="502"/>
      <c r="UPV46" s="502" t="s">
        <v>124</v>
      </c>
      <c r="UPW46" s="502"/>
      <c r="UPX46" s="502"/>
      <c r="UPY46" s="502"/>
      <c r="UPZ46" s="502" t="s">
        <v>124</v>
      </c>
      <c r="UQA46" s="502"/>
      <c r="UQB46" s="502"/>
      <c r="UQC46" s="502"/>
      <c r="UQD46" s="502" t="s">
        <v>124</v>
      </c>
      <c r="UQE46" s="502"/>
      <c r="UQF46" s="502"/>
      <c r="UQG46" s="502"/>
      <c r="UQH46" s="502" t="s">
        <v>124</v>
      </c>
      <c r="UQI46" s="502"/>
      <c r="UQJ46" s="502"/>
      <c r="UQK46" s="502"/>
      <c r="UQL46" s="502" t="s">
        <v>124</v>
      </c>
      <c r="UQM46" s="502"/>
      <c r="UQN46" s="502"/>
      <c r="UQO46" s="502"/>
      <c r="UQP46" s="502" t="s">
        <v>124</v>
      </c>
      <c r="UQQ46" s="502"/>
      <c r="UQR46" s="502"/>
      <c r="UQS46" s="502"/>
      <c r="UQT46" s="502" t="s">
        <v>124</v>
      </c>
      <c r="UQU46" s="502"/>
      <c r="UQV46" s="502"/>
      <c r="UQW46" s="502"/>
      <c r="UQX46" s="502" t="s">
        <v>124</v>
      </c>
      <c r="UQY46" s="502"/>
      <c r="UQZ46" s="502"/>
      <c r="URA46" s="502"/>
      <c r="URB46" s="502" t="s">
        <v>124</v>
      </c>
      <c r="URC46" s="502"/>
      <c r="URD46" s="502"/>
      <c r="URE46" s="502"/>
      <c r="URF46" s="502" t="s">
        <v>124</v>
      </c>
      <c r="URG46" s="502"/>
      <c r="URH46" s="502"/>
      <c r="URI46" s="502"/>
      <c r="URJ46" s="502" t="s">
        <v>124</v>
      </c>
      <c r="URK46" s="502"/>
      <c r="URL46" s="502"/>
      <c r="URM46" s="502"/>
      <c r="URN46" s="502" t="s">
        <v>124</v>
      </c>
      <c r="URO46" s="502"/>
      <c r="URP46" s="502"/>
      <c r="URQ46" s="502"/>
      <c r="URR46" s="502" t="s">
        <v>124</v>
      </c>
      <c r="URS46" s="502"/>
      <c r="URT46" s="502"/>
      <c r="URU46" s="502"/>
      <c r="URV46" s="502" t="s">
        <v>124</v>
      </c>
      <c r="URW46" s="502"/>
      <c r="URX46" s="502"/>
      <c r="URY46" s="502"/>
      <c r="URZ46" s="502" t="s">
        <v>124</v>
      </c>
      <c r="USA46" s="502"/>
      <c r="USB46" s="502"/>
      <c r="USC46" s="502"/>
      <c r="USD46" s="502" t="s">
        <v>124</v>
      </c>
      <c r="USE46" s="502"/>
      <c r="USF46" s="502"/>
      <c r="USG46" s="502"/>
      <c r="USH46" s="502" t="s">
        <v>124</v>
      </c>
      <c r="USI46" s="502"/>
      <c r="USJ46" s="502"/>
      <c r="USK46" s="502"/>
      <c r="USL46" s="502" t="s">
        <v>124</v>
      </c>
      <c r="USM46" s="502"/>
      <c r="USN46" s="502"/>
      <c r="USO46" s="502"/>
      <c r="USP46" s="502" t="s">
        <v>124</v>
      </c>
      <c r="USQ46" s="502"/>
      <c r="USR46" s="502"/>
      <c r="USS46" s="502"/>
      <c r="UST46" s="502" t="s">
        <v>124</v>
      </c>
      <c r="USU46" s="502"/>
      <c r="USV46" s="502"/>
      <c r="USW46" s="502"/>
      <c r="USX46" s="502" t="s">
        <v>124</v>
      </c>
      <c r="USY46" s="502"/>
      <c r="USZ46" s="502"/>
      <c r="UTA46" s="502"/>
      <c r="UTB46" s="502" t="s">
        <v>124</v>
      </c>
      <c r="UTC46" s="502"/>
      <c r="UTD46" s="502"/>
      <c r="UTE46" s="502"/>
      <c r="UTF46" s="502" t="s">
        <v>124</v>
      </c>
      <c r="UTG46" s="502"/>
      <c r="UTH46" s="502"/>
      <c r="UTI46" s="502"/>
      <c r="UTJ46" s="502" t="s">
        <v>124</v>
      </c>
      <c r="UTK46" s="502"/>
      <c r="UTL46" s="502"/>
      <c r="UTM46" s="502"/>
      <c r="UTN46" s="502" t="s">
        <v>124</v>
      </c>
      <c r="UTO46" s="502"/>
      <c r="UTP46" s="502"/>
      <c r="UTQ46" s="502"/>
      <c r="UTR46" s="502" t="s">
        <v>124</v>
      </c>
      <c r="UTS46" s="502"/>
      <c r="UTT46" s="502"/>
      <c r="UTU46" s="502"/>
      <c r="UTV46" s="502" t="s">
        <v>124</v>
      </c>
      <c r="UTW46" s="502"/>
      <c r="UTX46" s="502"/>
      <c r="UTY46" s="502"/>
      <c r="UTZ46" s="502" t="s">
        <v>124</v>
      </c>
      <c r="UUA46" s="502"/>
      <c r="UUB46" s="502"/>
      <c r="UUC46" s="502"/>
      <c r="UUD46" s="502" t="s">
        <v>124</v>
      </c>
      <c r="UUE46" s="502"/>
      <c r="UUF46" s="502"/>
      <c r="UUG46" s="502"/>
      <c r="UUH46" s="502" t="s">
        <v>124</v>
      </c>
      <c r="UUI46" s="502"/>
      <c r="UUJ46" s="502"/>
      <c r="UUK46" s="502"/>
      <c r="UUL46" s="502" t="s">
        <v>124</v>
      </c>
      <c r="UUM46" s="502"/>
      <c r="UUN46" s="502"/>
      <c r="UUO46" s="502"/>
      <c r="UUP46" s="502" t="s">
        <v>124</v>
      </c>
      <c r="UUQ46" s="502"/>
      <c r="UUR46" s="502"/>
      <c r="UUS46" s="502"/>
      <c r="UUT46" s="502" t="s">
        <v>124</v>
      </c>
      <c r="UUU46" s="502"/>
      <c r="UUV46" s="502"/>
      <c r="UUW46" s="502"/>
      <c r="UUX46" s="502" t="s">
        <v>124</v>
      </c>
      <c r="UUY46" s="502"/>
      <c r="UUZ46" s="502"/>
      <c r="UVA46" s="502"/>
      <c r="UVB46" s="502" t="s">
        <v>124</v>
      </c>
      <c r="UVC46" s="502"/>
      <c r="UVD46" s="502"/>
      <c r="UVE46" s="502"/>
      <c r="UVF46" s="502" t="s">
        <v>124</v>
      </c>
      <c r="UVG46" s="502"/>
      <c r="UVH46" s="502"/>
      <c r="UVI46" s="502"/>
      <c r="UVJ46" s="502" t="s">
        <v>124</v>
      </c>
      <c r="UVK46" s="502"/>
      <c r="UVL46" s="502"/>
      <c r="UVM46" s="502"/>
      <c r="UVN46" s="502" t="s">
        <v>124</v>
      </c>
      <c r="UVO46" s="502"/>
      <c r="UVP46" s="502"/>
      <c r="UVQ46" s="502"/>
      <c r="UVR46" s="502" t="s">
        <v>124</v>
      </c>
      <c r="UVS46" s="502"/>
      <c r="UVT46" s="502"/>
      <c r="UVU46" s="502"/>
      <c r="UVV46" s="502" t="s">
        <v>124</v>
      </c>
      <c r="UVW46" s="502"/>
      <c r="UVX46" s="502"/>
      <c r="UVY46" s="502"/>
      <c r="UVZ46" s="502" t="s">
        <v>124</v>
      </c>
      <c r="UWA46" s="502"/>
      <c r="UWB46" s="502"/>
      <c r="UWC46" s="502"/>
      <c r="UWD46" s="502" t="s">
        <v>124</v>
      </c>
      <c r="UWE46" s="502"/>
      <c r="UWF46" s="502"/>
      <c r="UWG46" s="502"/>
      <c r="UWH46" s="502" t="s">
        <v>124</v>
      </c>
      <c r="UWI46" s="502"/>
      <c r="UWJ46" s="502"/>
      <c r="UWK46" s="502"/>
      <c r="UWL46" s="502" t="s">
        <v>124</v>
      </c>
      <c r="UWM46" s="502"/>
      <c r="UWN46" s="502"/>
      <c r="UWO46" s="502"/>
      <c r="UWP46" s="502" t="s">
        <v>124</v>
      </c>
      <c r="UWQ46" s="502"/>
      <c r="UWR46" s="502"/>
      <c r="UWS46" s="502"/>
      <c r="UWT46" s="502" t="s">
        <v>124</v>
      </c>
      <c r="UWU46" s="502"/>
      <c r="UWV46" s="502"/>
      <c r="UWW46" s="502"/>
      <c r="UWX46" s="502" t="s">
        <v>124</v>
      </c>
      <c r="UWY46" s="502"/>
      <c r="UWZ46" s="502"/>
      <c r="UXA46" s="502"/>
      <c r="UXB46" s="502" t="s">
        <v>124</v>
      </c>
      <c r="UXC46" s="502"/>
      <c r="UXD46" s="502"/>
      <c r="UXE46" s="502"/>
      <c r="UXF46" s="502" t="s">
        <v>124</v>
      </c>
      <c r="UXG46" s="502"/>
      <c r="UXH46" s="502"/>
      <c r="UXI46" s="502"/>
      <c r="UXJ46" s="502" t="s">
        <v>124</v>
      </c>
      <c r="UXK46" s="502"/>
      <c r="UXL46" s="502"/>
      <c r="UXM46" s="502"/>
      <c r="UXN46" s="502" t="s">
        <v>124</v>
      </c>
      <c r="UXO46" s="502"/>
      <c r="UXP46" s="502"/>
      <c r="UXQ46" s="502"/>
      <c r="UXR46" s="502" t="s">
        <v>124</v>
      </c>
      <c r="UXS46" s="502"/>
      <c r="UXT46" s="502"/>
      <c r="UXU46" s="502"/>
      <c r="UXV46" s="502" t="s">
        <v>124</v>
      </c>
      <c r="UXW46" s="502"/>
      <c r="UXX46" s="502"/>
      <c r="UXY46" s="502"/>
      <c r="UXZ46" s="502" t="s">
        <v>124</v>
      </c>
      <c r="UYA46" s="502"/>
      <c r="UYB46" s="502"/>
      <c r="UYC46" s="502"/>
      <c r="UYD46" s="502" t="s">
        <v>124</v>
      </c>
      <c r="UYE46" s="502"/>
      <c r="UYF46" s="502"/>
      <c r="UYG46" s="502"/>
      <c r="UYH46" s="502" t="s">
        <v>124</v>
      </c>
      <c r="UYI46" s="502"/>
      <c r="UYJ46" s="502"/>
      <c r="UYK46" s="502"/>
      <c r="UYL46" s="502" t="s">
        <v>124</v>
      </c>
      <c r="UYM46" s="502"/>
      <c r="UYN46" s="502"/>
      <c r="UYO46" s="502"/>
      <c r="UYP46" s="502" t="s">
        <v>124</v>
      </c>
      <c r="UYQ46" s="502"/>
      <c r="UYR46" s="502"/>
      <c r="UYS46" s="502"/>
      <c r="UYT46" s="502" t="s">
        <v>124</v>
      </c>
      <c r="UYU46" s="502"/>
      <c r="UYV46" s="502"/>
      <c r="UYW46" s="502"/>
      <c r="UYX46" s="502" t="s">
        <v>124</v>
      </c>
      <c r="UYY46" s="502"/>
      <c r="UYZ46" s="502"/>
      <c r="UZA46" s="502"/>
      <c r="UZB46" s="502" t="s">
        <v>124</v>
      </c>
      <c r="UZC46" s="502"/>
      <c r="UZD46" s="502"/>
      <c r="UZE46" s="502"/>
      <c r="UZF46" s="502" t="s">
        <v>124</v>
      </c>
      <c r="UZG46" s="502"/>
      <c r="UZH46" s="502"/>
      <c r="UZI46" s="502"/>
      <c r="UZJ46" s="502" t="s">
        <v>124</v>
      </c>
      <c r="UZK46" s="502"/>
      <c r="UZL46" s="502"/>
      <c r="UZM46" s="502"/>
      <c r="UZN46" s="502" t="s">
        <v>124</v>
      </c>
      <c r="UZO46" s="502"/>
      <c r="UZP46" s="502"/>
      <c r="UZQ46" s="502"/>
      <c r="UZR46" s="502" t="s">
        <v>124</v>
      </c>
      <c r="UZS46" s="502"/>
      <c r="UZT46" s="502"/>
      <c r="UZU46" s="502"/>
      <c r="UZV46" s="502" t="s">
        <v>124</v>
      </c>
      <c r="UZW46" s="502"/>
      <c r="UZX46" s="502"/>
      <c r="UZY46" s="502"/>
      <c r="UZZ46" s="502" t="s">
        <v>124</v>
      </c>
      <c r="VAA46" s="502"/>
      <c r="VAB46" s="502"/>
      <c r="VAC46" s="502"/>
      <c r="VAD46" s="502" t="s">
        <v>124</v>
      </c>
      <c r="VAE46" s="502"/>
      <c r="VAF46" s="502"/>
      <c r="VAG46" s="502"/>
      <c r="VAH46" s="502" t="s">
        <v>124</v>
      </c>
      <c r="VAI46" s="502"/>
      <c r="VAJ46" s="502"/>
      <c r="VAK46" s="502"/>
      <c r="VAL46" s="502" t="s">
        <v>124</v>
      </c>
      <c r="VAM46" s="502"/>
      <c r="VAN46" s="502"/>
      <c r="VAO46" s="502"/>
      <c r="VAP46" s="502" t="s">
        <v>124</v>
      </c>
      <c r="VAQ46" s="502"/>
      <c r="VAR46" s="502"/>
      <c r="VAS46" s="502"/>
      <c r="VAT46" s="502" t="s">
        <v>124</v>
      </c>
      <c r="VAU46" s="502"/>
      <c r="VAV46" s="502"/>
      <c r="VAW46" s="502"/>
      <c r="VAX46" s="502" t="s">
        <v>124</v>
      </c>
      <c r="VAY46" s="502"/>
      <c r="VAZ46" s="502"/>
      <c r="VBA46" s="502"/>
      <c r="VBB46" s="502" t="s">
        <v>124</v>
      </c>
      <c r="VBC46" s="502"/>
      <c r="VBD46" s="502"/>
      <c r="VBE46" s="502"/>
      <c r="VBF46" s="502" t="s">
        <v>124</v>
      </c>
      <c r="VBG46" s="502"/>
      <c r="VBH46" s="502"/>
      <c r="VBI46" s="502"/>
      <c r="VBJ46" s="502" t="s">
        <v>124</v>
      </c>
      <c r="VBK46" s="502"/>
      <c r="VBL46" s="502"/>
      <c r="VBM46" s="502"/>
      <c r="VBN46" s="502" t="s">
        <v>124</v>
      </c>
      <c r="VBO46" s="502"/>
      <c r="VBP46" s="502"/>
      <c r="VBQ46" s="502"/>
      <c r="VBR46" s="502" t="s">
        <v>124</v>
      </c>
      <c r="VBS46" s="502"/>
      <c r="VBT46" s="502"/>
      <c r="VBU46" s="502"/>
      <c r="VBV46" s="502" t="s">
        <v>124</v>
      </c>
      <c r="VBW46" s="502"/>
      <c r="VBX46" s="502"/>
      <c r="VBY46" s="502"/>
      <c r="VBZ46" s="502" t="s">
        <v>124</v>
      </c>
      <c r="VCA46" s="502"/>
      <c r="VCB46" s="502"/>
      <c r="VCC46" s="502"/>
      <c r="VCD46" s="502" t="s">
        <v>124</v>
      </c>
      <c r="VCE46" s="502"/>
      <c r="VCF46" s="502"/>
      <c r="VCG46" s="502"/>
      <c r="VCH46" s="502" t="s">
        <v>124</v>
      </c>
      <c r="VCI46" s="502"/>
      <c r="VCJ46" s="502"/>
      <c r="VCK46" s="502"/>
      <c r="VCL46" s="502" t="s">
        <v>124</v>
      </c>
      <c r="VCM46" s="502"/>
      <c r="VCN46" s="502"/>
      <c r="VCO46" s="502"/>
      <c r="VCP46" s="502" t="s">
        <v>124</v>
      </c>
      <c r="VCQ46" s="502"/>
      <c r="VCR46" s="502"/>
      <c r="VCS46" s="502"/>
      <c r="VCT46" s="502" t="s">
        <v>124</v>
      </c>
      <c r="VCU46" s="502"/>
      <c r="VCV46" s="502"/>
      <c r="VCW46" s="502"/>
      <c r="VCX46" s="502" t="s">
        <v>124</v>
      </c>
      <c r="VCY46" s="502"/>
      <c r="VCZ46" s="502"/>
      <c r="VDA46" s="502"/>
      <c r="VDB46" s="502" t="s">
        <v>124</v>
      </c>
      <c r="VDC46" s="502"/>
      <c r="VDD46" s="502"/>
      <c r="VDE46" s="502"/>
      <c r="VDF46" s="502" t="s">
        <v>124</v>
      </c>
      <c r="VDG46" s="502"/>
      <c r="VDH46" s="502"/>
      <c r="VDI46" s="502"/>
      <c r="VDJ46" s="502" t="s">
        <v>124</v>
      </c>
      <c r="VDK46" s="502"/>
      <c r="VDL46" s="502"/>
      <c r="VDM46" s="502"/>
      <c r="VDN46" s="502" t="s">
        <v>124</v>
      </c>
      <c r="VDO46" s="502"/>
      <c r="VDP46" s="502"/>
      <c r="VDQ46" s="502"/>
      <c r="VDR46" s="502" t="s">
        <v>124</v>
      </c>
      <c r="VDS46" s="502"/>
      <c r="VDT46" s="502"/>
      <c r="VDU46" s="502"/>
      <c r="VDV46" s="502" t="s">
        <v>124</v>
      </c>
      <c r="VDW46" s="502"/>
      <c r="VDX46" s="502"/>
      <c r="VDY46" s="502"/>
      <c r="VDZ46" s="502" t="s">
        <v>124</v>
      </c>
      <c r="VEA46" s="502"/>
      <c r="VEB46" s="502"/>
      <c r="VEC46" s="502"/>
      <c r="VED46" s="502" t="s">
        <v>124</v>
      </c>
      <c r="VEE46" s="502"/>
      <c r="VEF46" s="502"/>
      <c r="VEG46" s="502"/>
      <c r="VEH46" s="502" t="s">
        <v>124</v>
      </c>
      <c r="VEI46" s="502"/>
      <c r="VEJ46" s="502"/>
      <c r="VEK46" s="502"/>
      <c r="VEL46" s="502" t="s">
        <v>124</v>
      </c>
      <c r="VEM46" s="502"/>
      <c r="VEN46" s="502"/>
      <c r="VEO46" s="502"/>
      <c r="VEP46" s="502" t="s">
        <v>124</v>
      </c>
      <c r="VEQ46" s="502"/>
      <c r="VER46" s="502"/>
      <c r="VES46" s="502"/>
      <c r="VET46" s="502" t="s">
        <v>124</v>
      </c>
      <c r="VEU46" s="502"/>
      <c r="VEV46" s="502"/>
      <c r="VEW46" s="502"/>
      <c r="VEX46" s="502" t="s">
        <v>124</v>
      </c>
      <c r="VEY46" s="502"/>
      <c r="VEZ46" s="502"/>
      <c r="VFA46" s="502"/>
      <c r="VFB46" s="502" t="s">
        <v>124</v>
      </c>
      <c r="VFC46" s="502"/>
      <c r="VFD46" s="502"/>
      <c r="VFE46" s="502"/>
      <c r="VFF46" s="502" t="s">
        <v>124</v>
      </c>
      <c r="VFG46" s="502"/>
      <c r="VFH46" s="502"/>
      <c r="VFI46" s="502"/>
      <c r="VFJ46" s="502" t="s">
        <v>124</v>
      </c>
      <c r="VFK46" s="502"/>
      <c r="VFL46" s="502"/>
      <c r="VFM46" s="502"/>
      <c r="VFN46" s="502" t="s">
        <v>124</v>
      </c>
      <c r="VFO46" s="502"/>
      <c r="VFP46" s="502"/>
      <c r="VFQ46" s="502"/>
      <c r="VFR46" s="502" t="s">
        <v>124</v>
      </c>
      <c r="VFS46" s="502"/>
      <c r="VFT46" s="502"/>
      <c r="VFU46" s="502"/>
      <c r="VFV46" s="502" t="s">
        <v>124</v>
      </c>
      <c r="VFW46" s="502"/>
      <c r="VFX46" s="502"/>
      <c r="VFY46" s="502"/>
      <c r="VFZ46" s="502" t="s">
        <v>124</v>
      </c>
      <c r="VGA46" s="502"/>
      <c r="VGB46" s="502"/>
      <c r="VGC46" s="502"/>
      <c r="VGD46" s="502" t="s">
        <v>124</v>
      </c>
      <c r="VGE46" s="502"/>
      <c r="VGF46" s="502"/>
      <c r="VGG46" s="502"/>
      <c r="VGH46" s="502" t="s">
        <v>124</v>
      </c>
      <c r="VGI46" s="502"/>
      <c r="VGJ46" s="502"/>
      <c r="VGK46" s="502"/>
      <c r="VGL46" s="502" t="s">
        <v>124</v>
      </c>
      <c r="VGM46" s="502"/>
      <c r="VGN46" s="502"/>
      <c r="VGO46" s="502"/>
      <c r="VGP46" s="502" t="s">
        <v>124</v>
      </c>
      <c r="VGQ46" s="502"/>
      <c r="VGR46" s="502"/>
      <c r="VGS46" s="502"/>
      <c r="VGT46" s="502" t="s">
        <v>124</v>
      </c>
      <c r="VGU46" s="502"/>
      <c r="VGV46" s="502"/>
      <c r="VGW46" s="502"/>
      <c r="VGX46" s="502" t="s">
        <v>124</v>
      </c>
      <c r="VGY46" s="502"/>
      <c r="VGZ46" s="502"/>
      <c r="VHA46" s="502"/>
      <c r="VHB46" s="502" t="s">
        <v>124</v>
      </c>
      <c r="VHC46" s="502"/>
      <c r="VHD46" s="502"/>
      <c r="VHE46" s="502"/>
      <c r="VHF46" s="502" t="s">
        <v>124</v>
      </c>
      <c r="VHG46" s="502"/>
      <c r="VHH46" s="502"/>
      <c r="VHI46" s="502"/>
      <c r="VHJ46" s="502" t="s">
        <v>124</v>
      </c>
      <c r="VHK46" s="502"/>
      <c r="VHL46" s="502"/>
      <c r="VHM46" s="502"/>
      <c r="VHN46" s="502" t="s">
        <v>124</v>
      </c>
      <c r="VHO46" s="502"/>
      <c r="VHP46" s="502"/>
      <c r="VHQ46" s="502"/>
      <c r="VHR46" s="502" t="s">
        <v>124</v>
      </c>
      <c r="VHS46" s="502"/>
      <c r="VHT46" s="502"/>
      <c r="VHU46" s="502"/>
      <c r="VHV46" s="502" t="s">
        <v>124</v>
      </c>
      <c r="VHW46" s="502"/>
      <c r="VHX46" s="502"/>
      <c r="VHY46" s="502"/>
      <c r="VHZ46" s="502" t="s">
        <v>124</v>
      </c>
      <c r="VIA46" s="502"/>
      <c r="VIB46" s="502"/>
      <c r="VIC46" s="502"/>
      <c r="VID46" s="502" t="s">
        <v>124</v>
      </c>
      <c r="VIE46" s="502"/>
      <c r="VIF46" s="502"/>
      <c r="VIG46" s="502"/>
      <c r="VIH46" s="502" t="s">
        <v>124</v>
      </c>
      <c r="VII46" s="502"/>
      <c r="VIJ46" s="502"/>
      <c r="VIK46" s="502"/>
      <c r="VIL46" s="502" t="s">
        <v>124</v>
      </c>
      <c r="VIM46" s="502"/>
      <c r="VIN46" s="502"/>
      <c r="VIO46" s="502"/>
      <c r="VIP46" s="502" t="s">
        <v>124</v>
      </c>
      <c r="VIQ46" s="502"/>
      <c r="VIR46" s="502"/>
      <c r="VIS46" s="502"/>
      <c r="VIT46" s="502" t="s">
        <v>124</v>
      </c>
      <c r="VIU46" s="502"/>
      <c r="VIV46" s="502"/>
      <c r="VIW46" s="502"/>
      <c r="VIX46" s="502" t="s">
        <v>124</v>
      </c>
      <c r="VIY46" s="502"/>
      <c r="VIZ46" s="502"/>
      <c r="VJA46" s="502"/>
      <c r="VJB46" s="502" t="s">
        <v>124</v>
      </c>
      <c r="VJC46" s="502"/>
      <c r="VJD46" s="502"/>
      <c r="VJE46" s="502"/>
      <c r="VJF46" s="502" t="s">
        <v>124</v>
      </c>
      <c r="VJG46" s="502"/>
      <c r="VJH46" s="502"/>
      <c r="VJI46" s="502"/>
      <c r="VJJ46" s="502" t="s">
        <v>124</v>
      </c>
      <c r="VJK46" s="502"/>
      <c r="VJL46" s="502"/>
      <c r="VJM46" s="502"/>
      <c r="VJN46" s="502" t="s">
        <v>124</v>
      </c>
      <c r="VJO46" s="502"/>
      <c r="VJP46" s="502"/>
      <c r="VJQ46" s="502"/>
      <c r="VJR46" s="502" t="s">
        <v>124</v>
      </c>
      <c r="VJS46" s="502"/>
      <c r="VJT46" s="502"/>
      <c r="VJU46" s="502"/>
      <c r="VJV46" s="502" t="s">
        <v>124</v>
      </c>
      <c r="VJW46" s="502"/>
      <c r="VJX46" s="502"/>
      <c r="VJY46" s="502"/>
      <c r="VJZ46" s="502" t="s">
        <v>124</v>
      </c>
      <c r="VKA46" s="502"/>
      <c r="VKB46" s="502"/>
      <c r="VKC46" s="502"/>
      <c r="VKD46" s="502" t="s">
        <v>124</v>
      </c>
      <c r="VKE46" s="502"/>
      <c r="VKF46" s="502"/>
      <c r="VKG46" s="502"/>
      <c r="VKH46" s="502" t="s">
        <v>124</v>
      </c>
      <c r="VKI46" s="502"/>
      <c r="VKJ46" s="502"/>
      <c r="VKK46" s="502"/>
      <c r="VKL46" s="502" t="s">
        <v>124</v>
      </c>
      <c r="VKM46" s="502"/>
      <c r="VKN46" s="502"/>
      <c r="VKO46" s="502"/>
      <c r="VKP46" s="502" t="s">
        <v>124</v>
      </c>
      <c r="VKQ46" s="502"/>
      <c r="VKR46" s="502"/>
      <c r="VKS46" s="502"/>
      <c r="VKT46" s="502" t="s">
        <v>124</v>
      </c>
      <c r="VKU46" s="502"/>
      <c r="VKV46" s="502"/>
      <c r="VKW46" s="502"/>
      <c r="VKX46" s="502" t="s">
        <v>124</v>
      </c>
      <c r="VKY46" s="502"/>
      <c r="VKZ46" s="502"/>
      <c r="VLA46" s="502"/>
      <c r="VLB46" s="502" t="s">
        <v>124</v>
      </c>
      <c r="VLC46" s="502"/>
      <c r="VLD46" s="502"/>
      <c r="VLE46" s="502"/>
      <c r="VLF46" s="502" t="s">
        <v>124</v>
      </c>
      <c r="VLG46" s="502"/>
      <c r="VLH46" s="502"/>
      <c r="VLI46" s="502"/>
      <c r="VLJ46" s="502" t="s">
        <v>124</v>
      </c>
      <c r="VLK46" s="502"/>
      <c r="VLL46" s="502"/>
      <c r="VLM46" s="502"/>
      <c r="VLN46" s="502" t="s">
        <v>124</v>
      </c>
      <c r="VLO46" s="502"/>
      <c r="VLP46" s="502"/>
      <c r="VLQ46" s="502"/>
      <c r="VLR46" s="502" t="s">
        <v>124</v>
      </c>
      <c r="VLS46" s="502"/>
      <c r="VLT46" s="502"/>
      <c r="VLU46" s="502"/>
      <c r="VLV46" s="502" t="s">
        <v>124</v>
      </c>
      <c r="VLW46" s="502"/>
      <c r="VLX46" s="502"/>
      <c r="VLY46" s="502"/>
      <c r="VLZ46" s="502" t="s">
        <v>124</v>
      </c>
      <c r="VMA46" s="502"/>
      <c r="VMB46" s="502"/>
      <c r="VMC46" s="502"/>
      <c r="VMD46" s="502" t="s">
        <v>124</v>
      </c>
      <c r="VME46" s="502"/>
      <c r="VMF46" s="502"/>
      <c r="VMG46" s="502"/>
      <c r="VMH46" s="502" t="s">
        <v>124</v>
      </c>
      <c r="VMI46" s="502"/>
      <c r="VMJ46" s="502"/>
      <c r="VMK46" s="502"/>
      <c r="VML46" s="502" t="s">
        <v>124</v>
      </c>
      <c r="VMM46" s="502"/>
      <c r="VMN46" s="502"/>
      <c r="VMO46" s="502"/>
      <c r="VMP46" s="502" t="s">
        <v>124</v>
      </c>
      <c r="VMQ46" s="502"/>
      <c r="VMR46" s="502"/>
      <c r="VMS46" s="502"/>
      <c r="VMT46" s="502" t="s">
        <v>124</v>
      </c>
      <c r="VMU46" s="502"/>
      <c r="VMV46" s="502"/>
      <c r="VMW46" s="502"/>
      <c r="VMX46" s="502" t="s">
        <v>124</v>
      </c>
      <c r="VMY46" s="502"/>
      <c r="VMZ46" s="502"/>
      <c r="VNA46" s="502"/>
      <c r="VNB46" s="502" t="s">
        <v>124</v>
      </c>
      <c r="VNC46" s="502"/>
      <c r="VND46" s="502"/>
      <c r="VNE46" s="502"/>
      <c r="VNF46" s="502" t="s">
        <v>124</v>
      </c>
      <c r="VNG46" s="502"/>
      <c r="VNH46" s="502"/>
      <c r="VNI46" s="502"/>
      <c r="VNJ46" s="502" t="s">
        <v>124</v>
      </c>
      <c r="VNK46" s="502"/>
      <c r="VNL46" s="502"/>
      <c r="VNM46" s="502"/>
      <c r="VNN46" s="502" t="s">
        <v>124</v>
      </c>
      <c r="VNO46" s="502"/>
      <c r="VNP46" s="502"/>
      <c r="VNQ46" s="502"/>
      <c r="VNR46" s="502" t="s">
        <v>124</v>
      </c>
      <c r="VNS46" s="502"/>
      <c r="VNT46" s="502"/>
      <c r="VNU46" s="502"/>
      <c r="VNV46" s="502" t="s">
        <v>124</v>
      </c>
      <c r="VNW46" s="502"/>
      <c r="VNX46" s="502"/>
      <c r="VNY46" s="502"/>
      <c r="VNZ46" s="502" t="s">
        <v>124</v>
      </c>
      <c r="VOA46" s="502"/>
      <c r="VOB46" s="502"/>
      <c r="VOC46" s="502"/>
      <c r="VOD46" s="502" t="s">
        <v>124</v>
      </c>
      <c r="VOE46" s="502"/>
      <c r="VOF46" s="502"/>
      <c r="VOG46" s="502"/>
      <c r="VOH46" s="502" t="s">
        <v>124</v>
      </c>
      <c r="VOI46" s="502"/>
      <c r="VOJ46" s="502"/>
      <c r="VOK46" s="502"/>
      <c r="VOL46" s="502" t="s">
        <v>124</v>
      </c>
      <c r="VOM46" s="502"/>
      <c r="VON46" s="502"/>
      <c r="VOO46" s="502"/>
      <c r="VOP46" s="502" t="s">
        <v>124</v>
      </c>
      <c r="VOQ46" s="502"/>
      <c r="VOR46" s="502"/>
      <c r="VOS46" s="502"/>
      <c r="VOT46" s="502" t="s">
        <v>124</v>
      </c>
      <c r="VOU46" s="502"/>
      <c r="VOV46" s="502"/>
      <c r="VOW46" s="502"/>
      <c r="VOX46" s="502" t="s">
        <v>124</v>
      </c>
      <c r="VOY46" s="502"/>
      <c r="VOZ46" s="502"/>
      <c r="VPA46" s="502"/>
      <c r="VPB46" s="502" t="s">
        <v>124</v>
      </c>
      <c r="VPC46" s="502"/>
      <c r="VPD46" s="502"/>
      <c r="VPE46" s="502"/>
      <c r="VPF46" s="502" t="s">
        <v>124</v>
      </c>
      <c r="VPG46" s="502"/>
      <c r="VPH46" s="502"/>
      <c r="VPI46" s="502"/>
      <c r="VPJ46" s="502" t="s">
        <v>124</v>
      </c>
      <c r="VPK46" s="502"/>
      <c r="VPL46" s="502"/>
      <c r="VPM46" s="502"/>
      <c r="VPN46" s="502" t="s">
        <v>124</v>
      </c>
      <c r="VPO46" s="502"/>
      <c r="VPP46" s="502"/>
      <c r="VPQ46" s="502"/>
      <c r="VPR46" s="502" t="s">
        <v>124</v>
      </c>
      <c r="VPS46" s="502"/>
      <c r="VPT46" s="502"/>
      <c r="VPU46" s="502"/>
      <c r="VPV46" s="502" t="s">
        <v>124</v>
      </c>
      <c r="VPW46" s="502"/>
      <c r="VPX46" s="502"/>
      <c r="VPY46" s="502"/>
      <c r="VPZ46" s="502" t="s">
        <v>124</v>
      </c>
      <c r="VQA46" s="502"/>
      <c r="VQB46" s="502"/>
      <c r="VQC46" s="502"/>
      <c r="VQD46" s="502" t="s">
        <v>124</v>
      </c>
      <c r="VQE46" s="502"/>
      <c r="VQF46" s="502"/>
      <c r="VQG46" s="502"/>
      <c r="VQH46" s="502" t="s">
        <v>124</v>
      </c>
      <c r="VQI46" s="502"/>
      <c r="VQJ46" s="502"/>
      <c r="VQK46" s="502"/>
      <c r="VQL46" s="502" t="s">
        <v>124</v>
      </c>
      <c r="VQM46" s="502"/>
      <c r="VQN46" s="502"/>
      <c r="VQO46" s="502"/>
      <c r="VQP46" s="502" t="s">
        <v>124</v>
      </c>
      <c r="VQQ46" s="502"/>
      <c r="VQR46" s="502"/>
      <c r="VQS46" s="502"/>
      <c r="VQT46" s="502" t="s">
        <v>124</v>
      </c>
      <c r="VQU46" s="502"/>
      <c r="VQV46" s="502"/>
      <c r="VQW46" s="502"/>
      <c r="VQX46" s="502" t="s">
        <v>124</v>
      </c>
      <c r="VQY46" s="502"/>
      <c r="VQZ46" s="502"/>
      <c r="VRA46" s="502"/>
      <c r="VRB46" s="502" t="s">
        <v>124</v>
      </c>
      <c r="VRC46" s="502"/>
      <c r="VRD46" s="502"/>
      <c r="VRE46" s="502"/>
      <c r="VRF46" s="502" t="s">
        <v>124</v>
      </c>
      <c r="VRG46" s="502"/>
      <c r="VRH46" s="502"/>
      <c r="VRI46" s="502"/>
      <c r="VRJ46" s="502" t="s">
        <v>124</v>
      </c>
      <c r="VRK46" s="502"/>
      <c r="VRL46" s="502"/>
      <c r="VRM46" s="502"/>
      <c r="VRN46" s="502" t="s">
        <v>124</v>
      </c>
      <c r="VRO46" s="502"/>
      <c r="VRP46" s="502"/>
      <c r="VRQ46" s="502"/>
      <c r="VRR46" s="502" t="s">
        <v>124</v>
      </c>
      <c r="VRS46" s="502"/>
      <c r="VRT46" s="502"/>
      <c r="VRU46" s="502"/>
      <c r="VRV46" s="502" t="s">
        <v>124</v>
      </c>
      <c r="VRW46" s="502"/>
      <c r="VRX46" s="502"/>
      <c r="VRY46" s="502"/>
      <c r="VRZ46" s="502" t="s">
        <v>124</v>
      </c>
      <c r="VSA46" s="502"/>
      <c r="VSB46" s="502"/>
      <c r="VSC46" s="502"/>
      <c r="VSD46" s="502" t="s">
        <v>124</v>
      </c>
      <c r="VSE46" s="502"/>
      <c r="VSF46" s="502"/>
      <c r="VSG46" s="502"/>
      <c r="VSH46" s="502" t="s">
        <v>124</v>
      </c>
      <c r="VSI46" s="502"/>
      <c r="VSJ46" s="502"/>
      <c r="VSK46" s="502"/>
      <c r="VSL46" s="502" t="s">
        <v>124</v>
      </c>
      <c r="VSM46" s="502"/>
      <c r="VSN46" s="502"/>
      <c r="VSO46" s="502"/>
      <c r="VSP46" s="502" t="s">
        <v>124</v>
      </c>
      <c r="VSQ46" s="502"/>
      <c r="VSR46" s="502"/>
      <c r="VSS46" s="502"/>
      <c r="VST46" s="502" t="s">
        <v>124</v>
      </c>
      <c r="VSU46" s="502"/>
      <c r="VSV46" s="502"/>
      <c r="VSW46" s="502"/>
      <c r="VSX46" s="502" t="s">
        <v>124</v>
      </c>
      <c r="VSY46" s="502"/>
      <c r="VSZ46" s="502"/>
      <c r="VTA46" s="502"/>
      <c r="VTB46" s="502" t="s">
        <v>124</v>
      </c>
      <c r="VTC46" s="502"/>
      <c r="VTD46" s="502"/>
      <c r="VTE46" s="502"/>
      <c r="VTF46" s="502" t="s">
        <v>124</v>
      </c>
      <c r="VTG46" s="502"/>
      <c r="VTH46" s="502"/>
      <c r="VTI46" s="502"/>
      <c r="VTJ46" s="502" t="s">
        <v>124</v>
      </c>
      <c r="VTK46" s="502"/>
      <c r="VTL46" s="502"/>
      <c r="VTM46" s="502"/>
      <c r="VTN46" s="502" t="s">
        <v>124</v>
      </c>
      <c r="VTO46" s="502"/>
      <c r="VTP46" s="502"/>
      <c r="VTQ46" s="502"/>
      <c r="VTR46" s="502" t="s">
        <v>124</v>
      </c>
      <c r="VTS46" s="502"/>
      <c r="VTT46" s="502"/>
      <c r="VTU46" s="502"/>
      <c r="VTV46" s="502" t="s">
        <v>124</v>
      </c>
      <c r="VTW46" s="502"/>
      <c r="VTX46" s="502"/>
      <c r="VTY46" s="502"/>
      <c r="VTZ46" s="502" t="s">
        <v>124</v>
      </c>
      <c r="VUA46" s="502"/>
      <c r="VUB46" s="502"/>
      <c r="VUC46" s="502"/>
      <c r="VUD46" s="502" t="s">
        <v>124</v>
      </c>
      <c r="VUE46" s="502"/>
      <c r="VUF46" s="502"/>
      <c r="VUG46" s="502"/>
      <c r="VUH46" s="502" t="s">
        <v>124</v>
      </c>
      <c r="VUI46" s="502"/>
      <c r="VUJ46" s="502"/>
      <c r="VUK46" s="502"/>
      <c r="VUL46" s="502" t="s">
        <v>124</v>
      </c>
      <c r="VUM46" s="502"/>
      <c r="VUN46" s="502"/>
      <c r="VUO46" s="502"/>
      <c r="VUP46" s="502" t="s">
        <v>124</v>
      </c>
      <c r="VUQ46" s="502"/>
      <c r="VUR46" s="502"/>
      <c r="VUS46" s="502"/>
      <c r="VUT46" s="502" t="s">
        <v>124</v>
      </c>
      <c r="VUU46" s="502"/>
      <c r="VUV46" s="502"/>
      <c r="VUW46" s="502"/>
      <c r="VUX46" s="502" t="s">
        <v>124</v>
      </c>
      <c r="VUY46" s="502"/>
      <c r="VUZ46" s="502"/>
      <c r="VVA46" s="502"/>
      <c r="VVB46" s="502" t="s">
        <v>124</v>
      </c>
      <c r="VVC46" s="502"/>
      <c r="VVD46" s="502"/>
      <c r="VVE46" s="502"/>
      <c r="VVF46" s="502" t="s">
        <v>124</v>
      </c>
      <c r="VVG46" s="502"/>
      <c r="VVH46" s="502"/>
      <c r="VVI46" s="502"/>
      <c r="VVJ46" s="502" t="s">
        <v>124</v>
      </c>
      <c r="VVK46" s="502"/>
      <c r="VVL46" s="502"/>
      <c r="VVM46" s="502"/>
      <c r="VVN46" s="502" t="s">
        <v>124</v>
      </c>
      <c r="VVO46" s="502"/>
      <c r="VVP46" s="502"/>
      <c r="VVQ46" s="502"/>
      <c r="VVR46" s="502" t="s">
        <v>124</v>
      </c>
      <c r="VVS46" s="502"/>
      <c r="VVT46" s="502"/>
      <c r="VVU46" s="502"/>
      <c r="VVV46" s="502" t="s">
        <v>124</v>
      </c>
      <c r="VVW46" s="502"/>
      <c r="VVX46" s="502"/>
      <c r="VVY46" s="502"/>
      <c r="VVZ46" s="502" t="s">
        <v>124</v>
      </c>
      <c r="VWA46" s="502"/>
      <c r="VWB46" s="502"/>
      <c r="VWC46" s="502"/>
      <c r="VWD46" s="502" t="s">
        <v>124</v>
      </c>
      <c r="VWE46" s="502"/>
      <c r="VWF46" s="502"/>
      <c r="VWG46" s="502"/>
      <c r="VWH46" s="502" t="s">
        <v>124</v>
      </c>
      <c r="VWI46" s="502"/>
      <c r="VWJ46" s="502"/>
      <c r="VWK46" s="502"/>
      <c r="VWL46" s="502" t="s">
        <v>124</v>
      </c>
      <c r="VWM46" s="502"/>
      <c r="VWN46" s="502"/>
      <c r="VWO46" s="502"/>
      <c r="VWP46" s="502" t="s">
        <v>124</v>
      </c>
      <c r="VWQ46" s="502"/>
      <c r="VWR46" s="502"/>
      <c r="VWS46" s="502"/>
      <c r="VWT46" s="502" t="s">
        <v>124</v>
      </c>
      <c r="VWU46" s="502"/>
      <c r="VWV46" s="502"/>
      <c r="VWW46" s="502"/>
      <c r="VWX46" s="502" t="s">
        <v>124</v>
      </c>
      <c r="VWY46" s="502"/>
      <c r="VWZ46" s="502"/>
      <c r="VXA46" s="502"/>
      <c r="VXB46" s="502" t="s">
        <v>124</v>
      </c>
      <c r="VXC46" s="502"/>
      <c r="VXD46" s="502"/>
      <c r="VXE46" s="502"/>
      <c r="VXF46" s="502" t="s">
        <v>124</v>
      </c>
      <c r="VXG46" s="502"/>
      <c r="VXH46" s="502"/>
      <c r="VXI46" s="502"/>
      <c r="VXJ46" s="502" t="s">
        <v>124</v>
      </c>
      <c r="VXK46" s="502"/>
      <c r="VXL46" s="502"/>
      <c r="VXM46" s="502"/>
      <c r="VXN46" s="502" t="s">
        <v>124</v>
      </c>
      <c r="VXO46" s="502"/>
      <c r="VXP46" s="502"/>
      <c r="VXQ46" s="502"/>
      <c r="VXR46" s="502" t="s">
        <v>124</v>
      </c>
      <c r="VXS46" s="502"/>
      <c r="VXT46" s="502"/>
      <c r="VXU46" s="502"/>
      <c r="VXV46" s="502" t="s">
        <v>124</v>
      </c>
      <c r="VXW46" s="502"/>
      <c r="VXX46" s="502"/>
      <c r="VXY46" s="502"/>
      <c r="VXZ46" s="502" t="s">
        <v>124</v>
      </c>
      <c r="VYA46" s="502"/>
      <c r="VYB46" s="502"/>
      <c r="VYC46" s="502"/>
      <c r="VYD46" s="502" t="s">
        <v>124</v>
      </c>
      <c r="VYE46" s="502"/>
      <c r="VYF46" s="502"/>
      <c r="VYG46" s="502"/>
      <c r="VYH46" s="502" t="s">
        <v>124</v>
      </c>
      <c r="VYI46" s="502"/>
      <c r="VYJ46" s="502"/>
      <c r="VYK46" s="502"/>
      <c r="VYL46" s="502" t="s">
        <v>124</v>
      </c>
      <c r="VYM46" s="502"/>
      <c r="VYN46" s="502"/>
      <c r="VYO46" s="502"/>
      <c r="VYP46" s="502" t="s">
        <v>124</v>
      </c>
      <c r="VYQ46" s="502"/>
      <c r="VYR46" s="502"/>
      <c r="VYS46" s="502"/>
      <c r="VYT46" s="502" t="s">
        <v>124</v>
      </c>
      <c r="VYU46" s="502"/>
      <c r="VYV46" s="502"/>
      <c r="VYW46" s="502"/>
      <c r="VYX46" s="502" t="s">
        <v>124</v>
      </c>
      <c r="VYY46" s="502"/>
      <c r="VYZ46" s="502"/>
      <c r="VZA46" s="502"/>
      <c r="VZB46" s="502" t="s">
        <v>124</v>
      </c>
      <c r="VZC46" s="502"/>
      <c r="VZD46" s="502"/>
      <c r="VZE46" s="502"/>
      <c r="VZF46" s="502" t="s">
        <v>124</v>
      </c>
      <c r="VZG46" s="502"/>
      <c r="VZH46" s="502"/>
      <c r="VZI46" s="502"/>
      <c r="VZJ46" s="502" t="s">
        <v>124</v>
      </c>
      <c r="VZK46" s="502"/>
      <c r="VZL46" s="502"/>
      <c r="VZM46" s="502"/>
      <c r="VZN46" s="502" t="s">
        <v>124</v>
      </c>
      <c r="VZO46" s="502"/>
      <c r="VZP46" s="502"/>
      <c r="VZQ46" s="502"/>
      <c r="VZR46" s="502" t="s">
        <v>124</v>
      </c>
      <c r="VZS46" s="502"/>
      <c r="VZT46" s="502"/>
      <c r="VZU46" s="502"/>
      <c r="VZV46" s="502" t="s">
        <v>124</v>
      </c>
      <c r="VZW46" s="502"/>
      <c r="VZX46" s="502"/>
      <c r="VZY46" s="502"/>
      <c r="VZZ46" s="502" t="s">
        <v>124</v>
      </c>
      <c r="WAA46" s="502"/>
      <c r="WAB46" s="502"/>
      <c r="WAC46" s="502"/>
      <c r="WAD46" s="502" t="s">
        <v>124</v>
      </c>
      <c r="WAE46" s="502"/>
      <c r="WAF46" s="502"/>
      <c r="WAG46" s="502"/>
      <c r="WAH46" s="502" t="s">
        <v>124</v>
      </c>
      <c r="WAI46" s="502"/>
      <c r="WAJ46" s="502"/>
      <c r="WAK46" s="502"/>
      <c r="WAL46" s="502" t="s">
        <v>124</v>
      </c>
      <c r="WAM46" s="502"/>
      <c r="WAN46" s="502"/>
      <c r="WAO46" s="502"/>
      <c r="WAP46" s="502" t="s">
        <v>124</v>
      </c>
      <c r="WAQ46" s="502"/>
      <c r="WAR46" s="502"/>
      <c r="WAS46" s="502"/>
      <c r="WAT46" s="502" t="s">
        <v>124</v>
      </c>
      <c r="WAU46" s="502"/>
      <c r="WAV46" s="502"/>
      <c r="WAW46" s="502"/>
      <c r="WAX46" s="502" t="s">
        <v>124</v>
      </c>
      <c r="WAY46" s="502"/>
      <c r="WAZ46" s="502"/>
      <c r="WBA46" s="502"/>
      <c r="WBB46" s="502" t="s">
        <v>124</v>
      </c>
      <c r="WBC46" s="502"/>
      <c r="WBD46" s="502"/>
      <c r="WBE46" s="502"/>
      <c r="WBF46" s="502" t="s">
        <v>124</v>
      </c>
      <c r="WBG46" s="502"/>
      <c r="WBH46" s="502"/>
      <c r="WBI46" s="502"/>
      <c r="WBJ46" s="502" t="s">
        <v>124</v>
      </c>
      <c r="WBK46" s="502"/>
      <c r="WBL46" s="502"/>
      <c r="WBM46" s="502"/>
      <c r="WBN46" s="502" t="s">
        <v>124</v>
      </c>
      <c r="WBO46" s="502"/>
      <c r="WBP46" s="502"/>
      <c r="WBQ46" s="502"/>
      <c r="WBR46" s="502" t="s">
        <v>124</v>
      </c>
      <c r="WBS46" s="502"/>
      <c r="WBT46" s="502"/>
      <c r="WBU46" s="502"/>
      <c r="WBV46" s="502" t="s">
        <v>124</v>
      </c>
      <c r="WBW46" s="502"/>
      <c r="WBX46" s="502"/>
      <c r="WBY46" s="502"/>
      <c r="WBZ46" s="502" t="s">
        <v>124</v>
      </c>
      <c r="WCA46" s="502"/>
      <c r="WCB46" s="502"/>
      <c r="WCC46" s="502"/>
      <c r="WCD46" s="502" t="s">
        <v>124</v>
      </c>
      <c r="WCE46" s="502"/>
      <c r="WCF46" s="502"/>
      <c r="WCG46" s="502"/>
      <c r="WCH46" s="502" t="s">
        <v>124</v>
      </c>
      <c r="WCI46" s="502"/>
      <c r="WCJ46" s="502"/>
      <c r="WCK46" s="502"/>
      <c r="WCL46" s="502" t="s">
        <v>124</v>
      </c>
      <c r="WCM46" s="502"/>
      <c r="WCN46" s="502"/>
      <c r="WCO46" s="502"/>
      <c r="WCP46" s="502" t="s">
        <v>124</v>
      </c>
      <c r="WCQ46" s="502"/>
      <c r="WCR46" s="502"/>
      <c r="WCS46" s="502"/>
      <c r="WCT46" s="502" t="s">
        <v>124</v>
      </c>
      <c r="WCU46" s="502"/>
      <c r="WCV46" s="502"/>
      <c r="WCW46" s="502"/>
      <c r="WCX46" s="502" t="s">
        <v>124</v>
      </c>
      <c r="WCY46" s="502"/>
      <c r="WCZ46" s="502"/>
      <c r="WDA46" s="502"/>
      <c r="WDB46" s="502" t="s">
        <v>124</v>
      </c>
      <c r="WDC46" s="502"/>
      <c r="WDD46" s="502"/>
      <c r="WDE46" s="502"/>
      <c r="WDF46" s="502" t="s">
        <v>124</v>
      </c>
      <c r="WDG46" s="502"/>
      <c r="WDH46" s="502"/>
      <c r="WDI46" s="502"/>
      <c r="WDJ46" s="502" t="s">
        <v>124</v>
      </c>
      <c r="WDK46" s="502"/>
      <c r="WDL46" s="502"/>
      <c r="WDM46" s="502"/>
      <c r="WDN46" s="502" t="s">
        <v>124</v>
      </c>
      <c r="WDO46" s="502"/>
      <c r="WDP46" s="502"/>
      <c r="WDQ46" s="502"/>
      <c r="WDR46" s="502" t="s">
        <v>124</v>
      </c>
      <c r="WDS46" s="502"/>
      <c r="WDT46" s="502"/>
      <c r="WDU46" s="502"/>
      <c r="WDV46" s="502" t="s">
        <v>124</v>
      </c>
      <c r="WDW46" s="502"/>
      <c r="WDX46" s="502"/>
      <c r="WDY46" s="502"/>
      <c r="WDZ46" s="502" t="s">
        <v>124</v>
      </c>
      <c r="WEA46" s="502"/>
      <c r="WEB46" s="502"/>
      <c r="WEC46" s="502"/>
      <c r="WED46" s="502" t="s">
        <v>124</v>
      </c>
      <c r="WEE46" s="502"/>
      <c r="WEF46" s="502"/>
      <c r="WEG46" s="502"/>
      <c r="WEH46" s="502" t="s">
        <v>124</v>
      </c>
      <c r="WEI46" s="502"/>
      <c r="WEJ46" s="502"/>
      <c r="WEK46" s="502"/>
      <c r="WEL46" s="502" t="s">
        <v>124</v>
      </c>
      <c r="WEM46" s="502"/>
      <c r="WEN46" s="502"/>
      <c r="WEO46" s="502"/>
      <c r="WEP46" s="502" t="s">
        <v>124</v>
      </c>
      <c r="WEQ46" s="502"/>
      <c r="WER46" s="502"/>
      <c r="WES46" s="502"/>
      <c r="WET46" s="502" t="s">
        <v>124</v>
      </c>
      <c r="WEU46" s="502"/>
      <c r="WEV46" s="502"/>
      <c r="WEW46" s="502"/>
      <c r="WEX46" s="502" t="s">
        <v>124</v>
      </c>
      <c r="WEY46" s="502"/>
      <c r="WEZ46" s="502"/>
      <c r="WFA46" s="502"/>
      <c r="WFB46" s="502" t="s">
        <v>124</v>
      </c>
      <c r="WFC46" s="502"/>
      <c r="WFD46" s="502"/>
      <c r="WFE46" s="502"/>
      <c r="WFF46" s="502" t="s">
        <v>124</v>
      </c>
      <c r="WFG46" s="502"/>
      <c r="WFH46" s="502"/>
      <c r="WFI46" s="502"/>
      <c r="WFJ46" s="502" t="s">
        <v>124</v>
      </c>
      <c r="WFK46" s="502"/>
      <c r="WFL46" s="502"/>
      <c r="WFM46" s="502"/>
      <c r="WFN46" s="502" t="s">
        <v>124</v>
      </c>
      <c r="WFO46" s="502"/>
      <c r="WFP46" s="502"/>
      <c r="WFQ46" s="502"/>
      <c r="WFR46" s="502" t="s">
        <v>124</v>
      </c>
      <c r="WFS46" s="502"/>
      <c r="WFT46" s="502"/>
      <c r="WFU46" s="502"/>
      <c r="WFV46" s="502" t="s">
        <v>124</v>
      </c>
      <c r="WFW46" s="502"/>
      <c r="WFX46" s="502"/>
      <c r="WFY46" s="502"/>
      <c r="WFZ46" s="502" t="s">
        <v>124</v>
      </c>
      <c r="WGA46" s="502"/>
      <c r="WGB46" s="502"/>
      <c r="WGC46" s="502"/>
      <c r="WGD46" s="502" t="s">
        <v>124</v>
      </c>
      <c r="WGE46" s="502"/>
      <c r="WGF46" s="502"/>
      <c r="WGG46" s="502"/>
      <c r="WGH46" s="502" t="s">
        <v>124</v>
      </c>
      <c r="WGI46" s="502"/>
      <c r="WGJ46" s="502"/>
      <c r="WGK46" s="502"/>
      <c r="WGL46" s="502" t="s">
        <v>124</v>
      </c>
      <c r="WGM46" s="502"/>
      <c r="WGN46" s="502"/>
      <c r="WGO46" s="502"/>
      <c r="WGP46" s="502" t="s">
        <v>124</v>
      </c>
      <c r="WGQ46" s="502"/>
      <c r="WGR46" s="502"/>
      <c r="WGS46" s="502"/>
      <c r="WGT46" s="502" t="s">
        <v>124</v>
      </c>
      <c r="WGU46" s="502"/>
      <c r="WGV46" s="502"/>
      <c r="WGW46" s="502"/>
      <c r="WGX46" s="502" t="s">
        <v>124</v>
      </c>
      <c r="WGY46" s="502"/>
      <c r="WGZ46" s="502"/>
      <c r="WHA46" s="502"/>
      <c r="WHB46" s="502" t="s">
        <v>124</v>
      </c>
      <c r="WHC46" s="502"/>
      <c r="WHD46" s="502"/>
      <c r="WHE46" s="502"/>
      <c r="WHF46" s="502" t="s">
        <v>124</v>
      </c>
      <c r="WHG46" s="502"/>
      <c r="WHH46" s="502"/>
      <c r="WHI46" s="502"/>
      <c r="WHJ46" s="502" t="s">
        <v>124</v>
      </c>
      <c r="WHK46" s="502"/>
      <c r="WHL46" s="502"/>
      <c r="WHM46" s="502"/>
      <c r="WHN46" s="502" t="s">
        <v>124</v>
      </c>
      <c r="WHO46" s="502"/>
      <c r="WHP46" s="502"/>
      <c r="WHQ46" s="502"/>
      <c r="WHR46" s="502" t="s">
        <v>124</v>
      </c>
      <c r="WHS46" s="502"/>
      <c r="WHT46" s="502"/>
      <c r="WHU46" s="502"/>
      <c r="WHV46" s="502" t="s">
        <v>124</v>
      </c>
      <c r="WHW46" s="502"/>
      <c r="WHX46" s="502"/>
      <c r="WHY46" s="502"/>
      <c r="WHZ46" s="502" t="s">
        <v>124</v>
      </c>
      <c r="WIA46" s="502"/>
      <c r="WIB46" s="502"/>
      <c r="WIC46" s="502"/>
      <c r="WID46" s="502" t="s">
        <v>124</v>
      </c>
      <c r="WIE46" s="502"/>
      <c r="WIF46" s="502"/>
      <c r="WIG46" s="502"/>
      <c r="WIH46" s="502" t="s">
        <v>124</v>
      </c>
      <c r="WII46" s="502"/>
      <c r="WIJ46" s="502"/>
      <c r="WIK46" s="502"/>
      <c r="WIL46" s="502" t="s">
        <v>124</v>
      </c>
      <c r="WIM46" s="502"/>
      <c r="WIN46" s="502"/>
      <c r="WIO46" s="502"/>
      <c r="WIP46" s="502" t="s">
        <v>124</v>
      </c>
      <c r="WIQ46" s="502"/>
      <c r="WIR46" s="502"/>
      <c r="WIS46" s="502"/>
      <c r="WIT46" s="502" t="s">
        <v>124</v>
      </c>
      <c r="WIU46" s="502"/>
      <c r="WIV46" s="502"/>
      <c r="WIW46" s="502"/>
      <c r="WIX46" s="502" t="s">
        <v>124</v>
      </c>
      <c r="WIY46" s="502"/>
      <c r="WIZ46" s="502"/>
      <c r="WJA46" s="502"/>
      <c r="WJB46" s="502" t="s">
        <v>124</v>
      </c>
      <c r="WJC46" s="502"/>
      <c r="WJD46" s="502"/>
      <c r="WJE46" s="502"/>
      <c r="WJF46" s="502" t="s">
        <v>124</v>
      </c>
      <c r="WJG46" s="502"/>
      <c r="WJH46" s="502"/>
      <c r="WJI46" s="502"/>
      <c r="WJJ46" s="502" t="s">
        <v>124</v>
      </c>
      <c r="WJK46" s="502"/>
      <c r="WJL46" s="502"/>
      <c r="WJM46" s="502"/>
      <c r="WJN46" s="502" t="s">
        <v>124</v>
      </c>
      <c r="WJO46" s="502"/>
      <c r="WJP46" s="502"/>
      <c r="WJQ46" s="502"/>
      <c r="WJR46" s="502" t="s">
        <v>124</v>
      </c>
      <c r="WJS46" s="502"/>
      <c r="WJT46" s="502"/>
      <c r="WJU46" s="502"/>
      <c r="WJV46" s="502" t="s">
        <v>124</v>
      </c>
      <c r="WJW46" s="502"/>
      <c r="WJX46" s="502"/>
      <c r="WJY46" s="502"/>
      <c r="WJZ46" s="502" t="s">
        <v>124</v>
      </c>
      <c r="WKA46" s="502"/>
      <c r="WKB46" s="502"/>
      <c r="WKC46" s="502"/>
      <c r="WKD46" s="502" t="s">
        <v>124</v>
      </c>
      <c r="WKE46" s="502"/>
      <c r="WKF46" s="502"/>
      <c r="WKG46" s="502"/>
      <c r="WKH46" s="502" t="s">
        <v>124</v>
      </c>
      <c r="WKI46" s="502"/>
      <c r="WKJ46" s="502"/>
      <c r="WKK46" s="502"/>
      <c r="WKL46" s="502" t="s">
        <v>124</v>
      </c>
      <c r="WKM46" s="502"/>
      <c r="WKN46" s="502"/>
      <c r="WKO46" s="502"/>
      <c r="WKP46" s="502" t="s">
        <v>124</v>
      </c>
      <c r="WKQ46" s="502"/>
      <c r="WKR46" s="502"/>
      <c r="WKS46" s="502"/>
      <c r="WKT46" s="502" t="s">
        <v>124</v>
      </c>
      <c r="WKU46" s="502"/>
      <c r="WKV46" s="502"/>
      <c r="WKW46" s="502"/>
      <c r="WKX46" s="502" t="s">
        <v>124</v>
      </c>
      <c r="WKY46" s="502"/>
      <c r="WKZ46" s="502"/>
      <c r="WLA46" s="502"/>
      <c r="WLB46" s="502" t="s">
        <v>124</v>
      </c>
      <c r="WLC46" s="502"/>
      <c r="WLD46" s="502"/>
      <c r="WLE46" s="502"/>
      <c r="WLF46" s="502" t="s">
        <v>124</v>
      </c>
      <c r="WLG46" s="502"/>
      <c r="WLH46" s="502"/>
      <c r="WLI46" s="502"/>
      <c r="WLJ46" s="502" t="s">
        <v>124</v>
      </c>
      <c r="WLK46" s="502"/>
      <c r="WLL46" s="502"/>
      <c r="WLM46" s="502"/>
      <c r="WLN46" s="502" t="s">
        <v>124</v>
      </c>
      <c r="WLO46" s="502"/>
      <c r="WLP46" s="502"/>
      <c r="WLQ46" s="502"/>
      <c r="WLR46" s="502" t="s">
        <v>124</v>
      </c>
      <c r="WLS46" s="502"/>
      <c r="WLT46" s="502"/>
      <c r="WLU46" s="502"/>
      <c r="WLV46" s="502" t="s">
        <v>124</v>
      </c>
      <c r="WLW46" s="502"/>
      <c r="WLX46" s="502"/>
      <c r="WLY46" s="502"/>
      <c r="WLZ46" s="502" t="s">
        <v>124</v>
      </c>
      <c r="WMA46" s="502"/>
      <c r="WMB46" s="502"/>
      <c r="WMC46" s="502"/>
      <c r="WMD46" s="502" t="s">
        <v>124</v>
      </c>
      <c r="WME46" s="502"/>
      <c r="WMF46" s="502"/>
      <c r="WMG46" s="502"/>
      <c r="WMH46" s="502" t="s">
        <v>124</v>
      </c>
      <c r="WMI46" s="502"/>
      <c r="WMJ46" s="502"/>
      <c r="WMK46" s="502"/>
      <c r="WML46" s="502" t="s">
        <v>124</v>
      </c>
      <c r="WMM46" s="502"/>
      <c r="WMN46" s="502"/>
      <c r="WMO46" s="502"/>
      <c r="WMP46" s="502" t="s">
        <v>124</v>
      </c>
      <c r="WMQ46" s="502"/>
      <c r="WMR46" s="502"/>
      <c r="WMS46" s="502"/>
      <c r="WMT46" s="502" t="s">
        <v>124</v>
      </c>
      <c r="WMU46" s="502"/>
      <c r="WMV46" s="502"/>
      <c r="WMW46" s="502"/>
      <c r="WMX46" s="502" t="s">
        <v>124</v>
      </c>
      <c r="WMY46" s="502"/>
      <c r="WMZ46" s="502"/>
      <c r="WNA46" s="502"/>
      <c r="WNB46" s="502" t="s">
        <v>124</v>
      </c>
      <c r="WNC46" s="502"/>
      <c r="WND46" s="502"/>
      <c r="WNE46" s="502"/>
      <c r="WNF46" s="502" t="s">
        <v>124</v>
      </c>
      <c r="WNG46" s="502"/>
      <c r="WNH46" s="502"/>
      <c r="WNI46" s="502"/>
      <c r="WNJ46" s="502" t="s">
        <v>124</v>
      </c>
      <c r="WNK46" s="502"/>
      <c r="WNL46" s="502"/>
      <c r="WNM46" s="502"/>
      <c r="WNN46" s="502" t="s">
        <v>124</v>
      </c>
      <c r="WNO46" s="502"/>
      <c r="WNP46" s="502"/>
      <c r="WNQ46" s="502"/>
      <c r="WNR46" s="502" t="s">
        <v>124</v>
      </c>
      <c r="WNS46" s="502"/>
      <c r="WNT46" s="502"/>
      <c r="WNU46" s="502"/>
      <c r="WNV46" s="502" t="s">
        <v>124</v>
      </c>
      <c r="WNW46" s="502"/>
      <c r="WNX46" s="502"/>
      <c r="WNY46" s="502"/>
      <c r="WNZ46" s="502" t="s">
        <v>124</v>
      </c>
      <c r="WOA46" s="502"/>
      <c r="WOB46" s="502"/>
      <c r="WOC46" s="502"/>
      <c r="WOD46" s="502" t="s">
        <v>124</v>
      </c>
      <c r="WOE46" s="502"/>
      <c r="WOF46" s="502"/>
      <c r="WOG46" s="502"/>
      <c r="WOH46" s="502" t="s">
        <v>124</v>
      </c>
      <c r="WOI46" s="502"/>
      <c r="WOJ46" s="502"/>
      <c r="WOK46" s="502"/>
      <c r="WOL46" s="502" t="s">
        <v>124</v>
      </c>
      <c r="WOM46" s="502"/>
      <c r="WON46" s="502"/>
      <c r="WOO46" s="502"/>
      <c r="WOP46" s="502" t="s">
        <v>124</v>
      </c>
      <c r="WOQ46" s="502"/>
      <c r="WOR46" s="502"/>
      <c r="WOS46" s="502"/>
      <c r="WOT46" s="502" t="s">
        <v>124</v>
      </c>
      <c r="WOU46" s="502"/>
      <c r="WOV46" s="502"/>
      <c r="WOW46" s="502"/>
      <c r="WOX46" s="502" t="s">
        <v>124</v>
      </c>
      <c r="WOY46" s="502"/>
      <c r="WOZ46" s="502"/>
      <c r="WPA46" s="502"/>
      <c r="WPB46" s="502" t="s">
        <v>124</v>
      </c>
      <c r="WPC46" s="502"/>
      <c r="WPD46" s="502"/>
      <c r="WPE46" s="502"/>
      <c r="WPF46" s="502" t="s">
        <v>124</v>
      </c>
      <c r="WPG46" s="502"/>
      <c r="WPH46" s="502"/>
      <c r="WPI46" s="502"/>
      <c r="WPJ46" s="502" t="s">
        <v>124</v>
      </c>
      <c r="WPK46" s="502"/>
      <c r="WPL46" s="502"/>
      <c r="WPM46" s="502"/>
      <c r="WPN46" s="502" t="s">
        <v>124</v>
      </c>
      <c r="WPO46" s="502"/>
      <c r="WPP46" s="502"/>
      <c r="WPQ46" s="502"/>
      <c r="WPR46" s="502" t="s">
        <v>124</v>
      </c>
      <c r="WPS46" s="502"/>
      <c r="WPT46" s="502"/>
      <c r="WPU46" s="502"/>
      <c r="WPV46" s="502" t="s">
        <v>124</v>
      </c>
      <c r="WPW46" s="502"/>
      <c r="WPX46" s="502"/>
      <c r="WPY46" s="502"/>
      <c r="WPZ46" s="502" t="s">
        <v>124</v>
      </c>
      <c r="WQA46" s="502"/>
      <c r="WQB46" s="502"/>
      <c r="WQC46" s="502"/>
      <c r="WQD46" s="502" t="s">
        <v>124</v>
      </c>
      <c r="WQE46" s="502"/>
      <c r="WQF46" s="502"/>
      <c r="WQG46" s="502"/>
      <c r="WQH46" s="502" t="s">
        <v>124</v>
      </c>
      <c r="WQI46" s="502"/>
      <c r="WQJ46" s="502"/>
      <c r="WQK46" s="502"/>
      <c r="WQL46" s="502" t="s">
        <v>124</v>
      </c>
      <c r="WQM46" s="502"/>
      <c r="WQN46" s="502"/>
      <c r="WQO46" s="502"/>
      <c r="WQP46" s="502" t="s">
        <v>124</v>
      </c>
      <c r="WQQ46" s="502"/>
      <c r="WQR46" s="502"/>
      <c r="WQS46" s="502"/>
      <c r="WQT46" s="502" t="s">
        <v>124</v>
      </c>
      <c r="WQU46" s="502"/>
      <c r="WQV46" s="502"/>
      <c r="WQW46" s="502"/>
      <c r="WQX46" s="502" t="s">
        <v>124</v>
      </c>
      <c r="WQY46" s="502"/>
      <c r="WQZ46" s="502"/>
      <c r="WRA46" s="502"/>
      <c r="WRB46" s="502" t="s">
        <v>124</v>
      </c>
      <c r="WRC46" s="502"/>
      <c r="WRD46" s="502"/>
      <c r="WRE46" s="502"/>
      <c r="WRF46" s="502" t="s">
        <v>124</v>
      </c>
      <c r="WRG46" s="502"/>
      <c r="WRH46" s="502"/>
      <c r="WRI46" s="502"/>
      <c r="WRJ46" s="502" t="s">
        <v>124</v>
      </c>
      <c r="WRK46" s="502"/>
      <c r="WRL46" s="502"/>
      <c r="WRM46" s="502"/>
      <c r="WRN46" s="502" t="s">
        <v>124</v>
      </c>
      <c r="WRO46" s="502"/>
      <c r="WRP46" s="502"/>
      <c r="WRQ46" s="502"/>
      <c r="WRR46" s="502" t="s">
        <v>124</v>
      </c>
      <c r="WRS46" s="502"/>
      <c r="WRT46" s="502"/>
      <c r="WRU46" s="502"/>
      <c r="WRV46" s="502" t="s">
        <v>124</v>
      </c>
      <c r="WRW46" s="502"/>
      <c r="WRX46" s="502"/>
      <c r="WRY46" s="502"/>
      <c r="WRZ46" s="502" t="s">
        <v>124</v>
      </c>
      <c r="WSA46" s="502"/>
      <c r="WSB46" s="502"/>
      <c r="WSC46" s="502"/>
      <c r="WSD46" s="502" t="s">
        <v>124</v>
      </c>
      <c r="WSE46" s="502"/>
      <c r="WSF46" s="502"/>
      <c r="WSG46" s="502"/>
      <c r="WSH46" s="502" t="s">
        <v>124</v>
      </c>
      <c r="WSI46" s="502"/>
      <c r="WSJ46" s="502"/>
      <c r="WSK46" s="502"/>
      <c r="WSL46" s="502" t="s">
        <v>124</v>
      </c>
      <c r="WSM46" s="502"/>
      <c r="WSN46" s="502"/>
      <c r="WSO46" s="502"/>
      <c r="WSP46" s="502" t="s">
        <v>124</v>
      </c>
      <c r="WSQ46" s="502"/>
      <c r="WSR46" s="502"/>
      <c r="WSS46" s="502"/>
      <c r="WST46" s="502" t="s">
        <v>124</v>
      </c>
      <c r="WSU46" s="502"/>
      <c r="WSV46" s="502"/>
      <c r="WSW46" s="502"/>
      <c r="WSX46" s="502" t="s">
        <v>124</v>
      </c>
      <c r="WSY46" s="502"/>
      <c r="WSZ46" s="502"/>
      <c r="WTA46" s="502"/>
      <c r="WTB46" s="502" t="s">
        <v>124</v>
      </c>
      <c r="WTC46" s="502"/>
      <c r="WTD46" s="502"/>
      <c r="WTE46" s="502"/>
      <c r="WTF46" s="502" t="s">
        <v>124</v>
      </c>
      <c r="WTG46" s="502"/>
      <c r="WTH46" s="502"/>
      <c r="WTI46" s="502"/>
      <c r="WTJ46" s="502" t="s">
        <v>124</v>
      </c>
      <c r="WTK46" s="502"/>
      <c r="WTL46" s="502"/>
      <c r="WTM46" s="502"/>
      <c r="WTN46" s="502" t="s">
        <v>124</v>
      </c>
      <c r="WTO46" s="502"/>
      <c r="WTP46" s="502"/>
      <c r="WTQ46" s="502"/>
      <c r="WTR46" s="502" t="s">
        <v>124</v>
      </c>
      <c r="WTS46" s="502"/>
      <c r="WTT46" s="502"/>
      <c r="WTU46" s="502"/>
      <c r="WTV46" s="502" t="s">
        <v>124</v>
      </c>
      <c r="WTW46" s="502"/>
      <c r="WTX46" s="502"/>
      <c r="WTY46" s="502"/>
      <c r="WTZ46" s="502" t="s">
        <v>124</v>
      </c>
      <c r="WUA46" s="502"/>
      <c r="WUB46" s="502"/>
      <c r="WUC46" s="502"/>
      <c r="WUD46" s="502" t="s">
        <v>124</v>
      </c>
      <c r="WUE46" s="502"/>
      <c r="WUF46" s="502"/>
      <c r="WUG46" s="502"/>
      <c r="WUH46" s="502" t="s">
        <v>124</v>
      </c>
      <c r="WUI46" s="502"/>
      <c r="WUJ46" s="502"/>
      <c r="WUK46" s="502"/>
      <c r="WUL46" s="502" t="s">
        <v>124</v>
      </c>
      <c r="WUM46" s="502"/>
      <c r="WUN46" s="502"/>
      <c r="WUO46" s="502"/>
      <c r="WUP46" s="502" t="s">
        <v>124</v>
      </c>
      <c r="WUQ46" s="502"/>
      <c r="WUR46" s="502"/>
      <c r="WUS46" s="502"/>
      <c r="WUT46" s="502" t="s">
        <v>124</v>
      </c>
      <c r="WUU46" s="502"/>
      <c r="WUV46" s="502"/>
      <c r="WUW46" s="502"/>
      <c r="WUX46" s="502" t="s">
        <v>124</v>
      </c>
      <c r="WUY46" s="502"/>
      <c r="WUZ46" s="502"/>
      <c r="WVA46" s="502"/>
      <c r="WVB46" s="502" t="s">
        <v>124</v>
      </c>
      <c r="WVC46" s="502"/>
      <c r="WVD46" s="502"/>
      <c r="WVE46" s="502"/>
      <c r="WVF46" s="502" t="s">
        <v>124</v>
      </c>
      <c r="WVG46" s="502"/>
      <c r="WVH46" s="502"/>
      <c r="WVI46" s="502"/>
      <c r="WVJ46" s="502" t="s">
        <v>124</v>
      </c>
      <c r="WVK46" s="502"/>
      <c r="WVL46" s="502"/>
      <c r="WVM46" s="502"/>
      <c r="WVN46" s="502" t="s">
        <v>124</v>
      </c>
      <c r="WVO46" s="502"/>
      <c r="WVP46" s="502"/>
      <c r="WVQ46" s="502"/>
      <c r="WVR46" s="502" t="s">
        <v>124</v>
      </c>
      <c r="WVS46" s="502"/>
      <c r="WVT46" s="502"/>
      <c r="WVU46" s="502"/>
      <c r="WVV46" s="502" t="s">
        <v>124</v>
      </c>
      <c r="WVW46" s="502"/>
      <c r="WVX46" s="502"/>
      <c r="WVY46" s="502"/>
      <c r="WVZ46" s="502" t="s">
        <v>124</v>
      </c>
      <c r="WWA46" s="502"/>
      <c r="WWB46" s="502"/>
      <c r="WWC46" s="502"/>
      <c r="WWD46" s="502" t="s">
        <v>124</v>
      </c>
      <c r="WWE46" s="502"/>
      <c r="WWF46" s="502"/>
      <c r="WWG46" s="502"/>
      <c r="WWH46" s="502" t="s">
        <v>124</v>
      </c>
      <c r="WWI46" s="502"/>
      <c r="WWJ46" s="502"/>
      <c r="WWK46" s="502"/>
      <c r="WWL46" s="502" t="s">
        <v>124</v>
      </c>
      <c r="WWM46" s="502"/>
      <c r="WWN46" s="502"/>
      <c r="WWO46" s="502"/>
      <c r="WWP46" s="502" t="s">
        <v>124</v>
      </c>
      <c r="WWQ46" s="502"/>
      <c r="WWR46" s="502"/>
      <c r="WWS46" s="502"/>
      <c r="WWT46" s="502" t="s">
        <v>124</v>
      </c>
      <c r="WWU46" s="502"/>
      <c r="WWV46" s="502"/>
      <c r="WWW46" s="502"/>
      <c r="WWX46" s="502" t="s">
        <v>124</v>
      </c>
      <c r="WWY46" s="502"/>
      <c r="WWZ46" s="502"/>
      <c r="WXA46" s="502"/>
      <c r="WXB46" s="502" t="s">
        <v>124</v>
      </c>
      <c r="WXC46" s="502"/>
      <c r="WXD46" s="502"/>
      <c r="WXE46" s="502"/>
      <c r="WXF46" s="502" t="s">
        <v>124</v>
      </c>
      <c r="WXG46" s="502"/>
      <c r="WXH46" s="502"/>
      <c r="WXI46" s="502"/>
      <c r="WXJ46" s="502" t="s">
        <v>124</v>
      </c>
      <c r="WXK46" s="502"/>
      <c r="WXL46" s="502"/>
      <c r="WXM46" s="502"/>
      <c r="WXN46" s="502" t="s">
        <v>124</v>
      </c>
      <c r="WXO46" s="502"/>
      <c r="WXP46" s="502"/>
      <c r="WXQ46" s="502"/>
      <c r="WXR46" s="502" t="s">
        <v>124</v>
      </c>
      <c r="WXS46" s="502"/>
      <c r="WXT46" s="502"/>
      <c r="WXU46" s="502"/>
      <c r="WXV46" s="502" t="s">
        <v>124</v>
      </c>
      <c r="WXW46" s="502"/>
      <c r="WXX46" s="502"/>
      <c r="WXY46" s="502"/>
      <c r="WXZ46" s="502" t="s">
        <v>124</v>
      </c>
      <c r="WYA46" s="502"/>
      <c r="WYB46" s="502"/>
      <c r="WYC46" s="502"/>
      <c r="WYD46" s="502" t="s">
        <v>124</v>
      </c>
      <c r="WYE46" s="502"/>
      <c r="WYF46" s="502"/>
      <c r="WYG46" s="502"/>
      <c r="WYH46" s="502" t="s">
        <v>124</v>
      </c>
      <c r="WYI46" s="502"/>
      <c r="WYJ46" s="502"/>
      <c r="WYK46" s="502"/>
      <c r="WYL46" s="502" t="s">
        <v>124</v>
      </c>
      <c r="WYM46" s="502"/>
      <c r="WYN46" s="502"/>
      <c r="WYO46" s="502"/>
      <c r="WYP46" s="502" t="s">
        <v>124</v>
      </c>
      <c r="WYQ46" s="502"/>
      <c r="WYR46" s="502"/>
      <c r="WYS46" s="502"/>
      <c r="WYT46" s="502" t="s">
        <v>124</v>
      </c>
      <c r="WYU46" s="502"/>
      <c r="WYV46" s="502"/>
      <c r="WYW46" s="502"/>
      <c r="WYX46" s="502" t="s">
        <v>124</v>
      </c>
      <c r="WYY46" s="502"/>
      <c r="WYZ46" s="502"/>
      <c r="WZA46" s="502"/>
      <c r="WZB46" s="502" t="s">
        <v>124</v>
      </c>
      <c r="WZC46" s="502"/>
      <c r="WZD46" s="502"/>
      <c r="WZE46" s="502"/>
      <c r="WZF46" s="502" t="s">
        <v>124</v>
      </c>
      <c r="WZG46" s="502"/>
      <c r="WZH46" s="502"/>
      <c r="WZI46" s="502"/>
      <c r="WZJ46" s="502" t="s">
        <v>124</v>
      </c>
      <c r="WZK46" s="502"/>
      <c r="WZL46" s="502"/>
      <c r="WZM46" s="502"/>
      <c r="WZN46" s="502" t="s">
        <v>124</v>
      </c>
      <c r="WZO46" s="502"/>
      <c r="WZP46" s="502"/>
      <c r="WZQ46" s="502"/>
      <c r="WZR46" s="502" t="s">
        <v>124</v>
      </c>
      <c r="WZS46" s="502"/>
      <c r="WZT46" s="502"/>
      <c r="WZU46" s="502"/>
      <c r="WZV46" s="502" t="s">
        <v>124</v>
      </c>
      <c r="WZW46" s="502"/>
      <c r="WZX46" s="502"/>
      <c r="WZY46" s="502"/>
      <c r="WZZ46" s="502" t="s">
        <v>124</v>
      </c>
      <c r="XAA46" s="502"/>
      <c r="XAB46" s="502"/>
      <c r="XAC46" s="502"/>
      <c r="XAD46" s="502" t="s">
        <v>124</v>
      </c>
      <c r="XAE46" s="502"/>
      <c r="XAF46" s="502"/>
      <c r="XAG46" s="502"/>
      <c r="XAH46" s="502" t="s">
        <v>124</v>
      </c>
      <c r="XAI46" s="502"/>
      <c r="XAJ46" s="502"/>
      <c r="XAK46" s="502"/>
      <c r="XAL46" s="502" t="s">
        <v>124</v>
      </c>
      <c r="XAM46" s="502"/>
      <c r="XAN46" s="502"/>
      <c r="XAO46" s="502"/>
      <c r="XAP46" s="502" t="s">
        <v>124</v>
      </c>
      <c r="XAQ46" s="502"/>
      <c r="XAR46" s="502"/>
      <c r="XAS46" s="502"/>
      <c r="XAT46" s="502" t="s">
        <v>124</v>
      </c>
      <c r="XAU46" s="502"/>
      <c r="XAV46" s="502"/>
      <c r="XAW46" s="502"/>
      <c r="XAX46" s="502" t="s">
        <v>124</v>
      </c>
      <c r="XAY46" s="502"/>
      <c r="XAZ46" s="502"/>
      <c r="XBA46" s="502"/>
      <c r="XBB46" s="502" t="s">
        <v>124</v>
      </c>
      <c r="XBC46" s="502"/>
      <c r="XBD46" s="502"/>
      <c r="XBE46" s="502"/>
      <c r="XBF46" s="502" t="s">
        <v>124</v>
      </c>
      <c r="XBG46" s="502"/>
      <c r="XBH46" s="502"/>
      <c r="XBI46" s="502"/>
      <c r="XBJ46" s="502" t="s">
        <v>124</v>
      </c>
      <c r="XBK46" s="502"/>
      <c r="XBL46" s="502"/>
      <c r="XBM46" s="502"/>
      <c r="XBN46" s="502" t="s">
        <v>124</v>
      </c>
      <c r="XBO46" s="502"/>
      <c r="XBP46" s="502"/>
      <c r="XBQ46" s="502"/>
      <c r="XBR46" s="502" t="s">
        <v>124</v>
      </c>
      <c r="XBS46" s="502"/>
      <c r="XBT46" s="502"/>
      <c r="XBU46" s="502"/>
      <c r="XBV46" s="502" t="s">
        <v>124</v>
      </c>
      <c r="XBW46" s="502"/>
      <c r="XBX46" s="502"/>
      <c r="XBY46" s="502"/>
      <c r="XBZ46" s="502" t="s">
        <v>124</v>
      </c>
      <c r="XCA46" s="502"/>
      <c r="XCB46" s="502"/>
      <c r="XCC46" s="502"/>
      <c r="XCD46" s="502" t="s">
        <v>124</v>
      </c>
      <c r="XCE46" s="502"/>
      <c r="XCF46" s="502"/>
      <c r="XCG46" s="502"/>
      <c r="XCH46" s="502" t="s">
        <v>124</v>
      </c>
      <c r="XCI46" s="502"/>
      <c r="XCJ46" s="502"/>
      <c r="XCK46" s="502"/>
      <c r="XCL46" s="502" t="s">
        <v>124</v>
      </c>
      <c r="XCM46" s="502"/>
      <c r="XCN46" s="502"/>
      <c r="XCO46" s="502"/>
      <c r="XCP46" s="502" t="s">
        <v>124</v>
      </c>
      <c r="XCQ46" s="502"/>
      <c r="XCR46" s="502"/>
      <c r="XCS46" s="502"/>
      <c r="XCT46" s="502" t="s">
        <v>124</v>
      </c>
      <c r="XCU46" s="502"/>
      <c r="XCV46" s="502"/>
      <c r="XCW46" s="502"/>
    </row>
    <row r="47" spans="1:16325" ht="42.75" x14ac:dyDescent="0.25">
      <c r="A47" s="205" t="s">
        <v>125</v>
      </c>
      <c r="B47" s="206" t="s">
        <v>126</v>
      </c>
      <c r="C47" s="206" t="s">
        <v>127</v>
      </c>
      <c r="D47" s="205">
        <v>1</v>
      </c>
      <c r="E47" s="205">
        <v>1</v>
      </c>
      <c r="F47" s="205" t="s">
        <v>39</v>
      </c>
    </row>
    <row r="48" spans="1:16325" ht="42.75" x14ac:dyDescent="0.25">
      <c r="A48" s="205" t="s">
        <v>128</v>
      </c>
      <c r="B48" s="206" t="s">
        <v>129</v>
      </c>
      <c r="C48" s="206" t="s">
        <v>130</v>
      </c>
      <c r="D48" s="205">
        <v>2</v>
      </c>
      <c r="E48" s="205">
        <v>2</v>
      </c>
      <c r="F48" s="205" t="s">
        <v>39</v>
      </c>
    </row>
    <row r="49" spans="1:6" ht="28.5" x14ac:dyDescent="0.25">
      <c r="A49" s="497" t="s">
        <v>131</v>
      </c>
      <c r="B49" s="498" t="s">
        <v>132</v>
      </c>
      <c r="C49" s="206" t="s">
        <v>133</v>
      </c>
      <c r="D49" s="205">
        <v>1</v>
      </c>
      <c r="E49" s="205">
        <v>1</v>
      </c>
      <c r="F49" s="205" t="s">
        <v>39</v>
      </c>
    </row>
    <row r="50" spans="1:6" ht="28.5" x14ac:dyDescent="0.25">
      <c r="A50" s="497"/>
      <c r="B50" s="498"/>
      <c r="C50" s="206" t="s">
        <v>134</v>
      </c>
      <c r="D50" s="205">
        <v>1</v>
      </c>
      <c r="E50" s="205">
        <v>1</v>
      </c>
      <c r="F50" s="205" t="s">
        <v>39</v>
      </c>
    </row>
    <row r="51" spans="1:6" ht="28.5" x14ac:dyDescent="0.25">
      <c r="A51" s="205" t="s">
        <v>135</v>
      </c>
      <c r="B51" s="206" t="s">
        <v>136</v>
      </c>
      <c r="C51" s="206" t="s">
        <v>137</v>
      </c>
      <c r="D51" s="205">
        <v>1</v>
      </c>
      <c r="E51" s="205">
        <v>1</v>
      </c>
      <c r="F51" s="205" t="s">
        <v>39</v>
      </c>
    </row>
    <row r="52" spans="1:6" ht="99.75" x14ac:dyDescent="0.25">
      <c r="A52" s="205" t="s">
        <v>138</v>
      </c>
      <c r="B52" s="206" t="s">
        <v>139</v>
      </c>
      <c r="C52" s="206" t="s">
        <v>140</v>
      </c>
      <c r="D52" s="205">
        <v>2</v>
      </c>
      <c r="E52" s="205">
        <v>2</v>
      </c>
      <c r="F52" s="205" t="s">
        <v>39</v>
      </c>
    </row>
    <row r="53" spans="1:6" ht="142.5" x14ac:dyDescent="0.2">
      <c r="A53" s="205" t="s">
        <v>141</v>
      </c>
      <c r="B53" s="206" t="s">
        <v>142</v>
      </c>
      <c r="C53" s="208" t="s">
        <v>143</v>
      </c>
      <c r="D53" s="205">
        <v>2</v>
      </c>
      <c r="E53" s="205">
        <v>2</v>
      </c>
      <c r="F53" s="205" t="s">
        <v>39</v>
      </c>
    </row>
    <row r="54" spans="1:6" ht="285" x14ac:dyDescent="0.25">
      <c r="A54" s="205" t="s">
        <v>144</v>
      </c>
      <c r="B54" s="206" t="s">
        <v>145</v>
      </c>
      <c r="C54" s="206" t="s">
        <v>146</v>
      </c>
      <c r="D54" s="205">
        <v>2</v>
      </c>
      <c r="E54" s="205">
        <v>2</v>
      </c>
      <c r="F54" s="205" t="s">
        <v>39</v>
      </c>
    </row>
    <row r="55" spans="1:6" ht="85.5" x14ac:dyDescent="0.25">
      <c r="A55" s="205" t="s">
        <v>147</v>
      </c>
      <c r="B55" s="206" t="s">
        <v>148</v>
      </c>
      <c r="C55" s="206" t="s">
        <v>149</v>
      </c>
      <c r="D55" s="205">
        <v>1</v>
      </c>
      <c r="E55" s="205">
        <v>1</v>
      </c>
      <c r="F55" s="205" t="s">
        <v>39</v>
      </c>
    </row>
    <row r="56" spans="1:6" ht="171" x14ac:dyDescent="0.25">
      <c r="A56" s="205" t="s">
        <v>150</v>
      </c>
      <c r="B56" s="206" t="s">
        <v>151</v>
      </c>
      <c r="C56" s="206" t="s">
        <v>152</v>
      </c>
      <c r="D56" s="205">
        <v>2</v>
      </c>
      <c r="E56" s="205">
        <v>2</v>
      </c>
      <c r="F56" s="205" t="s">
        <v>39</v>
      </c>
    </row>
    <row r="57" spans="1:6" ht="42.75" x14ac:dyDescent="0.25">
      <c r="A57" s="205" t="s">
        <v>153</v>
      </c>
      <c r="B57" s="206" t="s">
        <v>154</v>
      </c>
      <c r="C57" s="206" t="s">
        <v>155</v>
      </c>
      <c r="D57" s="205">
        <v>1</v>
      </c>
      <c r="E57" s="205">
        <v>1</v>
      </c>
      <c r="F57" s="205" t="s">
        <v>39</v>
      </c>
    </row>
    <row r="58" spans="1:6" ht="114" x14ac:dyDescent="0.25">
      <c r="A58" s="205" t="s">
        <v>156</v>
      </c>
      <c r="B58" s="206" t="s">
        <v>157</v>
      </c>
      <c r="C58" s="206" t="s">
        <v>158</v>
      </c>
      <c r="D58" s="205">
        <v>4</v>
      </c>
      <c r="E58" s="205">
        <v>4</v>
      </c>
      <c r="F58" s="205" t="s">
        <v>39</v>
      </c>
    </row>
    <row r="59" spans="1:6" ht="42.75" x14ac:dyDescent="0.25">
      <c r="A59" s="205" t="s">
        <v>159</v>
      </c>
      <c r="B59" s="206" t="s">
        <v>160</v>
      </c>
      <c r="C59" s="206" t="s">
        <v>161</v>
      </c>
      <c r="D59" s="205">
        <v>1</v>
      </c>
      <c r="E59" s="205">
        <v>1</v>
      </c>
      <c r="F59" s="205" t="s">
        <v>39</v>
      </c>
    </row>
    <row r="60" spans="1:6" ht="228" x14ac:dyDescent="0.25">
      <c r="A60" s="205" t="s">
        <v>162</v>
      </c>
      <c r="B60" s="206" t="s">
        <v>163</v>
      </c>
      <c r="C60" s="206" t="s">
        <v>164</v>
      </c>
      <c r="D60" s="205">
        <v>2</v>
      </c>
      <c r="E60" s="205">
        <v>2</v>
      </c>
      <c r="F60" s="205" t="s">
        <v>39</v>
      </c>
    </row>
    <row r="61" spans="1:6" ht="42.75" x14ac:dyDescent="0.25">
      <c r="A61" s="205" t="s">
        <v>165</v>
      </c>
      <c r="B61" s="206" t="s">
        <v>166</v>
      </c>
      <c r="C61" s="206" t="s">
        <v>167</v>
      </c>
      <c r="D61" s="205">
        <v>0.5</v>
      </c>
      <c r="E61" s="205">
        <v>0.5</v>
      </c>
      <c r="F61" s="205" t="s">
        <v>39</v>
      </c>
    </row>
    <row r="62" spans="1:6" x14ac:dyDescent="0.25">
      <c r="A62" s="205" t="s">
        <v>168</v>
      </c>
      <c r="B62" s="206" t="s">
        <v>169</v>
      </c>
      <c r="C62" s="206" t="s">
        <v>170</v>
      </c>
      <c r="D62" s="205">
        <v>0.5</v>
      </c>
      <c r="E62" s="205">
        <v>0.5</v>
      </c>
      <c r="F62" s="205" t="s">
        <v>39</v>
      </c>
    </row>
    <row r="63" spans="1:6" x14ac:dyDescent="0.25">
      <c r="A63" s="205" t="s">
        <v>171</v>
      </c>
      <c r="B63" s="206" t="s">
        <v>172</v>
      </c>
      <c r="C63" s="206" t="s">
        <v>173</v>
      </c>
      <c r="D63" s="205">
        <v>0.5</v>
      </c>
      <c r="E63" s="205">
        <v>0.5</v>
      </c>
      <c r="F63" s="205" t="s">
        <v>39</v>
      </c>
    </row>
    <row r="64" spans="1:6" ht="42.75" x14ac:dyDescent="0.25">
      <c r="A64" s="205" t="s">
        <v>174</v>
      </c>
      <c r="B64" s="206" t="s">
        <v>175</v>
      </c>
      <c r="C64" s="206" t="s">
        <v>176</v>
      </c>
      <c r="D64" s="205">
        <v>1</v>
      </c>
      <c r="E64" s="205">
        <v>1</v>
      </c>
      <c r="F64" s="205" t="s">
        <v>39</v>
      </c>
    </row>
    <row r="65" spans="1:6" ht="42.75" x14ac:dyDescent="0.25">
      <c r="A65" s="205" t="s">
        <v>177</v>
      </c>
      <c r="B65" s="206" t="s">
        <v>178</v>
      </c>
      <c r="C65" s="206" t="s">
        <v>179</v>
      </c>
      <c r="D65" s="205">
        <v>0.5</v>
      </c>
      <c r="E65" s="205">
        <v>0.5</v>
      </c>
      <c r="F65" s="205" t="s">
        <v>39</v>
      </c>
    </row>
    <row r="66" spans="1:6" ht="71.25" x14ac:dyDescent="0.25">
      <c r="A66" s="205" t="s">
        <v>180</v>
      </c>
      <c r="B66" s="206" t="s">
        <v>181</v>
      </c>
      <c r="C66" s="206" t="s">
        <v>182</v>
      </c>
      <c r="D66" s="205">
        <v>1</v>
      </c>
      <c r="E66" s="205">
        <v>1</v>
      </c>
      <c r="F66" s="205" t="s">
        <v>39</v>
      </c>
    </row>
    <row r="67" spans="1:6" ht="85.5" x14ac:dyDescent="0.25">
      <c r="A67" s="497" t="s">
        <v>183</v>
      </c>
      <c r="B67" s="498" t="s">
        <v>184</v>
      </c>
      <c r="C67" s="206" t="s">
        <v>185</v>
      </c>
      <c r="D67" s="205">
        <v>4</v>
      </c>
      <c r="E67" s="205">
        <v>4</v>
      </c>
      <c r="F67" s="205" t="s">
        <v>39</v>
      </c>
    </row>
    <row r="68" spans="1:6" ht="42.75" x14ac:dyDescent="0.25">
      <c r="A68" s="497"/>
      <c r="B68" s="498"/>
      <c r="C68" s="206" t="s">
        <v>186</v>
      </c>
      <c r="D68" s="205">
        <v>2</v>
      </c>
      <c r="E68" s="205">
        <v>2</v>
      </c>
      <c r="F68" s="205" t="s">
        <v>39</v>
      </c>
    </row>
    <row r="69" spans="1:6" x14ac:dyDescent="0.25">
      <c r="A69" s="497"/>
      <c r="B69" s="498"/>
      <c r="C69" s="206" t="s">
        <v>187</v>
      </c>
      <c r="D69" s="205">
        <v>2</v>
      </c>
      <c r="E69" s="205">
        <v>2</v>
      </c>
      <c r="F69" s="205" t="s">
        <v>39</v>
      </c>
    </row>
    <row r="70" spans="1:6" ht="15" x14ac:dyDescent="0.25">
      <c r="A70" s="228" t="s">
        <v>188</v>
      </c>
      <c r="B70" s="228"/>
      <c r="C70" s="229"/>
      <c r="D70" s="230">
        <f>SUM(D71:D77)</f>
        <v>23</v>
      </c>
      <c r="E70" s="230"/>
      <c r="F70" s="231"/>
    </row>
    <row r="71" spans="1:6" ht="42.75" x14ac:dyDescent="0.25">
      <c r="A71" s="205" t="s">
        <v>189</v>
      </c>
      <c r="B71" s="206" t="s">
        <v>190</v>
      </c>
      <c r="C71" s="206" t="s">
        <v>191</v>
      </c>
      <c r="D71" s="205">
        <v>1</v>
      </c>
      <c r="E71" s="205">
        <v>1</v>
      </c>
      <c r="F71" s="205" t="s">
        <v>39</v>
      </c>
    </row>
    <row r="72" spans="1:6" ht="57" x14ac:dyDescent="0.25">
      <c r="A72" s="205" t="s">
        <v>192</v>
      </c>
      <c r="B72" s="206" t="s">
        <v>193</v>
      </c>
      <c r="C72" s="206" t="s">
        <v>194</v>
      </c>
      <c r="D72" s="205">
        <v>4</v>
      </c>
      <c r="E72" s="205">
        <v>4</v>
      </c>
      <c r="F72" s="205" t="s">
        <v>39</v>
      </c>
    </row>
    <row r="73" spans="1:6" ht="199.5" x14ac:dyDescent="0.25">
      <c r="A73" s="205" t="s">
        <v>195</v>
      </c>
      <c r="B73" s="206" t="s">
        <v>196</v>
      </c>
      <c r="C73" s="206" t="s">
        <v>197</v>
      </c>
      <c r="D73" s="205">
        <v>7</v>
      </c>
      <c r="E73" s="205">
        <v>7</v>
      </c>
      <c r="F73" s="205" t="s">
        <v>39</v>
      </c>
    </row>
    <row r="74" spans="1:6" ht="85.5" x14ac:dyDescent="0.25">
      <c r="A74" s="205" t="s">
        <v>198</v>
      </c>
      <c r="B74" s="206" t="s">
        <v>199</v>
      </c>
      <c r="C74" s="206" t="s">
        <v>200</v>
      </c>
      <c r="D74" s="205">
        <v>3</v>
      </c>
      <c r="E74" s="205">
        <v>3</v>
      </c>
      <c r="F74" s="205" t="s">
        <v>39</v>
      </c>
    </row>
    <row r="75" spans="1:6" ht="85.5" x14ac:dyDescent="0.25">
      <c r="A75" s="205" t="s">
        <v>201</v>
      </c>
      <c r="B75" s="206" t="s">
        <v>202</v>
      </c>
      <c r="C75" s="206" t="s">
        <v>203</v>
      </c>
      <c r="D75" s="205">
        <v>3</v>
      </c>
      <c r="E75" s="205">
        <v>3</v>
      </c>
      <c r="F75" s="205" t="s">
        <v>39</v>
      </c>
    </row>
    <row r="76" spans="1:6" ht="57" x14ac:dyDescent="0.25">
      <c r="A76" s="205" t="s">
        <v>204</v>
      </c>
      <c r="B76" s="206" t="s">
        <v>205</v>
      </c>
      <c r="C76" s="206" t="s">
        <v>206</v>
      </c>
      <c r="D76" s="205">
        <v>3</v>
      </c>
      <c r="E76" s="205">
        <v>3</v>
      </c>
      <c r="F76" s="205" t="s">
        <v>39</v>
      </c>
    </row>
    <row r="77" spans="1:6" ht="128.25" x14ac:dyDescent="0.25">
      <c r="A77" s="205" t="s">
        <v>207</v>
      </c>
      <c r="B77" s="206" t="s">
        <v>208</v>
      </c>
      <c r="C77" s="206" t="s">
        <v>209</v>
      </c>
      <c r="D77" s="205">
        <v>2</v>
      </c>
      <c r="E77" s="205">
        <v>2</v>
      </c>
      <c r="F77" s="205" t="s">
        <v>39</v>
      </c>
    </row>
    <row r="78" spans="1:6" ht="15" x14ac:dyDescent="0.25">
      <c r="A78" s="228" t="s">
        <v>210</v>
      </c>
      <c r="B78" s="228"/>
      <c r="C78" s="229"/>
      <c r="D78" s="230">
        <f>SUM(D79:D88)</f>
        <v>15</v>
      </c>
      <c r="E78" s="230"/>
      <c r="F78" s="231"/>
    </row>
    <row r="79" spans="1:6" x14ac:dyDescent="0.25">
      <c r="A79" s="205" t="s">
        <v>211</v>
      </c>
      <c r="B79" s="206" t="s">
        <v>212</v>
      </c>
      <c r="C79" s="206" t="s">
        <v>212</v>
      </c>
      <c r="D79" s="205">
        <v>1</v>
      </c>
      <c r="E79" s="205">
        <v>1</v>
      </c>
      <c r="F79" s="205" t="s">
        <v>213</v>
      </c>
    </row>
    <row r="80" spans="1:6" ht="85.5" x14ac:dyDescent="0.25">
      <c r="A80" s="205" t="s">
        <v>214</v>
      </c>
      <c r="B80" s="206" t="s">
        <v>215</v>
      </c>
      <c r="C80" s="206" t="s">
        <v>216</v>
      </c>
      <c r="D80" s="205">
        <v>1</v>
      </c>
      <c r="E80" s="205">
        <v>1</v>
      </c>
      <c r="F80" s="205" t="s">
        <v>213</v>
      </c>
    </row>
    <row r="81" spans="1:6" ht="28.5" x14ac:dyDescent="0.25">
      <c r="A81" s="205" t="s">
        <v>217</v>
      </c>
      <c r="B81" s="206" t="s">
        <v>218</v>
      </c>
      <c r="C81" s="206" t="s">
        <v>219</v>
      </c>
      <c r="D81" s="205">
        <v>1</v>
      </c>
      <c r="E81" s="205">
        <v>1</v>
      </c>
      <c r="F81" s="205" t="s">
        <v>213</v>
      </c>
    </row>
    <row r="82" spans="1:6" ht="57" x14ac:dyDescent="0.25">
      <c r="A82" s="205" t="s">
        <v>220</v>
      </c>
      <c r="B82" s="206" t="s">
        <v>221</v>
      </c>
      <c r="C82" s="206" t="s">
        <v>222</v>
      </c>
      <c r="D82" s="205">
        <v>2</v>
      </c>
      <c r="E82" s="205">
        <v>2</v>
      </c>
      <c r="F82" s="205" t="s">
        <v>213</v>
      </c>
    </row>
    <row r="83" spans="1:6" ht="99.75" x14ac:dyDescent="0.25">
      <c r="A83" s="205" t="s">
        <v>223</v>
      </c>
      <c r="B83" s="206" t="s">
        <v>224</v>
      </c>
      <c r="C83" s="206" t="s">
        <v>225</v>
      </c>
      <c r="D83" s="205">
        <v>1</v>
      </c>
      <c r="E83" s="205">
        <v>1</v>
      </c>
      <c r="F83" s="205" t="s">
        <v>213</v>
      </c>
    </row>
    <row r="84" spans="1:6" ht="71.25" x14ac:dyDescent="0.25">
      <c r="A84" s="205" t="s">
        <v>226</v>
      </c>
      <c r="B84" s="206" t="s">
        <v>227</v>
      </c>
      <c r="C84" s="206" t="s">
        <v>228</v>
      </c>
      <c r="D84" s="205">
        <v>2</v>
      </c>
      <c r="E84" s="205">
        <v>2</v>
      </c>
      <c r="F84" s="205" t="s">
        <v>213</v>
      </c>
    </row>
    <row r="85" spans="1:6" x14ac:dyDescent="0.25">
      <c r="A85" s="205" t="s">
        <v>229</v>
      </c>
      <c r="B85" s="206" t="s">
        <v>230</v>
      </c>
      <c r="C85" s="206" t="s">
        <v>231</v>
      </c>
      <c r="D85" s="205">
        <v>1</v>
      </c>
      <c r="E85" s="205">
        <v>1</v>
      </c>
      <c r="F85" s="205" t="s">
        <v>213</v>
      </c>
    </row>
    <row r="86" spans="1:6" ht="57" x14ac:dyDescent="0.25">
      <c r="A86" s="205" t="s">
        <v>232</v>
      </c>
      <c r="B86" s="206" t="s">
        <v>233</v>
      </c>
      <c r="C86" s="206" t="s">
        <v>234</v>
      </c>
      <c r="D86" s="205">
        <v>2</v>
      </c>
      <c r="E86" s="205">
        <v>2</v>
      </c>
      <c r="F86" s="205" t="s">
        <v>213</v>
      </c>
    </row>
    <row r="87" spans="1:6" ht="28.5" x14ac:dyDescent="0.25">
      <c r="A87" s="205" t="s">
        <v>235</v>
      </c>
      <c r="B87" s="206" t="s">
        <v>236</v>
      </c>
      <c r="C87" s="206" t="s">
        <v>236</v>
      </c>
      <c r="D87" s="205">
        <v>1</v>
      </c>
      <c r="E87" s="205">
        <v>1</v>
      </c>
      <c r="F87" s="205" t="s">
        <v>213</v>
      </c>
    </row>
    <row r="88" spans="1:6" ht="228" x14ac:dyDescent="0.25">
      <c r="A88" s="209" t="s">
        <v>237</v>
      </c>
      <c r="B88" s="206" t="s">
        <v>238</v>
      </c>
      <c r="C88" s="206" t="s">
        <v>239</v>
      </c>
      <c r="D88" s="205">
        <v>3</v>
      </c>
      <c r="E88" s="205">
        <v>3</v>
      </c>
      <c r="F88" s="205" t="s">
        <v>213</v>
      </c>
    </row>
    <row r="89" spans="1:6" ht="15" x14ac:dyDescent="0.25">
      <c r="A89" s="228" t="s">
        <v>240</v>
      </c>
      <c r="B89" s="228"/>
      <c r="C89" s="229"/>
      <c r="D89" s="230">
        <f>SUM(D90:D101)</f>
        <v>52</v>
      </c>
      <c r="E89" s="230"/>
      <c r="F89" s="231"/>
    </row>
    <row r="90" spans="1:6" ht="71.25" x14ac:dyDescent="0.25">
      <c r="A90" s="205" t="s">
        <v>241</v>
      </c>
      <c r="B90" s="206" t="s">
        <v>242</v>
      </c>
      <c r="C90" s="206" t="s">
        <v>243</v>
      </c>
      <c r="D90" s="205">
        <v>8</v>
      </c>
      <c r="E90" s="205">
        <v>8</v>
      </c>
      <c r="F90" s="205" t="s">
        <v>39</v>
      </c>
    </row>
    <row r="91" spans="1:6" ht="128.25" x14ac:dyDescent="0.25">
      <c r="A91" s="205" t="s">
        <v>244</v>
      </c>
      <c r="B91" s="206" t="s">
        <v>245</v>
      </c>
      <c r="C91" s="206" t="s">
        <v>246</v>
      </c>
      <c r="D91" s="205">
        <v>6</v>
      </c>
      <c r="E91" s="205">
        <v>6</v>
      </c>
      <c r="F91" s="205" t="s">
        <v>39</v>
      </c>
    </row>
    <row r="92" spans="1:6" ht="42.75" x14ac:dyDescent="0.25">
      <c r="A92" s="497" t="s">
        <v>247</v>
      </c>
      <c r="B92" s="498" t="s">
        <v>248</v>
      </c>
      <c r="C92" s="206" t="s">
        <v>249</v>
      </c>
      <c r="D92" s="205">
        <v>4</v>
      </c>
      <c r="E92" s="205">
        <v>4</v>
      </c>
      <c r="F92" s="205" t="s">
        <v>39</v>
      </c>
    </row>
    <row r="93" spans="1:6" ht="57" x14ac:dyDescent="0.25">
      <c r="A93" s="497"/>
      <c r="B93" s="498"/>
      <c r="C93" s="206" t="s">
        <v>250</v>
      </c>
      <c r="D93" s="205">
        <v>4</v>
      </c>
      <c r="E93" s="205">
        <v>4</v>
      </c>
      <c r="F93" s="205" t="s">
        <v>39</v>
      </c>
    </row>
    <row r="94" spans="1:6" ht="156.75" x14ac:dyDescent="0.25">
      <c r="A94" s="497"/>
      <c r="B94" s="498"/>
      <c r="C94" s="206" t="s">
        <v>251</v>
      </c>
      <c r="D94" s="205">
        <v>4</v>
      </c>
      <c r="E94" s="205">
        <v>4</v>
      </c>
      <c r="F94" s="205" t="s">
        <v>39</v>
      </c>
    </row>
    <row r="95" spans="1:6" ht="71.25" x14ac:dyDescent="0.25">
      <c r="A95" s="497"/>
      <c r="B95" s="498"/>
      <c r="C95" s="206" t="s">
        <v>252</v>
      </c>
      <c r="D95" s="205">
        <v>4</v>
      </c>
      <c r="E95" s="205">
        <v>4</v>
      </c>
      <c r="F95" s="205" t="s">
        <v>39</v>
      </c>
    </row>
    <row r="96" spans="1:6" ht="85.5" x14ac:dyDescent="0.25">
      <c r="A96" s="497"/>
      <c r="B96" s="498"/>
      <c r="C96" s="206" t="s">
        <v>253</v>
      </c>
      <c r="D96" s="205">
        <v>4</v>
      </c>
      <c r="E96" s="205">
        <v>4</v>
      </c>
      <c r="F96" s="205" t="s">
        <v>39</v>
      </c>
    </row>
    <row r="97" spans="1:6" ht="71.25" x14ac:dyDescent="0.25">
      <c r="A97" s="497"/>
      <c r="B97" s="498"/>
      <c r="C97" s="206" t="s">
        <v>254</v>
      </c>
      <c r="D97" s="205">
        <v>4</v>
      </c>
      <c r="E97" s="205">
        <v>4</v>
      </c>
      <c r="F97" s="205" t="s">
        <v>39</v>
      </c>
    </row>
    <row r="98" spans="1:6" x14ac:dyDescent="0.25">
      <c r="A98" s="205" t="s">
        <v>255</v>
      </c>
      <c r="B98" s="206" t="s">
        <v>256</v>
      </c>
      <c r="D98" s="205">
        <v>4</v>
      </c>
      <c r="E98" s="205">
        <v>4</v>
      </c>
      <c r="F98" s="205" t="s">
        <v>39</v>
      </c>
    </row>
    <row r="99" spans="1:6" x14ac:dyDescent="0.25">
      <c r="A99" s="205" t="s">
        <v>257</v>
      </c>
      <c r="B99" s="206" t="s">
        <v>258</v>
      </c>
      <c r="D99" s="205">
        <v>2</v>
      </c>
      <c r="E99" s="205">
        <v>2</v>
      </c>
      <c r="F99" s="205" t="s">
        <v>39</v>
      </c>
    </row>
    <row r="100" spans="1:6" ht="42.75" x14ac:dyDescent="0.25">
      <c r="A100" s="497" t="s">
        <v>259</v>
      </c>
      <c r="B100" s="498" t="s">
        <v>260</v>
      </c>
      <c r="C100" s="206" t="s">
        <v>261</v>
      </c>
      <c r="D100" s="205">
        <v>4</v>
      </c>
      <c r="E100" s="205">
        <v>4</v>
      </c>
      <c r="F100" s="205" t="s">
        <v>39</v>
      </c>
    </row>
    <row r="101" spans="1:6" ht="28.5" x14ac:dyDescent="0.25">
      <c r="A101" s="497"/>
      <c r="B101" s="498"/>
      <c r="C101" s="206" t="s">
        <v>262</v>
      </c>
      <c r="D101" s="205">
        <v>4</v>
      </c>
      <c r="E101" s="205">
        <v>4</v>
      </c>
      <c r="F101" s="205" t="s">
        <v>39</v>
      </c>
    </row>
    <row r="102" spans="1:6" ht="15" x14ac:dyDescent="0.25">
      <c r="A102" s="228" t="s">
        <v>263</v>
      </c>
      <c r="B102" s="228"/>
      <c r="C102" s="229"/>
      <c r="D102" s="230">
        <f>SUM(D103)</f>
        <v>90</v>
      </c>
      <c r="E102" s="230"/>
      <c r="F102" s="231"/>
    </row>
    <row r="103" spans="1:6" x14ac:dyDescent="0.25">
      <c r="A103" s="210" t="s">
        <v>264</v>
      </c>
      <c r="B103" s="206" t="s">
        <v>265</v>
      </c>
      <c r="C103" s="206" t="s">
        <v>266</v>
      </c>
      <c r="D103" s="499">
        <v>90</v>
      </c>
      <c r="E103" s="349">
        <v>92</v>
      </c>
      <c r="F103" s="205" t="s">
        <v>39</v>
      </c>
    </row>
    <row r="104" spans="1:6" ht="28.5" x14ac:dyDescent="0.25">
      <c r="A104" s="210" t="s">
        <v>267</v>
      </c>
      <c r="B104" s="206" t="s">
        <v>268</v>
      </c>
      <c r="C104" s="206" t="s">
        <v>269</v>
      </c>
      <c r="D104" s="500"/>
      <c r="E104" s="350"/>
      <c r="F104" s="205" t="s">
        <v>39</v>
      </c>
    </row>
    <row r="105" spans="1:6" ht="15" x14ac:dyDescent="0.25">
      <c r="A105" s="228" t="s">
        <v>270</v>
      </c>
      <c r="B105" s="228"/>
      <c r="C105" s="229"/>
      <c r="D105" s="230">
        <f>SUM(D106:D128)</f>
        <v>29</v>
      </c>
      <c r="E105" s="230"/>
      <c r="F105" s="231"/>
    </row>
    <row r="106" spans="1:6" ht="42.75" x14ac:dyDescent="0.25">
      <c r="A106" s="205" t="s">
        <v>271</v>
      </c>
      <c r="B106" s="206" t="s">
        <v>272</v>
      </c>
      <c r="C106" s="206" t="s">
        <v>273</v>
      </c>
      <c r="D106" s="205">
        <v>2</v>
      </c>
      <c r="E106" s="205">
        <v>2</v>
      </c>
      <c r="F106" s="205" t="s">
        <v>39</v>
      </c>
    </row>
    <row r="107" spans="1:6" ht="128.25" x14ac:dyDescent="0.25">
      <c r="A107" s="205" t="s">
        <v>274</v>
      </c>
      <c r="B107" s="206" t="s">
        <v>275</v>
      </c>
      <c r="C107" s="206" t="s">
        <v>276</v>
      </c>
      <c r="D107" s="205">
        <v>1</v>
      </c>
      <c r="E107" s="205">
        <v>1</v>
      </c>
      <c r="F107" s="205" t="s">
        <v>39</v>
      </c>
    </row>
    <row r="108" spans="1:6" ht="99.75" x14ac:dyDescent="0.25">
      <c r="A108" s="205" t="s">
        <v>277</v>
      </c>
      <c r="B108" s="206" t="s">
        <v>278</v>
      </c>
      <c r="C108" s="206" t="s">
        <v>279</v>
      </c>
      <c r="D108" s="205">
        <v>1</v>
      </c>
      <c r="E108" s="205">
        <v>1</v>
      </c>
      <c r="F108" s="205" t="s">
        <v>39</v>
      </c>
    </row>
    <row r="109" spans="1:6" ht="28.5" x14ac:dyDescent="0.25">
      <c r="A109" s="497" t="s">
        <v>280</v>
      </c>
      <c r="B109" s="498" t="s">
        <v>281</v>
      </c>
      <c r="C109" s="206" t="s">
        <v>282</v>
      </c>
      <c r="D109" s="205">
        <v>1</v>
      </c>
      <c r="E109" s="205">
        <v>1</v>
      </c>
      <c r="F109" s="205" t="s">
        <v>39</v>
      </c>
    </row>
    <row r="110" spans="1:6" ht="28.5" x14ac:dyDescent="0.25">
      <c r="A110" s="497"/>
      <c r="B110" s="498"/>
      <c r="C110" s="206" t="s">
        <v>283</v>
      </c>
      <c r="D110" s="205">
        <v>1</v>
      </c>
      <c r="E110" s="205">
        <v>1</v>
      </c>
      <c r="F110" s="205" t="s">
        <v>39</v>
      </c>
    </row>
    <row r="111" spans="1:6" ht="128.25" x14ac:dyDescent="0.25">
      <c r="A111" s="497"/>
      <c r="B111" s="498"/>
      <c r="C111" s="206" t="s">
        <v>284</v>
      </c>
      <c r="D111" s="205">
        <v>2</v>
      </c>
      <c r="E111" s="205">
        <v>2</v>
      </c>
      <c r="F111" s="205" t="s">
        <v>39</v>
      </c>
    </row>
    <row r="112" spans="1:6" ht="42.75" x14ac:dyDescent="0.25">
      <c r="A112" s="497"/>
      <c r="B112" s="498"/>
      <c r="C112" s="206" t="s">
        <v>285</v>
      </c>
      <c r="D112" s="205">
        <v>1</v>
      </c>
      <c r="E112" s="205">
        <v>1</v>
      </c>
      <c r="F112" s="205" t="s">
        <v>39</v>
      </c>
    </row>
    <row r="113" spans="1:6" ht="28.5" x14ac:dyDescent="0.25">
      <c r="A113" s="497"/>
      <c r="B113" s="498"/>
      <c r="C113" s="206" t="s">
        <v>286</v>
      </c>
      <c r="D113" s="205">
        <v>1</v>
      </c>
      <c r="E113" s="205">
        <v>1</v>
      </c>
      <c r="F113" s="205" t="s">
        <v>39</v>
      </c>
    </row>
    <row r="114" spans="1:6" ht="28.5" x14ac:dyDescent="0.25">
      <c r="A114" s="497"/>
      <c r="B114" s="498"/>
      <c r="C114" s="206" t="s">
        <v>287</v>
      </c>
      <c r="D114" s="205">
        <v>1</v>
      </c>
      <c r="E114" s="205">
        <v>1</v>
      </c>
      <c r="F114" s="205" t="s">
        <v>39</v>
      </c>
    </row>
    <row r="115" spans="1:6" x14ac:dyDescent="0.25">
      <c r="A115" s="205" t="s">
        <v>288</v>
      </c>
      <c r="B115" s="206" t="s">
        <v>289</v>
      </c>
      <c r="D115" s="205">
        <v>2</v>
      </c>
      <c r="E115" s="205">
        <v>2</v>
      </c>
      <c r="F115" s="205" t="s">
        <v>39</v>
      </c>
    </row>
    <row r="116" spans="1:6" ht="28.5" x14ac:dyDescent="0.25">
      <c r="A116" s="497" t="s">
        <v>290</v>
      </c>
      <c r="B116" s="498" t="s">
        <v>291</v>
      </c>
      <c r="C116" s="206" t="s">
        <v>292</v>
      </c>
      <c r="D116" s="205">
        <v>2</v>
      </c>
      <c r="E116" s="205">
        <v>2</v>
      </c>
      <c r="F116" s="205" t="s">
        <v>39</v>
      </c>
    </row>
    <row r="117" spans="1:6" ht="42.75" x14ac:dyDescent="0.25">
      <c r="A117" s="497"/>
      <c r="B117" s="498"/>
      <c r="C117" s="206" t="s">
        <v>293</v>
      </c>
      <c r="D117" s="205">
        <v>1</v>
      </c>
      <c r="E117" s="205">
        <v>1</v>
      </c>
      <c r="F117" s="205" t="s">
        <v>39</v>
      </c>
    </row>
    <row r="118" spans="1:6" x14ac:dyDescent="0.25">
      <c r="A118" s="497" t="s">
        <v>294</v>
      </c>
      <c r="B118" s="498" t="s">
        <v>295</v>
      </c>
      <c r="C118" s="206" t="s">
        <v>296</v>
      </c>
      <c r="D118" s="205">
        <v>1</v>
      </c>
      <c r="E118" s="205">
        <v>1</v>
      </c>
      <c r="F118" s="205" t="s">
        <v>39</v>
      </c>
    </row>
    <row r="119" spans="1:6" ht="28.5" x14ac:dyDescent="0.25">
      <c r="A119" s="497"/>
      <c r="B119" s="498"/>
      <c r="C119" s="206" t="s">
        <v>297</v>
      </c>
      <c r="D119" s="205">
        <v>1</v>
      </c>
      <c r="E119" s="205">
        <v>1</v>
      </c>
      <c r="F119" s="205" t="s">
        <v>39</v>
      </c>
    </row>
    <row r="120" spans="1:6" ht="42.75" x14ac:dyDescent="0.25">
      <c r="A120" s="497"/>
      <c r="B120" s="498"/>
      <c r="C120" s="206" t="s">
        <v>298</v>
      </c>
      <c r="D120" s="205">
        <v>1</v>
      </c>
      <c r="E120" s="205">
        <v>1</v>
      </c>
      <c r="F120" s="205" t="s">
        <v>39</v>
      </c>
    </row>
    <row r="121" spans="1:6" ht="28.5" x14ac:dyDescent="0.25">
      <c r="A121" s="497"/>
      <c r="B121" s="498"/>
      <c r="C121" s="206" t="s">
        <v>299</v>
      </c>
      <c r="D121" s="205">
        <v>1</v>
      </c>
      <c r="E121" s="205">
        <v>1</v>
      </c>
      <c r="F121" s="205" t="s">
        <v>39</v>
      </c>
    </row>
    <row r="122" spans="1:6" ht="28.5" x14ac:dyDescent="0.25">
      <c r="A122" s="497"/>
      <c r="B122" s="498"/>
      <c r="C122" s="206" t="s">
        <v>300</v>
      </c>
      <c r="D122" s="205">
        <v>2</v>
      </c>
      <c r="E122" s="205">
        <v>2</v>
      </c>
      <c r="F122" s="205" t="s">
        <v>39</v>
      </c>
    </row>
    <row r="123" spans="1:6" ht="42.75" x14ac:dyDescent="0.25">
      <c r="A123" s="497"/>
      <c r="B123" s="498"/>
      <c r="C123" s="206" t="s">
        <v>301</v>
      </c>
      <c r="D123" s="205">
        <v>1</v>
      </c>
      <c r="E123" s="205">
        <v>1</v>
      </c>
      <c r="F123" s="205" t="s">
        <v>39</v>
      </c>
    </row>
    <row r="124" spans="1:6" ht="42.75" x14ac:dyDescent="0.25">
      <c r="A124" s="497"/>
      <c r="B124" s="498"/>
      <c r="C124" s="206" t="s">
        <v>302</v>
      </c>
      <c r="D124" s="205">
        <v>1</v>
      </c>
      <c r="E124" s="205">
        <v>1</v>
      </c>
      <c r="F124" s="205" t="s">
        <v>39</v>
      </c>
    </row>
    <row r="125" spans="1:6" ht="99.75" x14ac:dyDescent="0.25">
      <c r="A125" s="205" t="s">
        <v>303</v>
      </c>
      <c r="B125" s="206" t="s">
        <v>304</v>
      </c>
      <c r="C125" s="206" t="s">
        <v>305</v>
      </c>
      <c r="D125" s="205">
        <v>1</v>
      </c>
      <c r="E125" s="205">
        <v>1</v>
      </c>
      <c r="F125" s="205" t="s">
        <v>39</v>
      </c>
    </row>
    <row r="126" spans="1:6" ht="99.75" x14ac:dyDescent="0.25">
      <c r="A126" s="205" t="s">
        <v>306</v>
      </c>
      <c r="B126" s="206" t="s">
        <v>307</v>
      </c>
      <c r="C126" s="206" t="s">
        <v>308</v>
      </c>
      <c r="D126" s="205">
        <v>1</v>
      </c>
      <c r="E126" s="205">
        <v>1</v>
      </c>
      <c r="F126" s="205" t="s">
        <v>39</v>
      </c>
    </row>
    <row r="127" spans="1:6" ht="228" x14ac:dyDescent="0.25">
      <c r="A127" s="205" t="s">
        <v>309</v>
      </c>
      <c r="B127" s="206" t="s">
        <v>310</v>
      </c>
      <c r="C127" s="206" t="s">
        <v>311</v>
      </c>
      <c r="D127" s="205">
        <v>2</v>
      </c>
      <c r="E127" s="205">
        <v>2</v>
      </c>
      <c r="F127" s="205" t="s">
        <v>39</v>
      </c>
    </row>
    <row r="128" spans="1:6" ht="71.25" x14ac:dyDescent="0.25">
      <c r="A128" s="205" t="s">
        <v>312</v>
      </c>
      <c r="B128" s="206" t="s">
        <v>313</v>
      </c>
      <c r="C128" s="206" t="s">
        <v>314</v>
      </c>
      <c r="D128" s="205">
        <v>1</v>
      </c>
      <c r="E128" s="205">
        <v>1</v>
      </c>
      <c r="F128" s="205" t="s">
        <v>39</v>
      </c>
    </row>
    <row r="129" spans="1:6" ht="15" x14ac:dyDescent="0.25">
      <c r="A129" s="228" t="s">
        <v>315</v>
      </c>
      <c r="B129" s="228"/>
      <c r="C129" s="229"/>
      <c r="D129" s="230">
        <f>SUM(D130:D142)</f>
        <v>27</v>
      </c>
      <c r="E129" s="230"/>
      <c r="F129" s="231"/>
    </row>
    <row r="130" spans="1:6" ht="128.25" x14ac:dyDescent="0.25">
      <c r="A130" s="205" t="s">
        <v>316</v>
      </c>
      <c r="B130" s="206" t="s">
        <v>317</v>
      </c>
      <c r="C130" s="206" t="s">
        <v>318</v>
      </c>
      <c r="D130" s="205">
        <v>1</v>
      </c>
      <c r="E130" s="205">
        <v>1</v>
      </c>
      <c r="F130" s="205" t="s">
        <v>39</v>
      </c>
    </row>
    <row r="131" spans="1:6" ht="171" x14ac:dyDescent="0.25">
      <c r="A131" s="205" t="s">
        <v>319</v>
      </c>
      <c r="B131" s="206" t="s">
        <v>320</v>
      </c>
      <c r="C131" s="206" t="s">
        <v>321</v>
      </c>
      <c r="D131" s="205">
        <v>8</v>
      </c>
      <c r="E131" s="205">
        <v>8</v>
      </c>
      <c r="F131" s="205" t="s">
        <v>39</v>
      </c>
    </row>
    <row r="132" spans="1:6" ht="142.5" x14ac:dyDescent="0.25">
      <c r="A132" s="205" t="s">
        <v>322</v>
      </c>
      <c r="B132" s="206" t="s">
        <v>323</v>
      </c>
      <c r="C132" s="206" t="s">
        <v>324</v>
      </c>
      <c r="D132" s="205">
        <v>1</v>
      </c>
      <c r="E132" s="205">
        <v>1</v>
      </c>
      <c r="F132" s="205" t="s">
        <v>39</v>
      </c>
    </row>
    <row r="133" spans="1:6" ht="99.75" x14ac:dyDescent="0.25">
      <c r="A133" s="205" t="s">
        <v>325</v>
      </c>
      <c r="B133" s="206" t="s">
        <v>326</v>
      </c>
      <c r="C133" s="206" t="s">
        <v>327</v>
      </c>
      <c r="D133" s="205">
        <v>4</v>
      </c>
      <c r="E133" s="205">
        <v>4</v>
      </c>
      <c r="F133" s="205" t="s">
        <v>39</v>
      </c>
    </row>
    <row r="134" spans="1:6" ht="99.75" x14ac:dyDescent="0.25">
      <c r="A134" s="205" t="s">
        <v>328</v>
      </c>
      <c r="B134" s="206" t="s">
        <v>329</v>
      </c>
      <c r="C134" s="206" t="s">
        <v>330</v>
      </c>
      <c r="D134" s="205">
        <v>1</v>
      </c>
      <c r="E134" s="205">
        <v>3</v>
      </c>
      <c r="F134" s="205" t="s">
        <v>39</v>
      </c>
    </row>
    <row r="135" spans="1:6" ht="42.75" x14ac:dyDescent="0.25">
      <c r="A135" s="205" t="s">
        <v>331</v>
      </c>
      <c r="B135" s="206" t="s">
        <v>332</v>
      </c>
      <c r="C135" s="206" t="s">
        <v>333</v>
      </c>
      <c r="D135" s="205">
        <v>1</v>
      </c>
      <c r="E135" s="205">
        <v>1</v>
      </c>
      <c r="F135" s="205" t="s">
        <v>39</v>
      </c>
    </row>
    <row r="136" spans="1:6" ht="42.75" x14ac:dyDescent="0.25">
      <c r="A136" s="205" t="s">
        <v>334</v>
      </c>
      <c r="B136" s="206" t="s">
        <v>335</v>
      </c>
      <c r="C136" s="206" t="s">
        <v>336</v>
      </c>
      <c r="D136" s="205">
        <v>2</v>
      </c>
      <c r="E136" s="205">
        <v>1</v>
      </c>
      <c r="F136" s="205" t="s">
        <v>39</v>
      </c>
    </row>
    <row r="137" spans="1:6" x14ac:dyDescent="0.25">
      <c r="A137" s="205" t="s">
        <v>337</v>
      </c>
      <c r="B137" s="206" t="s">
        <v>338</v>
      </c>
      <c r="C137" s="206" t="s">
        <v>339</v>
      </c>
      <c r="D137" s="205">
        <v>1</v>
      </c>
      <c r="E137" s="205">
        <v>1</v>
      </c>
      <c r="F137" s="205" t="s">
        <v>39</v>
      </c>
    </row>
    <row r="138" spans="1:6" x14ac:dyDescent="0.25">
      <c r="A138" s="205" t="s">
        <v>340</v>
      </c>
      <c r="B138" s="206" t="s">
        <v>339</v>
      </c>
      <c r="C138" s="206" t="s">
        <v>341</v>
      </c>
      <c r="D138" s="205">
        <v>1</v>
      </c>
      <c r="E138" s="205">
        <v>1</v>
      </c>
      <c r="F138" s="205" t="s">
        <v>39</v>
      </c>
    </row>
    <row r="139" spans="1:6" ht="85.5" x14ac:dyDescent="0.25">
      <c r="A139" s="205" t="s">
        <v>342</v>
      </c>
      <c r="B139" s="206" t="s">
        <v>343</v>
      </c>
      <c r="C139" s="206" t="s">
        <v>344</v>
      </c>
      <c r="D139" s="205">
        <v>1</v>
      </c>
      <c r="E139" s="205">
        <v>1</v>
      </c>
      <c r="F139" s="205" t="s">
        <v>39</v>
      </c>
    </row>
    <row r="140" spans="1:6" ht="57" x14ac:dyDescent="0.25">
      <c r="A140" s="205" t="s">
        <v>345</v>
      </c>
      <c r="B140" s="206" t="s">
        <v>346</v>
      </c>
      <c r="C140" s="206" t="s">
        <v>347</v>
      </c>
      <c r="D140" s="205">
        <v>4</v>
      </c>
      <c r="E140" s="205">
        <v>1</v>
      </c>
      <c r="F140" s="205" t="s">
        <v>39</v>
      </c>
    </row>
    <row r="141" spans="1:6" ht="28.5" x14ac:dyDescent="0.25">
      <c r="A141" s="205" t="s">
        <v>348</v>
      </c>
      <c r="B141" s="206" t="s">
        <v>349</v>
      </c>
      <c r="C141" s="206" t="s">
        <v>350</v>
      </c>
      <c r="D141" s="205">
        <v>1</v>
      </c>
      <c r="E141" s="205">
        <v>1</v>
      </c>
      <c r="F141" s="205" t="s">
        <v>39</v>
      </c>
    </row>
    <row r="142" spans="1:6" ht="71.25" x14ac:dyDescent="0.25">
      <c r="A142" s="205" t="s">
        <v>351</v>
      </c>
      <c r="B142" s="206" t="s">
        <v>352</v>
      </c>
      <c r="C142" s="206" t="s">
        <v>353</v>
      </c>
      <c r="D142" s="205">
        <v>1</v>
      </c>
      <c r="E142" s="205">
        <v>1</v>
      </c>
      <c r="F142" s="205" t="s">
        <v>39</v>
      </c>
    </row>
    <row r="143" spans="1:6" ht="15" x14ac:dyDescent="0.25">
      <c r="A143" s="228" t="s">
        <v>354</v>
      </c>
      <c r="B143" s="228"/>
      <c r="C143" s="229"/>
      <c r="D143" s="230">
        <f>SUM(D144:D151)</f>
        <v>13</v>
      </c>
      <c r="E143" s="230"/>
      <c r="F143" s="231"/>
    </row>
    <row r="144" spans="1:6" ht="42.75" x14ac:dyDescent="0.25">
      <c r="A144" s="205" t="s">
        <v>355</v>
      </c>
      <c r="B144" s="206" t="s">
        <v>356</v>
      </c>
      <c r="C144" s="206" t="s">
        <v>357</v>
      </c>
      <c r="D144" s="205">
        <v>0.5</v>
      </c>
      <c r="E144" s="205">
        <v>0.5</v>
      </c>
      <c r="F144" s="205" t="s">
        <v>39</v>
      </c>
    </row>
    <row r="145" spans="1:6" ht="99.75" x14ac:dyDescent="0.25">
      <c r="A145" s="205" t="s">
        <v>358</v>
      </c>
      <c r="B145" s="206" t="s">
        <v>359</v>
      </c>
      <c r="C145" s="206" t="s">
        <v>360</v>
      </c>
      <c r="D145" s="205">
        <v>1</v>
      </c>
      <c r="E145" s="205">
        <v>1</v>
      </c>
      <c r="F145" s="205" t="s">
        <v>39</v>
      </c>
    </row>
    <row r="146" spans="1:6" ht="156.75" x14ac:dyDescent="0.25">
      <c r="A146" s="205" t="s">
        <v>361</v>
      </c>
      <c r="B146" s="206" t="s">
        <v>362</v>
      </c>
      <c r="C146" s="206" t="s">
        <v>363</v>
      </c>
      <c r="D146" s="205">
        <v>3</v>
      </c>
      <c r="E146" s="205">
        <v>3</v>
      </c>
      <c r="F146" s="205" t="s">
        <v>39</v>
      </c>
    </row>
    <row r="147" spans="1:6" ht="57" x14ac:dyDescent="0.25">
      <c r="A147" s="205" t="s">
        <v>364</v>
      </c>
      <c r="B147" s="206" t="s">
        <v>365</v>
      </c>
      <c r="C147" s="206" t="s">
        <v>365</v>
      </c>
      <c r="D147" s="205">
        <v>2</v>
      </c>
      <c r="E147" s="205">
        <v>2</v>
      </c>
      <c r="F147" s="205" t="s">
        <v>39</v>
      </c>
    </row>
    <row r="148" spans="1:6" x14ac:dyDescent="0.25">
      <c r="A148" s="205" t="s">
        <v>366</v>
      </c>
      <c r="B148" s="206" t="s">
        <v>367</v>
      </c>
      <c r="C148" s="206" t="s">
        <v>368</v>
      </c>
      <c r="D148" s="205">
        <v>0.5</v>
      </c>
      <c r="E148" s="205">
        <v>0.5</v>
      </c>
      <c r="F148" s="205" t="s">
        <v>39</v>
      </c>
    </row>
    <row r="149" spans="1:6" ht="128.25" x14ac:dyDescent="0.25">
      <c r="A149" s="205" t="s">
        <v>369</v>
      </c>
      <c r="B149" s="206" t="s">
        <v>370</v>
      </c>
      <c r="C149" s="206" t="s">
        <v>371</v>
      </c>
      <c r="D149" s="205">
        <v>3</v>
      </c>
      <c r="E149" s="205">
        <v>3</v>
      </c>
      <c r="F149" s="205" t="s">
        <v>39</v>
      </c>
    </row>
    <row r="150" spans="1:6" ht="42.75" x14ac:dyDescent="0.25">
      <c r="A150" s="205" t="s">
        <v>372</v>
      </c>
      <c r="B150" s="206" t="s">
        <v>373</v>
      </c>
      <c r="C150" s="206" t="s">
        <v>374</v>
      </c>
      <c r="D150" s="205">
        <v>2</v>
      </c>
      <c r="E150" s="205">
        <v>2</v>
      </c>
      <c r="F150" s="205" t="s">
        <v>39</v>
      </c>
    </row>
    <row r="151" spans="1:6" ht="199.5" x14ac:dyDescent="0.25">
      <c r="A151" s="205" t="s">
        <v>375</v>
      </c>
      <c r="B151" s="206" t="s">
        <v>376</v>
      </c>
      <c r="C151" s="206" t="s">
        <v>377</v>
      </c>
      <c r="D151" s="205">
        <v>1</v>
      </c>
      <c r="E151" s="205">
        <v>1</v>
      </c>
      <c r="F151" s="205" t="s">
        <v>39</v>
      </c>
    </row>
    <row r="152" spans="1:6" ht="15" x14ac:dyDescent="0.25">
      <c r="A152" s="232" t="s">
        <v>378</v>
      </c>
      <c r="B152" s="232"/>
      <c r="C152" s="233"/>
      <c r="D152" s="234"/>
      <c r="E152" s="234"/>
      <c r="F152" s="235"/>
    </row>
    <row r="153" spans="1:6" x14ac:dyDescent="0.25">
      <c r="A153" s="205" t="s">
        <v>379</v>
      </c>
      <c r="B153" s="206" t="s">
        <v>380</v>
      </c>
      <c r="C153" s="206" t="s">
        <v>381</v>
      </c>
      <c r="D153" s="205">
        <v>100</v>
      </c>
      <c r="E153" s="205">
        <v>100</v>
      </c>
      <c r="F153" s="211" t="s">
        <v>382</v>
      </c>
    </row>
    <row r="154" spans="1:6" ht="15" x14ac:dyDescent="0.25">
      <c r="A154" s="232" t="s">
        <v>383</v>
      </c>
      <c r="B154" s="232"/>
      <c r="C154" s="233"/>
      <c r="D154" s="234"/>
      <c r="E154" s="234"/>
      <c r="F154" s="235"/>
    </row>
    <row r="155" spans="1:6" x14ac:dyDescent="0.25">
      <c r="A155" s="205" t="s">
        <v>384</v>
      </c>
      <c r="B155" s="206" t="s">
        <v>385</v>
      </c>
      <c r="C155" s="206" t="s">
        <v>386</v>
      </c>
      <c r="D155" s="205">
        <v>54</v>
      </c>
      <c r="E155" s="205">
        <v>54</v>
      </c>
      <c r="F155" s="211" t="s">
        <v>382</v>
      </c>
    </row>
    <row r="156" spans="1:6" x14ac:dyDescent="0.25">
      <c r="A156" s="205" t="s">
        <v>387</v>
      </c>
      <c r="B156" s="206" t="s">
        <v>388</v>
      </c>
      <c r="C156" s="206" t="s">
        <v>389</v>
      </c>
      <c r="D156" s="205">
        <v>46</v>
      </c>
      <c r="E156" s="205">
        <v>46</v>
      </c>
      <c r="F156" s="211" t="s">
        <v>382</v>
      </c>
    </row>
    <row r="157" spans="1:6" ht="15" x14ac:dyDescent="0.25">
      <c r="A157" s="232" t="s">
        <v>390</v>
      </c>
      <c r="B157" s="232"/>
      <c r="C157" s="233"/>
      <c r="D157" s="234"/>
      <c r="E157" s="234"/>
      <c r="F157" s="235"/>
    </row>
    <row r="158" spans="1:6" x14ac:dyDescent="0.25">
      <c r="A158" s="205" t="s">
        <v>391</v>
      </c>
      <c r="B158" s="206" t="s">
        <v>392</v>
      </c>
      <c r="D158" s="205">
        <v>18</v>
      </c>
      <c r="E158" s="205">
        <v>18</v>
      </c>
      <c r="F158" s="211" t="s">
        <v>382</v>
      </c>
    </row>
    <row r="159" spans="1:6" x14ac:dyDescent="0.25">
      <c r="A159" s="205" t="s">
        <v>393</v>
      </c>
      <c r="B159" s="206" t="s">
        <v>394</v>
      </c>
      <c r="D159" s="205">
        <v>22</v>
      </c>
      <c r="E159" s="205">
        <v>22</v>
      </c>
      <c r="F159" s="211" t="s">
        <v>382</v>
      </c>
    </row>
    <row r="160" spans="1:6" x14ac:dyDescent="0.25">
      <c r="A160" s="205" t="s">
        <v>395</v>
      </c>
      <c r="B160" s="206" t="s">
        <v>396</v>
      </c>
      <c r="D160" s="205">
        <v>20</v>
      </c>
      <c r="E160" s="205">
        <v>20</v>
      </c>
      <c r="F160" s="211" t="s">
        <v>382</v>
      </c>
    </row>
    <row r="161" spans="1:6" x14ac:dyDescent="0.25">
      <c r="A161" s="205" t="s">
        <v>397</v>
      </c>
      <c r="B161" s="206" t="s">
        <v>398</v>
      </c>
      <c r="D161" s="205">
        <v>20</v>
      </c>
      <c r="E161" s="205">
        <v>20</v>
      </c>
      <c r="F161" s="211" t="s">
        <v>382</v>
      </c>
    </row>
    <row r="162" spans="1:6" ht="28.5" x14ac:dyDescent="0.25">
      <c r="A162" s="205" t="s">
        <v>399</v>
      </c>
      <c r="B162" s="206" t="s">
        <v>400</v>
      </c>
      <c r="D162" s="205">
        <v>20</v>
      </c>
      <c r="E162" s="205">
        <v>20</v>
      </c>
      <c r="F162" s="211" t="s">
        <v>382</v>
      </c>
    </row>
    <row r="163" spans="1:6" ht="15" x14ac:dyDescent="0.25">
      <c r="A163" s="232" t="s">
        <v>401</v>
      </c>
      <c r="B163" s="232"/>
      <c r="C163" s="233"/>
      <c r="D163" s="234"/>
      <c r="E163" s="234"/>
      <c r="F163" s="235"/>
    </row>
    <row r="164" spans="1:6" x14ac:dyDescent="0.25">
      <c r="A164" s="205" t="s">
        <v>402</v>
      </c>
      <c r="B164" s="206" t="s">
        <v>392</v>
      </c>
      <c r="D164" s="205">
        <v>23</v>
      </c>
      <c r="E164" s="205">
        <v>23</v>
      </c>
      <c r="F164" s="211" t="s">
        <v>382</v>
      </c>
    </row>
    <row r="165" spans="1:6" x14ac:dyDescent="0.25">
      <c r="A165" s="205" t="s">
        <v>403</v>
      </c>
      <c r="B165" s="206" t="s">
        <v>394</v>
      </c>
      <c r="D165" s="205">
        <v>24</v>
      </c>
      <c r="E165" s="205">
        <v>24</v>
      </c>
      <c r="F165" s="211" t="s">
        <v>382</v>
      </c>
    </row>
    <row r="166" spans="1:6" x14ac:dyDescent="0.25">
      <c r="A166" s="205" t="s">
        <v>404</v>
      </c>
      <c r="B166" s="206" t="s">
        <v>396</v>
      </c>
      <c r="D166" s="205">
        <v>12</v>
      </c>
      <c r="E166" s="205">
        <v>12</v>
      </c>
      <c r="F166" s="211" t="s">
        <v>382</v>
      </c>
    </row>
    <row r="167" spans="1:6" x14ac:dyDescent="0.25">
      <c r="A167" s="205" t="s">
        <v>405</v>
      </c>
      <c r="B167" s="206" t="s">
        <v>398</v>
      </c>
      <c r="D167" s="205">
        <v>18</v>
      </c>
      <c r="E167" s="205">
        <v>18</v>
      </c>
      <c r="F167" s="211" t="s">
        <v>382</v>
      </c>
    </row>
    <row r="168" spans="1:6" ht="28.5" x14ac:dyDescent="0.25">
      <c r="A168" s="205" t="s">
        <v>406</v>
      </c>
      <c r="B168" s="206" t="s">
        <v>400</v>
      </c>
      <c r="D168" s="205">
        <v>23</v>
      </c>
      <c r="E168" s="205">
        <v>23</v>
      </c>
      <c r="F168" s="211" t="s">
        <v>382</v>
      </c>
    </row>
    <row r="169" spans="1:6" ht="15" x14ac:dyDescent="0.25">
      <c r="A169" s="232" t="s">
        <v>407</v>
      </c>
      <c r="B169" s="232"/>
      <c r="C169" s="233"/>
      <c r="D169" s="234"/>
      <c r="E169" s="234"/>
      <c r="F169" s="235"/>
    </row>
    <row r="170" spans="1:6" x14ac:dyDescent="0.25">
      <c r="A170" s="205" t="s">
        <v>408</v>
      </c>
      <c r="B170" s="206" t="s">
        <v>392</v>
      </c>
      <c r="D170" s="205">
        <v>22</v>
      </c>
      <c r="E170" s="205">
        <v>22</v>
      </c>
      <c r="F170" s="211" t="s">
        <v>382</v>
      </c>
    </row>
    <row r="171" spans="1:6" x14ac:dyDescent="0.25">
      <c r="A171" s="205" t="s">
        <v>409</v>
      </c>
      <c r="B171" s="206" t="s">
        <v>410</v>
      </c>
      <c r="D171" s="205">
        <v>25</v>
      </c>
      <c r="E171" s="205">
        <v>25</v>
      </c>
      <c r="F171" s="211" t="s">
        <v>382</v>
      </c>
    </row>
    <row r="172" spans="1:6" x14ac:dyDescent="0.25">
      <c r="A172" s="205" t="s">
        <v>411</v>
      </c>
      <c r="B172" s="206" t="s">
        <v>412</v>
      </c>
      <c r="D172" s="205">
        <v>20</v>
      </c>
      <c r="E172" s="205">
        <v>20</v>
      </c>
      <c r="F172" s="211" t="s">
        <v>382</v>
      </c>
    </row>
    <row r="173" spans="1:6" x14ac:dyDescent="0.25">
      <c r="A173" s="205" t="s">
        <v>413</v>
      </c>
      <c r="B173" s="206" t="s">
        <v>414</v>
      </c>
      <c r="D173" s="205">
        <v>33</v>
      </c>
      <c r="E173" s="205">
        <v>33</v>
      </c>
      <c r="F173" s="211" t="s">
        <v>382</v>
      </c>
    </row>
    <row r="174" spans="1:6" ht="15" x14ac:dyDescent="0.25">
      <c r="A174" s="232" t="s">
        <v>415</v>
      </c>
      <c r="B174" s="232"/>
      <c r="C174" s="233"/>
      <c r="D174" s="234"/>
      <c r="E174" s="234"/>
      <c r="F174" s="235"/>
    </row>
    <row r="175" spans="1:6" x14ac:dyDescent="0.25">
      <c r="A175" s="205" t="s">
        <v>416</v>
      </c>
      <c r="B175" s="206" t="s">
        <v>392</v>
      </c>
      <c r="D175" s="205">
        <v>40</v>
      </c>
      <c r="E175" s="205">
        <v>40</v>
      </c>
      <c r="F175" s="211" t="s">
        <v>382</v>
      </c>
    </row>
    <row r="176" spans="1:6" x14ac:dyDescent="0.25">
      <c r="A176" s="205" t="s">
        <v>417</v>
      </c>
      <c r="B176" s="206" t="s">
        <v>418</v>
      </c>
      <c r="D176" s="205">
        <v>20</v>
      </c>
      <c r="E176" s="205">
        <v>20</v>
      </c>
      <c r="F176" s="211" t="s">
        <v>382</v>
      </c>
    </row>
    <row r="177" spans="1:6" x14ac:dyDescent="0.25">
      <c r="A177" s="205" t="s">
        <v>419</v>
      </c>
      <c r="B177" s="206" t="s">
        <v>420</v>
      </c>
      <c r="D177" s="205">
        <v>20</v>
      </c>
      <c r="E177" s="205">
        <v>20</v>
      </c>
      <c r="F177" s="211" t="s">
        <v>382</v>
      </c>
    </row>
    <row r="178" spans="1:6" x14ac:dyDescent="0.25">
      <c r="A178" s="205" t="s">
        <v>421</v>
      </c>
      <c r="B178" s="206" t="s">
        <v>422</v>
      </c>
      <c r="D178" s="205">
        <v>20</v>
      </c>
      <c r="E178" s="205">
        <v>20</v>
      </c>
      <c r="F178" s="211" t="s">
        <v>382</v>
      </c>
    </row>
    <row r="179" spans="1:6" ht="15" x14ac:dyDescent="0.25">
      <c r="A179" s="232" t="s">
        <v>423</v>
      </c>
      <c r="B179" s="232"/>
      <c r="C179" s="233"/>
      <c r="D179" s="234"/>
      <c r="E179" s="234"/>
      <c r="F179" s="235"/>
    </row>
    <row r="180" spans="1:6" x14ac:dyDescent="0.25">
      <c r="A180" s="205" t="s">
        <v>424</v>
      </c>
      <c r="B180" s="206" t="s">
        <v>392</v>
      </c>
      <c r="D180" s="205">
        <v>20</v>
      </c>
      <c r="E180" s="205">
        <v>20</v>
      </c>
      <c r="F180" s="211" t="s">
        <v>382</v>
      </c>
    </row>
    <row r="181" spans="1:6" x14ac:dyDescent="0.25">
      <c r="A181" s="205" t="s">
        <v>425</v>
      </c>
      <c r="B181" s="206" t="s">
        <v>426</v>
      </c>
      <c r="D181" s="205">
        <v>20</v>
      </c>
      <c r="E181" s="205">
        <v>20</v>
      </c>
      <c r="F181" s="211" t="s">
        <v>382</v>
      </c>
    </row>
    <row r="182" spans="1:6" x14ac:dyDescent="0.25">
      <c r="A182" s="205" t="s">
        <v>427</v>
      </c>
      <c r="B182" s="206" t="s">
        <v>396</v>
      </c>
      <c r="D182" s="205">
        <v>20</v>
      </c>
      <c r="E182" s="205">
        <v>20</v>
      </c>
      <c r="F182" s="211" t="s">
        <v>382</v>
      </c>
    </row>
    <row r="183" spans="1:6" x14ac:dyDescent="0.25">
      <c r="A183" s="205" t="s">
        <v>428</v>
      </c>
      <c r="B183" s="206" t="s">
        <v>398</v>
      </c>
      <c r="D183" s="205">
        <v>20</v>
      </c>
      <c r="E183" s="205">
        <v>20</v>
      </c>
      <c r="F183" s="211" t="s">
        <v>382</v>
      </c>
    </row>
    <row r="184" spans="1:6" x14ac:dyDescent="0.25">
      <c r="A184" s="205" t="s">
        <v>429</v>
      </c>
      <c r="B184" s="206" t="s">
        <v>430</v>
      </c>
      <c r="D184" s="205">
        <v>20</v>
      </c>
      <c r="E184" s="205">
        <v>20</v>
      </c>
      <c r="F184" s="211" t="s">
        <v>382</v>
      </c>
    </row>
    <row r="185" spans="1:6" ht="15" x14ac:dyDescent="0.25">
      <c r="A185" s="232" t="s">
        <v>431</v>
      </c>
      <c r="B185" s="232"/>
      <c r="C185" s="233"/>
      <c r="D185" s="234"/>
      <c r="E185" s="234"/>
      <c r="F185" s="235"/>
    </row>
    <row r="186" spans="1:6" x14ac:dyDescent="0.25">
      <c r="A186" s="205" t="s">
        <v>432</v>
      </c>
      <c r="B186" s="206" t="s">
        <v>392</v>
      </c>
      <c r="D186" s="205">
        <v>20</v>
      </c>
      <c r="E186" s="205">
        <v>20</v>
      </c>
      <c r="F186" s="211" t="s">
        <v>382</v>
      </c>
    </row>
    <row r="187" spans="1:6" x14ac:dyDescent="0.25">
      <c r="A187" s="205" t="s">
        <v>433</v>
      </c>
      <c r="B187" s="206" t="s">
        <v>426</v>
      </c>
      <c r="D187" s="205">
        <v>20</v>
      </c>
      <c r="E187" s="205">
        <v>20</v>
      </c>
      <c r="F187" s="211" t="s">
        <v>382</v>
      </c>
    </row>
    <row r="188" spans="1:6" x14ac:dyDescent="0.25">
      <c r="A188" s="205" t="s">
        <v>434</v>
      </c>
      <c r="B188" s="206" t="s">
        <v>396</v>
      </c>
      <c r="D188" s="205">
        <v>20</v>
      </c>
      <c r="E188" s="205">
        <v>20</v>
      </c>
      <c r="F188" s="211" t="s">
        <v>382</v>
      </c>
    </row>
    <row r="189" spans="1:6" x14ac:dyDescent="0.25">
      <c r="A189" s="205" t="s">
        <v>435</v>
      </c>
      <c r="B189" s="206" t="s">
        <v>398</v>
      </c>
      <c r="D189" s="205">
        <v>20</v>
      </c>
      <c r="E189" s="205">
        <v>20</v>
      </c>
      <c r="F189" s="211" t="s">
        <v>382</v>
      </c>
    </row>
    <row r="190" spans="1:6" x14ac:dyDescent="0.25">
      <c r="A190" s="205" t="s">
        <v>436</v>
      </c>
      <c r="B190" s="206" t="s">
        <v>430</v>
      </c>
      <c r="D190" s="205">
        <v>20</v>
      </c>
      <c r="E190" s="205">
        <v>20</v>
      </c>
      <c r="F190" s="211" t="s">
        <v>382</v>
      </c>
    </row>
    <row r="191" spans="1:6" ht="15" x14ac:dyDescent="0.25">
      <c r="A191" s="232" t="s">
        <v>437</v>
      </c>
      <c r="B191" s="232"/>
      <c r="C191" s="233"/>
      <c r="D191" s="234"/>
      <c r="E191" s="234"/>
      <c r="F191" s="235"/>
    </row>
    <row r="192" spans="1:6" x14ac:dyDescent="0.25">
      <c r="A192" s="205" t="s">
        <v>438</v>
      </c>
      <c r="B192" s="206" t="s">
        <v>392</v>
      </c>
      <c r="D192" s="205">
        <v>50</v>
      </c>
      <c r="E192" s="205">
        <v>50</v>
      </c>
      <c r="F192" s="211" t="s">
        <v>382</v>
      </c>
    </row>
    <row r="193" spans="1:6" x14ac:dyDescent="0.25">
      <c r="A193" s="205" t="s">
        <v>439</v>
      </c>
      <c r="B193" s="206" t="s">
        <v>440</v>
      </c>
      <c r="D193" s="205">
        <v>20</v>
      </c>
      <c r="E193" s="205">
        <v>20</v>
      </c>
      <c r="F193" s="211" t="s">
        <v>382</v>
      </c>
    </row>
    <row r="194" spans="1:6" x14ac:dyDescent="0.25">
      <c r="A194" s="205" t="s">
        <v>441</v>
      </c>
      <c r="B194" s="206" t="s">
        <v>398</v>
      </c>
      <c r="D194" s="205">
        <v>10</v>
      </c>
      <c r="E194" s="205">
        <v>10</v>
      </c>
      <c r="F194" s="211" t="s">
        <v>382</v>
      </c>
    </row>
    <row r="195" spans="1:6" x14ac:dyDescent="0.25">
      <c r="A195" s="205" t="s">
        <v>442</v>
      </c>
      <c r="B195" s="206" t="s">
        <v>430</v>
      </c>
      <c r="D195" s="205">
        <v>20</v>
      </c>
      <c r="E195" s="205">
        <v>20</v>
      </c>
      <c r="F195" s="211" t="s">
        <v>382</v>
      </c>
    </row>
    <row r="196" spans="1:6" ht="15" x14ac:dyDescent="0.25">
      <c r="A196" s="232" t="s">
        <v>443</v>
      </c>
      <c r="B196" s="232"/>
      <c r="C196" s="233"/>
      <c r="D196" s="234"/>
      <c r="E196" s="234"/>
      <c r="F196" s="235"/>
    </row>
    <row r="197" spans="1:6" x14ac:dyDescent="0.25">
      <c r="A197" s="205" t="s">
        <v>444</v>
      </c>
      <c r="B197" s="206" t="s">
        <v>392</v>
      </c>
      <c r="D197" s="205">
        <v>21</v>
      </c>
      <c r="E197" s="205">
        <v>21</v>
      </c>
      <c r="F197" s="211" t="s">
        <v>382</v>
      </c>
    </row>
    <row r="198" spans="1:6" x14ac:dyDescent="0.25">
      <c r="A198" s="205" t="s">
        <v>445</v>
      </c>
      <c r="B198" s="206" t="s">
        <v>446</v>
      </c>
      <c r="D198" s="205">
        <v>30</v>
      </c>
      <c r="E198" s="205">
        <v>30</v>
      </c>
      <c r="F198" s="211" t="s">
        <v>382</v>
      </c>
    </row>
    <row r="199" spans="1:6" x14ac:dyDescent="0.25">
      <c r="A199" s="205" t="s">
        <v>447</v>
      </c>
      <c r="B199" s="206" t="s">
        <v>448</v>
      </c>
      <c r="D199" s="205">
        <v>15</v>
      </c>
      <c r="E199" s="205">
        <v>15</v>
      </c>
      <c r="F199" s="211" t="s">
        <v>382</v>
      </c>
    </row>
    <row r="200" spans="1:6" x14ac:dyDescent="0.25">
      <c r="A200" s="205" t="s">
        <v>449</v>
      </c>
      <c r="B200" s="206" t="s">
        <v>450</v>
      </c>
      <c r="D200" s="205">
        <v>34</v>
      </c>
      <c r="E200" s="205">
        <v>34</v>
      </c>
      <c r="F200" s="211" t="s">
        <v>382</v>
      </c>
    </row>
    <row r="201" spans="1:6" ht="15" x14ac:dyDescent="0.25">
      <c r="A201" s="232" t="s">
        <v>451</v>
      </c>
      <c r="B201" s="232"/>
      <c r="C201" s="233"/>
      <c r="D201" s="234"/>
      <c r="E201" s="234"/>
      <c r="F201" s="235"/>
    </row>
    <row r="202" spans="1:6" x14ac:dyDescent="0.25">
      <c r="A202" s="205" t="s">
        <v>452</v>
      </c>
      <c r="B202" s="206" t="s">
        <v>392</v>
      </c>
      <c r="D202" s="205">
        <v>28</v>
      </c>
      <c r="E202" s="205">
        <v>28</v>
      </c>
      <c r="F202" s="211" t="s">
        <v>382</v>
      </c>
    </row>
    <row r="203" spans="1:6" x14ac:dyDescent="0.25">
      <c r="A203" s="205" t="s">
        <v>453</v>
      </c>
      <c r="B203" s="206" t="s">
        <v>446</v>
      </c>
      <c r="D203" s="205">
        <v>30</v>
      </c>
      <c r="E203" s="205">
        <v>30</v>
      </c>
      <c r="F203" s="211" t="s">
        <v>382</v>
      </c>
    </row>
    <row r="204" spans="1:6" x14ac:dyDescent="0.25">
      <c r="A204" s="205" t="s">
        <v>454</v>
      </c>
      <c r="B204" s="206" t="s">
        <v>448</v>
      </c>
      <c r="D204" s="205">
        <v>8</v>
      </c>
      <c r="E204" s="205">
        <v>8</v>
      </c>
      <c r="F204" s="211" t="s">
        <v>382</v>
      </c>
    </row>
    <row r="205" spans="1:6" x14ac:dyDescent="0.25">
      <c r="A205" s="205" t="s">
        <v>455</v>
      </c>
      <c r="B205" s="206" t="s">
        <v>450</v>
      </c>
      <c r="D205" s="205">
        <v>34</v>
      </c>
      <c r="E205" s="205">
        <v>34</v>
      </c>
      <c r="F205" s="211" t="s">
        <v>382</v>
      </c>
    </row>
    <row r="206" spans="1:6" ht="15" x14ac:dyDescent="0.25">
      <c r="A206" s="232" t="s">
        <v>456</v>
      </c>
      <c r="B206" s="232"/>
      <c r="C206" s="233"/>
      <c r="D206" s="234"/>
      <c r="E206" s="234"/>
      <c r="F206" s="235"/>
    </row>
    <row r="207" spans="1:6" x14ac:dyDescent="0.25">
      <c r="A207" s="205" t="s">
        <v>457</v>
      </c>
      <c r="B207" s="206" t="s">
        <v>392</v>
      </c>
      <c r="D207" s="205">
        <v>20</v>
      </c>
      <c r="E207" s="205">
        <v>20</v>
      </c>
      <c r="F207" s="211" t="s">
        <v>382</v>
      </c>
    </row>
    <row r="208" spans="1:6" x14ac:dyDescent="0.25">
      <c r="A208" s="205" t="s">
        <v>458</v>
      </c>
      <c r="B208" s="206" t="s">
        <v>418</v>
      </c>
      <c r="D208" s="205">
        <v>21</v>
      </c>
      <c r="E208" s="205">
        <v>21</v>
      </c>
      <c r="F208" s="211" t="s">
        <v>382</v>
      </c>
    </row>
    <row r="209" spans="1:6" x14ac:dyDescent="0.25">
      <c r="A209" s="205" t="s">
        <v>459</v>
      </c>
      <c r="B209" s="206" t="s">
        <v>396</v>
      </c>
      <c r="D209" s="205">
        <v>20</v>
      </c>
      <c r="E209" s="205">
        <v>20</v>
      </c>
      <c r="F209" s="211" t="s">
        <v>382</v>
      </c>
    </row>
    <row r="210" spans="1:6" x14ac:dyDescent="0.25">
      <c r="A210" s="205" t="s">
        <v>460</v>
      </c>
      <c r="B210" s="206" t="s">
        <v>398</v>
      </c>
      <c r="D210" s="205">
        <v>20</v>
      </c>
      <c r="E210" s="205">
        <v>20</v>
      </c>
      <c r="F210" s="211" t="s">
        <v>382</v>
      </c>
    </row>
    <row r="211" spans="1:6" x14ac:dyDescent="0.25">
      <c r="A211" s="205" t="s">
        <v>461</v>
      </c>
      <c r="B211" s="206" t="s">
        <v>430</v>
      </c>
      <c r="D211" s="205">
        <v>19</v>
      </c>
      <c r="E211" s="205">
        <v>19</v>
      </c>
      <c r="F211" s="211" t="s">
        <v>382</v>
      </c>
    </row>
    <row r="212" spans="1:6" ht="15" x14ac:dyDescent="0.25">
      <c r="A212" s="236" t="s">
        <v>462</v>
      </c>
      <c r="B212" s="236"/>
      <c r="C212" s="237"/>
      <c r="D212" s="238"/>
      <c r="E212" s="238"/>
      <c r="F212" s="239"/>
    </row>
    <row r="213" spans="1:6" ht="28.5" x14ac:dyDescent="0.25">
      <c r="A213" s="205" t="s">
        <v>463</v>
      </c>
      <c r="B213" s="206" t="s">
        <v>464</v>
      </c>
      <c r="C213" s="206" t="s">
        <v>465</v>
      </c>
      <c r="D213" s="212">
        <v>1</v>
      </c>
      <c r="E213" s="212"/>
      <c r="F213" s="211" t="s">
        <v>382</v>
      </c>
    </row>
    <row r="214" spans="1:6" ht="28.5" x14ac:dyDescent="0.25">
      <c r="A214" s="205" t="s">
        <v>466</v>
      </c>
      <c r="B214" s="206" t="s">
        <v>467</v>
      </c>
      <c r="C214" s="206" t="s">
        <v>468</v>
      </c>
      <c r="D214" s="212">
        <v>1</v>
      </c>
      <c r="E214" s="212"/>
      <c r="F214" s="211" t="s">
        <v>382</v>
      </c>
    </row>
    <row r="215" spans="1:6" ht="28.5" x14ac:dyDescent="0.25">
      <c r="A215" s="205" t="s">
        <v>469</v>
      </c>
      <c r="B215" s="206" t="s">
        <v>470</v>
      </c>
      <c r="C215" s="206" t="s">
        <v>471</v>
      </c>
      <c r="D215" s="212">
        <v>1</v>
      </c>
      <c r="E215" s="212"/>
      <c r="F215" s="211" t="s">
        <v>382</v>
      </c>
    </row>
    <row r="216" spans="1:6" ht="28.5" x14ac:dyDescent="0.25">
      <c r="A216" s="205" t="s">
        <v>472</v>
      </c>
      <c r="B216" s="206" t="s">
        <v>473</v>
      </c>
      <c r="C216" s="206" t="s">
        <v>474</v>
      </c>
      <c r="D216" s="212" t="s">
        <v>475</v>
      </c>
      <c r="E216" s="212"/>
      <c r="F216" s="211" t="s">
        <v>476</v>
      </c>
    </row>
    <row r="217" spans="1:6" ht="15" x14ac:dyDescent="0.25">
      <c r="A217" s="236" t="s">
        <v>477</v>
      </c>
      <c r="B217" s="236"/>
      <c r="C217" s="237"/>
      <c r="D217" s="238"/>
      <c r="E217" s="238"/>
      <c r="F217" s="239"/>
    </row>
    <row r="218" spans="1:6" ht="28.5" x14ac:dyDescent="0.25">
      <c r="A218" s="205" t="s">
        <v>478</v>
      </c>
      <c r="B218" s="206" t="s">
        <v>479</v>
      </c>
      <c r="C218" s="206" t="s">
        <v>480</v>
      </c>
      <c r="D218" s="212">
        <v>0.6</v>
      </c>
      <c r="E218" s="212"/>
      <c r="F218" s="211" t="s">
        <v>382</v>
      </c>
    </row>
    <row r="219" spans="1:6" ht="42.75" x14ac:dyDescent="0.25">
      <c r="A219" s="205" t="s">
        <v>481</v>
      </c>
      <c r="B219" s="206" t="s">
        <v>482</v>
      </c>
      <c r="C219" s="206" t="s">
        <v>483</v>
      </c>
      <c r="D219" s="212">
        <v>0.4</v>
      </c>
      <c r="E219" s="212"/>
      <c r="F219" s="211" t="s">
        <v>382</v>
      </c>
    </row>
    <row r="220" spans="1:6" ht="28.5" x14ac:dyDescent="0.25">
      <c r="A220" s="205" t="s">
        <v>484</v>
      </c>
      <c r="B220" s="206" t="s">
        <v>485</v>
      </c>
      <c r="C220" s="206" t="s">
        <v>486</v>
      </c>
      <c r="D220" s="212">
        <v>1</v>
      </c>
      <c r="E220" s="212"/>
      <c r="F220" s="211" t="s">
        <v>382</v>
      </c>
    </row>
    <row r="221" spans="1:6" ht="42.75" x14ac:dyDescent="0.25">
      <c r="A221" s="205" t="s">
        <v>487</v>
      </c>
      <c r="B221" s="206" t="s">
        <v>488</v>
      </c>
      <c r="C221" s="206" t="s">
        <v>489</v>
      </c>
      <c r="D221" s="212">
        <v>1</v>
      </c>
      <c r="E221" s="212"/>
      <c r="F221" s="211" t="s">
        <v>382</v>
      </c>
    </row>
    <row r="222" spans="1:6" x14ac:dyDescent="0.25">
      <c r="A222" s="205" t="s">
        <v>490</v>
      </c>
      <c r="B222" s="206" t="s">
        <v>491</v>
      </c>
      <c r="C222" s="206" t="s">
        <v>492</v>
      </c>
      <c r="D222" s="212">
        <v>1</v>
      </c>
      <c r="E222" s="212"/>
      <c r="F222" s="211" t="s">
        <v>382</v>
      </c>
    </row>
    <row r="223" spans="1:6" ht="28.5" x14ac:dyDescent="0.25">
      <c r="A223" s="205" t="s">
        <v>493</v>
      </c>
      <c r="B223" s="206" t="s">
        <v>494</v>
      </c>
      <c r="C223" s="206" t="s">
        <v>495</v>
      </c>
      <c r="D223" s="212">
        <v>1</v>
      </c>
      <c r="E223" s="212"/>
      <c r="F223" s="211" t="s">
        <v>382</v>
      </c>
    </row>
    <row r="224" spans="1:6" ht="28.5" x14ac:dyDescent="0.25">
      <c r="A224" s="205" t="s">
        <v>496</v>
      </c>
      <c r="B224" s="206" t="s">
        <v>497</v>
      </c>
      <c r="C224" s="206" t="s">
        <v>498</v>
      </c>
      <c r="D224" s="212">
        <v>1</v>
      </c>
      <c r="E224" s="212"/>
      <c r="F224" s="211" t="s">
        <v>39</v>
      </c>
    </row>
    <row r="225" spans="1:6" ht="15" x14ac:dyDescent="0.25">
      <c r="A225" s="236" t="s">
        <v>499</v>
      </c>
      <c r="B225" s="236"/>
      <c r="C225" s="237"/>
      <c r="D225" s="238"/>
      <c r="E225" s="238"/>
      <c r="F225" s="239"/>
    </row>
    <row r="226" spans="1:6" ht="42.75" x14ac:dyDescent="0.25">
      <c r="A226" s="205" t="s">
        <v>500</v>
      </c>
      <c r="B226" s="206" t="s">
        <v>501</v>
      </c>
      <c r="C226" s="206" t="s">
        <v>502</v>
      </c>
      <c r="D226" s="212">
        <v>1</v>
      </c>
      <c r="E226" s="212"/>
      <c r="F226" s="211" t="s">
        <v>503</v>
      </c>
    </row>
    <row r="227" spans="1:6" ht="42.75" x14ac:dyDescent="0.25">
      <c r="A227" s="205" t="s">
        <v>504</v>
      </c>
      <c r="B227" s="206" t="s">
        <v>505</v>
      </c>
      <c r="C227" s="206" t="s">
        <v>506</v>
      </c>
      <c r="D227" s="212">
        <v>1</v>
      </c>
      <c r="E227" s="212"/>
      <c r="F227" s="211" t="s">
        <v>503</v>
      </c>
    </row>
    <row r="228" spans="1:6" ht="28.5" x14ac:dyDescent="0.25">
      <c r="A228" s="205" t="s">
        <v>507</v>
      </c>
      <c r="B228" s="206" t="s">
        <v>501</v>
      </c>
      <c r="C228" s="206" t="s">
        <v>508</v>
      </c>
      <c r="D228" s="212">
        <v>1</v>
      </c>
      <c r="E228" s="212"/>
      <c r="F228" s="211" t="s">
        <v>503</v>
      </c>
    </row>
    <row r="229" spans="1:6" ht="28.5" x14ac:dyDescent="0.25">
      <c r="A229" s="205" t="s">
        <v>509</v>
      </c>
      <c r="B229" s="206" t="s">
        <v>505</v>
      </c>
      <c r="C229" s="206" t="s">
        <v>510</v>
      </c>
      <c r="D229" s="212">
        <v>1</v>
      </c>
      <c r="E229" s="212"/>
      <c r="F229" s="211" t="s">
        <v>503</v>
      </c>
    </row>
    <row r="230" spans="1:6" ht="15" x14ac:dyDescent="0.25">
      <c r="A230" s="236" t="s">
        <v>511</v>
      </c>
      <c r="B230" s="236"/>
      <c r="C230" s="237"/>
      <c r="D230" s="238"/>
      <c r="E230" s="238"/>
      <c r="F230" s="239"/>
    </row>
    <row r="231" spans="1:6" ht="28.5" x14ac:dyDescent="0.25">
      <c r="A231" s="205" t="s">
        <v>512</v>
      </c>
      <c r="B231" s="206" t="s">
        <v>513</v>
      </c>
      <c r="C231" s="206" t="s">
        <v>514</v>
      </c>
      <c r="D231" s="499" t="s">
        <v>515</v>
      </c>
      <c r="E231" s="349"/>
      <c r="F231" s="211" t="s">
        <v>382</v>
      </c>
    </row>
    <row r="232" spans="1:6" ht="28.5" x14ac:dyDescent="0.25">
      <c r="A232" s="205" t="s">
        <v>516</v>
      </c>
      <c r="B232" s="206" t="s">
        <v>517</v>
      </c>
      <c r="C232" s="206" t="s">
        <v>518</v>
      </c>
      <c r="D232" s="501"/>
      <c r="E232" s="351"/>
      <c r="F232" s="211" t="s">
        <v>382</v>
      </c>
    </row>
    <row r="233" spans="1:6" ht="28.5" x14ac:dyDescent="0.25">
      <c r="A233" s="205" t="s">
        <v>519</v>
      </c>
      <c r="B233" s="206" t="s">
        <v>520</v>
      </c>
      <c r="C233" s="206" t="s">
        <v>521</v>
      </c>
      <c r="D233" s="501"/>
      <c r="E233" s="351"/>
      <c r="F233" s="211" t="s">
        <v>382</v>
      </c>
    </row>
    <row r="234" spans="1:6" ht="28.5" x14ac:dyDescent="0.25">
      <c r="A234" s="205" t="s">
        <v>522</v>
      </c>
      <c r="B234" s="206" t="s">
        <v>523</v>
      </c>
      <c r="C234" s="206" t="s">
        <v>524</v>
      </c>
      <c r="D234" s="501"/>
      <c r="E234" s="351"/>
      <c r="F234" s="211" t="s">
        <v>382</v>
      </c>
    </row>
    <row r="235" spans="1:6" ht="28.5" x14ac:dyDescent="0.25">
      <c r="A235" s="205" t="s">
        <v>525</v>
      </c>
      <c r="B235" s="206" t="s">
        <v>526</v>
      </c>
      <c r="C235" s="206" t="s">
        <v>527</v>
      </c>
      <c r="D235" s="501"/>
      <c r="E235" s="351"/>
      <c r="F235" s="211" t="s">
        <v>382</v>
      </c>
    </row>
    <row r="236" spans="1:6" ht="28.5" x14ac:dyDescent="0.25">
      <c r="A236" s="205" t="s">
        <v>528</v>
      </c>
      <c r="B236" s="206" t="s">
        <v>529</v>
      </c>
      <c r="C236" s="206" t="s">
        <v>530</v>
      </c>
      <c r="D236" s="501"/>
      <c r="E236" s="351"/>
      <c r="F236" s="211" t="s">
        <v>382</v>
      </c>
    </row>
    <row r="237" spans="1:6" ht="28.5" x14ac:dyDescent="0.25">
      <c r="A237" s="205" t="s">
        <v>531</v>
      </c>
      <c r="B237" s="206" t="s">
        <v>532</v>
      </c>
      <c r="C237" s="206" t="s">
        <v>533</v>
      </c>
      <c r="D237" s="500"/>
      <c r="E237" s="350"/>
      <c r="F237" s="211" t="s">
        <v>382</v>
      </c>
    </row>
    <row r="238" spans="1:6" ht="15" x14ac:dyDescent="0.25">
      <c r="A238" s="240" t="s">
        <v>534</v>
      </c>
      <c r="B238" s="240"/>
      <c r="C238" s="241"/>
      <c r="D238" s="242"/>
      <c r="E238" s="242"/>
      <c r="F238" s="243"/>
    </row>
    <row r="239" spans="1:6" ht="28.5" x14ac:dyDescent="0.25">
      <c r="A239" s="205" t="s">
        <v>535</v>
      </c>
      <c r="B239" s="206" t="s">
        <v>479</v>
      </c>
      <c r="C239" s="206" t="s">
        <v>480</v>
      </c>
      <c r="D239" s="212">
        <v>0.4</v>
      </c>
      <c r="E239" s="212"/>
      <c r="F239" s="211" t="s">
        <v>382</v>
      </c>
    </row>
    <row r="240" spans="1:6" ht="42.75" x14ac:dyDescent="0.25">
      <c r="A240" s="205" t="s">
        <v>536</v>
      </c>
      <c r="B240" s="206" t="s">
        <v>482</v>
      </c>
      <c r="C240" s="206" t="s">
        <v>483</v>
      </c>
      <c r="D240" s="212">
        <v>0.6</v>
      </c>
      <c r="E240" s="212"/>
      <c r="F240" s="211" t="s">
        <v>382</v>
      </c>
    </row>
    <row r="241" spans="1:6" ht="28.5" x14ac:dyDescent="0.25">
      <c r="A241" s="205" t="s">
        <v>537</v>
      </c>
      <c r="B241" s="206" t="s">
        <v>485</v>
      </c>
      <c r="C241" s="206" t="s">
        <v>486</v>
      </c>
      <c r="D241" s="212">
        <v>1</v>
      </c>
      <c r="E241" s="212"/>
      <c r="F241" s="211" t="s">
        <v>382</v>
      </c>
    </row>
    <row r="242" spans="1:6" ht="42.75" x14ac:dyDescent="0.25">
      <c r="A242" s="205" t="s">
        <v>538</v>
      </c>
      <c r="B242" s="206" t="s">
        <v>488</v>
      </c>
      <c r="C242" s="206" t="s">
        <v>489</v>
      </c>
      <c r="D242" s="212">
        <v>1</v>
      </c>
      <c r="E242" s="212"/>
      <c r="F242" s="211" t="s">
        <v>382</v>
      </c>
    </row>
    <row r="243" spans="1:6" ht="28.5" x14ac:dyDescent="0.25">
      <c r="A243" s="205" t="s">
        <v>539</v>
      </c>
      <c r="B243" s="206" t="s">
        <v>540</v>
      </c>
      <c r="C243" s="206" t="s">
        <v>541</v>
      </c>
      <c r="D243" s="212">
        <v>1</v>
      </c>
      <c r="E243" s="212"/>
      <c r="F243" s="211" t="s">
        <v>476</v>
      </c>
    </row>
    <row r="244" spans="1:6" ht="42.75" x14ac:dyDescent="0.25">
      <c r="A244" s="205" t="s">
        <v>542</v>
      </c>
      <c r="B244" s="206" t="s">
        <v>543</v>
      </c>
      <c r="C244" s="206" t="s">
        <v>544</v>
      </c>
      <c r="D244" s="212">
        <v>1</v>
      </c>
      <c r="E244" s="212"/>
      <c r="F244" s="211" t="s">
        <v>476</v>
      </c>
    </row>
    <row r="245" spans="1:6" ht="28.5" x14ac:dyDescent="0.25">
      <c r="A245" s="205" t="s">
        <v>545</v>
      </c>
      <c r="B245" s="206" t="s">
        <v>546</v>
      </c>
      <c r="C245" s="206" t="s">
        <v>547</v>
      </c>
      <c r="D245" s="212" t="s">
        <v>475</v>
      </c>
      <c r="E245" s="212"/>
      <c r="F245" s="211" t="s">
        <v>476</v>
      </c>
    </row>
    <row r="246" spans="1:6" ht="15" x14ac:dyDescent="0.25">
      <c r="A246" s="240" t="s">
        <v>548</v>
      </c>
      <c r="B246" s="240"/>
      <c r="C246" s="241"/>
      <c r="D246" s="242"/>
      <c r="E246" s="242"/>
      <c r="F246" s="243"/>
    </row>
    <row r="247" spans="1:6" ht="28.5" x14ac:dyDescent="0.25">
      <c r="A247" s="205" t="s">
        <v>549</v>
      </c>
      <c r="B247" s="206" t="s">
        <v>550</v>
      </c>
      <c r="C247" s="206" t="s">
        <v>551</v>
      </c>
      <c r="D247" s="212">
        <v>0.2</v>
      </c>
      <c r="E247" s="212"/>
      <c r="F247" s="211" t="s">
        <v>552</v>
      </c>
    </row>
    <row r="248" spans="1:6" ht="28.5" x14ac:dyDescent="0.25">
      <c r="A248" s="205" t="s">
        <v>553</v>
      </c>
      <c r="B248" s="206" t="s">
        <v>554</v>
      </c>
      <c r="C248" s="206" t="s">
        <v>555</v>
      </c>
      <c r="D248" s="212">
        <v>0.8</v>
      </c>
      <c r="E248" s="212"/>
      <c r="F248" s="211" t="s">
        <v>552</v>
      </c>
    </row>
    <row r="249" spans="1:6" ht="28.5" x14ac:dyDescent="0.25">
      <c r="A249" s="205" t="s">
        <v>556</v>
      </c>
      <c r="B249" s="206" t="s">
        <v>557</v>
      </c>
      <c r="C249" s="206" t="s">
        <v>558</v>
      </c>
      <c r="D249" s="212">
        <v>1</v>
      </c>
      <c r="E249" s="212"/>
      <c r="F249" s="211" t="s">
        <v>552</v>
      </c>
    </row>
    <row r="250" spans="1:6" ht="28.5" x14ac:dyDescent="0.25">
      <c r="A250" s="205" t="s">
        <v>559</v>
      </c>
      <c r="B250" s="206" t="s">
        <v>560</v>
      </c>
      <c r="C250" s="206" t="s">
        <v>561</v>
      </c>
      <c r="D250" s="212">
        <v>1</v>
      </c>
      <c r="E250" s="212"/>
      <c r="F250" s="211" t="s">
        <v>552</v>
      </c>
    </row>
    <row r="251" spans="1:6" ht="28.5" x14ac:dyDescent="0.25">
      <c r="A251" s="205" t="s">
        <v>562</v>
      </c>
      <c r="B251" s="206" t="s">
        <v>563</v>
      </c>
      <c r="C251" s="206" t="s">
        <v>564</v>
      </c>
      <c r="D251" s="212">
        <v>1</v>
      </c>
      <c r="E251" s="212"/>
      <c r="F251" s="211" t="s">
        <v>552</v>
      </c>
    </row>
    <row r="252" spans="1:6" ht="28.5" x14ac:dyDescent="0.25">
      <c r="A252" s="205" t="s">
        <v>565</v>
      </c>
      <c r="B252" s="206" t="s">
        <v>566</v>
      </c>
      <c r="C252" s="206" t="s">
        <v>567</v>
      </c>
      <c r="D252" s="212">
        <v>1</v>
      </c>
      <c r="E252" s="212"/>
      <c r="F252" s="211" t="s">
        <v>552</v>
      </c>
    </row>
    <row r="253" spans="1:6" ht="28.5" x14ac:dyDescent="0.25">
      <c r="A253" s="205" t="s">
        <v>568</v>
      </c>
      <c r="B253" s="206" t="s">
        <v>569</v>
      </c>
      <c r="C253" s="206" t="s">
        <v>570</v>
      </c>
      <c r="D253" s="212">
        <v>1</v>
      </c>
      <c r="E253" s="212"/>
      <c r="F253" s="211" t="s">
        <v>552</v>
      </c>
    </row>
    <row r="254" spans="1:6" ht="15" x14ac:dyDescent="0.25">
      <c r="A254" s="240" t="s">
        <v>571</v>
      </c>
      <c r="B254" s="240"/>
      <c r="C254" s="241"/>
      <c r="D254" s="242"/>
      <c r="E254" s="242"/>
      <c r="F254" s="243"/>
    </row>
    <row r="255" spans="1:6" ht="28.5" x14ac:dyDescent="0.25">
      <c r="A255" s="205" t="s">
        <v>572</v>
      </c>
      <c r="B255" s="206" t="s">
        <v>573</v>
      </c>
      <c r="C255" s="206" t="s">
        <v>574</v>
      </c>
      <c r="D255" s="212">
        <v>1</v>
      </c>
      <c r="E255" s="212"/>
      <c r="F255" s="211" t="s">
        <v>552</v>
      </c>
    </row>
    <row r="256" spans="1:6" ht="28.5" x14ac:dyDescent="0.25">
      <c r="A256" s="205" t="s">
        <v>575</v>
      </c>
      <c r="B256" s="206" t="s">
        <v>576</v>
      </c>
      <c r="C256" s="206" t="s">
        <v>577</v>
      </c>
      <c r="D256" s="212">
        <v>1</v>
      </c>
      <c r="E256" s="212"/>
      <c r="F256" s="211" t="s">
        <v>552</v>
      </c>
    </row>
    <row r="257" spans="1:6" ht="28.5" x14ac:dyDescent="0.25">
      <c r="A257" s="205" t="s">
        <v>578</v>
      </c>
      <c r="B257" s="206" t="s">
        <v>579</v>
      </c>
      <c r="C257" s="206" t="s">
        <v>580</v>
      </c>
      <c r="D257" s="212">
        <v>1</v>
      </c>
      <c r="E257" s="212"/>
      <c r="F257" s="211" t="s">
        <v>552</v>
      </c>
    </row>
    <row r="258" spans="1:6" ht="28.5" x14ac:dyDescent="0.25">
      <c r="A258" s="205" t="s">
        <v>581</v>
      </c>
      <c r="B258" s="206" t="s">
        <v>582</v>
      </c>
      <c r="C258" s="206" t="s">
        <v>583</v>
      </c>
      <c r="D258" s="212">
        <v>1</v>
      </c>
      <c r="E258" s="212"/>
      <c r="F258" s="211" t="s">
        <v>552</v>
      </c>
    </row>
    <row r="259" spans="1:6" x14ac:dyDescent="0.25">
      <c r="A259" s="205" t="s">
        <v>584</v>
      </c>
      <c r="B259" s="206" t="s">
        <v>585</v>
      </c>
      <c r="C259" s="206" t="s">
        <v>586</v>
      </c>
      <c r="D259" s="212">
        <v>1</v>
      </c>
      <c r="E259" s="212"/>
      <c r="F259" s="211" t="s">
        <v>552</v>
      </c>
    </row>
    <row r="260" spans="1:6" ht="28.5" x14ac:dyDescent="0.25">
      <c r="A260" s="205" t="s">
        <v>587</v>
      </c>
      <c r="B260" s="206" t="s">
        <v>588</v>
      </c>
      <c r="C260" s="206" t="s">
        <v>589</v>
      </c>
      <c r="D260" s="212">
        <v>1</v>
      </c>
      <c r="E260" s="212"/>
      <c r="F260" s="211" t="s">
        <v>552</v>
      </c>
    </row>
    <row r="261" spans="1:6" ht="28.5" x14ac:dyDescent="0.25">
      <c r="A261" s="205" t="s">
        <v>590</v>
      </c>
      <c r="B261" s="206" t="s">
        <v>591</v>
      </c>
      <c r="C261" s="206" t="s">
        <v>592</v>
      </c>
      <c r="D261" s="212">
        <v>1</v>
      </c>
      <c r="E261" s="212"/>
      <c r="F261" s="211" t="s">
        <v>552</v>
      </c>
    </row>
    <row r="262" spans="1:6" ht="28.5" x14ac:dyDescent="0.25">
      <c r="A262" s="205" t="s">
        <v>593</v>
      </c>
      <c r="B262" s="206" t="s">
        <v>594</v>
      </c>
      <c r="C262" s="206" t="s">
        <v>595</v>
      </c>
      <c r="D262" s="212">
        <v>1</v>
      </c>
      <c r="E262" s="212"/>
      <c r="F262" s="211" t="s">
        <v>552</v>
      </c>
    </row>
    <row r="263" spans="1:6" ht="28.5" x14ac:dyDescent="0.25">
      <c r="A263" s="205" t="s">
        <v>596</v>
      </c>
      <c r="B263" s="206" t="s">
        <v>597</v>
      </c>
      <c r="C263" s="206" t="s">
        <v>598</v>
      </c>
      <c r="D263" s="212">
        <v>1</v>
      </c>
      <c r="E263" s="212"/>
      <c r="F263" s="211" t="s">
        <v>552</v>
      </c>
    </row>
    <row r="264" spans="1:6" ht="28.5" x14ac:dyDescent="0.25">
      <c r="A264" s="205" t="s">
        <v>599</v>
      </c>
      <c r="B264" s="206" t="s">
        <v>600</v>
      </c>
      <c r="C264" s="206" t="s">
        <v>601</v>
      </c>
      <c r="D264" s="212">
        <v>1</v>
      </c>
      <c r="E264" s="212"/>
      <c r="F264" s="211" t="s">
        <v>552</v>
      </c>
    </row>
    <row r="265" spans="1:6" ht="28.5" x14ac:dyDescent="0.25">
      <c r="A265" s="205" t="s">
        <v>602</v>
      </c>
      <c r="B265" s="206" t="s">
        <v>603</v>
      </c>
      <c r="C265" s="206" t="s">
        <v>604</v>
      </c>
      <c r="D265" s="212">
        <v>1</v>
      </c>
      <c r="E265" s="212"/>
      <c r="F265" s="211" t="s">
        <v>552</v>
      </c>
    </row>
    <row r="266" spans="1:6" x14ac:dyDescent="0.25">
      <c r="A266" s="205" t="s">
        <v>605</v>
      </c>
      <c r="B266" s="206" t="s">
        <v>606</v>
      </c>
      <c r="C266" s="206" t="s">
        <v>607</v>
      </c>
      <c r="D266" s="212">
        <v>1</v>
      </c>
      <c r="E266" s="212"/>
      <c r="F266" s="211" t="s">
        <v>552</v>
      </c>
    </row>
    <row r="267" spans="1:6" ht="15" x14ac:dyDescent="0.25">
      <c r="A267" s="240" t="s">
        <v>608</v>
      </c>
      <c r="B267" s="240"/>
      <c r="C267" s="241"/>
      <c r="D267" s="242"/>
      <c r="E267" s="242"/>
      <c r="F267" s="243"/>
    </row>
    <row r="268" spans="1:6" ht="28.5" x14ac:dyDescent="0.25">
      <c r="A268" s="205" t="s">
        <v>609</v>
      </c>
      <c r="B268" s="206" t="s">
        <v>610</v>
      </c>
      <c r="C268" s="206" t="s">
        <v>611</v>
      </c>
      <c r="D268" s="212">
        <v>1</v>
      </c>
      <c r="E268" s="212"/>
      <c r="F268" s="211" t="s">
        <v>612</v>
      </c>
    </row>
    <row r="269" spans="1:6" ht="28.5" x14ac:dyDescent="0.25">
      <c r="A269" s="205" t="s">
        <v>613</v>
      </c>
      <c r="B269" s="206" t="s">
        <v>614</v>
      </c>
      <c r="C269" s="206" t="s">
        <v>615</v>
      </c>
      <c r="D269" s="212">
        <v>1</v>
      </c>
      <c r="E269" s="212"/>
      <c r="F269" s="211" t="s">
        <v>612</v>
      </c>
    </row>
    <row r="270" spans="1:6" ht="28.5" x14ac:dyDescent="0.25">
      <c r="A270" s="205" t="s">
        <v>616</v>
      </c>
      <c r="B270" s="206" t="s">
        <v>617</v>
      </c>
      <c r="C270" s="206" t="s">
        <v>618</v>
      </c>
      <c r="D270" s="212">
        <v>1</v>
      </c>
      <c r="E270" s="212"/>
      <c r="F270" s="211" t="s">
        <v>612</v>
      </c>
    </row>
    <row r="271" spans="1:6" ht="28.5" x14ac:dyDescent="0.25">
      <c r="A271" s="205" t="s">
        <v>619</v>
      </c>
      <c r="B271" s="206" t="s">
        <v>620</v>
      </c>
      <c r="C271" s="206" t="s">
        <v>621</v>
      </c>
      <c r="D271" s="212">
        <v>1</v>
      </c>
      <c r="E271" s="212"/>
      <c r="F271" s="211" t="s">
        <v>612</v>
      </c>
    </row>
    <row r="272" spans="1:6" ht="28.5" x14ac:dyDescent="0.25">
      <c r="A272" s="205" t="s">
        <v>622</v>
      </c>
      <c r="B272" s="206" t="s">
        <v>623</v>
      </c>
      <c r="C272" s="206" t="s">
        <v>624</v>
      </c>
      <c r="D272" s="212">
        <v>1</v>
      </c>
      <c r="E272" s="212"/>
      <c r="F272" s="211" t="s">
        <v>612</v>
      </c>
    </row>
    <row r="273" spans="1:6" ht="28.5" x14ac:dyDescent="0.25">
      <c r="A273" s="205" t="s">
        <v>625</v>
      </c>
      <c r="B273" s="206" t="s">
        <v>626</v>
      </c>
      <c r="C273" s="206" t="s">
        <v>627</v>
      </c>
      <c r="D273" s="212">
        <v>1</v>
      </c>
      <c r="E273" s="212"/>
      <c r="F273" s="211" t="s">
        <v>612</v>
      </c>
    </row>
    <row r="274" spans="1:6" ht="28.5" x14ac:dyDescent="0.25">
      <c r="A274" s="205" t="s">
        <v>628</v>
      </c>
      <c r="B274" s="206" t="s">
        <v>629</v>
      </c>
      <c r="C274" s="206" t="s">
        <v>630</v>
      </c>
      <c r="D274" s="212">
        <v>1</v>
      </c>
      <c r="E274" s="212"/>
      <c r="F274" s="211" t="s">
        <v>612</v>
      </c>
    </row>
    <row r="275" spans="1:6" ht="28.5" x14ac:dyDescent="0.25">
      <c r="A275" s="205" t="s">
        <v>631</v>
      </c>
      <c r="B275" s="206" t="s">
        <v>632</v>
      </c>
      <c r="C275" s="206" t="s">
        <v>633</v>
      </c>
      <c r="D275" s="212">
        <v>1</v>
      </c>
      <c r="E275" s="212"/>
      <c r="F275" s="211" t="s">
        <v>552</v>
      </c>
    </row>
    <row r="276" spans="1:6" ht="28.5" x14ac:dyDescent="0.25">
      <c r="A276" s="205" t="s">
        <v>634</v>
      </c>
      <c r="B276" s="206" t="s">
        <v>635</v>
      </c>
      <c r="C276" s="206" t="s">
        <v>636</v>
      </c>
      <c r="D276" s="212">
        <v>1</v>
      </c>
      <c r="E276" s="212"/>
      <c r="F276" s="211" t="s">
        <v>552</v>
      </c>
    </row>
    <row r="277" spans="1:6" ht="28.5" x14ac:dyDescent="0.25">
      <c r="A277" s="205" t="s">
        <v>637</v>
      </c>
      <c r="B277" s="206" t="s">
        <v>638</v>
      </c>
      <c r="C277" s="206" t="s">
        <v>639</v>
      </c>
      <c r="D277" s="212">
        <v>1</v>
      </c>
      <c r="E277" s="212"/>
      <c r="F277" s="211" t="s">
        <v>552</v>
      </c>
    </row>
    <row r="278" spans="1:6" ht="15" x14ac:dyDescent="0.25">
      <c r="A278" s="240" t="s">
        <v>640</v>
      </c>
      <c r="B278" s="240"/>
      <c r="C278" s="241"/>
      <c r="D278" s="242"/>
      <c r="E278" s="242"/>
      <c r="F278" s="243"/>
    </row>
    <row r="279" spans="1:6" ht="28.5" x14ac:dyDescent="0.25">
      <c r="A279" s="205" t="s">
        <v>641</v>
      </c>
      <c r="B279" s="206" t="s">
        <v>642</v>
      </c>
      <c r="C279" s="206" t="s">
        <v>643</v>
      </c>
      <c r="D279" s="212">
        <v>1</v>
      </c>
      <c r="E279" s="212"/>
      <c r="F279" s="211" t="s">
        <v>612</v>
      </c>
    </row>
    <row r="280" spans="1:6" ht="28.5" x14ac:dyDescent="0.25">
      <c r="A280" s="205" t="s">
        <v>644</v>
      </c>
      <c r="B280" s="206" t="s">
        <v>645</v>
      </c>
      <c r="C280" s="206" t="s">
        <v>646</v>
      </c>
      <c r="D280" s="212">
        <v>1</v>
      </c>
      <c r="E280" s="212"/>
      <c r="F280" s="211" t="s">
        <v>612</v>
      </c>
    </row>
    <row r="281" spans="1:6" ht="28.5" x14ac:dyDescent="0.25">
      <c r="A281" s="205" t="s">
        <v>647</v>
      </c>
      <c r="B281" s="206" t="s">
        <v>648</v>
      </c>
      <c r="C281" s="206" t="s">
        <v>649</v>
      </c>
      <c r="D281" s="212">
        <v>1</v>
      </c>
      <c r="E281" s="212"/>
      <c r="F281" s="211" t="s">
        <v>612</v>
      </c>
    </row>
    <row r="282" spans="1:6" x14ac:dyDescent="0.25">
      <c r="A282" s="205" t="s">
        <v>650</v>
      </c>
      <c r="B282" s="206" t="s">
        <v>651</v>
      </c>
      <c r="C282" s="206" t="s">
        <v>652</v>
      </c>
      <c r="D282" s="212">
        <v>1</v>
      </c>
      <c r="E282" s="212"/>
      <c r="F282" s="211" t="s">
        <v>612</v>
      </c>
    </row>
    <row r="283" spans="1:6" ht="28.5" x14ac:dyDescent="0.25">
      <c r="A283" s="205" t="s">
        <v>653</v>
      </c>
      <c r="B283" s="206" t="s">
        <v>654</v>
      </c>
      <c r="C283" s="206" t="s">
        <v>655</v>
      </c>
      <c r="D283" s="212">
        <v>1</v>
      </c>
      <c r="E283" s="212"/>
      <c r="F283" s="211" t="s">
        <v>612</v>
      </c>
    </row>
    <row r="284" spans="1:6" x14ac:dyDescent="0.25">
      <c r="A284" s="205" t="s">
        <v>656</v>
      </c>
      <c r="B284" s="206" t="s">
        <v>657</v>
      </c>
      <c r="C284" s="206" t="s">
        <v>658</v>
      </c>
      <c r="D284" s="212">
        <v>1</v>
      </c>
      <c r="E284" s="212"/>
      <c r="F284" s="211" t="s">
        <v>612</v>
      </c>
    </row>
    <row r="285" spans="1:6" ht="28.5" x14ac:dyDescent="0.25">
      <c r="A285" s="205" t="s">
        <v>659</v>
      </c>
      <c r="B285" s="206" t="s">
        <v>660</v>
      </c>
      <c r="C285" s="206" t="s">
        <v>661</v>
      </c>
      <c r="D285" s="212">
        <v>1</v>
      </c>
      <c r="E285" s="212"/>
      <c r="F285" s="211" t="s">
        <v>612</v>
      </c>
    </row>
    <row r="286" spans="1:6" x14ac:dyDescent="0.25">
      <c r="A286" s="205" t="s">
        <v>662</v>
      </c>
      <c r="B286" s="206" t="s">
        <v>663</v>
      </c>
      <c r="C286" s="206" t="s">
        <v>664</v>
      </c>
      <c r="D286" s="212">
        <v>1</v>
      </c>
      <c r="E286" s="212"/>
      <c r="F286" s="211" t="s">
        <v>612</v>
      </c>
    </row>
    <row r="287" spans="1:6" ht="28.5" x14ac:dyDescent="0.25">
      <c r="A287" s="205" t="s">
        <v>665</v>
      </c>
      <c r="B287" s="206" t="s">
        <v>666</v>
      </c>
      <c r="C287" s="206" t="s">
        <v>667</v>
      </c>
      <c r="D287" s="212">
        <v>1</v>
      </c>
      <c r="E287" s="212"/>
      <c r="F287" s="211" t="s">
        <v>612</v>
      </c>
    </row>
    <row r="288" spans="1:6" ht="28.5" x14ac:dyDescent="0.25">
      <c r="A288" s="205" t="s">
        <v>668</v>
      </c>
      <c r="B288" s="206" t="s">
        <v>669</v>
      </c>
      <c r="C288" s="206" t="s">
        <v>670</v>
      </c>
      <c r="D288" s="212">
        <v>1</v>
      </c>
      <c r="E288" s="212"/>
      <c r="F288" s="211" t="s">
        <v>612</v>
      </c>
    </row>
    <row r="289" spans="1:6" ht="28.5" x14ac:dyDescent="0.25">
      <c r="A289" s="205" t="s">
        <v>671</v>
      </c>
      <c r="B289" s="206" t="s">
        <v>672</v>
      </c>
      <c r="C289" s="206" t="s">
        <v>673</v>
      </c>
      <c r="D289" s="212">
        <v>1</v>
      </c>
      <c r="E289" s="212"/>
      <c r="F289" s="211" t="s">
        <v>612</v>
      </c>
    </row>
    <row r="290" spans="1:6" ht="28.5" x14ac:dyDescent="0.25">
      <c r="A290" s="205" t="s">
        <v>674</v>
      </c>
      <c r="B290" s="206" t="s">
        <v>675</v>
      </c>
      <c r="C290" s="206" t="s">
        <v>676</v>
      </c>
      <c r="D290" s="212">
        <v>1</v>
      </c>
      <c r="E290" s="212"/>
      <c r="F290" s="211" t="s">
        <v>612</v>
      </c>
    </row>
    <row r="291" spans="1:6" ht="28.5" x14ac:dyDescent="0.25">
      <c r="A291" s="205" t="s">
        <v>677</v>
      </c>
      <c r="B291" s="206" t="s">
        <v>678</v>
      </c>
      <c r="C291" s="206" t="s">
        <v>679</v>
      </c>
      <c r="D291" s="212">
        <v>1</v>
      </c>
      <c r="E291" s="212"/>
      <c r="F291" s="211" t="s">
        <v>680</v>
      </c>
    </row>
    <row r="292" spans="1:6" ht="28.5" x14ac:dyDescent="0.25">
      <c r="A292" s="205" t="s">
        <v>681</v>
      </c>
      <c r="B292" s="206" t="s">
        <v>682</v>
      </c>
      <c r="C292" s="206" t="s">
        <v>683</v>
      </c>
      <c r="D292" s="212">
        <v>1</v>
      </c>
      <c r="E292" s="212"/>
      <c r="F292" s="211" t="s">
        <v>680</v>
      </c>
    </row>
    <row r="293" spans="1:6" ht="28.5" x14ac:dyDescent="0.25">
      <c r="A293" s="205" t="s">
        <v>684</v>
      </c>
      <c r="B293" s="206" t="s">
        <v>685</v>
      </c>
      <c r="C293" s="206" t="s">
        <v>686</v>
      </c>
      <c r="D293" s="212">
        <v>1</v>
      </c>
      <c r="E293" s="212"/>
      <c r="F293" s="211" t="s">
        <v>680</v>
      </c>
    </row>
    <row r="294" spans="1:6" x14ac:dyDescent="0.25">
      <c r="A294" s="205" t="s">
        <v>687</v>
      </c>
      <c r="B294" s="206" t="s">
        <v>688</v>
      </c>
      <c r="C294" s="174" t="s">
        <v>689</v>
      </c>
      <c r="D294" s="212">
        <v>1</v>
      </c>
      <c r="E294" s="212"/>
      <c r="F294" s="211" t="s">
        <v>552</v>
      </c>
    </row>
    <row r="295" spans="1:6" ht="28.5" x14ac:dyDescent="0.25">
      <c r="A295" s="205" t="s">
        <v>690</v>
      </c>
      <c r="B295" s="206" t="s">
        <v>691</v>
      </c>
      <c r="C295" s="174" t="s">
        <v>692</v>
      </c>
      <c r="D295" s="212">
        <v>1</v>
      </c>
      <c r="E295" s="212"/>
      <c r="F295" s="211" t="s">
        <v>552</v>
      </c>
    </row>
    <row r="296" spans="1:6" ht="31.5" customHeight="1" x14ac:dyDescent="0.25">
      <c r="A296" s="240" t="s">
        <v>693</v>
      </c>
      <c r="B296" s="240"/>
      <c r="C296" s="241" t="s">
        <v>694</v>
      </c>
      <c r="D296" s="242"/>
      <c r="E296" s="242"/>
      <c r="F296" s="243"/>
    </row>
    <row r="297" spans="1:6" ht="28.5" x14ac:dyDescent="0.25">
      <c r="A297" s="205" t="s">
        <v>695</v>
      </c>
      <c r="B297" s="206" t="s">
        <v>696</v>
      </c>
      <c r="C297" s="206" t="s">
        <v>697</v>
      </c>
      <c r="F297" s="211" t="s">
        <v>612</v>
      </c>
    </row>
    <row r="298" spans="1:6" x14ac:dyDescent="0.25">
      <c r="A298" s="205" t="s">
        <v>698</v>
      </c>
      <c r="B298" s="206" t="s">
        <v>699</v>
      </c>
      <c r="C298" s="206" t="s">
        <v>700</v>
      </c>
      <c r="D298" s="212">
        <v>1</v>
      </c>
      <c r="E298" s="212"/>
      <c r="F298" s="211" t="s">
        <v>612</v>
      </c>
    </row>
    <row r="299" spans="1:6" x14ac:dyDescent="0.25">
      <c r="A299" s="205" t="s">
        <v>701</v>
      </c>
      <c r="B299" s="206" t="s">
        <v>702</v>
      </c>
      <c r="C299" s="206" t="s">
        <v>703</v>
      </c>
      <c r="D299" s="212">
        <v>1</v>
      </c>
      <c r="E299" s="212"/>
      <c r="F299" s="211" t="s">
        <v>612</v>
      </c>
    </row>
    <row r="300" spans="1:6" ht="28.5" x14ac:dyDescent="0.25">
      <c r="A300" s="205" t="s">
        <v>704</v>
      </c>
      <c r="B300" s="206" t="s">
        <v>705</v>
      </c>
      <c r="C300" s="206" t="s">
        <v>706</v>
      </c>
      <c r="D300" s="212">
        <v>1</v>
      </c>
      <c r="E300" s="212"/>
      <c r="F300" s="211" t="s">
        <v>612</v>
      </c>
    </row>
    <row r="301" spans="1:6" ht="28.5" x14ac:dyDescent="0.25">
      <c r="A301" s="205" t="s">
        <v>707</v>
      </c>
      <c r="B301" s="206" t="s">
        <v>708</v>
      </c>
      <c r="C301" s="206" t="s">
        <v>709</v>
      </c>
      <c r="D301" s="212">
        <v>1</v>
      </c>
      <c r="E301" s="212"/>
      <c r="F301" s="211" t="s">
        <v>612</v>
      </c>
    </row>
    <row r="302" spans="1:6" x14ac:dyDescent="0.25">
      <c r="A302" s="205" t="s">
        <v>710</v>
      </c>
      <c r="B302" s="206" t="s">
        <v>711</v>
      </c>
      <c r="C302" s="206" t="s">
        <v>712</v>
      </c>
      <c r="D302" s="212">
        <v>1</v>
      </c>
      <c r="E302" s="212"/>
      <c r="F302" s="211" t="s">
        <v>612</v>
      </c>
    </row>
    <row r="303" spans="1:6" ht="28.5" x14ac:dyDescent="0.25">
      <c r="A303" s="205" t="s">
        <v>713</v>
      </c>
      <c r="B303" s="206" t="s">
        <v>714</v>
      </c>
      <c r="C303" s="206" t="s">
        <v>715</v>
      </c>
      <c r="D303" s="205" t="s">
        <v>475</v>
      </c>
      <c r="F303" s="211" t="s">
        <v>612</v>
      </c>
    </row>
  </sheetData>
  <mergeCells count="4111">
    <mergeCell ref="A1:F1"/>
    <mergeCell ref="A5:A9"/>
    <mergeCell ref="B5:B9"/>
    <mergeCell ref="A20:A24"/>
    <mergeCell ref="B20:B24"/>
    <mergeCell ref="A25:A27"/>
    <mergeCell ref="B25:B27"/>
    <mergeCell ref="A45:A46"/>
    <mergeCell ref="B45:B46"/>
    <mergeCell ref="A28:A31"/>
    <mergeCell ref="B28:B31"/>
    <mergeCell ref="A33:A34"/>
    <mergeCell ref="B33:B34"/>
    <mergeCell ref="A35:A38"/>
    <mergeCell ref="B35:B38"/>
    <mergeCell ref="AP46:AS46"/>
    <mergeCell ref="AT46:AW46"/>
    <mergeCell ref="AX46:BA46"/>
    <mergeCell ref="BB46:BE46"/>
    <mergeCell ref="BF46:BI46"/>
    <mergeCell ref="BJ46:BM46"/>
    <mergeCell ref="R46:U46"/>
    <mergeCell ref="V46:Y46"/>
    <mergeCell ref="Z46:AC46"/>
    <mergeCell ref="AD46:AG46"/>
    <mergeCell ref="AH46:AK46"/>
    <mergeCell ref="AL46:AO46"/>
    <mergeCell ref="H46:I46"/>
    <mergeCell ref="J46:M46"/>
    <mergeCell ref="N46:Q46"/>
    <mergeCell ref="DJ46:DM46"/>
    <mergeCell ref="DN46:DQ46"/>
    <mergeCell ref="DR46:DU46"/>
    <mergeCell ref="DV46:DY46"/>
    <mergeCell ref="DZ46:EC46"/>
    <mergeCell ref="ED46:EG46"/>
    <mergeCell ref="CL46:CO46"/>
    <mergeCell ref="CP46:CS46"/>
    <mergeCell ref="CT46:CW46"/>
    <mergeCell ref="CX46:DA46"/>
    <mergeCell ref="DB46:DE46"/>
    <mergeCell ref="DF46:DI46"/>
    <mergeCell ref="BN46:BQ46"/>
    <mergeCell ref="BR46:BU46"/>
    <mergeCell ref="BV46:BY46"/>
    <mergeCell ref="BZ46:CC46"/>
    <mergeCell ref="CD46:CG46"/>
    <mergeCell ref="CH46:CK46"/>
    <mergeCell ref="GD46:GG46"/>
    <mergeCell ref="GH46:GK46"/>
    <mergeCell ref="GL46:GO46"/>
    <mergeCell ref="GP46:GS46"/>
    <mergeCell ref="GT46:GW46"/>
    <mergeCell ref="GX46:HA46"/>
    <mergeCell ref="FF46:FI46"/>
    <mergeCell ref="FJ46:FM46"/>
    <mergeCell ref="FN46:FQ46"/>
    <mergeCell ref="FR46:FU46"/>
    <mergeCell ref="FV46:FY46"/>
    <mergeCell ref="FZ46:GC46"/>
    <mergeCell ref="EH46:EK46"/>
    <mergeCell ref="EL46:EO46"/>
    <mergeCell ref="EP46:ES46"/>
    <mergeCell ref="ET46:EW46"/>
    <mergeCell ref="EX46:FA46"/>
    <mergeCell ref="FB46:FE46"/>
    <mergeCell ref="IX46:JA46"/>
    <mergeCell ref="JB46:JE46"/>
    <mergeCell ref="JF46:JI46"/>
    <mergeCell ref="JJ46:JM46"/>
    <mergeCell ref="JN46:JQ46"/>
    <mergeCell ref="JR46:JU46"/>
    <mergeCell ref="HZ46:IC46"/>
    <mergeCell ref="ID46:IG46"/>
    <mergeCell ref="IH46:IK46"/>
    <mergeCell ref="IL46:IO46"/>
    <mergeCell ref="IP46:IS46"/>
    <mergeCell ref="IT46:IW46"/>
    <mergeCell ref="HB46:HE46"/>
    <mergeCell ref="HF46:HI46"/>
    <mergeCell ref="HJ46:HM46"/>
    <mergeCell ref="HN46:HQ46"/>
    <mergeCell ref="HR46:HU46"/>
    <mergeCell ref="HV46:HY46"/>
    <mergeCell ref="LR46:LU46"/>
    <mergeCell ref="LV46:LY46"/>
    <mergeCell ref="LZ46:MC46"/>
    <mergeCell ref="MD46:MG46"/>
    <mergeCell ref="MH46:MK46"/>
    <mergeCell ref="ML46:MO46"/>
    <mergeCell ref="KT46:KW46"/>
    <mergeCell ref="KX46:LA46"/>
    <mergeCell ref="LB46:LE46"/>
    <mergeCell ref="LF46:LI46"/>
    <mergeCell ref="LJ46:LM46"/>
    <mergeCell ref="LN46:LQ46"/>
    <mergeCell ref="JV46:JY46"/>
    <mergeCell ref="JZ46:KC46"/>
    <mergeCell ref="KD46:KG46"/>
    <mergeCell ref="KH46:KK46"/>
    <mergeCell ref="KL46:KO46"/>
    <mergeCell ref="KP46:KS46"/>
    <mergeCell ref="OL46:OO46"/>
    <mergeCell ref="OP46:OS46"/>
    <mergeCell ref="OT46:OW46"/>
    <mergeCell ref="OX46:PA46"/>
    <mergeCell ref="PB46:PE46"/>
    <mergeCell ref="PF46:PI46"/>
    <mergeCell ref="NN46:NQ46"/>
    <mergeCell ref="NR46:NU46"/>
    <mergeCell ref="NV46:NY46"/>
    <mergeCell ref="NZ46:OC46"/>
    <mergeCell ref="OD46:OG46"/>
    <mergeCell ref="OH46:OK46"/>
    <mergeCell ref="MP46:MS46"/>
    <mergeCell ref="MT46:MW46"/>
    <mergeCell ref="MX46:NA46"/>
    <mergeCell ref="NB46:NE46"/>
    <mergeCell ref="NF46:NI46"/>
    <mergeCell ref="NJ46:NM46"/>
    <mergeCell ref="RF46:RI46"/>
    <mergeCell ref="RJ46:RM46"/>
    <mergeCell ref="RN46:RQ46"/>
    <mergeCell ref="RR46:RU46"/>
    <mergeCell ref="RV46:RY46"/>
    <mergeCell ref="RZ46:SC46"/>
    <mergeCell ref="QH46:QK46"/>
    <mergeCell ref="QL46:QO46"/>
    <mergeCell ref="QP46:QS46"/>
    <mergeCell ref="QT46:QW46"/>
    <mergeCell ref="QX46:RA46"/>
    <mergeCell ref="RB46:RE46"/>
    <mergeCell ref="PJ46:PM46"/>
    <mergeCell ref="PN46:PQ46"/>
    <mergeCell ref="PR46:PU46"/>
    <mergeCell ref="PV46:PY46"/>
    <mergeCell ref="PZ46:QC46"/>
    <mergeCell ref="QD46:QG46"/>
    <mergeCell ref="TZ46:UC46"/>
    <mergeCell ref="UD46:UG46"/>
    <mergeCell ref="UH46:UK46"/>
    <mergeCell ref="UL46:UO46"/>
    <mergeCell ref="UP46:US46"/>
    <mergeCell ref="UT46:UW46"/>
    <mergeCell ref="TB46:TE46"/>
    <mergeCell ref="TF46:TI46"/>
    <mergeCell ref="TJ46:TM46"/>
    <mergeCell ref="TN46:TQ46"/>
    <mergeCell ref="TR46:TU46"/>
    <mergeCell ref="TV46:TY46"/>
    <mergeCell ref="SD46:SG46"/>
    <mergeCell ref="SH46:SK46"/>
    <mergeCell ref="SL46:SO46"/>
    <mergeCell ref="SP46:SS46"/>
    <mergeCell ref="ST46:SW46"/>
    <mergeCell ref="SX46:TA46"/>
    <mergeCell ref="WT46:WW46"/>
    <mergeCell ref="WX46:XA46"/>
    <mergeCell ref="XB46:XE46"/>
    <mergeCell ref="XF46:XI46"/>
    <mergeCell ref="XJ46:XM46"/>
    <mergeCell ref="XN46:XQ46"/>
    <mergeCell ref="VV46:VY46"/>
    <mergeCell ref="VZ46:WC46"/>
    <mergeCell ref="WD46:WG46"/>
    <mergeCell ref="WH46:WK46"/>
    <mergeCell ref="WL46:WO46"/>
    <mergeCell ref="WP46:WS46"/>
    <mergeCell ref="UX46:VA46"/>
    <mergeCell ref="VB46:VE46"/>
    <mergeCell ref="VF46:VI46"/>
    <mergeCell ref="VJ46:VM46"/>
    <mergeCell ref="VN46:VQ46"/>
    <mergeCell ref="VR46:VU46"/>
    <mergeCell ref="ZN46:ZQ46"/>
    <mergeCell ref="ZR46:ZU46"/>
    <mergeCell ref="ZV46:ZY46"/>
    <mergeCell ref="ZZ46:AAC46"/>
    <mergeCell ref="AAD46:AAG46"/>
    <mergeCell ref="AAH46:AAK46"/>
    <mergeCell ref="YP46:YS46"/>
    <mergeCell ref="YT46:YW46"/>
    <mergeCell ref="YX46:ZA46"/>
    <mergeCell ref="ZB46:ZE46"/>
    <mergeCell ref="ZF46:ZI46"/>
    <mergeCell ref="ZJ46:ZM46"/>
    <mergeCell ref="XR46:XU46"/>
    <mergeCell ref="XV46:XY46"/>
    <mergeCell ref="XZ46:YC46"/>
    <mergeCell ref="YD46:YG46"/>
    <mergeCell ref="YH46:YK46"/>
    <mergeCell ref="YL46:YO46"/>
    <mergeCell ref="ACH46:ACK46"/>
    <mergeCell ref="ACL46:ACO46"/>
    <mergeCell ref="ACP46:ACS46"/>
    <mergeCell ref="ACT46:ACW46"/>
    <mergeCell ref="ACX46:ADA46"/>
    <mergeCell ref="ADB46:ADE46"/>
    <mergeCell ref="ABJ46:ABM46"/>
    <mergeCell ref="ABN46:ABQ46"/>
    <mergeCell ref="ABR46:ABU46"/>
    <mergeCell ref="ABV46:ABY46"/>
    <mergeCell ref="ABZ46:ACC46"/>
    <mergeCell ref="ACD46:ACG46"/>
    <mergeCell ref="AAL46:AAO46"/>
    <mergeCell ref="AAP46:AAS46"/>
    <mergeCell ref="AAT46:AAW46"/>
    <mergeCell ref="AAX46:ABA46"/>
    <mergeCell ref="ABB46:ABE46"/>
    <mergeCell ref="ABF46:ABI46"/>
    <mergeCell ref="AFB46:AFE46"/>
    <mergeCell ref="AFF46:AFI46"/>
    <mergeCell ref="AFJ46:AFM46"/>
    <mergeCell ref="AFN46:AFQ46"/>
    <mergeCell ref="AFR46:AFU46"/>
    <mergeCell ref="AFV46:AFY46"/>
    <mergeCell ref="AED46:AEG46"/>
    <mergeCell ref="AEH46:AEK46"/>
    <mergeCell ref="AEL46:AEO46"/>
    <mergeCell ref="AEP46:AES46"/>
    <mergeCell ref="AET46:AEW46"/>
    <mergeCell ref="AEX46:AFA46"/>
    <mergeCell ref="ADF46:ADI46"/>
    <mergeCell ref="ADJ46:ADM46"/>
    <mergeCell ref="ADN46:ADQ46"/>
    <mergeCell ref="ADR46:ADU46"/>
    <mergeCell ref="ADV46:ADY46"/>
    <mergeCell ref="ADZ46:AEC46"/>
    <mergeCell ref="AHV46:AHY46"/>
    <mergeCell ref="AHZ46:AIC46"/>
    <mergeCell ref="AID46:AIG46"/>
    <mergeCell ref="AIH46:AIK46"/>
    <mergeCell ref="AIL46:AIO46"/>
    <mergeCell ref="AIP46:AIS46"/>
    <mergeCell ref="AGX46:AHA46"/>
    <mergeCell ref="AHB46:AHE46"/>
    <mergeCell ref="AHF46:AHI46"/>
    <mergeCell ref="AHJ46:AHM46"/>
    <mergeCell ref="AHN46:AHQ46"/>
    <mergeCell ref="AHR46:AHU46"/>
    <mergeCell ref="AFZ46:AGC46"/>
    <mergeCell ref="AGD46:AGG46"/>
    <mergeCell ref="AGH46:AGK46"/>
    <mergeCell ref="AGL46:AGO46"/>
    <mergeCell ref="AGP46:AGS46"/>
    <mergeCell ref="AGT46:AGW46"/>
    <mergeCell ref="AKP46:AKS46"/>
    <mergeCell ref="AKT46:AKW46"/>
    <mergeCell ref="AKX46:ALA46"/>
    <mergeCell ref="ALB46:ALE46"/>
    <mergeCell ref="ALF46:ALI46"/>
    <mergeCell ref="ALJ46:ALM46"/>
    <mergeCell ref="AJR46:AJU46"/>
    <mergeCell ref="AJV46:AJY46"/>
    <mergeCell ref="AJZ46:AKC46"/>
    <mergeCell ref="AKD46:AKG46"/>
    <mergeCell ref="AKH46:AKK46"/>
    <mergeCell ref="AKL46:AKO46"/>
    <mergeCell ref="AIT46:AIW46"/>
    <mergeCell ref="AIX46:AJA46"/>
    <mergeCell ref="AJB46:AJE46"/>
    <mergeCell ref="AJF46:AJI46"/>
    <mergeCell ref="AJJ46:AJM46"/>
    <mergeCell ref="AJN46:AJQ46"/>
    <mergeCell ref="ANJ46:ANM46"/>
    <mergeCell ref="ANN46:ANQ46"/>
    <mergeCell ref="ANR46:ANU46"/>
    <mergeCell ref="ANV46:ANY46"/>
    <mergeCell ref="ANZ46:AOC46"/>
    <mergeCell ref="AOD46:AOG46"/>
    <mergeCell ref="AML46:AMO46"/>
    <mergeCell ref="AMP46:AMS46"/>
    <mergeCell ref="AMT46:AMW46"/>
    <mergeCell ref="AMX46:ANA46"/>
    <mergeCell ref="ANB46:ANE46"/>
    <mergeCell ref="ANF46:ANI46"/>
    <mergeCell ref="ALN46:ALQ46"/>
    <mergeCell ref="ALR46:ALU46"/>
    <mergeCell ref="ALV46:ALY46"/>
    <mergeCell ref="ALZ46:AMC46"/>
    <mergeCell ref="AMD46:AMG46"/>
    <mergeCell ref="AMH46:AMK46"/>
    <mergeCell ref="AQD46:AQG46"/>
    <mergeCell ref="AQH46:AQK46"/>
    <mergeCell ref="AQL46:AQO46"/>
    <mergeCell ref="AQP46:AQS46"/>
    <mergeCell ref="AQT46:AQW46"/>
    <mergeCell ref="AQX46:ARA46"/>
    <mergeCell ref="APF46:API46"/>
    <mergeCell ref="APJ46:APM46"/>
    <mergeCell ref="APN46:APQ46"/>
    <mergeCell ref="APR46:APU46"/>
    <mergeCell ref="APV46:APY46"/>
    <mergeCell ref="APZ46:AQC46"/>
    <mergeCell ref="AOH46:AOK46"/>
    <mergeCell ref="AOL46:AOO46"/>
    <mergeCell ref="AOP46:AOS46"/>
    <mergeCell ref="AOT46:AOW46"/>
    <mergeCell ref="AOX46:APA46"/>
    <mergeCell ref="APB46:APE46"/>
    <mergeCell ref="ASX46:ATA46"/>
    <mergeCell ref="ATB46:ATE46"/>
    <mergeCell ref="ATF46:ATI46"/>
    <mergeCell ref="ATJ46:ATM46"/>
    <mergeCell ref="ATN46:ATQ46"/>
    <mergeCell ref="ATR46:ATU46"/>
    <mergeCell ref="ARZ46:ASC46"/>
    <mergeCell ref="ASD46:ASG46"/>
    <mergeCell ref="ASH46:ASK46"/>
    <mergeCell ref="ASL46:ASO46"/>
    <mergeCell ref="ASP46:ASS46"/>
    <mergeCell ref="AST46:ASW46"/>
    <mergeCell ref="ARB46:ARE46"/>
    <mergeCell ref="ARF46:ARI46"/>
    <mergeCell ref="ARJ46:ARM46"/>
    <mergeCell ref="ARN46:ARQ46"/>
    <mergeCell ref="ARR46:ARU46"/>
    <mergeCell ref="ARV46:ARY46"/>
    <mergeCell ref="AVR46:AVU46"/>
    <mergeCell ref="AVV46:AVY46"/>
    <mergeCell ref="AVZ46:AWC46"/>
    <mergeCell ref="AWD46:AWG46"/>
    <mergeCell ref="AWH46:AWK46"/>
    <mergeCell ref="AWL46:AWO46"/>
    <mergeCell ref="AUT46:AUW46"/>
    <mergeCell ref="AUX46:AVA46"/>
    <mergeCell ref="AVB46:AVE46"/>
    <mergeCell ref="AVF46:AVI46"/>
    <mergeCell ref="AVJ46:AVM46"/>
    <mergeCell ref="AVN46:AVQ46"/>
    <mergeCell ref="ATV46:ATY46"/>
    <mergeCell ref="ATZ46:AUC46"/>
    <mergeCell ref="AUD46:AUG46"/>
    <mergeCell ref="AUH46:AUK46"/>
    <mergeCell ref="AUL46:AUO46"/>
    <mergeCell ref="AUP46:AUS46"/>
    <mergeCell ref="AYL46:AYO46"/>
    <mergeCell ref="AYP46:AYS46"/>
    <mergeCell ref="AYT46:AYW46"/>
    <mergeCell ref="AYX46:AZA46"/>
    <mergeCell ref="AZB46:AZE46"/>
    <mergeCell ref="AZF46:AZI46"/>
    <mergeCell ref="AXN46:AXQ46"/>
    <mergeCell ref="AXR46:AXU46"/>
    <mergeCell ref="AXV46:AXY46"/>
    <mergeCell ref="AXZ46:AYC46"/>
    <mergeCell ref="AYD46:AYG46"/>
    <mergeCell ref="AYH46:AYK46"/>
    <mergeCell ref="AWP46:AWS46"/>
    <mergeCell ref="AWT46:AWW46"/>
    <mergeCell ref="AWX46:AXA46"/>
    <mergeCell ref="AXB46:AXE46"/>
    <mergeCell ref="AXF46:AXI46"/>
    <mergeCell ref="AXJ46:AXM46"/>
    <mergeCell ref="BBF46:BBI46"/>
    <mergeCell ref="BBJ46:BBM46"/>
    <mergeCell ref="BBN46:BBQ46"/>
    <mergeCell ref="BBR46:BBU46"/>
    <mergeCell ref="BBV46:BBY46"/>
    <mergeCell ref="BBZ46:BCC46"/>
    <mergeCell ref="BAH46:BAK46"/>
    <mergeCell ref="BAL46:BAO46"/>
    <mergeCell ref="BAP46:BAS46"/>
    <mergeCell ref="BAT46:BAW46"/>
    <mergeCell ref="BAX46:BBA46"/>
    <mergeCell ref="BBB46:BBE46"/>
    <mergeCell ref="AZJ46:AZM46"/>
    <mergeCell ref="AZN46:AZQ46"/>
    <mergeCell ref="AZR46:AZU46"/>
    <mergeCell ref="AZV46:AZY46"/>
    <mergeCell ref="AZZ46:BAC46"/>
    <mergeCell ref="BAD46:BAG46"/>
    <mergeCell ref="BDZ46:BEC46"/>
    <mergeCell ref="BED46:BEG46"/>
    <mergeCell ref="BEH46:BEK46"/>
    <mergeCell ref="BEL46:BEO46"/>
    <mergeCell ref="BEP46:BES46"/>
    <mergeCell ref="BET46:BEW46"/>
    <mergeCell ref="BDB46:BDE46"/>
    <mergeCell ref="BDF46:BDI46"/>
    <mergeCell ref="BDJ46:BDM46"/>
    <mergeCell ref="BDN46:BDQ46"/>
    <mergeCell ref="BDR46:BDU46"/>
    <mergeCell ref="BDV46:BDY46"/>
    <mergeCell ref="BCD46:BCG46"/>
    <mergeCell ref="BCH46:BCK46"/>
    <mergeCell ref="BCL46:BCO46"/>
    <mergeCell ref="BCP46:BCS46"/>
    <mergeCell ref="BCT46:BCW46"/>
    <mergeCell ref="BCX46:BDA46"/>
    <mergeCell ref="BGT46:BGW46"/>
    <mergeCell ref="BGX46:BHA46"/>
    <mergeCell ref="BHB46:BHE46"/>
    <mergeCell ref="BHF46:BHI46"/>
    <mergeCell ref="BHJ46:BHM46"/>
    <mergeCell ref="BHN46:BHQ46"/>
    <mergeCell ref="BFV46:BFY46"/>
    <mergeCell ref="BFZ46:BGC46"/>
    <mergeCell ref="BGD46:BGG46"/>
    <mergeCell ref="BGH46:BGK46"/>
    <mergeCell ref="BGL46:BGO46"/>
    <mergeCell ref="BGP46:BGS46"/>
    <mergeCell ref="BEX46:BFA46"/>
    <mergeCell ref="BFB46:BFE46"/>
    <mergeCell ref="BFF46:BFI46"/>
    <mergeCell ref="BFJ46:BFM46"/>
    <mergeCell ref="BFN46:BFQ46"/>
    <mergeCell ref="BFR46:BFU46"/>
    <mergeCell ref="BJN46:BJQ46"/>
    <mergeCell ref="BJR46:BJU46"/>
    <mergeCell ref="BJV46:BJY46"/>
    <mergeCell ref="BJZ46:BKC46"/>
    <mergeCell ref="BKD46:BKG46"/>
    <mergeCell ref="BKH46:BKK46"/>
    <mergeCell ref="BIP46:BIS46"/>
    <mergeCell ref="BIT46:BIW46"/>
    <mergeCell ref="BIX46:BJA46"/>
    <mergeCell ref="BJB46:BJE46"/>
    <mergeCell ref="BJF46:BJI46"/>
    <mergeCell ref="BJJ46:BJM46"/>
    <mergeCell ref="BHR46:BHU46"/>
    <mergeCell ref="BHV46:BHY46"/>
    <mergeCell ref="BHZ46:BIC46"/>
    <mergeCell ref="BID46:BIG46"/>
    <mergeCell ref="BIH46:BIK46"/>
    <mergeCell ref="BIL46:BIO46"/>
    <mergeCell ref="BMH46:BMK46"/>
    <mergeCell ref="BML46:BMO46"/>
    <mergeCell ref="BMP46:BMS46"/>
    <mergeCell ref="BMT46:BMW46"/>
    <mergeCell ref="BMX46:BNA46"/>
    <mergeCell ref="BNB46:BNE46"/>
    <mergeCell ref="BLJ46:BLM46"/>
    <mergeCell ref="BLN46:BLQ46"/>
    <mergeCell ref="BLR46:BLU46"/>
    <mergeCell ref="BLV46:BLY46"/>
    <mergeCell ref="BLZ46:BMC46"/>
    <mergeCell ref="BMD46:BMG46"/>
    <mergeCell ref="BKL46:BKO46"/>
    <mergeCell ref="BKP46:BKS46"/>
    <mergeCell ref="BKT46:BKW46"/>
    <mergeCell ref="BKX46:BLA46"/>
    <mergeCell ref="BLB46:BLE46"/>
    <mergeCell ref="BLF46:BLI46"/>
    <mergeCell ref="BPB46:BPE46"/>
    <mergeCell ref="BPF46:BPI46"/>
    <mergeCell ref="BPJ46:BPM46"/>
    <mergeCell ref="BPN46:BPQ46"/>
    <mergeCell ref="BPR46:BPU46"/>
    <mergeCell ref="BPV46:BPY46"/>
    <mergeCell ref="BOD46:BOG46"/>
    <mergeCell ref="BOH46:BOK46"/>
    <mergeCell ref="BOL46:BOO46"/>
    <mergeCell ref="BOP46:BOS46"/>
    <mergeCell ref="BOT46:BOW46"/>
    <mergeCell ref="BOX46:BPA46"/>
    <mergeCell ref="BNF46:BNI46"/>
    <mergeCell ref="BNJ46:BNM46"/>
    <mergeCell ref="BNN46:BNQ46"/>
    <mergeCell ref="BNR46:BNU46"/>
    <mergeCell ref="BNV46:BNY46"/>
    <mergeCell ref="BNZ46:BOC46"/>
    <mergeCell ref="BRV46:BRY46"/>
    <mergeCell ref="BRZ46:BSC46"/>
    <mergeCell ref="BSD46:BSG46"/>
    <mergeCell ref="BSH46:BSK46"/>
    <mergeCell ref="BSL46:BSO46"/>
    <mergeCell ref="BSP46:BSS46"/>
    <mergeCell ref="BQX46:BRA46"/>
    <mergeCell ref="BRB46:BRE46"/>
    <mergeCell ref="BRF46:BRI46"/>
    <mergeCell ref="BRJ46:BRM46"/>
    <mergeCell ref="BRN46:BRQ46"/>
    <mergeCell ref="BRR46:BRU46"/>
    <mergeCell ref="BPZ46:BQC46"/>
    <mergeCell ref="BQD46:BQG46"/>
    <mergeCell ref="BQH46:BQK46"/>
    <mergeCell ref="BQL46:BQO46"/>
    <mergeCell ref="BQP46:BQS46"/>
    <mergeCell ref="BQT46:BQW46"/>
    <mergeCell ref="BUP46:BUS46"/>
    <mergeCell ref="BUT46:BUW46"/>
    <mergeCell ref="BUX46:BVA46"/>
    <mergeCell ref="BVB46:BVE46"/>
    <mergeCell ref="BVF46:BVI46"/>
    <mergeCell ref="BVJ46:BVM46"/>
    <mergeCell ref="BTR46:BTU46"/>
    <mergeCell ref="BTV46:BTY46"/>
    <mergeCell ref="BTZ46:BUC46"/>
    <mergeCell ref="BUD46:BUG46"/>
    <mergeCell ref="BUH46:BUK46"/>
    <mergeCell ref="BUL46:BUO46"/>
    <mergeCell ref="BST46:BSW46"/>
    <mergeCell ref="BSX46:BTA46"/>
    <mergeCell ref="BTB46:BTE46"/>
    <mergeCell ref="BTF46:BTI46"/>
    <mergeCell ref="BTJ46:BTM46"/>
    <mergeCell ref="BTN46:BTQ46"/>
    <mergeCell ref="BXJ46:BXM46"/>
    <mergeCell ref="BXN46:BXQ46"/>
    <mergeCell ref="BXR46:BXU46"/>
    <mergeCell ref="BXV46:BXY46"/>
    <mergeCell ref="BXZ46:BYC46"/>
    <mergeCell ref="BYD46:BYG46"/>
    <mergeCell ref="BWL46:BWO46"/>
    <mergeCell ref="BWP46:BWS46"/>
    <mergeCell ref="BWT46:BWW46"/>
    <mergeCell ref="BWX46:BXA46"/>
    <mergeCell ref="BXB46:BXE46"/>
    <mergeCell ref="BXF46:BXI46"/>
    <mergeCell ref="BVN46:BVQ46"/>
    <mergeCell ref="BVR46:BVU46"/>
    <mergeCell ref="BVV46:BVY46"/>
    <mergeCell ref="BVZ46:BWC46"/>
    <mergeCell ref="BWD46:BWG46"/>
    <mergeCell ref="BWH46:BWK46"/>
    <mergeCell ref="CAD46:CAG46"/>
    <mergeCell ref="CAH46:CAK46"/>
    <mergeCell ref="CAL46:CAO46"/>
    <mergeCell ref="CAP46:CAS46"/>
    <mergeCell ref="CAT46:CAW46"/>
    <mergeCell ref="CAX46:CBA46"/>
    <mergeCell ref="BZF46:BZI46"/>
    <mergeCell ref="BZJ46:BZM46"/>
    <mergeCell ref="BZN46:BZQ46"/>
    <mergeCell ref="BZR46:BZU46"/>
    <mergeCell ref="BZV46:BZY46"/>
    <mergeCell ref="BZZ46:CAC46"/>
    <mergeCell ref="BYH46:BYK46"/>
    <mergeCell ref="BYL46:BYO46"/>
    <mergeCell ref="BYP46:BYS46"/>
    <mergeCell ref="BYT46:BYW46"/>
    <mergeCell ref="BYX46:BZA46"/>
    <mergeCell ref="BZB46:BZE46"/>
    <mergeCell ref="CCX46:CDA46"/>
    <mergeCell ref="CDB46:CDE46"/>
    <mergeCell ref="CDF46:CDI46"/>
    <mergeCell ref="CDJ46:CDM46"/>
    <mergeCell ref="CDN46:CDQ46"/>
    <mergeCell ref="CDR46:CDU46"/>
    <mergeCell ref="CBZ46:CCC46"/>
    <mergeCell ref="CCD46:CCG46"/>
    <mergeCell ref="CCH46:CCK46"/>
    <mergeCell ref="CCL46:CCO46"/>
    <mergeCell ref="CCP46:CCS46"/>
    <mergeCell ref="CCT46:CCW46"/>
    <mergeCell ref="CBB46:CBE46"/>
    <mergeCell ref="CBF46:CBI46"/>
    <mergeCell ref="CBJ46:CBM46"/>
    <mergeCell ref="CBN46:CBQ46"/>
    <mergeCell ref="CBR46:CBU46"/>
    <mergeCell ref="CBV46:CBY46"/>
    <mergeCell ref="CFR46:CFU46"/>
    <mergeCell ref="CFV46:CFY46"/>
    <mergeCell ref="CFZ46:CGC46"/>
    <mergeCell ref="CGD46:CGG46"/>
    <mergeCell ref="CGH46:CGK46"/>
    <mergeCell ref="CGL46:CGO46"/>
    <mergeCell ref="CET46:CEW46"/>
    <mergeCell ref="CEX46:CFA46"/>
    <mergeCell ref="CFB46:CFE46"/>
    <mergeCell ref="CFF46:CFI46"/>
    <mergeCell ref="CFJ46:CFM46"/>
    <mergeCell ref="CFN46:CFQ46"/>
    <mergeCell ref="CDV46:CDY46"/>
    <mergeCell ref="CDZ46:CEC46"/>
    <mergeCell ref="CED46:CEG46"/>
    <mergeCell ref="CEH46:CEK46"/>
    <mergeCell ref="CEL46:CEO46"/>
    <mergeCell ref="CEP46:CES46"/>
    <mergeCell ref="CIL46:CIO46"/>
    <mergeCell ref="CIP46:CIS46"/>
    <mergeCell ref="CIT46:CIW46"/>
    <mergeCell ref="CIX46:CJA46"/>
    <mergeCell ref="CJB46:CJE46"/>
    <mergeCell ref="CJF46:CJI46"/>
    <mergeCell ref="CHN46:CHQ46"/>
    <mergeCell ref="CHR46:CHU46"/>
    <mergeCell ref="CHV46:CHY46"/>
    <mergeCell ref="CHZ46:CIC46"/>
    <mergeCell ref="CID46:CIG46"/>
    <mergeCell ref="CIH46:CIK46"/>
    <mergeCell ref="CGP46:CGS46"/>
    <mergeCell ref="CGT46:CGW46"/>
    <mergeCell ref="CGX46:CHA46"/>
    <mergeCell ref="CHB46:CHE46"/>
    <mergeCell ref="CHF46:CHI46"/>
    <mergeCell ref="CHJ46:CHM46"/>
    <mergeCell ref="CLF46:CLI46"/>
    <mergeCell ref="CLJ46:CLM46"/>
    <mergeCell ref="CLN46:CLQ46"/>
    <mergeCell ref="CLR46:CLU46"/>
    <mergeCell ref="CLV46:CLY46"/>
    <mergeCell ref="CLZ46:CMC46"/>
    <mergeCell ref="CKH46:CKK46"/>
    <mergeCell ref="CKL46:CKO46"/>
    <mergeCell ref="CKP46:CKS46"/>
    <mergeCell ref="CKT46:CKW46"/>
    <mergeCell ref="CKX46:CLA46"/>
    <mergeCell ref="CLB46:CLE46"/>
    <mergeCell ref="CJJ46:CJM46"/>
    <mergeCell ref="CJN46:CJQ46"/>
    <mergeCell ref="CJR46:CJU46"/>
    <mergeCell ref="CJV46:CJY46"/>
    <mergeCell ref="CJZ46:CKC46"/>
    <mergeCell ref="CKD46:CKG46"/>
    <mergeCell ref="CNZ46:COC46"/>
    <mergeCell ref="COD46:COG46"/>
    <mergeCell ref="COH46:COK46"/>
    <mergeCell ref="COL46:COO46"/>
    <mergeCell ref="COP46:COS46"/>
    <mergeCell ref="COT46:COW46"/>
    <mergeCell ref="CNB46:CNE46"/>
    <mergeCell ref="CNF46:CNI46"/>
    <mergeCell ref="CNJ46:CNM46"/>
    <mergeCell ref="CNN46:CNQ46"/>
    <mergeCell ref="CNR46:CNU46"/>
    <mergeCell ref="CNV46:CNY46"/>
    <mergeCell ref="CMD46:CMG46"/>
    <mergeCell ref="CMH46:CMK46"/>
    <mergeCell ref="CML46:CMO46"/>
    <mergeCell ref="CMP46:CMS46"/>
    <mergeCell ref="CMT46:CMW46"/>
    <mergeCell ref="CMX46:CNA46"/>
    <mergeCell ref="CQT46:CQW46"/>
    <mergeCell ref="CQX46:CRA46"/>
    <mergeCell ref="CRB46:CRE46"/>
    <mergeCell ref="CRF46:CRI46"/>
    <mergeCell ref="CRJ46:CRM46"/>
    <mergeCell ref="CRN46:CRQ46"/>
    <mergeCell ref="CPV46:CPY46"/>
    <mergeCell ref="CPZ46:CQC46"/>
    <mergeCell ref="CQD46:CQG46"/>
    <mergeCell ref="CQH46:CQK46"/>
    <mergeCell ref="CQL46:CQO46"/>
    <mergeCell ref="CQP46:CQS46"/>
    <mergeCell ref="COX46:CPA46"/>
    <mergeCell ref="CPB46:CPE46"/>
    <mergeCell ref="CPF46:CPI46"/>
    <mergeCell ref="CPJ46:CPM46"/>
    <mergeCell ref="CPN46:CPQ46"/>
    <mergeCell ref="CPR46:CPU46"/>
    <mergeCell ref="CTN46:CTQ46"/>
    <mergeCell ref="CTR46:CTU46"/>
    <mergeCell ref="CTV46:CTY46"/>
    <mergeCell ref="CTZ46:CUC46"/>
    <mergeCell ref="CUD46:CUG46"/>
    <mergeCell ref="CUH46:CUK46"/>
    <mergeCell ref="CSP46:CSS46"/>
    <mergeCell ref="CST46:CSW46"/>
    <mergeCell ref="CSX46:CTA46"/>
    <mergeCell ref="CTB46:CTE46"/>
    <mergeCell ref="CTF46:CTI46"/>
    <mergeCell ref="CTJ46:CTM46"/>
    <mergeCell ref="CRR46:CRU46"/>
    <mergeCell ref="CRV46:CRY46"/>
    <mergeCell ref="CRZ46:CSC46"/>
    <mergeCell ref="CSD46:CSG46"/>
    <mergeCell ref="CSH46:CSK46"/>
    <mergeCell ref="CSL46:CSO46"/>
    <mergeCell ref="CWH46:CWK46"/>
    <mergeCell ref="CWL46:CWO46"/>
    <mergeCell ref="CWP46:CWS46"/>
    <mergeCell ref="CWT46:CWW46"/>
    <mergeCell ref="CWX46:CXA46"/>
    <mergeCell ref="CXB46:CXE46"/>
    <mergeCell ref="CVJ46:CVM46"/>
    <mergeCell ref="CVN46:CVQ46"/>
    <mergeCell ref="CVR46:CVU46"/>
    <mergeCell ref="CVV46:CVY46"/>
    <mergeCell ref="CVZ46:CWC46"/>
    <mergeCell ref="CWD46:CWG46"/>
    <mergeCell ref="CUL46:CUO46"/>
    <mergeCell ref="CUP46:CUS46"/>
    <mergeCell ref="CUT46:CUW46"/>
    <mergeCell ref="CUX46:CVA46"/>
    <mergeCell ref="CVB46:CVE46"/>
    <mergeCell ref="CVF46:CVI46"/>
    <mergeCell ref="CZB46:CZE46"/>
    <mergeCell ref="CZF46:CZI46"/>
    <mergeCell ref="CZJ46:CZM46"/>
    <mergeCell ref="CZN46:CZQ46"/>
    <mergeCell ref="CZR46:CZU46"/>
    <mergeCell ref="CZV46:CZY46"/>
    <mergeCell ref="CYD46:CYG46"/>
    <mergeCell ref="CYH46:CYK46"/>
    <mergeCell ref="CYL46:CYO46"/>
    <mergeCell ref="CYP46:CYS46"/>
    <mergeCell ref="CYT46:CYW46"/>
    <mergeCell ref="CYX46:CZA46"/>
    <mergeCell ref="CXF46:CXI46"/>
    <mergeCell ref="CXJ46:CXM46"/>
    <mergeCell ref="CXN46:CXQ46"/>
    <mergeCell ref="CXR46:CXU46"/>
    <mergeCell ref="CXV46:CXY46"/>
    <mergeCell ref="CXZ46:CYC46"/>
    <mergeCell ref="DBV46:DBY46"/>
    <mergeCell ref="DBZ46:DCC46"/>
    <mergeCell ref="DCD46:DCG46"/>
    <mergeCell ref="DCH46:DCK46"/>
    <mergeCell ref="DCL46:DCO46"/>
    <mergeCell ref="DCP46:DCS46"/>
    <mergeCell ref="DAX46:DBA46"/>
    <mergeCell ref="DBB46:DBE46"/>
    <mergeCell ref="DBF46:DBI46"/>
    <mergeCell ref="DBJ46:DBM46"/>
    <mergeCell ref="DBN46:DBQ46"/>
    <mergeCell ref="DBR46:DBU46"/>
    <mergeCell ref="CZZ46:DAC46"/>
    <mergeCell ref="DAD46:DAG46"/>
    <mergeCell ref="DAH46:DAK46"/>
    <mergeCell ref="DAL46:DAO46"/>
    <mergeCell ref="DAP46:DAS46"/>
    <mergeCell ref="DAT46:DAW46"/>
    <mergeCell ref="DEP46:DES46"/>
    <mergeCell ref="DET46:DEW46"/>
    <mergeCell ref="DEX46:DFA46"/>
    <mergeCell ref="DFB46:DFE46"/>
    <mergeCell ref="DFF46:DFI46"/>
    <mergeCell ref="DFJ46:DFM46"/>
    <mergeCell ref="DDR46:DDU46"/>
    <mergeCell ref="DDV46:DDY46"/>
    <mergeCell ref="DDZ46:DEC46"/>
    <mergeCell ref="DED46:DEG46"/>
    <mergeCell ref="DEH46:DEK46"/>
    <mergeCell ref="DEL46:DEO46"/>
    <mergeCell ref="DCT46:DCW46"/>
    <mergeCell ref="DCX46:DDA46"/>
    <mergeCell ref="DDB46:DDE46"/>
    <mergeCell ref="DDF46:DDI46"/>
    <mergeCell ref="DDJ46:DDM46"/>
    <mergeCell ref="DDN46:DDQ46"/>
    <mergeCell ref="DHJ46:DHM46"/>
    <mergeCell ref="DHN46:DHQ46"/>
    <mergeCell ref="DHR46:DHU46"/>
    <mergeCell ref="DHV46:DHY46"/>
    <mergeCell ref="DHZ46:DIC46"/>
    <mergeCell ref="DID46:DIG46"/>
    <mergeCell ref="DGL46:DGO46"/>
    <mergeCell ref="DGP46:DGS46"/>
    <mergeCell ref="DGT46:DGW46"/>
    <mergeCell ref="DGX46:DHA46"/>
    <mergeCell ref="DHB46:DHE46"/>
    <mergeCell ref="DHF46:DHI46"/>
    <mergeCell ref="DFN46:DFQ46"/>
    <mergeCell ref="DFR46:DFU46"/>
    <mergeCell ref="DFV46:DFY46"/>
    <mergeCell ref="DFZ46:DGC46"/>
    <mergeCell ref="DGD46:DGG46"/>
    <mergeCell ref="DGH46:DGK46"/>
    <mergeCell ref="DKD46:DKG46"/>
    <mergeCell ref="DKH46:DKK46"/>
    <mergeCell ref="DKL46:DKO46"/>
    <mergeCell ref="DKP46:DKS46"/>
    <mergeCell ref="DKT46:DKW46"/>
    <mergeCell ref="DKX46:DLA46"/>
    <mergeCell ref="DJF46:DJI46"/>
    <mergeCell ref="DJJ46:DJM46"/>
    <mergeCell ref="DJN46:DJQ46"/>
    <mergeCell ref="DJR46:DJU46"/>
    <mergeCell ref="DJV46:DJY46"/>
    <mergeCell ref="DJZ46:DKC46"/>
    <mergeCell ref="DIH46:DIK46"/>
    <mergeCell ref="DIL46:DIO46"/>
    <mergeCell ref="DIP46:DIS46"/>
    <mergeCell ref="DIT46:DIW46"/>
    <mergeCell ref="DIX46:DJA46"/>
    <mergeCell ref="DJB46:DJE46"/>
    <mergeCell ref="DMX46:DNA46"/>
    <mergeCell ref="DNB46:DNE46"/>
    <mergeCell ref="DNF46:DNI46"/>
    <mergeCell ref="DNJ46:DNM46"/>
    <mergeCell ref="DNN46:DNQ46"/>
    <mergeCell ref="DNR46:DNU46"/>
    <mergeCell ref="DLZ46:DMC46"/>
    <mergeCell ref="DMD46:DMG46"/>
    <mergeCell ref="DMH46:DMK46"/>
    <mergeCell ref="DML46:DMO46"/>
    <mergeCell ref="DMP46:DMS46"/>
    <mergeCell ref="DMT46:DMW46"/>
    <mergeCell ref="DLB46:DLE46"/>
    <mergeCell ref="DLF46:DLI46"/>
    <mergeCell ref="DLJ46:DLM46"/>
    <mergeCell ref="DLN46:DLQ46"/>
    <mergeCell ref="DLR46:DLU46"/>
    <mergeCell ref="DLV46:DLY46"/>
    <mergeCell ref="DPR46:DPU46"/>
    <mergeCell ref="DPV46:DPY46"/>
    <mergeCell ref="DPZ46:DQC46"/>
    <mergeCell ref="DQD46:DQG46"/>
    <mergeCell ref="DQH46:DQK46"/>
    <mergeCell ref="DQL46:DQO46"/>
    <mergeCell ref="DOT46:DOW46"/>
    <mergeCell ref="DOX46:DPA46"/>
    <mergeCell ref="DPB46:DPE46"/>
    <mergeCell ref="DPF46:DPI46"/>
    <mergeCell ref="DPJ46:DPM46"/>
    <mergeCell ref="DPN46:DPQ46"/>
    <mergeCell ref="DNV46:DNY46"/>
    <mergeCell ref="DNZ46:DOC46"/>
    <mergeCell ref="DOD46:DOG46"/>
    <mergeCell ref="DOH46:DOK46"/>
    <mergeCell ref="DOL46:DOO46"/>
    <mergeCell ref="DOP46:DOS46"/>
    <mergeCell ref="DSL46:DSO46"/>
    <mergeCell ref="DSP46:DSS46"/>
    <mergeCell ref="DST46:DSW46"/>
    <mergeCell ref="DSX46:DTA46"/>
    <mergeCell ref="DTB46:DTE46"/>
    <mergeCell ref="DTF46:DTI46"/>
    <mergeCell ref="DRN46:DRQ46"/>
    <mergeCell ref="DRR46:DRU46"/>
    <mergeCell ref="DRV46:DRY46"/>
    <mergeCell ref="DRZ46:DSC46"/>
    <mergeCell ref="DSD46:DSG46"/>
    <mergeCell ref="DSH46:DSK46"/>
    <mergeCell ref="DQP46:DQS46"/>
    <mergeCell ref="DQT46:DQW46"/>
    <mergeCell ref="DQX46:DRA46"/>
    <mergeCell ref="DRB46:DRE46"/>
    <mergeCell ref="DRF46:DRI46"/>
    <mergeCell ref="DRJ46:DRM46"/>
    <mergeCell ref="DVF46:DVI46"/>
    <mergeCell ref="DVJ46:DVM46"/>
    <mergeCell ref="DVN46:DVQ46"/>
    <mergeCell ref="DVR46:DVU46"/>
    <mergeCell ref="DVV46:DVY46"/>
    <mergeCell ref="DVZ46:DWC46"/>
    <mergeCell ref="DUH46:DUK46"/>
    <mergeCell ref="DUL46:DUO46"/>
    <mergeCell ref="DUP46:DUS46"/>
    <mergeCell ref="DUT46:DUW46"/>
    <mergeCell ref="DUX46:DVA46"/>
    <mergeCell ref="DVB46:DVE46"/>
    <mergeCell ref="DTJ46:DTM46"/>
    <mergeCell ref="DTN46:DTQ46"/>
    <mergeCell ref="DTR46:DTU46"/>
    <mergeCell ref="DTV46:DTY46"/>
    <mergeCell ref="DTZ46:DUC46"/>
    <mergeCell ref="DUD46:DUG46"/>
    <mergeCell ref="DXZ46:DYC46"/>
    <mergeCell ref="DYD46:DYG46"/>
    <mergeCell ref="DYH46:DYK46"/>
    <mergeCell ref="DYL46:DYO46"/>
    <mergeCell ref="DYP46:DYS46"/>
    <mergeCell ref="DYT46:DYW46"/>
    <mergeCell ref="DXB46:DXE46"/>
    <mergeCell ref="DXF46:DXI46"/>
    <mergeCell ref="DXJ46:DXM46"/>
    <mergeCell ref="DXN46:DXQ46"/>
    <mergeCell ref="DXR46:DXU46"/>
    <mergeCell ref="DXV46:DXY46"/>
    <mergeCell ref="DWD46:DWG46"/>
    <mergeCell ref="DWH46:DWK46"/>
    <mergeCell ref="DWL46:DWO46"/>
    <mergeCell ref="DWP46:DWS46"/>
    <mergeCell ref="DWT46:DWW46"/>
    <mergeCell ref="DWX46:DXA46"/>
    <mergeCell ref="EAT46:EAW46"/>
    <mergeCell ref="EAX46:EBA46"/>
    <mergeCell ref="EBB46:EBE46"/>
    <mergeCell ref="EBF46:EBI46"/>
    <mergeCell ref="EBJ46:EBM46"/>
    <mergeCell ref="EBN46:EBQ46"/>
    <mergeCell ref="DZV46:DZY46"/>
    <mergeCell ref="DZZ46:EAC46"/>
    <mergeCell ref="EAD46:EAG46"/>
    <mergeCell ref="EAH46:EAK46"/>
    <mergeCell ref="EAL46:EAO46"/>
    <mergeCell ref="EAP46:EAS46"/>
    <mergeCell ref="DYX46:DZA46"/>
    <mergeCell ref="DZB46:DZE46"/>
    <mergeCell ref="DZF46:DZI46"/>
    <mergeCell ref="DZJ46:DZM46"/>
    <mergeCell ref="DZN46:DZQ46"/>
    <mergeCell ref="DZR46:DZU46"/>
    <mergeCell ref="EDN46:EDQ46"/>
    <mergeCell ref="EDR46:EDU46"/>
    <mergeCell ref="EDV46:EDY46"/>
    <mergeCell ref="EDZ46:EEC46"/>
    <mergeCell ref="EED46:EEG46"/>
    <mergeCell ref="EEH46:EEK46"/>
    <mergeCell ref="ECP46:ECS46"/>
    <mergeCell ref="ECT46:ECW46"/>
    <mergeCell ref="ECX46:EDA46"/>
    <mergeCell ref="EDB46:EDE46"/>
    <mergeCell ref="EDF46:EDI46"/>
    <mergeCell ref="EDJ46:EDM46"/>
    <mergeCell ref="EBR46:EBU46"/>
    <mergeCell ref="EBV46:EBY46"/>
    <mergeCell ref="EBZ46:ECC46"/>
    <mergeCell ref="ECD46:ECG46"/>
    <mergeCell ref="ECH46:ECK46"/>
    <mergeCell ref="ECL46:ECO46"/>
    <mergeCell ref="EGH46:EGK46"/>
    <mergeCell ref="EGL46:EGO46"/>
    <mergeCell ref="EGP46:EGS46"/>
    <mergeCell ref="EGT46:EGW46"/>
    <mergeCell ref="EGX46:EHA46"/>
    <mergeCell ref="EHB46:EHE46"/>
    <mergeCell ref="EFJ46:EFM46"/>
    <mergeCell ref="EFN46:EFQ46"/>
    <mergeCell ref="EFR46:EFU46"/>
    <mergeCell ref="EFV46:EFY46"/>
    <mergeCell ref="EFZ46:EGC46"/>
    <mergeCell ref="EGD46:EGG46"/>
    <mergeCell ref="EEL46:EEO46"/>
    <mergeCell ref="EEP46:EES46"/>
    <mergeCell ref="EET46:EEW46"/>
    <mergeCell ref="EEX46:EFA46"/>
    <mergeCell ref="EFB46:EFE46"/>
    <mergeCell ref="EFF46:EFI46"/>
    <mergeCell ref="EJB46:EJE46"/>
    <mergeCell ref="EJF46:EJI46"/>
    <mergeCell ref="EJJ46:EJM46"/>
    <mergeCell ref="EJN46:EJQ46"/>
    <mergeCell ref="EJR46:EJU46"/>
    <mergeCell ref="EJV46:EJY46"/>
    <mergeCell ref="EID46:EIG46"/>
    <mergeCell ref="EIH46:EIK46"/>
    <mergeCell ref="EIL46:EIO46"/>
    <mergeCell ref="EIP46:EIS46"/>
    <mergeCell ref="EIT46:EIW46"/>
    <mergeCell ref="EIX46:EJA46"/>
    <mergeCell ref="EHF46:EHI46"/>
    <mergeCell ref="EHJ46:EHM46"/>
    <mergeCell ref="EHN46:EHQ46"/>
    <mergeCell ref="EHR46:EHU46"/>
    <mergeCell ref="EHV46:EHY46"/>
    <mergeCell ref="EHZ46:EIC46"/>
    <mergeCell ref="ELV46:ELY46"/>
    <mergeCell ref="ELZ46:EMC46"/>
    <mergeCell ref="EMD46:EMG46"/>
    <mergeCell ref="EMH46:EMK46"/>
    <mergeCell ref="EML46:EMO46"/>
    <mergeCell ref="EMP46:EMS46"/>
    <mergeCell ref="EKX46:ELA46"/>
    <mergeCell ref="ELB46:ELE46"/>
    <mergeCell ref="ELF46:ELI46"/>
    <mergeCell ref="ELJ46:ELM46"/>
    <mergeCell ref="ELN46:ELQ46"/>
    <mergeCell ref="ELR46:ELU46"/>
    <mergeCell ref="EJZ46:EKC46"/>
    <mergeCell ref="EKD46:EKG46"/>
    <mergeCell ref="EKH46:EKK46"/>
    <mergeCell ref="EKL46:EKO46"/>
    <mergeCell ref="EKP46:EKS46"/>
    <mergeCell ref="EKT46:EKW46"/>
    <mergeCell ref="EOP46:EOS46"/>
    <mergeCell ref="EOT46:EOW46"/>
    <mergeCell ref="EOX46:EPA46"/>
    <mergeCell ref="EPB46:EPE46"/>
    <mergeCell ref="EPF46:EPI46"/>
    <mergeCell ref="EPJ46:EPM46"/>
    <mergeCell ref="ENR46:ENU46"/>
    <mergeCell ref="ENV46:ENY46"/>
    <mergeCell ref="ENZ46:EOC46"/>
    <mergeCell ref="EOD46:EOG46"/>
    <mergeCell ref="EOH46:EOK46"/>
    <mergeCell ref="EOL46:EOO46"/>
    <mergeCell ref="EMT46:EMW46"/>
    <mergeCell ref="EMX46:ENA46"/>
    <mergeCell ref="ENB46:ENE46"/>
    <mergeCell ref="ENF46:ENI46"/>
    <mergeCell ref="ENJ46:ENM46"/>
    <mergeCell ref="ENN46:ENQ46"/>
    <mergeCell ref="ERJ46:ERM46"/>
    <mergeCell ref="ERN46:ERQ46"/>
    <mergeCell ref="ERR46:ERU46"/>
    <mergeCell ref="ERV46:ERY46"/>
    <mergeCell ref="ERZ46:ESC46"/>
    <mergeCell ref="ESD46:ESG46"/>
    <mergeCell ref="EQL46:EQO46"/>
    <mergeCell ref="EQP46:EQS46"/>
    <mergeCell ref="EQT46:EQW46"/>
    <mergeCell ref="EQX46:ERA46"/>
    <mergeCell ref="ERB46:ERE46"/>
    <mergeCell ref="ERF46:ERI46"/>
    <mergeCell ref="EPN46:EPQ46"/>
    <mergeCell ref="EPR46:EPU46"/>
    <mergeCell ref="EPV46:EPY46"/>
    <mergeCell ref="EPZ46:EQC46"/>
    <mergeCell ref="EQD46:EQG46"/>
    <mergeCell ref="EQH46:EQK46"/>
    <mergeCell ref="EUD46:EUG46"/>
    <mergeCell ref="EUH46:EUK46"/>
    <mergeCell ref="EUL46:EUO46"/>
    <mergeCell ref="EUP46:EUS46"/>
    <mergeCell ref="EUT46:EUW46"/>
    <mergeCell ref="EUX46:EVA46"/>
    <mergeCell ref="ETF46:ETI46"/>
    <mergeCell ref="ETJ46:ETM46"/>
    <mergeCell ref="ETN46:ETQ46"/>
    <mergeCell ref="ETR46:ETU46"/>
    <mergeCell ref="ETV46:ETY46"/>
    <mergeCell ref="ETZ46:EUC46"/>
    <mergeCell ref="ESH46:ESK46"/>
    <mergeCell ref="ESL46:ESO46"/>
    <mergeCell ref="ESP46:ESS46"/>
    <mergeCell ref="EST46:ESW46"/>
    <mergeCell ref="ESX46:ETA46"/>
    <mergeCell ref="ETB46:ETE46"/>
    <mergeCell ref="EWX46:EXA46"/>
    <mergeCell ref="EXB46:EXE46"/>
    <mergeCell ref="EXF46:EXI46"/>
    <mergeCell ref="EXJ46:EXM46"/>
    <mergeCell ref="EXN46:EXQ46"/>
    <mergeCell ref="EXR46:EXU46"/>
    <mergeCell ref="EVZ46:EWC46"/>
    <mergeCell ref="EWD46:EWG46"/>
    <mergeCell ref="EWH46:EWK46"/>
    <mergeCell ref="EWL46:EWO46"/>
    <mergeCell ref="EWP46:EWS46"/>
    <mergeCell ref="EWT46:EWW46"/>
    <mergeCell ref="EVB46:EVE46"/>
    <mergeCell ref="EVF46:EVI46"/>
    <mergeCell ref="EVJ46:EVM46"/>
    <mergeCell ref="EVN46:EVQ46"/>
    <mergeCell ref="EVR46:EVU46"/>
    <mergeCell ref="EVV46:EVY46"/>
    <mergeCell ref="EZR46:EZU46"/>
    <mergeCell ref="EZV46:EZY46"/>
    <mergeCell ref="EZZ46:FAC46"/>
    <mergeCell ref="FAD46:FAG46"/>
    <mergeCell ref="FAH46:FAK46"/>
    <mergeCell ref="FAL46:FAO46"/>
    <mergeCell ref="EYT46:EYW46"/>
    <mergeCell ref="EYX46:EZA46"/>
    <mergeCell ref="EZB46:EZE46"/>
    <mergeCell ref="EZF46:EZI46"/>
    <mergeCell ref="EZJ46:EZM46"/>
    <mergeCell ref="EZN46:EZQ46"/>
    <mergeCell ref="EXV46:EXY46"/>
    <mergeCell ref="EXZ46:EYC46"/>
    <mergeCell ref="EYD46:EYG46"/>
    <mergeCell ref="EYH46:EYK46"/>
    <mergeCell ref="EYL46:EYO46"/>
    <mergeCell ref="EYP46:EYS46"/>
    <mergeCell ref="FCL46:FCO46"/>
    <mergeCell ref="FCP46:FCS46"/>
    <mergeCell ref="FCT46:FCW46"/>
    <mergeCell ref="FCX46:FDA46"/>
    <mergeCell ref="FDB46:FDE46"/>
    <mergeCell ref="FDF46:FDI46"/>
    <mergeCell ref="FBN46:FBQ46"/>
    <mergeCell ref="FBR46:FBU46"/>
    <mergeCell ref="FBV46:FBY46"/>
    <mergeCell ref="FBZ46:FCC46"/>
    <mergeCell ref="FCD46:FCG46"/>
    <mergeCell ref="FCH46:FCK46"/>
    <mergeCell ref="FAP46:FAS46"/>
    <mergeCell ref="FAT46:FAW46"/>
    <mergeCell ref="FAX46:FBA46"/>
    <mergeCell ref="FBB46:FBE46"/>
    <mergeCell ref="FBF46:FBI46"/>
    <mergeCell ref="FBJ46:FBM46"/>
    <mergeCell ref="FFF46:FFI46"/>
    <mergeCell ref="FFJ46:FFM46"/>
    <mergeCell ref="FFN46:FFQ46"/>
    <mergeCell ref="FFR46:FFU46"/>
    <mergeCell ref="FFV46:FFY46"/>
    <mergeCell ref="FFZ46:FGC46"/>
    <mergeCell ref="FEH46:FEK46"/>
    <mergeCell ref="FEL46:FEO46"/>
    <mergeCell ref="FEP46:FES46"/>
    <mergeCell ref="FET46:FEW46"/>
    <mergeCell ref="FEX46:FFA46"/>
    <mergeCell ref="FFB46:FFE46"/>
    <mergeCell ref="FDJ46:FDM46"/>
    <mergeCell ref="FDN46:FDQ46"/>
    <mergeCell ref="FDR46:FDU46"/>
    <mergeCell ref="FDV46:FDY46"/>
    <mergeCell ref="FDZ46:FEC46"/>
    <mergeCell ref="FED46:FEG46"/>
    <mergeCell ref="FHZ46:FIC46"/>
    <mergeCell ref="FID46:FIG46"/>
    <mergeCell ref="FIH46:FIK46"/>
    <mergeCell ref="FIL46:FIO46"/>
    <mergeCell ref="FIP46:FIS46"/>
    <mergeCell ref="FIT46:FIW46"/>
    <mergeCell ref="FHB46:FHE46"/>
    <mergeCell ref="FHF46:FHI46"/>
    <mergeCell ref="FHJ46:FHM46"/>
    <mergeCell ref="FHN46:FHQ46"/>
    <mergeCell ref="FHR46:FHU46"/>
    <mergeCell ref="FHV46:FHY46"/>
    <mergeCell ref="FGD46:FGG46"/>
    <mergeCell ref="FGH46:FGK46"/>
    <mergeCell ref="FGL46:FGO46"/>
    <mergeCell ref="FGP46:FGS46"/>
    <mergeCell ref="FGT46:FGW46"/>
    <mergeCell ref="FGX46:FHA46"/>
    <mergeCell ref="FKT46:FKW46"/>
    <mergeCell ref="FKX46:FLA46"/>
    <mergeCell ref="FLB46:FLE46"/>
    <mergeCell ref="FLF46:FLI46"/>
    <mergeCell ref="FLJ46:FLM46"/>
    <mergeCell ref="FLN46:FLQ46"/>
    <mergeCell ref="FJV46:FJY46"/>
    <mergeCell ref="FJZ46:FKC46"/>
    <mergeCell ref="FKD46:FKG46"/>
    <mergeCell ref="FKH46:FKK46"/>
    <mergeCell ref="FKL46:FKO46"/>
    <mergeCell ref="FKP46:FKS46"/>
    <mergeCell ref="FIX46:FJA46"/>
    <mergeCell ref="FJB46:FJE46"/>
    <mergeCell ref="FJF46:FJI46"/>
    <mergeCell ref="FJJ46:FJM46"/>
    <mergeCell ref="FJN46:FJQ46"/>
    <mergeCell ref="FJR46:FJU46"/>
    <mergeCell ref="FNN46:FNQ46"/>
    <mergeCell ref="FNR46:FNU46"/>
    <mergeCell ref="FNV46:FNY46"/>
    <mergeCell ref="FNZ46:FOC46"/>
    <mergeCell ref="FOD46:FOG46"/>
    <mergeCell ref="FOH46:FOK46"/>
    <mergeCell ref="FMP46:FMS46"/>
    <mergeCell ref="FMT46:FMW46"/>
    <mergeCell ref="FMX46:FNA46"/>
    <mergeCell ref="FNB46:FNE46"/>
    <mergeCell ref="FNF46:FNI46"/>
    <mergeCell ref="FNJ46:FNM46"/>
    <mergeCell ref="FLR46:FLU46"/>
    <mergeCell ref="FLV46:FLY46"/>
    <mergeCell ref="FLZ46:FMC46"/>
    <mergeCell ref="FMD46:FMG46"/>
    <mergeCell ref="FMH46:FMK46"/>
    <mergeCell ref="FML46:FMO46"/>
    <mergeCell ref="FQH46:FQK46"/>
    <mergeCell ref="FQL46:FQO46"/>
    <mergeCell ref="FQP46:FQS46"/>
    <mergeCell ref="FQT46:FQW46"/>
    <mergeCell ref="FQX46:FRA46"/>
    <mergeCell ref="FRB46:FRE46"/>
    <mergeCell ref="FPJ46:FPM46"/>
    <mergeCell ref="FPN46:FPQ46"/>
    <mergeCell ref="FPR46:FPU46"/>
    <mergeCell ref="FPV46:FPY46"/>
    <mergeCell ref="FPZ46:FQC46"/>
    <mergeCell ref="FQD46:FQG46"/>
    <mergeCell ref="FOL46:FOO46"/>
    <mergeCell ref="FOP46:FOS46"/>
    <mergeCell ref="FOT46:FOW46"/>
    <mergeCell ref="FOX46:FPA46"/>
    <mergeCell ref="FPB46:FPE46"/>
    <mergeCell ref="FPF46:FPI46"/>
    <mergeCell ref="FTB46:FTE46"/>
    <mergeCell ref="FTF46:FTI46"/>
    <mergeCell ref="FTJ46:FTM46"/>
    <mergeCell ref="FTN46:FTQ46"/>
    <mergeCell ref="FTR46:FTU46"/>
    <mergeCell ref="FTV46:FTY46"/>
    <mergeCell ref="FSD46:FSG46"/>
    <mergeCell ref="FSH46:FSK46"/>
    <mergeCell ref="FSL46:FSO46"/>
    <mergeCell ref="FSP46:FSS46"/>
    <mergeCell ref="FST46:FSW46"/>
    <mergeCell ref="FSX46:FTA46"/>
    <mergeCell ref="FRF46:FRI46"/>
    <mergeCell ref="FRJ46:FRM46"/>
    <mergeCell ref="FRN46:FRQ46"/>
    <mergeCell ref="FRR46:FRU46"/>
    <mergeCell ref="FRV46:FRY46"/>
    <mergeCell ref="FRZ46:FSC46"/>
    <mergeCell ref="FVV46:FVY46"/>
    <mergeCell ref="FVZ46:FWC46"/>
    <mergeCell ref="FWD46:FWG46"/>
    <mergeCell ref="FWH46:FWK46"/>
    <mergeCell ref="FWL46:FWO46"/>
    <mergeCell ref="FWP46:FWS46"/>
    <mergeCell ref="FUX46:FVA46"/>
    <mergeCell ref="FVB46:FVE46"/>
    <mergeCell ref="FVF46:FVI46"/>
    <mergeCell ref="FVJ46:FVM46"/>
    <mergeCell ref="FVN46:FVQ46"/>
    <mergeCell ref="FVR46:FVU46"/>
    <mergeCell ref="FTZ46:FUC46"/>
    <mergeCell ref="FUD46:FUG46"/>
    <mergeCell ref="FUH46:FUK46"/>
    <mergeCell ref="FUL46:FUO46"/>
    <mergeCell ref="FUP46:FUS46"/>
    <mergeCell ref="FUT46:FUW46"/>
    <mergeCell ref="FYP46:FYS46"/>
    <mergeCell ref="FYT46:FYW46"/>
    <mergeCell ref="FYX46:FZA46"/>
    <mergeCell ref="FZB46:FZE46"/>
    <mergeCell ref="FZF46:FZI46"/>
    <mergeCell ref="FZJ46:FZM46"/>
    <mergeCell ref="FXR46:FXU46"/>
    <mergeCell ref="FXV46:FXY46"/>
    <mergeCell ref="FXZ46:FYC46"/>
    <mergeCell ref="FYD46:FYG46"/>
    <mergeCell ref="FYH46:FYK46"/>
    <mergeCell ref="FYL46:FYO46"/>
    <mergeCell ref="FWT46:FWW46"/>
    <mergeCell ref="FWX46:FXA46"/>
    <mergeCell ref="FXB46:FXE46"/>
    <mergeCell ref="FXF46:FXI46"/>
    <mergeCell ref="FXJ46:FXM46"/>
    <mergeCell ref="FXN46:FXQ46"/>
    <mergeCell ref="GBJ46:GBM46"/>
    <mergeCell ref="GBN46:GBQ46"/>
    <mergeCell ref="GBR46:GBU46"/>
    <mergeCell ref="GBV46:GBY46"/>
    <mergeCell ref="GBZ46:GCC46"/>
    <mergeCell ref="GCD46:GCG46"/>
    <mergeCell ref="GAL46:GAO46"/>
    <mergeCell ref="GAP46:GAS46"/>
    <mergeCell ref="GAT46:GAW46"/>
    <mergeCell ref="GAX46:GBA46"/>
    <mergeCell ref="GBB46:GBE46"/>
    <mergeCell ref="GBF46:GBI46"/>
    <mergeCell ref="FZN46:FZQ46"/>
    <mergeCell ref="FZR46:FZU46"/>
    <mergeCell ref="FZV46:FZY46"/>
    <mergeCell ref="FZZ46:GAC46"/>
    <mergeCell ref="GAD46:GAG46"/>
    <mergeCell ref="GAH46:GAK46"/>
    <mergeCell ref="GED46:GEG46"/>
    <mergeCell ref="GEH46:GEK46"/>
    <mergeCell ref="GEL46:GEO46"/>
    <mergeCell ref="GEP46:GES46"/>
    <mergeCell ref="GET46:GEW46"/>
    <mergeCell ref="GEX46:GFA46"/>
    <mergeCell ref="GDF46:GDI46"/>
    <mergeCell ref="GDJ46:GDM46"/>
    <mergeCell ref="GDN46:GDQ46"/>
    <mergeCell ref="GDR46:GDU46"/>
    <mergeCell ref="GDV46:GDY46"/>
    <mergeCell ref="GDZ46:GEC46"/>
    <mergeCell ref="GCH46:GCK46"/>
    <mergeCell ref="GCL46:GCO46"/>
    <mergeCell ref="GCP46:GCS46"/>
    <mergeCell ref="GCT46:GCW46"/>
    <mergeCell ref="GCX46:GDA46"/>
    <mergeCell ref="GDB46:GDE46"/>
    <mergeCell ref="GGX46:GHA46"/>
    <mergeCell ref="GHB46:GHE46"/>
    <mergeCell ref="GHF46:GHI46"/>
    <mergeCell ref="GHJ46:GHM46"/>
    <mergeCell ref="GHN46:GHQ46"/>
    <mergeCell ref="GHR46:GHU46"/>
    <mergeCell ref="GFZ46:GGC46"/>
    <mergeCell ref="GGD46:GGG46"/>
    <mergeCell ref="GGH46:GGK46"/>
    <mergeCell ref="GGL46:GGO46"/>
    <mergeCell ref="GGP46:GGS46"/>
    <mergeCell ref="GGT46:GGW46"/>
    <mergeCell ref="GFB46:GFE46"/>
    <mergeCell ref="GFF46:GFI46"/>
    <mergeCell ref="GFJ46:GFM46"/>
    <mergeCell ref="GFN46:GFQ46"/>
    <mergeCell ref="GFR46:GFU46"/>
    <mergeCell ref="GFV46:GFY46"/>
    <mergeCell ref="GJR46:GJU46"/>
    <mergeCell ref="GJV46:GJY46"/>
    <mergeCell ref="GJZ46:GKC46"/>
    <mergeCell ref="GKD46:GKG46"/>
    <mergeCell ref="GKH46:GKK46"/>
    <mergeCell ref="GKL46:GKO46"/>
    <mergeCell ref="GIT46:GIW46"/>
    <mergeCell ref="GIX46:GJA46"/>
    <mergeCell ref="GJB46:GJE46"/>
    <mergeCell ref="GJF46:GJI46"/>
    <mergeCell ref="GJJ46:GJM46"/>
    <mergeCell ref="GJN46:GJQ46"/>
    <mergeCell ref="GHV46:GHY46"/>
    <mergeCell ref="GHZ46:GIC46"/>
    <mergeCell ref="GID46:GIG46"/>
    <mergeCell ref="GIH46:GIK46"/>
    <mergeCell ref="GIL46:GIO46"/>
    <mergeCell ref="GIP46:GIS46"/>
    <mergeCell ref="GML46:GMO46"/>
    <mergeCell ref="GMP46:GMS46"/>
    <mergeCell ref="GMT46:GMW46"/>
    <mergeCell ref="GMX46:GNA46"/>
    <mergeCell ref="GNB46:GNE46"/>
    <mergeCell ref="GNF46:GNI46"/>
    <mergeCell ref="GLN46:GLQ46"/>
    <mergeCell ref="GLR46:GLU46"/>
    <mergeCell ref="GLV46:GLY46"/>
    <mergeCell ref="GLZ46:GMC46"/>
    <mergeCell ref="GMD46:GMG46"/>
    <mergeCell ref="GMH46:GMK46"/>
    <mergeCell ref="GKP46:GKS46"/>
    <mergeCell ref="GKT46:GKW46"/>
    <mergeCell ref="GKX46:GLA46"/>
    <mergeCell ref="GLB46:GLE46"/>
    <mergeCell ref="GLF46:GLI46"/>
    <mergeCell ref="GLJ46:GLM46"/>
    <mergeCell ref="GPF46:GPI46"/>
    <mergeCell ref="GPJ46:GPM46"/>
    <mergeCell ref="GPN46:GPQ46"/>
    <mergeCell ref="GPR46:GPU46"/>
    <mergeCell ref="GPV46:GPY46"/>
    <mergeCell ref="GPZ46:GQC46"/>
    <mergeCell ref="GOH46:GOK46"/>
    <mergeCell ref="GOL46:GOO46"/>
    <mergeCell ref="GOP46:GOS46"/>
    <mergeCell ref="GOT46:GOW46"/>
    <mergeCell ref="GOX46:GPA46"/>
    <mergeCell ref="GPB46:GPE46"/>
    <mergeCell ref="GNJ46:GNM46"/>
    <mergeCell ref="GNN46:GNQ46"/>
    <mergeCell ref="GNR46:GNU46"/>
    <mergeCell ref="GNV46:GNY46"/>
    <mergeCell ref="GNZ46:GOC46"/>
    <mergeCell ref="GOD46:GOG46"/>
    <mergeCell ref="GRZ46:GSC46"/>
    <mergeCell ref="GSD46:GSG46"/>
    <mergeCell ref="GSH46:GSK46"/>
    <mergeCell ref="GSL46:GSO46"/>
    <mergeCell ref="GSP46:GSS46"/>
    <mergeCell ref="GST46:GSW46"/>
    <mergeCell ref="GRB46:GRE46"/>
    <mergeCell ref="GRF46:GRI46"/>
    <mergeCell ref="GRJ46:GRM46"/>
    <mergeCell ref="GRN46:GRQ46"/>
    <mergeCell ref="GRR46:GRU46"/>
    <mergeCell ref="GRV46:GRY46"/>
    <mergeCell ref="GQD46:GQG46"/>
    <mergeCell ref="GQH46:GQK46"/>
    <mergeCell ref="GQL46:GQO46"/>
    <mergeCell ref="GQP46:GQS46"/>
    <mergeCell ref="GQT46:GQW46"/>
    <mergeCell ref="GQX46:GRA46"/>
    <mergeCell ref="GUT46:GUW46"/>
    <mergeCell ref="GUX46:GVA46"/>
    <mergeCell ref="GVB46:GVE46"/>
    <mergeCell ref="GVF46:GVI46"/>
    <mergeCell ref="GVJ46:GVM46"/>
    <mergeCell ref="GVN46:GVQ46"/>
    <mergeCell ref="GTV46:GTY46"/>
    <mergeCell ref="GTZ46:GUC46"/>
    <mergeCell ref="GUD46:GUG46"/>
    <mergeCell ref="GUH46:GUK46"/>
    <mergeCell ref="GUL46:GUO46"/>
    <mergeCell ref="GUP46:GUS46"/>
    <mergeCell ref="GSX46:GTA46"/>
    <mergeCell ref="GTB46:GTE46"/>
    <mergeCell ref="GTF46:GTI46"/>
    <mergeCell ref="GTJ46:GTM46"/>
    <mergeCell ref="GTN46:GTQ46"/>
    <mergeCell ref="GTR46:GTU46"/>
    <mergeCell ref="GXN46:GXQ46"/>
    <mergeCell ref="GXR46:GXU46"/>
    <mergeCell ref="GXV46:GXY46"/>
    <mergeCell ref="GXZ46:GYC46"/>
    <mergeCell ref="GYD46:GYG46"/>
    <mergeCell ref="GYH46:GYK46"/>
    <mergeCell ref="GWP46:GWS46"/>
    <mergeCell ref="GWT46:GWW46"/>
    <mergeCell ref="GWX46:GXA46"/>
    <mergeCell ref="GXB46:GXE46"/>
    <mergeCell ref="GXF46:GXI46"/>
    <mergeCell ref="GXJ46:GXM46"/>
    <mergeCell ref="GVR46:GVU46"/>
    <mergeCell ref="GVV46:GVY46"/>
    <mergeCell ref="GVZ46:GWC46"/>
    <mergeCell ref="GWD46:GWG46"/>
    <mergeCell ref="GWH46:GWK46"/>
    <mergeCell ref="GWL46:GWO46"/>
    <mergeCell ref="HAH46:HAK46"/>
    <mergeCell ref="HAL46:HAO46"/>
    <mergeCell ref="HAP46:HAS46"/>
    <mergeCell ref="HAT46:HAW46"/>
    <mergeCell ref="HAX46:HBA46"/>
    <mergeCell ref="HBB46:HBE46"/>
    <mergeCell ref="GZJ46:GZM46"/>
    <mergeCell ref="GZN46:GZQ46"/>
    <mergeCell ref="GZR46:GZU46"/>
    <mergeCell ref="GZV46:GZY46"/>
    <mergeCell ref="GZZ46:HAC46"/>
    <mergeCell ref="HAD46:HAG46"/>
    <mergeCell ref="GYL46:GYO46"/>
    <mergeCell ref="GYP46:GYS46"/>
    <mergeCell ref="GYT46:GYW46"/>
    <mergeCell ref="GYX46:GZA46"/>
    <mergeCell ref="GZB46:GZE46"/>
    <mergeCell ref="GZF46:GZI46"/>
    <mergeCell ref="HDB46:HDE46"/>
    <mergeCell ref="HDF46:HDI46"/>
    <mergeCell ref="HDJ46:HDM46"/>
    <mergeCell ref="HDN46:HDQ46"/>
    <mergeCell ref="HDR46:HDU46"/>
    <mergeCell ref="HDV46:HDY46"/>
    <mergeCell ref="HCD46:HCG46"/>
    <mergeCell ref="HCH46:HCK46"/>
    <mergeCell ref="HCL46:HCO46"/>
    <mergeCell ref="HCP46:HCS46"/>
    <mergeCell ref="HCT46:HCW46"/>
    <mergeCell ref="HCX46:HDA46"/>
    <mergeCell ref="HBF46:HBI46"/>
    <mergeCell ref="HBJ46:HBM46"/>
    <mergeCell ref="HBN46:HBQ46"/>
    <mergeCell ref="HBR46:HBU46"/>
    <mergeCell ref="HBV46:HBY46"/>
    <mergeCell ref="HBZ46:HCC46"/>
    <mergeCell ref="HFV46:HFY46"/>
    <mergeCell ref="HFZ46:HGC46"/>
    <mergeCell ref="HGD46:HGG46"/>
    <mergeCell ref="HGH46:HGK46"/>
    <mergeCell ref="HGL46:HGO46"/>
    <mergeCell ref="HGP46:HGS46"/>
    <mergeCell ref="HEX46:HFA46"/>
    <mergeCell ref="HFB46:HFE46"/>
    <mergeCell ref="HFF46:HFI46"/>
    <mergeCell ref="HFJ46:HFM46"/>
    <mergeCell ref="HFN46:HFQ46"/>
    <mergeCell ref="HFR46:HFU46"/>
    <mergeCell ref="HDZ46:HEC46"/>
    <mergeCell ref="HED46:HEG46"/>
    <mergeCell ref="HEH46:HEK46"/>
    <mergeCell ref="HEL46:HEO46"/>
    <mergeCell ref="HEP46:HES46"/>
    <mergeCell ref="HET46:HEW46"/>
    <mergeCell ref="HIP46:HIS46"/>
    <mergeCell ref="HIT46:HIW46"/>
    <mergeCell ref="HIX46:HJA46"/>
    <mergeCell ref="HJB46:HJE46"/>
    <mergeCell ref="HJF46:HJI46"/>
    <mergeCell ref="HJJ46:HJM46"/>
    <mergeCell ref="HHR46:HHU46"/>
    <mergeCell ref="HHV46:HHY46"/>
    <mergeCell ref="HHZ46:HIC46"/>
    <mergeCell ref="HID46:HIG46"/>
    <mergeCell ref="HIH46:HIK46"/>
    <mergeCell ref="HIL46:HIO46"/>
    <mergeCell ref="HGT46:HGW46"/>
    <mergeCell ref="HGX46:HHA46"/>
    <mergeCell ref="HHB46:HHE46"/>
    <mergeCell ref="HHF46:HHI46"/>
    <mergeCell ref="HHJ46:HHM46"/>
    <mergeCell ref="HHN46:HHQ46"/>
    <mergeCell ref="HLJ46:HLM46"/>
    <mergeCell ref="HLN46:HLQ46"/>
    <mergeCell ref="HLR46:HLU46"/>
    <mergeCell ref="HLV46:HLY46"/>
    <mergeCell ref="HLZ46:HMC46"/>
    <mergeCell ref="HMD46:HMG46"/>
    <mergeCell ref="HKL46:HKO46"/>
    <mergeCell ref="HKP46:HKS46"/>
    <mergeCell ref="HKT46:HKW46"/>
    <mergeCell ref="HKX46:HLA46"/>
    <mergeCell ref="HLB46:HLE46"/>
    <mergeCell ref="HLF46:HLI46"/>
    <mergeCell ref="HJN46:HJQ46"/>
    <mergeCell ref="HJR46:HJU46"/>
    <mergeCell ref="HJV46:HJY46"/>
    <mergeCell ref="HJZ46:HKC46"/>
    <mergeCell ref="HKD46:HKG46"/>
    <mergeCell ref="HKH46:HKK46"/>
    <mergeCell ref="HOD46:HOG46"/>
    <mergeCell ref="HOH46:HOK46"/>
    <mergeCell ref="HOL46:HOO46"/>
    <mergeCell ref="HOP46:HOS46"/>
    <mergeCell ref="HOT46:HOW46"/>
    <mergeCell ref="HOX46:HPA46"/>
    <mergeCell ref="HNF46:HNI46"/>
    <mergeCell ref="HNJ46:HNM46"/>
    <mergeCell ref="HNN46:HNQ46"/>
    <mergeCell ref="HNR46:HNU46"/>
    <mergeCell ref="HNV46:HNY46"/>
    <mergeCell ref="HNZ46:HOC46"/>
    <mergeCell ref="HMH46:HMK46"/>
    <mergeCell ref="HML46:HMO46"/>
    <mergeCell ref="HMP46:HMS46"/>
    <mergeCell ref="HMT46:HMW46"/>
    <mergeCell ref="HMX46:HNA46"/>
    <mergeCell ref="HNB46:HNE46"/>
    <mergeCell ref="HQX46:HRA46"/>
    <mergeCell ref="HRB46:HRE46"/>
    <mergeCell ref="HRF46:HRI46"/>
    <mergeCell ref="HRJ46:HRM46"/>
    <mergeCell ref="HRN46:HRQ46"/>
    <mergeCell ref="HRR46:HRU46"/>
    <mergeCell ref="HPZ46:HQC46"/>
    <mergeCell ref="HQD46:HQG46"/>
    <mergeCell ref="HQH46:HQK46"/>
    <mergeCell ref="HQL46:HQO46"/>
    <mergeCell ref="HQP46:HQS46"/>
    <mergeCell ref="HQT46:HQW46"/>
    <mergeCell ref="HPB46:HPE46"/>
    <mergeCell ref="HPF46:HPI46"/>
    <mergeCell ref="HPJ46:HPM46"/>
    <mergeCell ref="HPN46:HPQ46"/>
    <mergeCell ref="HPR46:HPU46"/>
    <mergeCell ref="HPV46:HPY46"/>
    <mergeCell ref="HTR46:HTU46"/>
    <mergeCell ref="HTV46:HTY46"/>
    <mergeCell ref="HTZ46:HUC46"/>
    <mergeCell ref="HUD46:HUG46"/>
    <mergeCell ref="HUH46:HUK46"/>
    <mergeCell ref="HUL46:HUO46"/>
    <mergeCell ref="HST46:HSW46"/>
    <mergeCell ref="HSX46:HTA46"/>
    <mergeCell ref="HTB46:HTE46"/>
    <mergeCell ref="HTF46:HTI46"/>
    <mergeCell ref="HTJ46:HTM46"/>
    <mergeCell ref="HTN46:HTQ46"/>
    <mergeCell ref="HRV46:HRY46"/>
    <mergeCell ref="HRZ46:HSC46"/>
    <mergeCell ref="HSD46:HSG46"/>
    <mergeCell ref="HSH46:HSK46"/>
    <mergeCell ref="HSL46:HSO46"/>
    <mergeCell ref="HSP46:HSS46"/>
    <mergeCell ref="HWL46:HWO46"/>
    <mergeCell ref="HWP46:HWS46"/>
    <mergeCell ref="HWT46:HWW46"/>
    <mergeCell ref="HWX46:HXA46"/>
    <mergeCell ref="HXB46:HXE46"/>
    <mergeCell ref="HXF46:HXI46"/>
    <mergeCell ref="HVN46:HVQ46"/>
    <mergeCell ref="HVR46:HVU46"/>
    <mergeCell ref="HVV46:HVY46"/>
    <mergeCell ref="HVZ46:HWC46"/>
    <mergeCell ref="HWD46:HWG46"/>
    <mergeCell ref="HWH46:HWK46"/>
    <mergeCell ref="HUP46:HUS46"/>
    <mergeCell ref="HUT46:HUW46"/>
    <mergeCell ref="HUX46:HVA46"/>
    <mergeCell ref="HVB46:HVE46"/>
    <mergeCell ref="HVF46:HVI46"/>
    <mergeCell ref="HVJ46:HVM46"/>
    <mergeCell ref="HZF46:HZI46"/>
    <mergeCell ref="HZJ46:HZM46"/>
    <mergeCell ref="HZN46:HZQ46"/>
    <mergeCell ref="HZR46:HZU46"/>
    <mergeCell ref="HZV46:HZY46"/>
    <mergeCell ref="HZZ46:IAC46"/>
    <mergeCell ref="HYH46:HYK46"/>
    <mergeCell ref="HYL46:HYO46"/>
    <mergeCell ref="HYP46:HYS46"/>
    <mergeCell ref="HYT46:HYW46"/>
    <mergeCell ref="HYX46:HZA46"/>
    <mergeCell ref="HZB46:HZE46"/>
    <mergeCell ref="HXJ46:HXM46"/>
    <mergeCell ref="HXN46:HXQ46"/>
    <mergeCell ref="HXR46:HXU46"/>
    <mergeCell ref="HXV46:HXY46"/>
    <mergeCell ref="HXZ46:HYC46"/>
    <mergeCell ref="HYD46:HYG46"/>
    <mergeCell ref="IBZ46:ICC46"/>
    <mergeCell ref="ICD46:ICG46"/>
    <mergeCell ref="ICH46:ICK46"/>
    <mergeCell ref="ICL46:ICO46"/>
    <mergeCell ref="ICP46:ICS46"/>
    <mergeCell ref="ICT46:ICW46"/>
    <mergeCell ref="IBB46:IBE46"/>
    <mergeCell ref="IBF46:IBI46"/>
    <mergeCell ref="IBJ46:IBM46"/>
    <mergeCell ref="IBN46:IBQ46"/>
    <mergeCell ref="IBR46:IBU46"/>
    <mergeCell ref="IBV46:IBY46"/>
    <mergeCell ref="IAD46:IAG46"/>
    <mergeCell ref="IAH46:IAK46"/>
    <mergeCell ref="IAL46:IAO46"/>
    <mergeCell ref="IAP46:IAS46"/>
    <mergeCell ref="IAT46:IAW46"/>
    <mergeCell ref="IAX46:IBA46"/>
    <mergeCell ref="IET46:IEW46"/>
    <mergeCell ref="IEX46:IFA46"/>
    <mergeCell ref="IFB46:IFE46"/>
    <mergeCell ref="IFF46:IFI46"/>
    <mergeCell ref="IFJ46:IFM46"/>
    <mergeCell ref="IFN46:IFQ46"/>
    <mergeCell ref="IDV46:IDY46"/>
    <mergeCell ref="IDZ46:IEC46"/>
    <mergeCell ref="IED46:IEG46"/>
    <mergeCell ref="IEH46:IEK46"/>
    <mergeCell ref="IEL46:IEO46"/>
    <mergeCell ref="IEP46:IES46"/>
    <mergeCell ref="ICX46:IDA46"/>
    <mergeCell ref="IDB46:IDE46"/>
    <mergeCell ref="IDF46:IDI46"/>
    <mergeCell ref="IDJ46:IDM46"/>
    <mergeCell ref="IDN46:IDQ46"/>
    <mergeCell ref="IDR46:IDU46"/>
    <mergeCell ref="IHN46:IHQ46"/>
    <mergeCell ref="IHR46:IHU46"/>
    <mergeCell ref="IHV46:IHY46"/>
    <mergeCell ref="IHZ46:IIC46"/>
    <mergeCell ref="IID46:IIG46"/>
    <mergeCell ref="IIH46:IIK46"/>
    <mergeCell ref="IGP46:IGS46"/>
    <mergeCell ref="IGT46:IGW46"/>
    <mergeCell ref="IGX46:IHA46"/>
    <mergeCell ref="IHB46:IHE46"/>
    <mergeCell ref="IHF46:IHI46"/>
    <mergeCell ref="IHJ46:IHM46"/>
    <mergeCell ref="IFR46:IFU46"/>
    <mergeCell ref="IFV46:IFY46"/>
    <mergeCell ref="IFZ46:IGC46"/>
    <mergeCell ref="IGD46:IGG46"/>
    <mergeCell ref="IGH46:IGK46"/>
    <mergeCell ref="IGL46:IGO46"/>
    <mergeCell ref="IKH46:IKK46"/>
    <mergeCell ref="IKL46:IKO46"/>
    <mergeCell ref="IKP46:IKS46"/>
    <mergeCell ref="IKT46:IKW46"/>
    <mergeCell ref="IKX46:ILA46"/>
    <mergeCell ref="ILB46:ILE46"/>
    <mergeCell ref="IJJ46:IJM46"/>
    <mergeCell ref="IJN46:IJQ46"/>
    <mergeCell ref="IJR46:IJU46"/>
    <mergeCell ref="IJV46:IJY46"/>
    <mergeCell ref="IJZ46:IKC46"/>
    <mergeCell ref="IKD46:IKG46"/>
    <mergeCell ref="IIL46:IIO46"/>
    <mergeCell ref="IIP46:IIS46"/>
    <mergeCell ref="IIT46:IIW46"/>
    <mergeCell ref="IIX46:IJA46"/>
    <mergeCell ref="IJB46:IJE46"/>
    <mergeCell ref="IJF46:IJI46"/>
    <mergeCell ref="INB46:INE46"/>
    <mergeCell ref="INF46:INI46"/>
    <mergeCell ref="INJ46:INM46"/>
    <mergeCell ref="INN46:INQ46"/>
    <mergeCell ref="INR46:INU46"/>
    <mergeCell ref="INV46:INY46"/>
    <mergeCell ref="IMD46:IMG46"/>
    <mergeCell ref="IMH46:IMK46"/>
    <mergeCell ref="IML46:IMO46"/>
    <mergeCell ref="IMP46:IMS46"/>
    <mergeCell ref="IMT46:IMW46"/>
    <mergeCell ref="IMX46:INA46"/>
    <mergeCell ref="ILF46:ILI46"/>
    <mergeCell ref="ILJ46:ILM46"/>
    <mergeCell ref="ILN46:ILQ46"/>
    <mergeCell ref="ILR46:ILU46"/>
    <mergeCell ref="ILV46:ILY46"/>
    <mergeCell ref="ILZ46:IMC46"/>
    <mergeCell ref="IPV46:IPY46"/>
    <mergeCell ref="IPZ46:IQC46"/>
    <mergeCell ref="IQD46:IQG46"/>
    <mergeCell ref="IQH46:IQK46"/>
    <mergeCell ref="IQL46:IQO46"/>
    <mergeCell ref="IQP46:IQS46"/>
    <mergeCell ref="IOX46:IPA46"/>
    <mergeCell ref="IPB46:IPE46"/>
    <mergeCell ref="IPF46:IPI46"/>
    <mergeCell ref="IPJ46:IPM46"/>
    <mergeCell ref="IPN46:IPQ46"/>
    <mergeCell ref="IPR46:IPU46"/>
    <mergeCell ref="INZ46:IOC46"/>
    <mergeCell ref="IOD46:IOG46"/>
    <mergeCell ref="IOH46:IOK46"/>
    <mergeCell ref="IOL46:IOO46"/>
    <mergeCell ref="IOP46:IOS46"/>
    <mergeCell ref="IOT46:IOW46"/>
    <mergeCell ref="ISP46:ISS46"/>
    <mergeCell ref="IST46:ISW46"/>
    <mergeCell ref="ISX46:ITA46"/>
    <mergeCell ref="ITB46:ITE46"/>
    <mergeCell ref="ITF46:ITI46"/>
    <mergeCell ref="ITJ46:ITM46"/>
    <mergeCell ref="IRR46:IRU46"/>
    <mergeCell ref="IRV46:IRY46"/>
    <mergeCell ref="IRZ46:ISC46"/>
    <mergeCell ref="ISD46:ISG46"/>
    <mergeCell ref="ISH46:ISK46"/>
    <mergeCell ref="ISL46:ISO46"/>
    <mergeCell ref="IQT46:IQW46"/>
    <mergeCell ref="IQX46:IRA46"/>
    <mergeCell ref="IRB46:IRE46"/>
    <mergeCell ref="IRF46:IRI46"/>
    <mergeCell ref="IRJ46:IRM46"/>
    <mergeCell ref="IRN46:IRQ46"/>
    <mergeCell ref="IVJ46:IVM46"/>
    <mergeCell ref="IVN46:IVQ46"/>
    <mergeCell ref="IVR46:IVU46"/>
    <mergeCell ref="IVV46:IVY46"/>
    <mergeCell ref="IVZ46:IWC46"/>
    <mergeCell ref="IWD46:IWG46"/>
    <mergeCell ref="IUL46:IUO46"/>
    <mergeCell ref="IUP46:IUS46"/>
    <mergeCell ref="IUT46:IUW46"/>
    <mergeCell ref="IUX46:IVA46"/>
    <mergeCell ref="IVB46:IVE46"/>
    <mergeCell ref="IVF46:IVI46"/>
    <mergeCell ref="ITN46:ITQ46"/>
    <mergeCell ref="ITR46:ITU46"/>
    <mergeCell ref="ITV46:ITY46"/>
    <mergeCell ref="ITZ46:IUC46"/>
    <mergeCell ref="IUD46:IUG46"/>
    <mergeCell ref="IUH46:IUK46"/>
    <mergeCell ref="IYD46:IYG46"/>
    <mergeCell ref="IYH46:IYK46"/>
    <mergeCell ref="IYL46:IYO46"/>
    <mergeCell ref="IYP46:IYS46"/>
    <mergeCell ref="IYT46:IYW46"/>
    <mergeCell ref="IYX46:IZA46"/>
    <mergeCell ref="IXF46:IXI46"/>
    <mergeCell ref="IXJ46:IXM46"/>
    <mergeCell ref="IXN46:IXQ46"/>
    <mergeCell ref="IXR46:IXU46"/>
    <mergeCell ref="IXV46:IXY46"/>
    <mergeCell ref="IXZ46:IYC46"/>
    <mergeCell ref="IWH46:IWK46"/>
    <mergeCell ref="IWL46:IWO46"/>
    <mergeCell ref="IWP46:IWS46"/>
    <mergeCell ref="IWT46:IWW46"/>
    <mergeCell ref="IWX46:IXA46"/>
    <mergeCell ref="IXB46:IXE46"/>
    <mergeCell ref="JAX46:JBA46"/>
    <mergeCell ref="JBB46:JBE46"/>
    <mergeCell ref="JBF46:JBI46"/>
    <mergeCell ref="JBJ46:JBM46"/>
    <mergeCell ref="JBN46:JBQ46"/>
    <mergeCell ref="JBR46:JBU46"/>
    <mergeCell ref="IZZ46:JAC46"/>
    <mergeCell ref="JAD46:JAG46"/>
    <mergeCell ref="JAH46:JAK46"/>
    <mergeCell ref="JAL46:JAO46"/>
    <mergeCell ref="JAP46:JAS46"/>
    <mergeCell ref="JAT46:JAW46"/>
    <mergeCell ref="IZB46:IZE46"/>
    <mergeCell ref="IZF46:IZI46"/>
    <mergeCell ref="IZJ46:IZM46"/>
    <mergeCell ref="IZN46:IZQ46"/>
    <mergeCell ref="IZR46:IZU46"/>
    <mergeCell ref="IZV46:IZY46"/>
    <mergeCell ref="JDR46:JDU46"/>
    <mergeCell ref="JDV46:JDY46"/>
    <mergeCell ref="JDZ46:JEC46"/>
    <mergeCell ref="JED46:JEG46"/>
    <mergeCell ref="JEH46:JEK46"/>
    <mergeCell ref="JEL46:JEO46"/>
    <mergeCell ref="JCT46:JCW46"/>
    <mergeCell ref="JCX46:JDA46"/>
    <mergeCell ref="JDB46:JDE46"/>
    <mergeCell ref="JDF46:JDI46"/>
    <mergeCell ref="JDJ46:JDM46"/>
    <mergeCell ref="JDN46:JDQ46"/>
    <mergeCell ref="JBV46:JBY46"/>
    <mergeCell ref="JBZ46:JCC46"/>
    <mergeCell ref="JCD46:JCG46"/>
    <mergeCell ref="JCH46:JCK46"/>
    <mergeCell ref="JCL46:JCO46"/>
    <mergeCell ref="JCP46:JCS46"/>
    <mergeCell ref="JGL46:JGO46"/>
    <mergeCell ref="JGP46:JGS46"/>
    <mergeCell ref="JGT46:JGW46"/>
    <mergeCell ref="JGX46:JHA46"/>
    <mergeCell ref="JHB46:JHE46"/>
    <mergeCell ref="JHF46:JHI46"/>
    <mergeCell ref="JFN46:JFQ46"/>
    <mergeCell ref="JFR46:JFU46"/>
    <mergeCell ref="JFV46:JFY46"/>
    <mergeCell ref="JFZ46:JGC46"/>
    <mergeCell ref="JGD46:JGG46"/>
    <mergeCell ref="JGH46:JGK46"/>
    <mergeCell ref="JEP46:JES46"/>
    <mergeCell ref="JET46:JEW46"/>
    <mergeCell ref="JEX46:JFA46"/>
    <mergeCell ref="JFB46:JFE46"/>
    <mergeCell ref="JFF46:JFI46"/>
    <mergeCell ref="JFJ46:JFM46"/>
    <mergeCell ref="JJF46:JJI46"/>
    <mergeCell ref="JJJ46:JJM46"/>
    <mergeCell ref="JJN46:JJQ46"/>
    <mergeCell ref="JJR46:JJU46"/>
    <mergeCell ref="JJV46:JJY46"/>
    <mergeCell ref="JJZ46:JKC46"/>
    <mergeCell ref="JIH46:JIK46"/>
    <mergeCell ref="JIL46:JIO46"/>
    <mergeCell ref="JIP46:JIS46"/>
    <mergeCell ref="JIT46:JIW46"/>
    <mergeCell ref="JIX46:JJA46"/>
    <mergeCell ref="JJB46:JJE46"/>
    <mergeCell ref="JHJ46:JHM46"/>
    <mergeCell ref="JHN46:JHQ46"/>
    <mergeCell ref="JHR46:JHU46"/>
    <mergeCell ref="JHV46:JHY46"/>
    <mergeCell ref="JHZ46:JIC46"/>
    <mergeCell ref="JID46:JIG46"/>
    <mergeCell ref="JLZ46:JMC46"/>
    <mergeCell ref="JMD46:JMG46"/>
    <mergeCell ref="JMH46:JMK46"/>
    <mergeCell ref="JML46:JMO46"/>
    <mergeCell ref="JMP46:JMS46"/>
    <mergeCell ref="JMT46:JMW46"/>
    <mergeCell ref="JLB46:JLE46"/>
    <mergeCell ref="JLF46:JLI46"/>
    <mergeCell ref="JLJ46:JLM46"/>
    <mergeCell ref="JLN46:JLQ46"/>
    <mergeCell ref="JLR46:JLU46"/>
    <mergeCell ref="JLV46:JLY46"/>
    <mergeCell ref="JKD46:JKG46"/>
    <mergeCell ref="JKH46:JKK46"/>
    <mergeCell ref="JKL46:JKO46"/>
    <mergeCell ref="JKP46:JKS46"/>
    <mergeCell ref="JKT46:JKW46"/>
    <mergeCell ref="JKX46:JLA46"/>
    <mergeCell ref="JOT46:JOW46"/>
    <mergeCell ref="JOX46:JPA46"/>
    <mergeCell ref="JPB46:JPE46"/>
    <mergeCell ref="JPF46:JPI46"/>
    <mergeCell ref="JPJ46:JPM46"/>
    <mergeCell ref="JPN46:JPQ46"/>
    <mergeCell ref="JNV46:JNY46"/>
    <mergeCell ref="JNZ46:JOC46"/>
    <mergeCell ref="JOD46:JOG46"/>
    <mergeCell ref="JOH46:JOK46"/>
    <mergeCell ref="JOL46:JOO46"/>
    <mergeCell ref="JOP46:JOS46"/>
    <mergeCell ref="JMX46:JNA46"/>
    <mergeCell ref="JNB46:JNE46"/>
    <mergeCell ref="JNF46:JNI46"/>
    <mergeCell ref="JNJ46:JNM46"/>
    <mergeCell ref="JNN46:JNQ46"/>
    <mergeCell ref="JNR46:JNU46"/>
    <mergeCell ref="JRN46:JRQ46"/>
    <mergeCell ref="JRR46:JRU46"/>
    <mergeCell ref="JRV46:JRY46"/>
    <mergeCell ref="JRZ46:JSC46"/>
    <mergeCell ref="JSD46:JSG46"/>
    <mergeCell ref="JSH46:JSK46"/>
    <mergeCell ref="JQP46:JQS46"/>
    <mergeCell ref="JQT46:JQW46"/>
    <mergeCell ref="JQX46:JRA46"/>
    <mergeCell ref="JRB46:JRE46"/>
    <mergeCell ref="JRF46:JRI46"/>
    <mergeCell ref="JRJ46:JRM46"/>
    <mergeCell ref="JPR46:JPU46"/>
    <mergeCell ref="JPV46:JPY46"/>
    <mergeCell ref="JPZ46:JQC46"/>
    <mergeCell ref="JQD46:JQG46"/>
    <mergeCell ref="JQH46:JQK46"/>
    <mergeCell ref="JQL46:JQO46"/>
    <mergeCell ref="JUH46:JUK46"/>
    <mergeCell ref="JUL46:JUO46"/>
    <mergeCell ref="JUP46:JUS46"/>
    <mergeCell ref="JUT46:JUW46"/>
    <mergeCell ref="JUX46:JVA46"/>
    <mergeCell ref="JVB46:JVE46"/>
    <mergeCell ref="JTJ46:JTM46"/>
    <mergeCell ref="JTN46:JTQ46"/>
    <mergeCell ref="JTR46:JTU46"/>
    <mergeCell ref="JTV46:JTY46"/>
    <mergeCell ref="JTZ46:JUC46"/>
    <mergeCell ref="JUD46:JUG46"/>
    <mergeCell ref="JSL46:JSO46"/>
    <mergeCell ref="JSP46:JSS46"/>
    <mergeCell ref="JST46:JSW46"/>
    <mergeCell ref="JSX46:JTA46"/>
    <mergeCell ref="JTB46:JTE46"/>
    <mergeCell ref="JTF46:JTI46"/>
    <mergeCell ref="JXB46:JXE46"/>
    <mergeCell ref="JXF46:JXI46"/>
    <mergeCell ref="JXJ46:JXM46"/>
    <mergeCell ref="JXN46:JXQ46"/>
    <mergeCell ref="JXR46:JXU46"/>
    <mergeCell ref="JXV46:JXY46"/>
    <mergeCell ref="JWD46:JWG46"/>
    <mergeCell ref="JWH46:JWK46"/>
    <mergeCell ref="JWL46:JWO46"/>
    <mergeCell ref="JWP46:JWS46"/>
    <mergeCell ref="JWT46:JWW46"/>
    <mergeCell ref="JWX46:JXA46"/>
    <mergeCell ref="JVF46:JVI46"/>
    <mergeCell ref="JVJ46:JVM46"/>
    <mergeCell ref="JVN46:JVQ46"/>
    <mergeCell ref="JVR46:JVU46"/>
    <mergeCell ref="JVV46:JVY46"/>
    <mergeCell ref="JVZ46:JWC46"/>
    <mergeCell ref="JZV46:JZY46"/>
    <mergeCell ref="JZZ46:KAC46"/>
    <mergeCell ref="KAD46:KAG46"/>
    <mergeCell ref="KAH46:KAK46"/>
    <mergeCell ref="KAL46:KAO46"/>
    <mergeCell ref="KAP46:KAS46"/>
    <mergeCell ref="JYX46:JZA46"/>
    <mergeCell ref="JZB46:JZE46"/>
    <mergeCell ref="JZF46:JZI46"/>
    <mergeCell ref="JZJ46:JZM46"/>
    <mergeCell ref="JZN46:JZQ46"/>
    <mergeCell ref="JZR46:JZU46"/>
    <mergeCell ref="JXZ46:JYC46"/>
    <mergeCell ref="JYD46:JYG46"/>
    <mergeCell ref="JYH46:JYK46"/>
    <mergeCell ref="JYL46:JYO46"/>
    <mergeCell ref="JYP46:JYS46"/>
    <mergeCell ref="JYT46:JYW46"/>
    <mergeCell ref="KCP46:KCS46"/>
    <mergeCell ref="KCT46:KCW46"/>
    <mergeCell ref="KCX46:KDA46"/>
    <mergeCell ref="KDB46:KDE46"/>
    <mergeCell ref="KDF46:KDI46"/>
    <mergeCell ref="KDJ46:KDM46"/>
    <mergeCell ref="KBR46:KBU46"/>
    <mergeCell ref="KBV46:KBY46"/>
    <mergeCell ref="KBZ46:KCC46"/>
    <mergeCell ref="KCD46:KCG46"/>
    <mergeCell ref="KCH46:KCK46"/>
    <mergeCell ref="KCL46:KCO46"/>
    <mergeCell ref="KAT46:KAW46"/>
    <mergeCell ref="KAX46:KBA46"/>
    <mergeCell ref="KBB46:KBE46"/>
    <mergeCell ref="KBF46:KBI46"/>
    <mergeCell ref="KBJ46:KBM46"/>
    <mergeCell ref="KBN46:KBQ46"/>
    <mergeCell ref="KFJ46:KFM46"/>
    <mergeCell ref="KFN46:KFQ46"/>
    <mergeCell ref="KFR46:KFU46"/>
    <mergeCell ref="KFV46:KFY46"/>
    <mergeCell ref="KFZ46:KGC46"/>
    <mergeCell ref="KGD46:KGG46"/>
    <mergeCell ref="KEL46:KEO46"/>
    <mergeCell ref="KEP46:KES46"/>
    <mergeCell ref="KET46:KEW46"/>
    <mergeCell ref="KEX46:KFA46"/>
    <mergeCell ref="KFB46:KFE46"/>
    <mergeCell ref="KFF46:KFI46"/>
    <mergeCell ref="KDN46:KDQ46"/>
    <mergeCell ref="KDR46:KDU46"/>
    <mergeCell ref="KDV46:KDY46"/>
    <mergeCell ref="KDZ46:KEC46"/>
    <mergeCell ref="KED46:KEG46"/>
    <mergeCell ref="KEH46:KEK46"/>
    <mergeCell ref="KID46:KIG46"/>
    <mergeCell ref="KIH46:KIK46"/>
    <mergeCell ref="KIL46:KIO46"/>
    <mergeCell ref="KIP46:KIS46"/>
    <mergeCell ref="KIT46:KIW46"/>
    <mergeCell ref="KIX46:KJA46"/>
    <mergeCell ref="KHF46:KHI46"/>
    <mergeCell ref="KHJ46:KHM46"/>
    <mergeCell ref="KHN46:KHQ46"/>
    <mergeCell ref="KHR46:KHU46"/>
    <mergeCell ref="KHV46:KHY46"/>
    <mergeCell ref="KHZ46:KIC46"/>
    <mergeCell ref="KGH46:KGK46"/>
    <mergeCell ref="KGL46:KGO46"/>
    <mergeCell ref="KGP46:KGS46"/>
    <mergeCell ref="KGT46:KGW46"/>
    <mergeCell ref="KGX46:KHA46"/>
    <mergeCell ref="KHB46:KHE46"/>
    <mergeCell ref="KKX46:KLA46"/>
    <mergeCell ref="KLB46:KLE46"/>
    <mergeCell ref="KLF46:KLI46"/>
    <mergeCell ref="KLJ46:KLM46"/>
    <mergeCell ref="KLN46:KLQ46"/>
    <mergeCell ref="KLR46:KLU46"/>
    <mergeCell ref="KJZ46:KKC46"/>
    <mergeCell ref="KKD46:KKG46"/>
    <mergeCell ref="KKH46:KKK46"/>
    <mergeCell ref="KKL46:KKO46"/>
    <mergeCell ref="KKP46:KKS46"/>
    <mergeCell ref="KKT46:KKW46"/>
    <mergeCell ref="KJB46:KJE46"/>
    <mergeCell ref="KJF46:KJI46"/>
    <mergeCell ref="KJJ46:KJM46"/>
    <mergeCell ref="KJN46:KJQ46"/>
    <mergeCell ref="KJR46:KJU46"/>
    <mergeCell ref="KJV46:KJY46"/>
    <mergeCell ref="KNR46:KNU46"/>
    <mergeCell ref="KNV46:KNY46"/>
    <mergeCell ref="KNZ46:KOC46"/>
    <mergeCell ref="KOD46:KOG46"/>
    <mergeCell ref="KOH46:KOK46"/>
    <mergeCell ref="KOL46:KOO46"/>
    <mergeCell ref="KMT46:KMW46"/>
    <mergeCell ref="KMX46:KNA46"/>
    <mergeCell ref="KNB46:KNE46"/>
    <mergeCell ref="KNF46:KNI46"/>
    <mergeCell ref="KNJ46:KNM46"/>
    <mergeCell ref="KNN46:KNQ46"/>
    <mergeCell ref="KLV46:KLY46"/>
    <mergeCell ref="KLZ46:KMC46"/>
    <mergeCell ref="KMD46:KMG46"/>
    <mergeCell ref="KMH46:KMK46"/>
    <mergeCell ref="KML46:KMO46"/>
    <mergeCell ref="KMP46:KMS46"/>
    <mergeCell ref="KQL46:KQO46"/>
    <mergeCell ref="KQP46:KQS46"/>
    <mergeCell ref="KQT46:KQW46"/>
    <mergeCell ref="KQX46:KRA46"/>
    <mergeCell ref="KRB46:KRE46"/>
    <mergeCell ref="KRF46:KRI46"/>
    <mergeCell ref="KPN46:KPQ46"/>
    <mergeCell ref="KPR46:KPU46"/>
    <mergeCell ref="KPV46:KPY46"/>
    <mergeCell ref="KPZ46:KQC46"/>
    <mergeCell ref="KQD46:KQG46"/>
    <mergeCell ref="KQH46:KQK46"/>
    <mergeCell ref="KOP46:KOS46"/>
    <mergeCell ref="KOT46:KOW46"/>
    <mergeCell ref="KOX46:KPA46"/>
    <mergeCell ref="KPB46:KPE46"/>
    <mergeCell ref="KPF46:KPI46"/>
    <mergeCell ref="KPJ46:KPM46"/>
    <mergeCell ref="KTF46:KTI46"/>
    <mergeCell ref="KTJ46:KTM46"/>
    <mergeCell ref="KTN46:KTQ46"/>
    <mergeCell ref="KTR46:KTU46"/>
    <mergeCell ref="KTV46:KTY46"/>
    <mergeCell ref="KTZ46:KUC46"/>
    <mergeCell ref="KSH46:KSK46"/>
    <mergeCell ref="KSL46:KSO46"/>
    <mergeCell ref="KSP46:KSS46"/>
    <mergeCell ref="KST46:KSW46"/>
    <mergeCell ref="KSX46:KTA46"/>
    <mergeCell ref="KTB46:KTE46"/>
    <mergeCell ref="KRJ46:KRM46"/>
    <mergeCell ref="KRN46:KRQ46"/>
    <mergeCell ref="KRR46:KRU46"/>
    <mergeCell ref="KRV46:KRY46"/>
    <mergeCell ref="KRZ46:KSC46"/>
    <mergeCell ref="KSD46:KSG46"/>
    <mergeCell ref="KVZ46:KWC46"/>
    <mergeCell ref="KWD46:KWG46"/>
    <mergeCell ref="KWH46:KWK46"/>
    <mergeCell ref="KWL46:KWO46"/>
    <mergeCell ref="KWP46:KWS46"/>
    <mergeCell ref="KWT46:KWW46"/>
    <mergeCell ref="KVB46:KVE46"/>
    <mergeCell ref="KVF46:KVI46"/>
    <mergeCell ref="KVJ46:KVM46"/>
    <mergeCell ref="KVN46:KVQ46"/>
    <mergeCell ref="KVR46:KVU46"/>
    <mergeCell ref="KVV46:KVY46"/>
    <mergeCell ref="KUD46:KUG46"/>
    <mergeCell ref="KUH46:KUK46"/>
    <mergeCell ref="KUL46:KUO46"/>
    <mergeCell ref="KUP46:KUS46"/>
    <mergeCell ref="KUT46:KUW46"/>
    <mergeCell ref="KUX46:KVA46"/>
    <mergeCell ref="KYT46:KYW46"/>
    <mergeCell ref="KYX46:KZA46"/>
    <mergeCell ref="KZB46:KZE46"/>
    <mergeCell ref="KZF46:KZI46"/>
    <mergeCell ref="KZJ46:KZM46"/>
    <mergeCell ref="KZN46:KZQ46"/>
    <mergeCell ref="KXV46:KXY46"/>
    <mergeCell ref="KXZ46:KYC46"/>
    <mergeCell ref="KYD46:KYG46"/>
    <mergeCell ref="KYH46:KYK46"/>
    <mergeCell ref="KYL46:KYO46"/>
    <mergeCell ref="KYP46:KYS46"/>
    <mergeCell ref="KWX46:KXA46"/>
    <mergeCell ref="KXB46:KXE46"/>
    <mergeCell ref="KXF46:KXI46"/>
    <mergeCell ref="KXJ46:KXM46"/>
    <mergeCell ref="KXN46:KXQ46"/>
    <mergeCell ref="KXR46:KXU46"/>
    <mergeCell ref="LBN46:LBQ46"/>
    <mergeCell ref="LBR46:LBU46"/>
    <mergeCell ref="LBV46:LBY46"/>
    <mergeCell ref="LBZ46:LCC46"/>
    <mergeCell ref="LCD46:LCG46"/>
    <mergeCell ref="LCH46:LCK46"/>
    <mergeCell ref="LAP46:LAS46"/>
    <mergeCell ref="LAT46:LAW46"/>
    <mergeCell ref="LAX46:LBA46"/>
    <mergeCell ref="LBB46:LBE46"/>
    <mergeCell ref="LBF46:LBI46"/>
    <mergeCell ref="LBJ46:LBM46"/>
    <mergeCell ref="KZR46:KZU46"/>
    <mergeCell ref="KZV46:KZY46"/>
    <mergeCell ref="KZZ46:LAC46"/>
    <mergeCell ref="LAD46:LAG46"/>
    <mergeCell ref="LAH46:LAK46"/>
    <mergeCell ref="LAL46:LAO46"/>
    <mergeCell ref="LEH46:LEK46"/>
    <mergeCell ref="LEL46:LEO46"/>
    <mergeCell ref="LEP46:LES46"/>
    <mergeCell ref="LET46:LEW46"/>
    <mergeCell ref="LEX46:LFA46"/>
    <mergeCell ref="LFB46:LFE46"/>
    <mergeCell ref="LDJ46:LDM46"/>
    <mergeCell ref="LDN46:LDQ46"/>
    <mergeCell ref="LDR46:LDU46"/>
    <mergeCell ref="LDV46:LDY46"/>
    <mergeCell ref="LDZ46:LEC46"/>
    <mergeCell ref="LED46:LEG46"/>
    <mergeCell ref="LCL46:LCO46"/>
    <mergeCell ref="LCP46:LCS46"/>
    <mergeCell ref="LCT46:LCW46"/>
    <mergeCell ref="LCX46:LDA46"/>
    <mergeCell ref="LDB46:LDE46"/>
    <mergeCell ref="LDF46:LDI46"/>
    <mergeCell ref="LHB46:LHE46"/>
    <mergeCell ref="LHF46:LHI46"/>
    <mergeCell ref="LHJ46:LHM46"/>
    <mergeCell ref="LHN46:LHQ46"/>
    <mergeCell ref="LHR46:LHU46"/>
    <mergeCell ref="LHV46:LHY46"/>
    <mergeCell ref="LGD46:LGG46"/>
    <mergeCell ref="LGH46:LGK46"/>
    <mergeCell ref="LGL46:LGO46"/>
    <mergeCell ref="LGP46:LGS46"/>
    <mergeCell ref="LGT46:LGW46"/>
    <mergeCell ref="LGX46:LHA46"/>
    <mergeCell ref="LFF46:LFI46"/>
    <mergeCell ref="LFJ46:LFM46"/>
    <mergeCell ref="LFN46:LFQ46"/>
    <mergeCell ref="LFR46:LFU46"/>
    <mergeCell ref="LFV46:LFY46"/>
    <mergeCell ref="LFZ46:LGC46"/>
    <mergeCell ref="LJV46:LJY46"/>
    <mergeCell ref="LJZ46:LKC46"/>
    <mergeCell ref="LKD46:LKG46"/>
    <mergeCell ref="LKH46:LKK46"/>
    <mergeCell ref="LKL46:LKO46"/>
    <mergeCell ref="LKP46:LKS46"/>
    <mergeCell ref="LIX46:LJA46"/>
    <mergeCell ref="LJB46:LJE46"/>
    <mergeCell ref="LJF46:LJI46"/>
    <mergeCell ref="LJJ46:LJM46"/>
    <mergeCell ref="LJN46:LJQ46"/>
    <mergeCell ref="LJR46:LJU46"/>
    <mergeCell ref="LHZ46:LIC46"/>
    <mergeCell ref="LID46:LIG46"/>
    <mergeCell ref="LIH46:LIK46"/>
    <mergeCell ref="LIL46:LIO46"/>
    <mergeCell ref="LIP46:LIS46"/>
    <mergeCell ref="LIT46:LIW46"/>
    <mergeCell ref="LMP46:LMS46"/>
    <mergeCell ref="LMT46:LMW46"/>
    <mergeCell ref="LMX46:LNA46"/>
    <mergeCell ref="LNB46:LNE46"/>
    <mergeCell ref="LNF46:LNI46"/>
    <mergeCell ref="LNJ46:LNM46"/>
    <mergeCell ref="LLR46:LLU46"/>
    <mergeCell ref="LLV46:LLY46"/>
    <mergeCell ref="LLZ46:LMC46"/>
    <mergeCell ref="LMD46:LMG46"/>
    <mergeCell ref="LMH46:LMK46"/>
    <mergeCell ref="LML46:LMO46"/>
    <mergeCell ref="LKT46:LKW46"/>
    <mergeCell ref="LKX46:LLA46"/>
    <mergeCell ref="LLB46:LLE46"/>
    <mergeCell ref="LLF46:LLI46"/>
    <mergeCell ref="LLJ46:LLM46"/>
    <mergeCell ref="LLN46:LLQ46"/>
    <mergeCell ref="LPJ46:LPM46"/>
    <mergeCell ref="LPN46:LPQ46"/>
    <mergeCell ref="LPR46:LPU46"/>
    <mergeCell ref="LPV46:LPY46"/>
    <mergeCell ref="LPZ46:LQC46"/>
    <mergeCell ref="LQD46:LQG46"/>
    <mergeCell ref="LOL46:LOO46"/>
    <mergeCell ref="LOP46:LOS46"/>
    <mergeCell ref="LOT46:LOW46"/>
    <mergeCell ref="LOX46:LPA46"/>
    <mergeCell ref="LPB46:LPE46"/>
    <mergeCell ref="LPF46:LPI46"/>
    <mergeCell ref="LNN46:LNQ46"/>
    <mergeCell ref="LNR46:LNU46"/>
    <mergeCell ref="LNV46:LNY46"/>
    <mergeCell ref="LNZ46:LOC46"/>
    <mergeCell ref="LOD46:LOG46"/>
    <mergeCell ref="LOH46:LOK46"/>
    <mergeCell ref="LSD46:LSG46"/>
    <mergeCell ref="LSH46:LSK46"/>
    <mergeCell ref="LSL46:LSO46"/>
    <mergeCell ref="LSP46:LSS46"/>
    <mergeCell ref="LST46:LSW46"/>
    <mergeCell ref="LSX46:LTA46"/>
    <mergeCell ref="LRF46:LRI46"/>
    <mergeCell ref="LRJ46:LRM46"/>
    <mergeCell ref="LRN46:LRQ46"/>
    <mergeCell ref="LRR46:LRU46"/>
    <mergeCell ref="LRV46:LRY46"/>
    <mergeCell ref="LRZ46:LSC46"/>
    <mergeCell ref="LQH46:LQK46"/>
    <mergeCell ref="LQL46:LQO46"/>
    <mergeCell ref="LQP46:LQS46"/>
    <mergeCell ref="LQT46:LQW46"/>
    <mergeCell ref="LQX46:LRA46"/>
    <mergeCell ref="LRB46:LRE46"/>
    <mergeCell ref="LUX46:LVA46"/>
    <mergeCell ref="LVB46:LVE46"/>
    <mergeCell ref="LVF46:LVI46"/>
    <mergeCell ref="LVJ46:LVM46"/>
    <mergeCell ref="LVN46:LVQ46"/>
    <mergeCell ref="LVR46:LVU46"/>
    <mergeCell ref="LTZ46:LUC46"/>
    <mergeCell ref="LUD46:LUG46"/>
    <mergeCell ref="LUH46:LUK46"/>
    <mergeCell ref="LUL46:LUO46"/>
    <mergeCell ref="LUP46:LUS46"/>
    <mergeCell ref="LUT46:LUW46"/>
    <mergeCell ref="LTB46:LTE46"/>
    <mergeCell ref="LTF46:LTI46"/>
    <mergeCell ref="LTJ46:LTM46"/>
    <mergeCell ref="LTN46:LTQ46"/>
    <mergeCell ref="LTR46:LTU46"/>
    <mergeCell ref="LTV46:LTY46"/>
    <mergeCell ref="LXR46:LXU46"/>
    <mergeCell ref="LXV46:LXY46"/>
    <mergeCell ref="LXZ46:LYC46"/>
    <mergeCell ref="LYD46:LYG46"/>
    <mergeCell ref="LYH46:LYK46"/>
    <mergeCell ref="LYL46:LYO46"/>
    <mergeCell ref="LWT46:LWW46"/>
    <mergeCell ref="LWX46:LXA46"/>
    <mergeCell ref="LXB46:LXE46"/>
    <mergeCell ref="LXF46:LXI46"/>
    <mergeCell ref="LXJ46:LXM46"/>
    <mergeCell ref="LXN46:LXQ46"/>
    <mergeCell ref="LVV46:LVY46"/>
    <mergeCell ref="LVZ46:LWC46"/>
    <mergeCell ref="LWD46:LWG46"/>
    <mergeCell ref="LWH46:LWK46"/>
    <mergeCell ref="LWL46:LWO46"/>
    <mergeCell ref="LWP46:LWS46"/>
    <mergeCell ref="MAL46:MAO46"/>
    <mergeCell ref="MAP46:MAS46"/>
    <mergeCell ref="MAT46:MAW46"/>
    <mergeCell ref="MAX46:MBA46"/>
    <mergeCell ref="MBB46:MBE46"/>
    <mergeCell ref="MBF46:MBI46"/>
    <mergeCell ref="LZN46:LZQ46"/>
    <mergeCell ref="LZR46:LZU46"/>
    <mergeCell ref="LZV46:LZY46"/>
    <mergeCell ref="LZZ46:MAC46"/>
    <mergeCell ref="MAD46:MAG46"/>
    <mergeCell ref="MAH46:MAK46"/>
    <mergeCell ref="LYP46:LYS46"/>
    <mergeCell ref="LYT46:LYW46"/>
    <mergeCell ref="LYX46:LZA46"/>
    <mergeCell ref="LZB46:LZE46"/>
    <mergeCell ref="LZF46:LZI46"/>
    <mergeCell ref="LZJ46:LZM46"/>
    <mergeCell ref="MDF46:MDI46"/>
    <mergeCell ref="MDJ46:MDM46"/>
    <mergeCell ref="MDN46:MDQ46"/>
    <mergeCell ref="MDR46:MDU46"/>
    <mergeCell ref="MDV46:MDY46"/>
    <mergeCell ref="MDZ46:MEC46"/>
    <mergeCell ref="MCH46:MCK46"/>
    <mergeCell ref="MCL46:MCO46"/>
    <mergeCell ref="MCP46:MCS46"/>
    <mergeCell ref="MCT46:MCW46"/>
    <mergeCell ref="MCX46:MDA46"/>
    <mergeCell ref="MDB46:MDE46"/>
    <mergeCell ref="MBJ46:MBM46"/>
    <mergeCell ref="MBN46:MBQ46"/>
    <mergeCell ref="MBR46:MBU46"/>
    <mergeCell ref="MBV46:MBY46"/>
    <mergeCell ref="MBZ46:MCC46"/>
    <mergeCell ref="MCD46:MCG46"/>
    <mergeCell ref="MFZ46:MGC46"/>
    <mergeCell ref="MGD46:MGG46"/>
    <mergeCell ref="MGH46:MGK46"/>
    <mergeCell ref="MGL46:MGO46"/>
    <mergeCell ref="MGP46:MGS46"/>
    <mergeCell ref="MGT46:MGW46"/>
    <mergeCell ref="MFB46:MFE46"/>
    <mergeCell ref="MFF46:MFI46"/>
    <mergeCell ref="MFJ46:MFM46"/>
    <mergeCell ref="MFN46:MFQ46"/>
    <mergeCell ref="MFR46:MFU46"/>
    <mergeCell ref="MFV46:MFY46"/>
    <mergeCell ref="MED46:MEG46"/>
    <mergeCell ref="MEH46:MEK46"/>
    <mergeCell ref="MEL46:MEO46"/>
    <mergeCell ref="MEP46:MES46"/>
    <mergeCell ref="MET46:MEW46"/>
    <mergeCell ref="MEX46:MFA46"/>
    <mergeCell ref="MIT46:MIW46"/>
    <mergeCell ref="MIX46:MJA46"/>
    <mergeCell ref="MJB46:MJE46"/>
    <mergeCell ref="MJF46:MJI46"/>
    <mergeCell ref="MJJ46:MJM46"/>
    <mergeCell ref="MJN46:MJQ46"/>
    <mergeCell ref="MHV46:MHY46"/>
    <mergeCell ref="MHZ46:MIC46"/>
    <mergeCell ref="MID46:MIG46"/>
    <mergeCell ref="MIH46:MIK46"/>
    <mergeCell ref="MIL46:MIO46"/>
    <mergeCell ref="MIP46:MIS46"/>
    <mergeCell ref="MGX46:MHA46"/>
    <mergeCell ref="MHB46:MHE46"/>
    <mergeCell ref="MHF46:MHI46"/>
    <mergeCell ref="MHJ46:MHM46"/>
    <mergeCell ref="MHN46:MHQ46"/>
    <mergeCell ref="MHR46:MHU46"/>
    <mergeCell ref="MLN46:MLQ46"/>
    <mergeCell ref="MLR46:MLU46"/>
    <mergeCell ref="MLV46:MLY46"/>
    <mergeCell ref="MLZ46:MMC46"/>
    <mergeCell ref="MMD46:MMG46"/>
    <mergeCell ref="MMH46:MMK46"/>
    <mergeCell ref="MKP46:MKS46"/>
    <mergeCell ref="MKT46:MKW46"/>
    <mergeCell ref="MKX46:MLA46"/>
    <mergeCell ref="MLB46:MLE46"/>
    <mergeCell ref="MLF46:MLI46"/>
    <mergeCell ref="MLJ46:MLM46"/>
    <mergeCell ref="MJR46:MJU46"/>
    <mergeCell ref="MJV46:MJY46"/>
    <mergeCell ref="MJZ46:MKC46"/>
    <mergeCell ref="MKD46:MKG46"/>
    <mergeCell ref="MKH46:MKK46"/>
    <mergeCell ref="MKL46:MKO46"/>
    <mergeCell ref="MOH46:MOK46"/>
    <mergeCell ref="MOL46:MOO46"/>
    <mergeCell ref="MOP46:MOS46"/>
    <mergeCell ref="MOT46:MOW46"/>
    <mergeCell ref="MOX46:MPA46"/>
    <mergeCell ref="MPB46:MPE46"/>
    <mergeCell ref="MNJ46:MNM46"/>
    <mergeCell ref="MNN46:MNQ46"/>
    <mergeCell ref="MNR46:MNU46"/>
    <mergeCell ref="MNV46:MNY46"/>
    <mergeCell ref="MNZ46:MOC46"/>
    <mergeCell ref="MOD46:MOG46"/>
    <mergeCell ref="MML46:MMO46"/>
    <mergeCell ref="MMP46:MMS46"/>
    <mergeCell ref="MMT46:MMW46"/>
    <mergeCell ref="MMX46:MNA46"/>
    <mergeCell ref="MNB46:MNE46"/>
    <mergeCell ref="MNF46:MNI46"/>
    <mergeCell ref="MRB46:MRE46"/>
    <mergeCell ref="MRF46:MRI46"/>
    <mergeCell ref="MRJ46:MRM46"/>
    <mergeCell ref="MRN46:MRQ46"/>
    <mergeCell ref="MRR46:MRU46"/>
    <mergeCell ref="MRV46:MRY46"/>
    <mergeCell ref="MQD46:MQG46"/>
    <mergeCell ref="MQH46:MQK46"/>
    <mergeCell ref="MQL46:MQO46"/>
    <mergeCell ref="MQP46:MQS46"/>
    <mergeCell ref="MQT46:MQW46"/>
    <mergeCell ref="MQX46:MRA46"/>
    <mergeCell ref="MPF46:MPI46"/>
    <mergeCell ref="MPJ46:MPM46"/>
    <mergeCell ref="MPN46:MPQ46"/>
    <mergeCell ref="MPR46:MPU46"/>
    <mergeCell ref="MPV46:MPY46"/>
    <mergeCell ref="MPZ46:MQC46"/>
    <mergeCell ref="MTV46:MTY46"/>
    <mergeCell ref="MTZ46:MUC46"/>
    <mergeCell ref="MUD46:MUG46"/>
    <mergeCell ref="MUH46:MUK46"/>
    <mergeCell ref="MUL46:MUO46"/>
    <mergeCell ref="MUP46:MUS46"/>
    <mergeCell ref="MSX46:MTA46"/>
    <mergeCell ref="MTB46:MTE46"/>
    <mergeCell ref="MTF46:MTI46"/>
    <mergeCell ref="MTJ46:MTM46"/>
    <mergeCell ref="MTN46:MTQ46"/>
    <mergeCell ref="MTR46:MTU46"/>
    <mergeCell ref="MRZ46:MSC46"/>
    <mergeCell ref="MSD46:MSG46"/>
    <mergeCell ref="MSH46:MSK46"/>
    <mergeCell ref="MSL46:MSO46"/>
    <mergeCell ref="MSP46:MSS46"/>
    <mergeCell ref="MST46:MSW46"/>
    <mergeCell ref="MWP46:MWS46"/>
    <mergeCell ref="MWT46:MWW46"/>
    <mergeCell ref="MWX46:MXA46"/>
    <mergeCell ref="MXB46:MXE46"/>
    <mergeCell ref="MXF46:MXI46"/>
    <mergeCell ref="MXJ46:MXM46"/>
    <mergeCell ref="MVR46:MVU46"/>
    <mergeCell ref="MVV46:MVY46"/>
    <mergeCell ref="MVZ46:MWC46"/>
    <mergeCell ref="MWD46:MWG46"/>
    <mergeCell ref="MWH46:MWK46"/>
    <mergeCell ref="MWL46:MWO46"/>
    <mergeCell ref="MUT46:MUW46"/>
    <mergeCell ref="MUX46:MVA46"/>
    <mergeCell ref="MVB46:MVE46"/>
    <mergeCell ref="MVF46:MVI46"/>
    <mergeCell ref="MVJ46:MVM46"/>
    <mergeCell ref="MVN46:MVQ46"/>
    <mergeCell ref="MZJ46:MZM46"/>
    <mergeCell ref="MZN46:MZQ46"/>
    <mergeCell ref="MZR46:MZU46"/>
    <mergeCell ref="MZV46:MZY46"/>
    <mergeCell ref="MZZ46:NAC46"/>
    <mergeCell ref="NAD46:NAG46"/>
    <mergeCell ref="MYL46:MYO46"/>
    <mergeCell ref="MYP46:MYS46"/>
    <mergeCell ref="MYT46:MYW46"/>
    <mergeCell ref="MYX46:MZA46"/>
    <mergeCell ref="MZB46:MZE46"/>
    <mergeCell ref="MZF46:MZI46"/>
    <mergeCell ref="MXN46:MXQ46"/>
    <mergeCell ref="MXR46:MXU46"/>
    <mergeCell ref="MXV46:MXY46"/>
    <mergeCell ref="MXZ46:MYC46"/>
    <mergeCell ref="MYD46:MYG46"/>
    <mergeCell ref="MYH46:MYK46"/>
    <mergeCell ref="NCD46:NCG46"/>
    <mergeCell ref="NCH46:NCK46"/>
    <mergeCell ref="NCL46:NCO46"/>
    <mergeCell ref="NCP46:NCS46"/>
    <mergeCell ref="NCT46:NCW46"/>
    <mergeCell ref="NCX46:NDA46"/>
    <mergeCell ref="NBF46:NBI46"/>
    <mergeCell ref="NBJ46:NBM46"/>
    <mergeCell ref="NBN46:NBQ46"/>
    <mergeCell ref="NBR46:NBU46"/>
    <mergeCell ref="NBV46:NBY46"/>
    <mergeCell ref="NBZ46:NCC46"/>
    <mergeCell ref="NAH46:NAK46"/>
    <mergeCell ref="NAL46:NAO46"/>
    <mergeCell ref="NAP46:NAS46"/>
    <mergeCell ref="NAT46:NAW46"/>
    <mergeCell ref="NAX46:NBA46"/>
    <mergeCell ref="NBB46:NBE46"/>
    <mergeCell ref="NEX46:NFA46"/>
    <mergeCell ref="NFB46:NFE46"/>
    <mergeCell ref="NFF46:NFI46"/>
    <mergeCell ref="NFJ46:NFM46"/>
    <mergeCell ref="NFN46:NFQ46"/>
    <mergeCell ref="NFR46:NFU46"/>
    <mergeCell ref="NDZ46:NEC46"/>
    <mergeCell ref="NED46:NEG46"/>
    <mergeCell ref="NEH46:NEK46"/>
    <mergeCell ref="NEL46:NEO46"/>
    <mergeCell ref="NEP46:NES46"/>
    <mergeCell ref="NET46:NEW46"/>
    <mergeCell ref="NDB46:NDE46"/>
    <mergeCell ref="NDF46:NDI46"/>
    <mergeCell ref="NDJ46:NDM46"/>
    <mergeCell ref="NDN46:NDQ46"/>
    <mergeCell ref="NDR46:NDU46"/>
    <mergeCell ref="NDV46:NDY46"/>
    <mergeCell ref="NHR46:NHU46"/>
    <mergeCell ref="NHV46:NHY46"/>
    <mergeCell ref="NHZ46:NIC46"/>
    <mergeCell ref="NID46:NIG46"/>
    <mergeCell ref="NIH46:NIK46"/>
    <mergeCell ref="NIL46:NIO46"/>
    <mergeCell ref="NGT46:NGW46"/>
    <mergeCell ref="NGX46:NHA46"/>
    <mergeCell ref="NHB46:NHE46"/>
    <mergeCell ref="NHF46:NHI46"/>
    <mergeCell ref="NHJ46:NHM46"/>
    <mergeCell ref="NHN46:NHQ46"/>
    <mergeCell ref="NFV46:NFY46"/>
    <mergeCell ref="NFZ46:NGC46"/>
    <mergeCell ref="NGD46:NGG46"/>
    <mergeCell ref="NGH46:NGK46"/>
    <mergeCell ref="NGL46:NGO46"/>
    <mergeCell ref="NGP46:NGS46"/>
    <mergeCell ref="NKL46:NKO46"/>
    <mergeCell ref="NKP46:NKS46"/>
    <mergeCell ref="NKT46:NKW46"/>
    <mergeCell ref="NKX46:NLA46"/>
    <mergeCell ref="NLB46:NLE46"/>
    <mergeCell ref="NLF46:NLI46"/>
    <mergeCell ref="NJN46:NJQ46"/>
    <mergeCell ref="NJR46:NJU46"/>
    <mergeCell ref="NJV46:NJY46"/>
    <mergeCell ref="NJZ46:NKC46"/>
    <mergeCell ref="NKD46:NKG46"/>
    <mergeCell ref="NKH46:NKK46"/>
    <mergeCell ref="NIP46:NIS46"/>
    <mergeCell ref="NIT46:NIW46"/>
    <mergeCell ref="NIX46:NJA46"/>
    <mergeCell ref="NJB46:NJE46"/>
    <mergeCell ref="NJF46:NJI46"/>
    <mergeCell ref="NJJ46:NJM46"/>
    <mergeCell ref="NNF46:NNI46"/>
    <mergeCell ref="NNJ46:NNM46"/>
    <mergeCell ref="NNN46:NNQ46"/>
    <mergeCell ref="NNR46:NNU46"/>
    <mergeCell ref="NNV46:NNY46"/>
    <mergeCell ref="NNZ46:NOC46"/>
    <mergeCell ref="NMH46:NMK46"/>
    <mergeCell ref="NML46:NMO46"/>
    <mergeCell ref="NMP46:NMS46"/>
    <mergeCell ref="NMT46:NMW46"/>
    <mergeCell ref="NMX46:NNA46"/>
    <mergeCell ref="NNB46:NNE46"/>
    <mergeCell ref="NLJ46:NLM46"/>
    <mergeCell ref="NLN46:NLQ46"/>
    <mergeCell ref="NLR46:NLU46"/>
    <mergeCell ref="NLV46:NLY46"/>
    <mergeCell ref="NLZ46:NMC46"/>
    <mergeCell ref="NMD46:NMG46"/>
    <mergeCell ref="NPZ46:NQC46"/>
    <mergeCell ref="NQD46:NQG46"/>
    <mergeCell ref="NQH46:NQK46"/>
    <mergeCell ref="NQL46:NQO46"/>
    <mergeCell ref="NQP46:NQS46"/>
    <mergeCell ref="NQT46:NQW46"/>
    <mergeCell ref="NPB46:NPE46"/>
    <mergeCell ref="NPF46:NPI46"/>
    <mergeCell ref="NPJ46:NPM46"/>
    <mergeCell ref="NPN46:NPQ46"/>
    <mergeCell ref="NPR46:NPU46"/>
    <mergeCell ref="NPV46:NPY46"/>
    <mergeCell ref="NOD46:NOG46"/>
    <mergeCell ref="NOH46:NOK46"/>
    <mergeCell ref="NOL46:NOO46"/>
    <mergeCell ref="NOP46:NOS46"/>
    <mergeCell ref="NOT46:NOW46"/>
    <mergeCell ref="NOX46:NPA46"/>
    <mergeCell ref="NST46:NSW46"/>
    <mergeCell ref="NSX46:NTA46"/>
    <mergeCell ref="NTB46:NTE46"/>
    <mergeCell ref="NTF46:NTI46"/>
    <mergeCell ref="NTJ46:NTM46"/>
    <mergeCell ref="NTN46:NTQ46"/>
    <mergeCell ref="NRV46:NRY46"/>
    <mergeCell ref="NRZ46:NSC46"/>
    <mergeCell ref="NSD46:NSG46"/>
    <mergeCell ref="NSH46:NSK46"/>
    <mergeCell ref="NSL46:NSO46"/>
    <mergeCell ref="NSP46:NSS46"/>
    <mergeCell ref="NQX46:NRA46"/>
    <mergeCell ref="NRB46:NRE46"/>
    <mergeCell ref="NRF46:NRI46"/>
    <mergeCell ref="NRJ46:NRM46"/>
    <mergeCell ref="NRN46:NRQ46"/>
    <mergeCell ref="NRR46:NRU46"/>
    <mergeCell ref="NVN46:NVQ46"/>
    <mergeCell ref="NVR46:NVU46"/>
    <mergeCell ref="NVV46:NVY46"/>
    <mergeCell ref="NVZ46:NWC46"/>
    <mergeCell ref="NWD46:NWG46"/>
    <mergeCell ref="NWH46:NWK46"/>
    <mergeCell ref="NUP46:NUS46"/>
    <mergeCell ref="NUT46:NUW46"/>
    <mergeCell ref="NUX46:NVA46"/>
    <mergeCell ref="NVB46:NVE46"/>
    <mergeCell ref="NVF46:NVI46"/>
    <mergeCell ref="NVJ46:NVM46"/>
    <mergeCell ref="NTR46:NTU46"/>
    <mergeCell ref="NTV46:NTY46"/>
    <mergeCell ref="NTZ46:NUC46"/>
    <mergeCell ref="NUD46:NUG46"/>
    <mergeCell ref="NUH46:NUK46"/>
    <mergeCell ref="NUL46:NUO46"/>
    <mergeCell ref="NYH46:NYK46"/>
    <mergeCell ref="NYL46:NYO46"/>
    <mergeCell ref="NYP46:NYS46"/>
    <mergeCell ref="NYT46:NYW46"/>
    <mergeCell ref="NYX46:NZA46"/>
    <mergeCell ref="NZB46:NZE46"/>
    <mergeCell ref="NXJ46:NXM46"/>
    <mergeCell ref="NXN46:NXQ46"/>
    <mergeCell ref="NXR46:NXU46"/>
    <mergeCell ref="NXV46:NXY46"/>
    <mergeCell ref="NXZ46:NYC46"/>
    <mergeCell ref="NYD46:NYG46"/>
    <mergeCell ref="NWL46:NWO46"/>
    <mergeCell ref="NWP46:NWS46"/>
    <mergeCell ref="NWT46:NWW46"/>
    <mergeCell ref="NWX46:NXA46"/>
    <mergeCell ref="NXB46:NXE46"/>
    <mergeCell ref="NXF46:NXI46"/>
    <mergeCell ref="OBB46:OBE46"/>
    <mergeCell ref="OBF46:OBI46"/>
    <mergeCell ref="OBJ46:OBM46"/>
    <mergeCell ref="OBN46:OBQ46"/>
    <mergeCell ref="OBR46:OBU46"/>
    <mergeCell ref="OBV46:OBY46"/>
    <mergeCell ref="OAD46:OAG46"/>
    <mergeCell ref="OAH46:OAK46"/>
    <mergeCell ref="OAL46:OAO46"/>
    <mergeCell ref="OAP46:OAS46"/>
    <mergeCell ref="OAT46:OAW46"/>
    <mergeCell ref="OAX46:OBA46"/>
    <mergeCell ref="NZF46:NZI46"/>
    <mergeCell ref="NZJ46:NZM46"/>
    <mergeCell ref="NZN46:NZQ46"/>
    <mergeCell ref="NZR46:NZU46"/>
    <mergeCell ref="NZV46:NZY46"/>
    <mergeCell ref="NZZ46:OAC46"/>
    <mergeCell ref="ODV46:ODY46"/>
    <mergeCell ref="ODZ46:OEC46"/>
    <mergeCell ref="OED46:OEG46"/>
    <mergeCell ref="OEH46:OEK46"/>
    <mergeCell ref="OEL46:OEO46"/>
    <mergeCell ref="OEP46:OES46"/>
    <mergeCell ref="OCX46:ODA46"/>
    <mergeCell ref="ODB46:ODE46"/>
    <mergeCell ref="ODF46:ODI46"/>
    <mergeCell ref="ODJ46:ODM46"/>
    <mergeCell ref="ODN46:ODQ46"/>
    <mergeCell ref="ODR46:ODU46"/>
    <mergeCell ref="OBZ46:OCC46"/>
    <mergeCell ref="OCD46:OCG46"/>
    <mergeCell ref="OCH46:OCK46"/>
    <mergeCell ref="OCL46:OCO46"/>
    <mergeCell ref="OCP46:OCS46"/>
    <mergeCell ref="OCT46:OCW46"/>
    <mergeCell ref="OGP46:OGS46"/>
    <mergeCell ref="OGT46:OGW46"/>
    <mergeCell ref="OGX46:OHA46"/>
    <mergeCell ref="OHB46:OHE46"/>
    <mergeCell ref="OHF46:OHI46"/>
    <mergeCell ref="OHJ46:OHM46"/>
    <mergeCell ref="OFR46:OFU46"/>
    <mergeCell ref="OFV46:OFY46"/>
    <mergeCell ref="OFZ46:OGC46"/>
    <mergeCell ref="OGD46:OGG46"/>
    <mergeCell ref="OGH46:OGK46"/>
    <mergeCell ref="OGL46:OGO46"/>
    <mergeCell ref="OET46:OEW46"/>
    <mergeCell ref="OEX46:OFA46"/>
    <mergeCell ref="OFB46:OFE46"/>
    <mergeCell ref="OFF46:OFI46"/>
    <mergeCell ref="OFJ46:OFM46"/>
    <mergeCell ref="OFN46:OFQ46"/>
    <mergeCell ref="OJJ46:OJM46"/>
    <mergeCell ref="OJN46:OJQ46"/>
    <mergeCell ref="OJR46:OJU46"/>
    <mergeCell ref="OJV46:OJY46"/>
    <mergeCell ref="OJZ46:OKC46"/>
    <mergeCell ref="OKD46:OKG46"/>
    <mergeCell ref="OIL46:OIO46"/>
    <mergeCell ref="OIP46:OIS46"/>
    <mergeCell ref="OIT46:OIW46"/>
    <mergeCell ref="OIX46:OJA46"/>
    <mergeCell ref="OJB46:OJE46"/>
    <mergeCell ref="OJF46:OJI46"/>
    <mergeCell ref="OHN46:OHQ46"/>
    <mergeCell ref="OHR46:OHU46"/>
    <mergeCell ref="OHV46:OHY46"/>
    <mergeCell ref="OHZ46:OIC46"/>
    <mergeCell ref="OID46:OIG46"/>
    <mergeCell ref="OIH46:OIK46"/>
    <mergeCell ref="OMD46:OMG46"/>
    <mergeCell ref="OMH46:OMK46"/>
    <mergeCell ref="OML46:OMO46"/>
    <mergeCell ref="OMP46:OMS46"/>
    <mergeCell ref="OMT46:OMW46"/>
    <mergeCell ref="OMX46:ONA46"/>
    <mergeCell ref="OLF46:OLI46"/>
    <mergeCell ref="OLJ46:OLM46"/>
    <mergeCell ref="OLN46:OLQ46"/>
    <mergeCell ref="OLR46:OLU46"/>
    <mergeCell ref="OLV46:OLY46"/>
    <mergeCell ref="OLZ46:OMC46"/>
    <mergeCell ref="OKH46:OKK46"/>
    <mergeCell ref="OKL46:OKO46"/>
    <mergeCell ref="OKP46:OKS46"/>
    <mergeCell ref="OKT46:OKW46"/>
    <mergeCell ref="OKX46:OLA46"/>
    <mergeCell ref="OLB46:OLE46"/>
    <mergeCell ref="OOX46:OPA46"/>
    <mergeCell ref="OPB46:OPE46"/>
    <mergeCell ref="OPF46:OPI46"/>
    <mergeCell ref="OPJ46:OPM46"/>
    <mergeCell ref="OPN46:OPQ46"/>
    <mergeCell ref="OPR46:OPU46"/>
    <mergeCell ref="ONZ46:OOC46"/>
    <mergeCell ref="OOD46:OOG46"/>
    <mergeCell ref="OOH46:OOK46"/>
    <mergeCell ref="OOL46:OOO46"/>
    <mergeCell ref="OOP46:OOS46"/>
    <mergeCell ref="OOT46:OOW46"/>
    <mergeCell ref="ONB46:ONE46"/>
    <mergeCell ref="ONF46:ONI46"/>
    <mergeCell ref="ONJ46:ONM46"/>
    <mergeCell ref="ONN46:ONQ46"/>
    <mergeCell ref="ONR46:ONU46"/>
    <mergeCell ref="ONV46:ONY46"/>
    <mergeCell ref="ORR46:ORU46"/>
    <mergeCell ref="ORV46:ORY46"/>
    <mergeCell ref="ORZ46:OSC46"/>
    <mergeCell ref="OSD46:OSG46"/>
    <mergeCell ref="OSH46:OSK46"/>
    <mergeCell ref="OSL46:OSO46"/>
    <mergeCell ref="OQT46:OQW46"/>
    <mergeCell ref="OQX46:ORA46"/>
    <mergeCell ref="ORB46:ORE46"/>
    <mergeCell ref="ORF46:ORI46"/>
    <mergeCell ref="ORJ46:ORM46"/>
    <mergeCell ref="ORN46:ORQ46"/>
    <mergeCell ref="OPV46:OPY46"/>
    <mergeCell ref="OPZ46:OQC46"/>
    <mergeCell ref="OQD46:OQG46"/>
    <mergeCell ref="OQH46:OQK46"/>
    <mergeCell ref="OQL46:OQO46"/>
    <mergeCell ref="OQP46:OQS46"/>
    <mergeCell ref="OUL46:OUO46"/>
    <mergeCell ref="OUP46:OUS46"/>
    <mergeCell ref="OUT46:OUW46"/>
    <mergeCell ref="OUX46:OVA46"/>
    <mergeCell ref="OVB46:OVE46"/>
    <mergeCell ref="OVF46:OVI46"/>
    <mergeCell ref="OTN46:OTQ46"/>
    <mergeCell ref="OTR46:OTU46"/>
    <mergeCell ref="OTV46:OTY46"/>
    <mergeCell ref="OTZ46:OUC46"/>
    <mergeCell ref="OUD46:OUG46"/>
    <mergeCell ref="OUH46:OUK46"/>
    <mergeCell ref="OSP46:OSS46"/>
    <mergeCell ref="OST46:OSW46"/>
    <mergeCell ref="OSX46:OTA46"/>
    <mergeCell ref="OTB46:OTE46"/>
    <mergeCell ref="OTF46:OTI46"/>
    <mergeCell ref="OTJ46:OTM46"/>
    <mergeCell ref="OXF46:OXI46"/>
    <mergeCell ref="OXJ46:OXM46"/>
    <mergeCell ref="OXN46:OXQ46"/>
    <mergeCell ref="OXR46:OXU46"/>
    <mergeCell ref="OXV46:OXY46"/>
    <mergeCell ref="OXZ46:OYC46"/>
    <mergeCell ref="OWH46:OWK46"/>
    <mergeCell ref="OWL46:OWO46"/>
    <mergeCell ref="OWP46:OWS46"/>
    <mergeCell ref="OWT46:OWW46"/>
    <mergeCell ref="OWX46:OXA46"/>
    <mergeCell ref="OXB46:OXE46"/>
    <mergeCell ref="OVJ46:OVM46"/>
    <mergeCell ref="OVN46:OVQ46"/>
    <mergeCell ref="OVR46:OVU46"/>
    <mergeCell ref="OVV46:OVY46"/>
    <mergeCell ref="OVZ46:OWC46"/>
    <mergeCell ref="OWD46:OWG46"/>
    <mergeCell ref="OZZ46:PAC46"/>
    <mergeCell ref="PAD46:PAG46"/>
    <mergeCell ref="PAH46:PAK46"/>
    <mergeCell ref="PAL46:PAO46"/>
    <mergeCell ref="PAP46:PAS46"/>
    <mergeCell ref="PAT46:PAW46"/>
    <mergeCell ref="OZB46:OZE46"/>
    <mergeCell ref="OZF46:OZI46"/>
    <mergeCell ref="OZJ46:OZM46"/>
    <mergeCell ref="OZN46:OZQ46"/>
    <mergeCell ref="OZR46:OZU46"/>
    <mergeCell ref="OZV46:OZY46"/>
    <mergeCell ref="OYD46:OYG46"/>
    <mergeCell ref="OYH46:OYK46"/>
    <mergeCell ref="OYL46:OYO46"/>
    <mergeCell ref="OYP46:OYS46"/>
    <mergeCell ref="OYT46:OYW46"/>
    <mergeCell ref="OYX46:OZA46"/>
    <mergeCell ref="PCT46:PCW46"/>
    <mergeCell ref="PCX46:PDA46"/>
    <mergeCell ref="PDB46:PDE46"/>
    <mergeCell ref="PDF46:PDI46"/>
    <mergeCell ref="PDJ46:PDM46"/>
    <mergeCell ref="PDN46:PDQ46"/>
    <mergeCell ref="PBV46:PBY46"/>
    <mergeCell ref="PBZ46:PCC46"/>
    <mergeCell ref="PCD46:PCG46"/>
    <mergeCell ref="PCH46:PCK46"/>
    <mergeCell ref="PCL46:PCO46"/>
    <mergeCell ref="PCP46:PCS46"/>
    <mergeCell ref="PAX46:PBA46"/>
    <mergeCell ref="PBB46:PBE46"/>
    <mergeCell ref="PBF46:PBI46"/>
    <mergeCell ref="PBJ46:PBM46"/>
    <mergeCell ref="PBN46:PBQ46"/>
    <mergeCell ref="PBR46:PBU46"/>
    <mergeCell ref="PFN46:PFQ46"/>
    <mergeCell ref="PFR46:PFU46"/>
    <mergeCell ref="PFV46:PFY46"/>
    <mergeCell ref="PFZ46:PGC46"/>
    <mergeCell ref="PGD46:PGG46"/>
    <mergeCell ref="PGH46:PGK46"/>
    <mergeCell ref="PEP46:PES46"/>
    <mergeCell ref="PET46:PEW46"/>
    <mergeCell ref="PEX46:PFA46"/>
    <mergeCell ref="PFB46:PFE46"/>
    <mergeCell ref="PFF46:PFI46"/>
    <mergeCell ref="PFJ46:PFM46"/>
    <mergeCell ref="PDR46:PDU46"/>
    <mergeCell ref="PDV46:PDY46"/>
    <mergeCell ref="PDZ46:PEC46"/>
    <mergeCell ref="PED46:PEG46"/>
    <mergeCell ref="PEH46:PEK46"/>
    <mergeCell ref="PEL46:PEO46"/>
    <mergeCell ref="PIH46:PIK46"/>
    <mergeCell ref="PIL46:PIO46"/>
    <mergeCell ref="PIP46:PIS46"/>
    <mergeCell ref="PIT46:PIW46"/>
    <mergeCell ref="PIX46:PJA46"/>
    <mergeCell ref="PJB46:PJE46"/>
    <mergeCell ref="PHJ46:PHM46"/>
    <mergeCell ref="PHN46:PHQ46"/>
    <mergeCell ref="PHR46:PHU46"/>
    <mergeCell ref="PHV46:PHY46"/>
    <mergeCell ref="PHZ46:PIC46"/>
    <mergeCell ref="PID46:PIG46"/>
    <mergeCell ref="PGL46:PGO46"/>
    <mergeCell ref="PGP46:PGS46"/>
    <mergeCell ref="PGT46:PGW46"/>
    <mergeCell ref="PGX46:PHA46"/>
    <mergeCell ref="PHB46:PHE46"/>
    <mergeCell ref="PHF46:PHI46"/>
    <mergeCell ref="PLB46:PLE46"/>
    <mergeCell ref="PLF46:PLI46"/>
    <mergeCell ref="PLJ46:PLM46"/>
    <mergeCell ref="PLN46:PLQ46"/>
    <mergeCell ref="PLR46:PLU46"/>
    <mergeCell ref="PLV46:PLY46"/>
    <mergeCell ref="PKD46:PKG46"/>
    <mergeCell ref="PKH46:PKK46"/>
    <mergeCell ref="PKL46:PKO46"/>
    <mergeCell ref="PKP46:PKS46"/>
    <mergeCell ref="PKT46:PKW46"/>
    <mergeCell ref="PKX46:PLA46"/>
    <mergeCell ref="PJF46:PJI46"/>
    <mergeCell ref="PJJ46:PJM46"/>
    <mergeCell ref="PJN46:PJQ46"/>
    <mergeCell ref="PJR46:PJU46"/>
    <mergeCell ref="PJV46:PJY46"/>
    <mergeCell ref="PJZ46:PKC46"/>
    <mergeCell ref="PNV46:PNY46"/>
    <mergeCell ref="PNZ46:POC46"/>
    <mergeCell ref="POD46:POG46"/>
    <mergeCell ref="POH46:POK46"/>
    <mergeCell ref="POL46:POO46"/>
    <mergeCell ref="POP46:POS46"/>
    <mergeCell ref="PMX46:PNA46"/>
    <mergeCell ref="PNB46:PNE46"/>
    <mergeCell ref="PNF46:PNI46"/>
    <mergeCell ref="PNJ46:PNM46"/>
    <mergeCell ref="PNN46:PNQ46"/>
    <mergeCell ref="PNR46:PNU46"/>
    <mergeCell ref="PLZ46:PMC46"/>
    <mergeCell ref="PMD46:PMG46"/>
    <mergeCell ref="PMH46:PMK46"/>
    <mergeCell ref="PML46:PMO46"/>
    <mergeCell ref="PMP46:PMS46"/>
    <mergeCell ref="PMT46:PMW46"/>
    <mergeCell ref="PQP46:PQS46"/>
    <mergeCell ref="PQT46:PQW46"/>
    <mergeCell ref="PQX46:PRA46"/>
    <mergeCell ref="PRB46:PRE46"/>
    <mergeCell ref="PRF46:PRI46"/>
    <mergeCell ref="PRJ46:PRM46"/>
    <mergeCell ref="PPR46:PPU46"/>
    <mergeCell ref="PPV46:PPY46"/>
    <mergeCell ref="PPZ46:PQC46"/>
    <mergeCell ref="PQD46:PQG46"/>
    <mergeCell ref="PQH46:PQK46"/>
    <mergeCell ref="PQL46:PQO46"/>
    <mergeCell ref="POT46:POW46"/>
    <mergeCell ref="POX46:PPA46"/>
    <mergeCell ref="PPB46:PPE46"/>
    <mergeCell ref="PPF46:PPI46"/>
    <mergeCell ref="PPJ46:PPM46"/>
    <mergeCell ref="PPN46:PPQ46"/>
    <mergeCell ref="PTJ46:PTM46"/>
    <mergeCell ref="PTN46:PTQ46"/>
    <mergeCell ref="PTR46:PTU46"/>
    <mergeCell ref="PTV46:PTY46"/>
    <mergeCell ref="PTZ46:PUC46"/>
    <mergeCell ref="PUD46:PUG46"/>
    <mergeCell ref="PSL46:PSO46"/>
    <mergeCell ref="PSP46:PSS46"/>
    <mergeCell ref="PST46:PSW46"/>
    <mergeCell ref="PSX46:PTA46"/>
    <mergeCell ref="PTB46:PTE46"/>
    <mergeCell ref="PTF46:PTI46"/>
    <mergeCell ref="PRN46:PRQ46"/>
    <mergeCell ref="PRR46:PRU46"/>
    <mergeCell ref="PRV46:PRY46"/>
    <mergeCell ref="PRZ46:PSC46"/>
    <mergeCell ref="PSD46:PSG46"/>
    <mergeCell ref="PSH46:PSK46"/>
    <mergeCell ref="PWD46:PWG46"/>
    <mergeCell ref="PWH46:PWK46"/>
    <mergeCell ref="PWL46:PWO46"/>
    <mergeCell ref="PWP46:PWS46"/>
    <mergeCell ref="PWT46:PWW46"/>
    <mergeCell ref="PWX46:PXA46"/>
    <mergeCell ref="PVF46:PVI46"/>
    <mergeCell ref="PVJ46:PVM46"/>
    <mergeCell ref="PVN46:PVQ46"/>
    <mergeCell ref="PVR46:PVU46"/>
    <mergeCell ref="PVV46:PVY46"/>
    <mergeCell ref="PVZ46:PWC46"/>
    <mergeCell ref="PUH46:PUK46"/>
    <mergeCell ref="PUL46:PUO46"/>
    <mergeCell ref="PUP46:PUS46"/>
    <mergeCell ref="PUT46:PUW46"/>
    <mergeCell ref="PUX46:PVA46"/>
    <mergeCell ref="PVB46:PVE46"/>
    <mergeCell ref="PYX46:PZA46"/>
    <mergeCell ref="PZB46:PZE46"/>
    <mergeCell ref="PZF46:PZI46"/>
    <mergeCell ref="PZJ46:PZM46"/>
    <mergeCell ref="PZN46:PZQ46"/>
    <mergeCell ref="PZR46:PZU46"/>
    <mergeCell ref="PXZ46:PYC46"/>
    <mergeCell ref="PYD46:PYG46"/>
    <mergeCell ref="PYH46:PYK46"/>
    <mergeCell ref="PYL46:PYO46"/>
    <mergeCell ref="PYP46:PYS46"/>
    <mergeCell ref="PYT46:PYW46"/>
    <mergeCell ref="PXB46:PXE46"/>
    <mergeCell ref="PXF46:PXI46"/>
    <mergeCell ref="PXJ46:PXM46"/>
    <mergeCell ref="PXN46:PXQ46"/>
    <mergeCell ref="PXR46:PXU46"/>
    <mergeCell ref="PXV46:PXY46"/>
    <mergeCell ref="QBR46:QBU46"/>
    <mergeCell ref="QBV46:QBY46"/>
    <mergeCell ref="QBZ46:QCC46"/>
    <mergeCell ref="QCD46:QCG46"/>
    <mergeCell ref="QCH46:QCK46"/>
    <mergeCell ref="QCL46:QCO46"/>
    <mergeCell ref="QAT46:QAW46"/>
    <mergeCell ref="QAX46:QBA46"/>
    <mergeCell ref="QBB46:QBE46"/>
    <mergeCell ref="QBF46:QBI46"/>
    <mergeCell ref="QBJ46:QBM46"/>
    <mergeCell ref="QBN46:QBQ46"/>
    <mergeCell ref="PZV46:PZY46"/>
    <mergeCell ref="PZZ46:QAC46"/>
    <mergeCell ref="QAD46:QAG46"/>
    <mergeCell ref="QAH46:QAK46"/>
    <mergeCell ref="QAL46:QAO46"/>
    <mergeCell ref="QAP46:QAS46"/>
    <mergeCell ref="QEL46:QEO46"/>
    <mergeCell ref="QEP46:QES46"/>
    <mergeCell ref="QET46:QEW46"/>
    <mergeCell ref="QEX46:QFA46"/>
    <mergeCell ref="QFB46:QFE46"/>
    <mergeCell ref="QFF46:QFI46"/>
    <mergeCell ref="QDN46:QDQ46"/>
    <mergeCell ref="QDR46:QDU46"/>
    <mergeCell ref="QDV46:QDY46"/>
    <mergeCell ref="QDZ46:QEC46"/>
    <mergeCell ref="QED46:QEG46"/>
    <mergeCell ref="QEH46:QEK46"/>
    <mergeCell ref="QCP46:QCS46"/>
    <mergeCell ref="QCT46:QCW46"/>
    <mergeCell ref="QCX46:QDA46"/>
    <mergeCell ref="QDB46:QDE46"/>
    <mergeCell ref="QDF46:QDI46"/>
    <mergeCell ref="QDJ46:QDM46"/>
    <mergeCell ref="QHF46:QHI46"/>
    <mergeCell ref="QHJ46:QHM46"/>
    <mergeCell ref="QHN46:QHQ46"/>
    <mergeCell ref="QHR46:QHU46"/>
    <mergeCell ref="QHV46:QHY46"/>
    <mergeCell ref="QHZ46:QIC46"/>
    <mergeCell ref="QGH46:QGK46"/>
    <mergeCell ref="QGL46:QGO46"/>
    <mergeCell ref="QGP46:QGS46"/>
    <mergeCell ref="QGT46:QGW46"/>
    <mergeCell ref="QGX46:QHA46"/>
    <mergeCell ref="QHB46:QHE46"/>
    <mergeCell ref="QFJ46:QFM46"/>
    <mergeCell ref="QFN46:QFQ46"/>
    <mergeCell ref="QFR46:QFU46"/>
    <mergeCell ref="QFV46:QFY46"/>
    <mergeCell ref="QFZ46:QGC46"/>
    <mergeCell ref="QGD46:QGG46"/>
    <mergeCell ref="QJZ46:QKC46"/>
    <mergeCell ref="QKD46:QKG46"/>
    <mergeCell ref="QKH46:QKK46"/>
    <mergeCell ref="QKL46:QKO46"/>
    <mergeCell ref="QKP46:QKS46"/>
    <mergeCell ref="QKT46:QKW46"/>
    <mergeCell ref="QJB46:QJE46"/>
    <mergeCell ref="QJF46:QJI46"/>
    <mergeCell ref="QJJ46:QJM46"/>
    <mergeCell ref="QJN46:QJQ46"/>
    <mergeCell ref="QJR46:QJU46"/>
    <mergeCell ref="QJV46:QJY46"/>
    <mergeCell ref="QID46:QIG46"/>
    <mergeCell ref="QIH46:QIK46"/>
    <mergeCell ref="QIL46:QIO46"/>
    <mergeCell ref="QIP46:QIS46"/>
    <mergeCell ref="QIT46:QIW46"/>
    <mergeCell ref="QIX46:QJA46"/>
    <mergeCell ref="QMT46:QMW46"/>
    <mergeCell ref="QMX46:QNA46"/>
    <mergeCell ref="QNB46:QNE46"/>
    <mergeCell ref="QNF46:QNI46"/>
    <mergeCell ref="QNJ46:QNM46"/>
    <mergeCell ref="QNN46:QNQ46"/>
    <mergeCell ref="QLV46:QLY46"/>
    <mergeCell ref="QLZ46:QMC46"/>
    <mergeCell ref="QMD46:QMG46"/>
    <mergeCell ref="QMH46:QMK46"/>
    <mergeCell ref="QML46:QMO46"/>
    <mergeCell ref="QMP46:QMS46"/>
    <mergeCell ref="QKX46:QLA46"/>
    <mergeCell ref="QLB46:QLE46"/>
    <mergeCell ref="QLF46:QLI46"/>
    <mergeCell ref="QLJ46:QLM46"/>
    <mergeCell ref="QLN46:QLQ46"/>
    <mergeCell ref="QLR46:QLU46"/>
    <mergeCell ref="QPN46:QPQ46"/>
    <mergeCell ref="QPR46:QPU46"/>
    <mergeCell ref="QPV46:QPY46"/>
    <mergeCell ref="QPZ46:QQC46"/>
    <mergeCell ref="QQD46:QQG46"/>
    <mergeCell ref="QQH46:QQK46"/>
    <mergeCell ref="QOP46:QOS46"/>
    <mergeCell ref="QOT46:QOW46"/>
    <mergeCell ref="QOX46:QPA46"/>
    <mergeCell ref="QPB46:QPE46"/>
    <mergeCell ref="QPF46:QPI46"/>
    <mergeCell ref="QPJ46:QPM46"/>
    <mergeCell ref="QNR46:QNU46"/>
    <mergeCell ref="QNV46:QNY46"/>
    <mergeCell ref="QNZ46:QOC46"/>
    <mergeCell ref="QOD46:QOG46"/>
    <mergeCell ref="QOH46:QOK46"/>
    <mergeCell ref="QOL46:QOO46"/>
    <mergeCell ref="QSH46:QSK46"/>
    <mergeCell ref="QSL46:QSO46"/>
    <mergeCell ref="QSP46:QSS46"/>
    <mergeCell ref="QST46:QSW46"/>
    <mergeCell ref="QSX46:QTA46"/>
    <mergeCell ref="QTB46:QTE46"/>
    <mergeCell ref="QRJ46:QRM46"/>
    <mergeCell ref="QRN46:QRQ46"/>
    <mergeCell ref="QRR46:QRU46"/>
    <mergeCell ref="QRV46:QRY46"/>
    <mergeCell ref="QRZ46:QSC46"/>
    <mergeCell ref="QSD46:QSG46"/>
    <mergeCell ref="QQL46:QQO46"/>
    <mergeCell ref="QQP46:QQS46"/>
    <mergeCell ref="QQT46:QQW46"/>
    <mergeCell ref="QQX46:QRA46"/>
    <mergeCell ref="QRB46:QRE46"/>
    <mergeCell ref="QRF46:QRI46"/>
    <mergeCell ref="QVB46:QVE46"/>
    <mergeCell ref="QVF46:QVI46"/>
    <mergeCell ref="QVJ46:QVM46"/>
    <mergeCell ref="QVN46:QVQ46"/>
    <mergeCell ref="QVR46:QVU46"/>
    <mergeCell ref="QVV46:QVY46"/>
    <mergeCell ref="QUD46:QUG46"/>
    <mergeCell ref="QUH46:QUK46"/>
    <mergeCell ref="QUL46:QUO46"/>
    <mergeCell ref="QUP46:QUS46"/>
    <mergeCell ref="QUT46:QUW46"/>
    <mergeCell ref="QUX46:QVA46"/>
    <mergeCell ref="QTF46:QTI46"/>
    <mergeCell ref="QTJ46:QTM46"/>
    <mergeCell ref="QTN46:QTQ46"/>
    <mergeCell ref="QTR46:QTU46"/>
    <mergeCell ref="QTV46:QTY46"/>
    <mergeCell ref="QTZ46:QUC46"/>
    <mergeCell ref="QXV46:QXY46"/>
    <mergeCell ref="QXZ46:QYC46"/>
    <mergeCell ref="QYD46:QYG46"/>
    <mergeCell ref="QYH46:QYK46"/>
    <mergeCell ref="QYL46:QYO46"/>
    <mergeCell ref="QYP46:QYS46"/>
    <mergeCell ref="QWX46:QXA46"/>
    <mergeCell ref="QXB46:QXE46"/>
    <mergeCell ref="QXF46:QXI46"/>
    <mergeCell ref="QXJ46:QXM46"/>
    <mergeCell ref="QXN46:QXQ46"/>
    <mergeCell ref="QXR46:QXU46"/>
    <mergeCell ref="QVZ46:QWC46"/>
    <mergeCell ref="QWD46:QWG46"/>
    <mergeCell ref="QWH46:QWK46"/>
    <mergeCell ref="QWL46:QWO46"/>
    <mergeCell ref="QWP46:QWS46"/>
    <mergeCell ref="QWT46:QWW46"/>
    <mergeCell ref="RAP46:RAS46"/>
    <mergeCell ref="RAT46:RAW46"/>
    <mergeCell ref="RAX46:RBA46"/>
    <mergeCell ref="RBB46:RBE46"/>
    <mergeCell ref="RBF46:RBI46"/>
    <mergeCell ref="RBJ46:RBM46"/>
    <mergeCell ref="QZR46:QZU46"/>
    <mergeCell ref="QZV46:QZY46"/>
    <mergeCell ref="QZZ46:RAC46"/>
    <mergeCell ref="RAD46:RAG46"/>
    <mergeCell ref="RAH46:RAK46"/>
    <mergeCell ref="RAL46:RAO46"/>
    <mergeCell ref="QYT46:QYW46"/>
    <mergeCell ref="QYX46:QZA46"/>
    <mergeCell ref="QZB46:QZE46"/>
    <mergeCell ref="QZF46:QZI46"/>
    <mergeCell ref="QZJ46:QZM46"/>
    <mergeCell ref="QZN46:QZQ46"/>
    <mergeCell ref="RDJ46:RDM46"/>
    <mergeCell ref="RDN46:RDQ46"/>
    <mergeCell ref="RDR46:RDU46"/>
    <mergeCell ref="RDV46:RDY46"/>
    <mergeCell ref="RDZ46:REC46"/>
    <mergeCell ref="RED46:REG46"/>
    <mergeCell ref="RCL46:RCO46"/>
    <mergeCell ref="RCP46:RCS46"/>
    <mergeCell ref="RCT46:RCW46"/>
    <mergeCell ref="RCX46:RDA46"/>
    <mergeCell ref="RDB46:RDE46"/>
    <mergeCell ref="RDF46:RDI46"/>
    <mergeCell ref="RBN46:RBQ46"/>
    <mergeCell ref="RBR46:RBU46"/>
    <mergeCell ref="RBV46:RBY46"/>
    <mergeCell ref="RBZ46:RCC46"/>
    <mergeCell ref="RCD46:RCG46"/>
    <mergeCell ref="RCH46:RCK46"/>
    <mergeCell ref="RGD46:RGG46"/>
    <mergeCell ref="RGH46:RGK46"/>
    <mergeCell ref="RGL46:RGO46"/>
    <mergeCell ref="RGP46:RGS46"/>
    <mergeCell ref="RGT46:RGW46"/>
    <mergeCell ref="RGX46:RHA46"/>
    <mergeCell ref="RFF46:RFI46"/>
    <mergeCell ref="RFJ46:RFM46"/>
    <mergeCell ref="RFN46:RFQ46"/>
    <mergeCell ref="RFR46:RFU46"/>
    <mergeCell ref="RFV46:RFY46"/>
    <mergeCell ref="RFZ46:RGC46"/>
    <mergeCell ref="REH46:REK46"/>
    <mergeCell ref="REL46:REO46"/>
    <mergeCell ref="REP46:RES46"/>
    <mergeCell ref="RET46:REW46"/>
    <mergeCell ref="REX46:RFA46"/>
    <mergeCell ref="RFB46:RFE46"/>
    <mergeCell ref="RIX46:RJA46"/>
    <mergeCell ref="RJB46:RJE46"/>
    <mergeCell ref="RJF46:RJI46"/>
    <mergeCell ref="RJJ46:RJM46"/>
    <mergeCell ref="RJN46:RJQ46"/>
    <mergeCell ref="RJR46:RJU46"/>
    <mergeCell ref="RHZ46:RIC46"/>
    <mergeCell ref="RID46:RIG46"/>
    <mergeCell ref="RIH46:RIK46"/>
    <mergeCell ref="RIL46:RIO46"/>
    <mergeCell ref="RIP46:RIS46"/>
    <mergeCell ref="RIT46:RIW46"/>
    <mergeCell ref="RHB46:RHE46"/>
    <mergeCell ref="RHF46:RHI46"/>
    <mergeCell ref="RHJ46:RHM46"/>
    <mergeCell ref="RHN46:RHQ46"/>
    <mergeCell ref="RHR46:RHU46"/>
    <mergeCell ref="RHV46:RHY46"/>
    <mergeCell ref="RLR46:RLU46"/>
    <mergeCell ref="RLV46:RLY46"/>
    <mergeCell ref="RLZ46:RMC46"/>
    <mergeCell ref="RMD46:RMG46"/>
    <mergeCell ref="RMH46:RMK46"/>
    <mergeCell ref="RML46:RMO46"/>
    <mergeCell ref="RKT46:RKW46"/>
    <mergeCell ref="RKX46:RLA46"/>
    <mergeCell ref="RLB46:RLE46"/>
    <mergeCell ref="RLF46:RLI46"/>
    <mergeCell ref="RLJ46:RLM46"/>
    <mergeCell ref="RLN46:RLQ46"/>
    <mergeCell ref="RJV46:RJY46"/>
    <mergeCell ref="RJZ46:RKC46"/>
    <mergeCell ref="RKD46:RKG46"/>
    <mergeCell ref="RKH46:RKK46"/>
    <mergeCell ref="RKL46:RKO46"/>
    <mergeCell ref="RKP46:RKS46"/>
    <mergeCell ref="ROL46:ROO46"/>
    <mergeCell ref="ROP46:ROS46"/>
    <mergeCell ref="ROT46:ROW46"/>
    <mergeCell ref="ROX46:RPA46"/>
    <mergeCell ref="RPB46:RPE46"/>
    <mergeCell ref="RPF46:RPI46"/>
    <mergeCell ref="RNN46:RNQ46"/>
    <mergeCell ref="RNR46:RNU46"/>
    <mergeCell ref="RNV46:RNY46"/>
    <mergeCell ref="RNZ46:ROC46"/>
    <mergeCell ref="ROD46:ROG46"/>
    <mergeCell ref="ROH46:ROK46"/>
    <mergeCell ref="RMP46:RMS46"/>
    <mergeCell ref="RMT46:RMW46"/>
    <mergeCell ref="RMX46:RNA46"/>
    <mergeCell ref="RNB46:RNE46"/>
    <mergeCell ref="RNF46:RNI46"/>
    <mergeCell ref="RNJ46:RNM46"/>
    <mergeCell ref="RRF46:RRI46"/>
    <mergeCell ref="RRJ46:RRM46"/>
    <mergeCell ref="RRN46:RRQ46"/>
    <mergeCell ref="RRR46:RRU46"/>
    <mergeCell ref="RRV46:RRY46"/>
    <mergeCell ref="RRZ46:RSC46"/>
    <mergeCell ref="RQH46:RQK46"/>
    <mergeCell ref="RQL46:RQO46"/>
    <mergeCell ref="RQP46:RQS46"/>
    <mergeCell ref="RQT46:RQW46"/>
    <mergeCell ref="RQX46:RRA46"/>
    <mergeCell ref="RRB46:RRE46"/>
    <mergeCell ref="RPJ46:RPM46"/>
    <mergeCell ref="RPN46:RPQ46"/>
    <mergeCell ref="RPR46:RPU46"/>
    <mergeCell ref="RPV46:RPY46"/>
    <mergeCell ref="RPZ46:RQC46"/>
    <mergeCell ref="RQD46:RQG46"/>
    <mergeCell ref="RTZ46:RUC46"/>
    <mergeCell ref="RUD46:RUG46"/>
    <mergeCell ref="RUH46:RUK46"/>
    <mergeCell ref="RUL46:RUO46"/>
    <mergeCell ref="RUP46:RUS46"/>
    <mergeCell ref="RUT46:RUW46"/>
    <mergeCell ref="RTB46:RTE46"/>
    <mergeCell ref="RTF46:RTI46"/>
    <mergeCell ref="RTJ46:RTM46"/>
    <mergeCell ref="RTN46:RTQ46"/>
    <mergeCell ref="RTR46:RTU46"/>
    <mergeCell ref="RTV46:RTY46"/>
    <mergeCell ref="RSD46:RSG46"/>
    <mergeCell ref="RSH46:RSK46"/>
    <mergeCell ref="RSL46:RSO46"/>
    <mergeCell ref="RSP46:RSS46"/>
    <mergeCell ref="RST46:RSW46"/>
    <mergeCell ref="RSX46:RTA46"/>
    <mergeCell ref="RWT46:RWW46"/>
    <mergeCell ref="RWX46:RXA46"/>
    <mergeCell ref="RXB46:RXE46"/>
    <mergeCell ref="RXF46:RXI46"/>
    <mergeCell ref="RXJ46:RXM46"/>
    <mergeCell ref="RXN46:RXQ46"/>
    <mergeCell ref="RVV46:RVY46"/>
    <mergeCell ref="RVZ46:RWC46"/>
    <mergeCell ref="RWD46:RWG46"/>
    <mergeCell ref="RWH46:RWK46"/>
    <mergeCell ref="RWL46:RWO46"/>
    <mergeCell ref="RWP46:RWS46"/>
    <mergeCell ref="RUX46:RVA46"/>
    <mergeCell ref="RVB46:RVE46"/>
    <mergeCell ref="RVF46:RVI46"/>
    <mergeCell ref="RVJ46:RVM46"/>
    <mergeCell ref="RVN46:RVQ46"/>
    <mergeCell ref="RVR46:RVU46"/>
    <mergeCell ref="RZN46:RZQ46"/>
    <mergeCell ref="RZR46:RZU46"/>
    <mergeCell ref="RZV46:RZY46"/>
    <mergeCell ref="RZZ46:SAC46"/>
    <mergeCell ref="SAD46:SAG46"/>
    <mergeCell ref="SAH46:SAK46"/>
    <mergeCell ref="RYP46:RYS46"/>
    <mergeCell ref="RYT46:RYW46"/>
    <mergeCell ref="RYX46:RZA46"/>
    <mergeCell ref="RZB46:RZE46"/>
    <mergeCell ref="RZF46:RZI46"/>
    <mergeCell ref="RZJ46:RZM46"/>
    <mergeCell ref="RXR46:RXU46"/>
    <mergeCell ref="RXV46:RXY46"/>
    <mergeCell ref="RXZ46:RYC46"/>
    <mergeCell ref="RYD46:RYG46"/>
    <mergeCell ref="RYH46:RYK46"/>
    <mergeCell ref="RYL46:RYO46"/>
    <mergeCell ref="SCH46:SCK46"/>
    <mergeCell ref="SCL46:SCO46"/>
    <mergeCell ref="SCP46:SCS46"/>
    <mergeCell ref="SCT46:SCW46"/>
    <mergeCell ref="SCX46:SDA46"/>
    <mergeCell ref="SDB46:SDE46"/>
    <mergeCell ref="SBJ46:SBM46"/>
    <mergeCell ref="SBN46:SBQ46"/>
    <mergeCell ref="SBR46:SBU46"/>
    <mergeCell ref="SBV46:SBY46"/>
    <mergeCell ref="SBZ46:SCC46"/>
    <mergeCell ref="SCD46:SCG46"/>
    <mergeCell ref="SAL46:SAO46"/>
    <mergeCell ref="SAP46:SAS46"/>
    <mergeCell ref="SAT46:SAW46"/>
    <mergeCell ref="SAX46:SBA46"/>
    <mergeCell ref="SBB46:SBE46"/>
    <mergeCell ref="SBF46:SBI46"/>
    <mergeCell ref="SFB46:SFE46"/>
    <mergeCell ref="SFF46:SFI46"/>
    <mergeCell ref="SFJ46:SFM46"/>
    <mergeCell ref="SFN46:SFQ46"/>
    <mergeCell ref="SFR46:SFU46"/>
    <mergeCell ref="SFV46:SFY46"/>
    <mergeCell ref="SED46:SEG46"/>
    <mergeCell ref="SEH46:SEK46"/>
    <mergeCell ref="SEL46:SEO46"/>
    <mergeCell ref="SEP46:SES46"/>
    <mergeCell ref="SET46:SEW46"/>
    <mergeCell ref="SEX46:SFA46"/>
    <mergeCell ref="SDF46:SDI46"/>
    <mergeCell ref="SDJ46:SDM46"/>
    <mergeCell ref="SDN46:SDQ46"/>
    <mergeCell ref="SDR46:SDU46"/>
    <mergeCell ref="SDV46:SDY46"/>
    <mergeCell ref="SDZ46:SEC46"/>
    <mergeCell ref="SHV46:SHY46"/>
    <mergeCell ref="SHZ46:SIC46"/>
    <mergeCell ref="SID46:SIG46"/>
    <mergeCell ref="SIH46:SIK46"/>
    <mergeCell ref="SIL46:SIO46"/>
    <mergeCell ref="SIP46:SIS46"/>
    <mergeCell ref="SGX46:SHA46"/>
    <mergeCell ref="SHB46:SHE46"/>
    <mergeCell ref="SHF46:SHI46"/>
    <mergeCell ref="SHJ46:SHM46"/>
    <mergeCell ref="SHN46:SHQ46"/>
    <mergeCell ref="SHR46:SHU46"/>
    <mergeCell ref="SFZ46:SGC46"/>
    <mergeCell ref="SGD46:SGG46"/>
    <mergeCell ref="SGH46:SGK46"/>
    <mergeCell ref="SGL46:SGO46"/>
    <mergeCell ref="SGP46:SGS46"/>
    <mergeCell ref="SGT46:SGW46"/>
    <mergeCell ref="SKP46:SKS46"/>
    <mergeCell ref="SKT46:SKW46"/>
    <mergeCell ref="SKX46:SLA46"/>
    <mergeCell ref="SLB46:SLE46"/>
    <mergeCell ref="SLF46:SLI46"/>
    <mergeCell ref="SLJ46:SLM46"/>
    <mergeCell ref="SJR46:SJU46"/>
    <mergeCell ref="SJV46:SJY46"/>
    <mergeCell ref="SJZ46:SKC46"/>
    <mergeCell ref="SKD46:SKG46"/>
    <mergeCell ref="SKH46:SKK46"/>
    <mergeCell ref="SKL46:SKO46"/>
    <mergeCell ref="SIT46:SIW46"/>
    <mergeCell ref="SIX46:SJA46"/>
    <mergeCell ref="SJB46:SJE46"/>
    <mergeCell ref="SJF46:SJI46"/>
    <mergeCell ref="SJJ46:SJM46"/>
    <mergeCell ref="SJN46:SJQ46"/>
    <mergeCell ref="SNJ46:SNM46"/>
    <mergeCell ref="SNN46:SNQ46"/>
    <mergeCell ref="SNR46:SNU46"/>
    <mergeCell ref="SNV46:SNY46"/>
    <mergeCell ref="SNZ46:SOC46"/>
    <mergeCell ref="SOD46:SOG46"/>
    <mergeCell ref="SML46:SMO46"/>
    <mergeCell ref="SMP46:SMS46"/>
    <mergeCell ref="SMT46:SMW46"/>
    <mergeCell ref="SMX46:SNA46"/>
    <mergeCell ref="SNB46:SNE46"/>
    <mergeCell ref="SNF46:SNI46"/>
    <mergeCell ref="SLN46:SLQ46"/>
    <mergeCell ref="SLR46:SLU46"/>
    <mergeCell ref="SLV46:SLY46"/>
    <mergeCell ref="SLZ46:SMC46"/>
    <mergeCell ref="SMD46:SMG46"/>
    <mergeCell ref="SMH46:SMK46"/>
    <mergeCell ref="SQD46:SQG46"/>
    <mergeCell ref="SQH46:SQK46"/>
    <mergeCell ref="SQL46:SQO46"/>
    <mergeCell ref="SQP46:SQS46"/>
    <mergeCell ref="SQT46:SQW46"/>
    <mergeCell ref="SQX46:SRA46"/>
    <mergeCell ref="SPF46:SPI46"/>
    <mergeCell ref="SPJ46:SPM46"/>
    <mergeCell ref="SPN46:SPQ46"/>
    <mergeCell ref="SPR46:SPU46"/>
    <mergeCell ref="SPV46:SPY46"/>
    <mergeCell ref="SPZ46:SQC46"/>
    <mergeCell ref="SOH46:SOK46"/>
    <mergeCell ref="SOL46:SOO46"/>
    <mergeCell ref="SOP46:SOS46"/>
    <mergeCell ref="SOT46:SOW46"/>
    <mergeCell ref="SOX46:SPA46"/>
    <mergeCell ref="SPB46:SPE46"/>
    <mergeCell ref="SSX46:STA46"/>
    <mergeCell ref="STB46:STE46"/>
    <mergeCell ref="STF46:STI46"/>
    <mergeCell ref="STJ46:STM46"/>
    <mergeCell ref="STN46:STQ46"/>
    <mergeCell ref="STR46:STU46"/>
    <mergeCell ref="SRZ46:SSC46"/>
    <mergeCell ref="SSD46:SSG46"/>
    <mergeCell ref="SSH46:SSK46"/>
    <mergeCell ref="SSL46:SSO46"/>
    <mergeCell ref="SSP46:SSS46"/>
    <mergeCell ref="SST46:SSW46"/>
    <mergeCell ref="SRB46:SRE46"/>
    <mergeCell ref="SRF46:SRI46"/>
    <mergeCell ref="SRJ46:SRM46"/>
    <mergeCell ref="SRN46:SRQ46"/>
    <mergeCell ref="SRR46:SRU46"/>
    <mergeCell ref="SRV46:SRY46"/>
    <mergeCell ref="SVR46:SVU46"/>
    <mergeCell ref="SVV46:SVY46"/>
    <mergeCell ref="SVZ46:SWC46"/>
    <mergeCell ref="SWD46:SWG46"/>
    <mergeCell ref="SWH46:SWK46"/>
    <mergeCell ref="SWL46:SWO46"/>
    <mergeCell ref="SUT46:SUW46"/>
    <mergeCell ref="SUX46:SVA46"/>
    <mergeCell ref="SVB46:SVE46"/>
    <mergeCell ref="SVF46:SVI46"/>
    <mergeCell ref="SVJ46:SVM46"/>
    <mergeCell ref="SVN46:SVQ46"/>
    <mergeCell ref="STV46:STY46"/>
    <mergeCell ref="STZ46:SUC46"/>
    <mergeCell ref="SUD46:SUG46"/>
    <mergeCell ref="SUH46:SUK46"/>
    <mergeCell ref="SUL46:SUO46"/>
    <mergeCell ref="SUP46:SUS46"/>
    <mergeCell ref="SYL46:SYO46"/>
    <mergeCell ref="SYP46:SYS46"/>
    <mergeCell ref="SYT46:SYW46"/>
    <mergeCell ref="SYX46:SZA46"/>
    <mergeCell ref="SZB46:SZE46"/>
    <mergeCell ref="SZF46:SZI46"/>
    <mergeCell ref="SXN46:SXQ46"/>
    <mergeCell ref="SXR46:SXU46"/>
    <mergeCell ref="SXV46:SXY46"/>
    <mergeCell ref="SXZ46:SYC46"/>
    <mergeCell ref="SYD46:SYG46"/>
    <mergeCell ref="SYH46:SYK46"/>
    <mergeCell ref="SWP46:SWS46"/>
    <mergeCell ref="SWT46:SWW46"/>
    <mergeCell ref="SWX46:SXA46"/>
    <mergeCell ref="SXB46:SXE46"/>
    <mergeCell ref="SXF46:SXI46"/>
    <mergeCell ref="SXJ46:SXM46"/>
    <mergeCell ref="TBF46:TBI46"/>
    <mergeCell ref="TBJ46:TBM46"/>
    <mergeCell ref="TBN46:TBQ46"/>
    <mergeCell ref="TBR46:TBU46"/>
    <mergeCell ref="TBV46:TBY46"/>
    <mergeCell ref="TBZ46:TCC46"/>
    <mergeCell ref="TAH46:TAK46"/>
    <mergeCell ref="TAL46:TAO46"/>
    <mergeCell ref="TAP46:TAS46"/>
    <mergeCell ref="TAT46:TAW46"/>
    <mergeCell ref="TAX46:TBA46"/>
    <mergeCell ref="TBB46:TBE46"/>
    <mergeCell ref="SZJ46:SZM46"/>
    <mergeCell ref="SZN46:SZQ46"/>
    <mergeCell ref="SZR46:SZU46"/>
    <mergeCell ref="SZV46:SZY46"/>
    <mergeCell ref="SZZ46:TAC46"/>
    <mergeCell ref="TAD46:TAG46"/>
    <mergeCell ref="TDZ46:TEC46"/>
    <mergeCell ref="TED46:TEG46"/>
    <mergeCell ref="TEH46:TEK46"/>
    <mergeCell ref="TEL46:TEO46"/>
    <mergeCell ref="TEP46:TES46"/>
    <mergeCell ref="TET46:TEW46"/>
    <mergeCell ref="TDB46:TDE46"/>
    <mergeCell ref="TDF46:TDI46"/>
    <mergeCell ref="TDJ46:TDM46"/>
    <mergeCell ref="TDN46:TDQ46"/>
    <mergeCell ref="TDR46:TDU46"/>
    <mergeCell ref="TDV46:TDY46"/>
    <mergeCell ref="TCD46:TCG46"/>
    <mergeCell ref="TCH46:TCK46"/>
    <mergeCell ref="TCL46:TCO46"/>
    <mergeCell ref="TCP46:TCS46"/>
    <mergeCell ref="TCT46:TCW46"/>
    <mergeCell ref="TCX46:TDA46"/>
    <mergeCell ref="TGT46:TGW46"/>
    <mergeCell ref="TGX46:THA46"/>
    <mergeCell ref="THB46:THE46"/>
    <mergeCell ref="THF46:THI46"/>
    <mergeCell ref="THJ46:THM46"/>
    <mergeCell ref="THN46:THQ46"/>
    <mergeCell ref="TFV46:TFY46"/>
    <mergeCell ref="TFZ46:TGC46"/>
    <mergeCell ref="TGD46:TGG46"/>
    <mergeCell ref="TGH46:TGK46"/>
    <mergeCell ref="TGL46:TGO46"/>
    <mergeCell ref="TGP46:TGS46"/>
    <mergeCell ref="TEX46:TFA46"/>
    <mergeCell ref="TFB46:TFE46"/>
    <mergeCell ref="TFF46:TFI46"/>
    <mergeCell ref="TFJ46:TFM46"/>
    <mergeCell ref="TFN46:TFQ46"/>
    <mergeCell ref="TFR46:TFU46"/>
    <mergeCell ref="TJN46:TJQ46"/>
    <mergeCell ref="TJR46:TJU46"/>
    <mergeCell ref="TJV46:TJY46"/>
    <mergeCell ref="TJZ46:TKC46"/>
    <mergeCell ref="TKD46:TKG46"/>
    <mergeCell ref="TKH46:TKK46"/>
    <mergeCell ref="TIP46:TIS46"/>
    <mergeCell ref="TIT46:TIW46"/>
    <mergeCell ref="TIX46:TJA46"/>
    <mergeCell ref="TJB46:TJE46"/>
    <mergeCell ref="TJF46:TJI46"/>
    <mergeCell ref="TJJ46:TJM46"/>
    <mergeCell ref="THR46:THU46"/>
    <mergeCell ref="THV46:THY46"/>
    <mergeCell ref="THZ46:TIC46"/>
    <mergeCell ref="TID46:TIG46"/>
    <mergeCell ref="TIH46:TIK46"/>
    <mergeCell ref="TIL46:TIO46"/>
    <mergeCell ref="TMH46:TMK46"/>
    <mergeCell ref="TML46:TMO46"/>
    <mergeCell ref="TMP46:TMS46"/>
    <mergeCell ref="TMT46:TMW46"/>
    <mergeCell ref="TMX46:TNA46"/>
    <mergeCell ref="TNB46:TNE46"/>
    <mergeCell ref="TLJ46:TLM46"/>
    <mergeCell ref="TLN46:TLQ46"/>
    <mergeCell ref="TLR46:TLU46"/>
    <mergeCell ref="TLV46:TLY46"/>
    <mergeCell ref="TLZ46:TMC46"/>
    <mergeCell ref="TMD46:TMG46"/>
    <mergeCell ref="TKL46:TKO46"/>
    <mergeCell ref="TKP46:TKS46"/>
    <mergeCell ref="TKT46:TKW46"/>
    <mergeCell ref="TKX46:TLA46"/>
    <mergeCell ref="TLB46:TLE46"/>
    <mergeCell ref="TLF46:TLI46"/>
    <mergeCell ref="TPB46:TPE46"/>
    <mergeCell ref="TPF46:TPI46"/>
    <mergeCell ref="TPJ46:TPM46"/>
    <mergeCell ref="TPN46:TPQ46"/>
    <mergeCell ref="TPR46:TPU46"/>
    <mergeCell ref="TPV46:TPY46"/>
    <mergeCell ref="TOD46:TOG46"/>
    <mergeCell ref="TOH46:TOK46"/>
    <mergeCell ref="TOL46:TOO46"/>
    <mergeCell ref="TOP46:TOS46"/>
    <mergeCell ref="TOT46:TOW46"/>
    <mergeCell ref="TOX46:TPA46"/>
    <mergeCell ref="TNF46:TNI46"/>
    <mergeCell ref="TNJ46:TNM46"/>
    <mergeCell ref="TNN46:TNQ46"/>
    <mergeCell ref="TNR46:TNU46"/>
    <mergeCell ref="TNV46:TNY46"/>
    <mergeCell ref="TNZ46:TOC46"/>
    <mergeCell ref="TRV46:TRY46"/>
    <mergeCell ref="TRZ46:TSC46"/>
    <mergeCell ref="TSD46:TSG46"/>
    <mergeCell ref="TSH46:TSK46"/>
    <mergeCell ref="TSL46:TSO46"/>
    <mergeCell ref="TSP46:TSS46"/>
    <mergeCell ref="TQX46:TRA46"/>
    <mergeCell ref="TRB46:TRE46"/>
    <mergeCell ref="TRF46:TRI46"/>
    <mergeCell ref="TRJ46:TRM46"/>
    <mergeCell ref="TRN46:TRQ46"/>
    <mergeCell ref="TRR46:TRU46"/>
    <mergeCell ref="TPZ46:TQC46"/>
    <mergeCell ref="TQD46:TQG46"/>
    <mergeCell ref="TQH46:TQK46"/>
    <mergeCell ref="TQL46:TQO46"/>
    <mergeCell ref="TQP46:TQS46"/>
    <mergeCell ref="TQT46:TQW46"/>
    <mergeCell ref="TUP46:TUS46"/>
    <mergeCell ref="TUT46:TUW46"/>
    <mergeCell ref="TUX46:TVA46"/>
    <mergeCell ref="TVB46:TVE46"/>
    <mergeCell ref="TVF46:TVI46"/>
    <mergeCell ref="TVJ46:TVM46"/>
    <mergeCell ref="TTR46:TTU46"/>
    <mergeCell ref="TTV46:TTY46"/>
    <mergeCell ref="TTZ46:TUC46"/>
    <mergeCell ref="TUD46:TUG46"/>
    <mergeCell ref="TUH46:TUK46"/>
    <mergeCell ref="TUL46:TUO46"/>
    <mergeCell ref="TST46:TSW46"/>
    <mergeCell ref="TSX46:TTA46"/>
    <mergeCell ref="TTB46:TTE46"/>
    <mergeCell ref="TTF46:TTI46"/>
    <mergeCell ref="TTJ46:TTM46"/>
    <mergeCell ref="TTN46:TTQ46"/>
    <mergeCell ref="TXJ46:TXM46"/>
    <mergeCell ref="TXN46:TXQ46"/>
    <mergeCell ref="TXR46:TXU46"/>
    <mergeCell ref="TXV46:TXY46"/>
    <mergeCell ref="TXZ46:TYC46"/>
    <mergeCell ref="TYD46:TYG46"/>
    <mergeCell ref="TWL46:TWO46"/>
    <mergeCell ref="TWP46:TWS46"/>
    <mergeCell ref="TWT46:TWW46"/>
    <mergeCell ref="TWX46:TXA46"/>
    <mergeCell ref="TXB46:TXE46"/>
    <mergeCell ref="TXF46:TXI46"/>
    <mergeCell ref="TVN46:TVQ46"/>
    <mergeCell ref="TVR46:TVU46"/>
    <mergeCell ref="TVV46:TVY46"/>
    <mergeCell ref="TVZ46:TWC46"/>
    <mergeCell ref="TWD46:TWG46"/>
    <mergeCell ref="TWH46:TWK46"/>
    <mergeCell ref="UAD46:UAG46"/>
    <mergeCell ref="UAH46:UAK46"/>
    <mergeCell ref="UAL46:UAO46"/>
    <mergeCell ref="UAP46:UAS46"/>
    <mergeCell ref="UAT46:UAW46"/>
    <mergeCell ref="UAX46:UBA46"/>
    <mergeCell ref="TZF46:TZI46"/>
    <mergeCell ref="TZJ46:TZM46"/>
    <mergeCell ref="TZN46:TZQ46"/>
    <mergeCell ref="TZR46:TZU46"/>
    <mergeCell ref="TZV46:TZY46"/>
    <mergeCell ref="TZZ46:UAC46"/>
    <mergeCell ref="TYH46:TYK46"/>
    <mergeCell ref="TYL46:TYO46"/>
    <mergeCell ref="TYP46:TYS46"/>
    <mergeCell ref="TYT46:TYW46"/>
    <mergeCell ref="TYX46:TZA46"/>
    <mergeCell ref="TZB46:TZE46"/>
    <mergeCell ref="UCX46:UDA46"/>
    <mergeCell ref="UDB46:UDE46"/>
    <mergeCell ref="UDF46:UDI46"/>
    <mergeCell ref="UDJ46:UDM46"/>
    <mergeCell ref="UDN46:UDQ46"/>
    <mergeCell ref="UDR46:UDU46"/>
    <mergeCell ref="UBZ46:UCC46"/>
    <mergeCell ref="UCD46:UCG46"/>
    <mergeCell ref="UCH46:UCK46"/>
    <mergeCell ref="UCL46:UCO46"/>
    <mergeCell ref="UCP46:UCS46"/>
    <mergeCell ref="UCT46:UCW46"/>
    <mergeCell ref="UBB46:UBE46"/>
    <mergeCell ref="UBF46:UBI46"/>
    <mergeCell ref="UBJ46:UBM46"/>
    <mergeCell ref="UBN46:UBQ46"/>
    <mergeCell ref="UBR46:UBU46"/>
    <mergeCell ref="UBV46:UBY46"/>
    <mergeCell ref="UFR46:UFU46"/>
    <mergeCell ref="UFV46:UFY46"/>
    <mergeCell ref="UFZ46:UGC46"/>
    <mergeCell ref="UGD46:UGG46"/>
    <mergeCell ref="UGH46:UGK46"/>
    <mergeCell ref="UGL46:UGO46"/>
    <mergeCell ref="UET46:UEW46"/>
    <mergeCell ref="UEX46:UFA46"/>
    <mergeCell ref="UFB46:UFE46"/>
    <mergeCell ref="UFF46:UFI46"/>
    <mergeCell ref="UFJ46:UFM46"/>
    <mergeCell ref="UFN46:UFQ46"/>
    <mergeCell ref="UDV46:UDY46"/>
    <mergeCell ref="UDZ46:UEC46"/>
    <mergeCell ref="UED46:UEG46"/>
    <mergeCell ref="UEH46:UEK46"/>
    <mergeCell ref="UEL46:UEO46"/>
    <mergeCell ref="UEP46:UES46"/>
    <mergeCell ref="UIL46:UIO46"/>
    <mergeCell ref="UIP46:UIS46"/>
    <mergeCell ref="UIT46:UIW46"/>
    <mergeCell ref="UIX46:UJA46"/>
    <mergeCell ref="UJB46:UJE46"/>
    <mergeCell ref="UJF46:UJI46"/>
    <mergeCell ref="UHN46:UHQ46"/>
    <mergeCell ref="UHR46:UHU46"/>
    <mergeCell ref="UHV46:UHY46"/>
    <mergeCell ref="UHZ46:UIC46"/>
    <mergeCell ref="UID46:UIG46"/>
    <mergeCell ref="UIH46:UIK46"/>
    <mergeCell ref="UGP46:UGS46"/>
    <mergeCell ref="UGT46:UGW46"/>
    <mergeCell ref="UGX46:UHA46"/>
    <mergeCell ref="UHB46:UHE46"/>
    <mergeCell ref="UHF46:UHI46"/>
    <mergeCell ref="UHJ46:UHM46"/>
    <mergeCell ref="ULF46:ULI46"/>
    <mergeCell ref="ULJ46:ULM46"/>
    <mergeCell ref="ULN46:ULQ46"/>
    <mergeCell ref="ULR46:ULU46"/>
    <mergeCell ref="ULV46:ULY46"/>
    <mergeCell ref="ULZ46:UMC46"/>
    <mergeCell ref="UKH46:UKK46"/>
    <mergeCell ref="UKL46:UKO46"/>
    <mergeCell ref="UKP46:UKS46"/>
    <mergeCell ref="UKT46:UKW46"/>
    <mergeCell ref="UKX46:ULA46"/>
    <mergeCell ref="ULB46:ULE46"/>
    <mergeCell ref="UJJ46:UJM46"/>
    <mergeCell ref="UJN46:UJQ46"/>
    <mergeCell ref="UJR46:UJU46"/>
    <mergeCell ref="UJV46:UJY46"/>
    <mergeCell ref="UJZ46:UKC46"/>
    <mergeCell ref="UKD46:UKG46"/>
    <mergeCell ref="UNZ46:UOC46"/>
    <mergeCell ref="UOD46:UOG46"/>
    <mergeCell ref="UOH46:UOK46"/>
    <mergeCell ref="UOL46:UOO46"/>
    <mergeCell ref="UOP46:UOS46"/>
    <mergeCell ref="UOT46:UOW46"/>
    <mergeCell ref="UNB46:UNE46"/>
    <mergeCell ref="UNF46:UNI46"/>
    <mergeCell ref="UNJ46:UNM46"/>
    <mergeCell ref="UNN46:UNQ46"/>
    <mergeCell ref="UNR46:UNU46"/>
    <mergeCell ref="UNV46:UNY46"/>
    <mergeCell ref="UMD46:UMG46"/>
    <mergeCell ref="UMH46:UMK46"/>
    <mergeCell ref="UML46:UMO46"/>
    <mergeCell ref="UMP46:UMS46"/>
    <mergeCell ref="UMT46:UMW46"/>
    <mergeCell ref="UMX46:UNA46"/>
    <mergeCell ref="UQT46:UQW46"/>
    <mergeCell ref="UQX46:URA46"/>
    <mergeCell ref="URB46:URE46"/>
    <mergeCell ref="URF46:URI46"/>
    <mergeCell ref="URJ46:URM46"/>
    <mergeCell ref="URN46:URQ46"/>
    <mergeCell ref="UPV46:UPY46"/>
    <mergeCell ref="UPZ46:UQC46"/>
    <mergeCell ref="UQD46:UQG46"/>
    <mergeCell ref="UQH46:UQK46"/>
    <mergeCell ref="UQL46:UQO46"/>
    <mergeCell ref="UQP46:UQS46"/>
    <mergeCell ref="UOX46:UPA46"/>
    <mergeCell ref="UPB46:UPE46"/>
    <mergeCell ref="UPF46:UPI46"/>
    <mergeCell ref="UPJ46:UPM46"/>
    <mergeCell ref="UPN46:UPQ46"/>
    <mergeCell ref="UPR46:UPU46"/>
    <mergeCell ref="UTN46:UTQ46"/>
    <mergeCell ref="UTR46:UTU46"/>
    <mergeCell ref="UTV46:UTY46"/>
    <mergeCell ref="UTZ46:UUC46"/>
    <mergeCell ref="UUD46:UUG46"/>
    <mergeCell ref="UUH46:UUK46"/>
    <mergeCell ref="USP46:USS46"/>
    <mergeCell ref="UST46:USW46"/>
    <mergeCell ref="USX46:UTA46"/>
    <mergeCell ref="UTB46:UTE46"/>
    <mergeCell ref="UTF46:UTI46"/>
    <mergeCell ref="UTJ46:UTM46"/>
    <mergeCell ref="URR46:URU46"/>
    <mergeCell ref="URV46:URY46"/>
    <mergeCell ref="URZ46:USC46"/>
    <mergeCell ref="USD46:USG46"/>
    <mergeCell ref="USH46:USK46"/>
    <mergeCell ref="USL46:USO46"/>
    <mergeCell ref="UWH46:UWK46"/>
    <mergeCell ref="UWL46:UWO46"/>
    <mergeCell ref="UWP46:UWS46"/>
    <mergeCell ref="UWT46:UWW46"/>
    <mergeCell ref="UWX46:UXA46"/>
    <mergeCell ref="UXB46:UXE46"/>
    <mergeCell ref="UVJ46:UVM46"/>
    <mergeCell ref="UVN46:UVQ46"/>
    <mergeCell ref="UVR46:UVU46"/>
    <mergeCell ref="UVV46:UVY46"/>
    <mergeCell ref="UVZ46:UWC46"/>
    <mergeCell ref="UWD46:UWG46"/>
    <mergeCell ref="UUL46:UUO46"/>
    <mergeCell ref="UUP46:UUS46"/>
    <mergeCell ref="UUT46:UUW46"/>
    <mergeCell ref="UUX46:UVA46"/>
    <mergeCell ref="UVB46:UVE46"/>
    <mergeCell ref="UVF46:UVI46"/>
    <mergeCell ref="UZB46:UZE46"/>
    <mergeCell ref="UZF46:UZI46"/>
    <mergeCell ref="UZJ46:UZM46"/>
    <mergeCell ref="UZN46:UZQ46"/>
    <mergeCell ref="UZR46:UZU46"/>
    <mergeCell ref="UZV46:UZY46"/>
    <mergeCell ref="UYD46:UYG46"/>
    <mergeCell ref="UYH46:UYK46"/>
    <mergeCell ref="UYL46:UYO46"/>
    <mergeCell ref="UYP46:UYS46"/>
    <mergeCell ref="UYT46:UYW46"/>
    <mergeCell ref="UYX46:UZA46"/>
    <mergeCell ref="UXF46:UXI46"/>
    <mergeCell ref="UXJ46:UXM46"/>
    <mergeCell ref="UXN46:UXQ46"/>
    <mergeCell ref="UXR46:UXU46"/>
    <mergeCell ref="UXV46:UXY46"/>
    <mergeCell ref="UXZ46:UYC46"/>
    <mergeCell ref="VBV46:VBY46"/>
    <mergeCell ref="VBZ46:VCC46"/>
    <mergeCell ref="VCD46:VCG46"/>
    <mergeCell ref="VCH46:VCK46"/>
    <mergeCell ref="VCL46:VCO46"/>
    <mergeCell ref="VCP46:VCS46"/>
    <mergeCell ref="VAX46:VBA46"/>
    <mergeCell ref="VBB46:VBE46"/>
    <mergeCell ref="VBF46:VBI46"/>
    <mergeCell ref="VBJ46:VBM46"/>
    <mergeCell ref="VBN46:VBQ46"/>
    <mergeCell ref="VBR46:VBU46"/>
    <mergeCell ref="UZZ46:VAC46"/>
    <mergeCell ref="VAD46:VAG46"/>
    <mergeCell ref="VAH46:VAK46"/>
    <mergeCell ref="VAL46:VAO46"/>
    <mergeCell ref="VAP46:VAS46"/>
    <mergeCell ref="VAT46:VAW46"/>
    <mergeCell ref="VEP46:VES46"/>
    <mergeCell ref="VET46:VEW46"/>
    <mergeCell ref="VEX46:VFA46"/>
    <mergeCell ref="VFB46:VFE46"/>
    <mergeCell ref="VFF46:VFI46"/>
    <mergeCell ref="VFJ46:VFM46"/>
    <mergeCell ref="VDR46:VDU46"/>
    <mergeCell ref="VDV46:VDY46"/>
    <mergeCell ref="VDZ46:VEC46"/>
    <mergeCell ref="VED46:VEG46"/>
    <mergeCell ref="VEH46:VEK46"/>
    <mergeCell ref="VEL46:VEO46"/>
    <mergeCell ref="VCT46:VCW46"/>
    <mergeCell ref="VCX46:VDA46"/>
    <mergeCell ref="VDB46:VDE46"/>
    <mergeCell ref="VDF46:VDI46"/>
    <mergeCell ref="VDJ46:VDM46"/>
    <mergeCell ref="VDN46:VDQ46"/>
    <mergeCell ref="VHJ46:VHM46"/>
    <mergeCell ref="VHN46:VHQ46"/>
    <mergeCell ref="VHR46:VHU46"/>
    <mergeCell ref="VHV46:VHY46"/>
    <mergeCell ref="VHZ46:VIC46"/>
    <mergeCell ref="VID46:VIG46"/>
    <mergeCell ref="VGL46:VGO46"/>
    <mergeCell ref="VGP46:VGS46"/>
    <mergeCell ref="VGT46:VGW46"/>
    <mergeCell ref="VGX46:VHA46"/>
    <mergeCell ref="VHB46:VHE46"/>
    <mergeCell ref="VHF46:VHI46"/>
    <mergeCell ref="VFN46:VFQ46"/>
    <mergeCell ref="VFR46:VFU46"/>
    <mergeCell ref="VFV46:VFY46"/>
    <mergeCell ref="VFZ46:VGC46"/>
    <mergeCell ref="VGD46:VGG46"/>
    <mergeCell ref="VGH46:VGK46"/>
    <mergeCell ref="VKD46:VKG46"/>
    <mergeCell ref="VKH46:VKK46"/>
    <mergeCell ref="VKL46:VKO46"/>
    <mergeCell ref="VKP46:VKS46"/>
    <mergeCell ref="VKT46:VKW46"/>
    <mergeCell ref="VKX46:VLA46"/>
    <mergeCell ref="VJF46:VJI46"/>
    <mergeCell ref="VJJ46:VJM46"/>
    <mergeCell ref="VJN46:VJQ46"/>
    <mergeCell ref="VJR46:VJU46"/>
    <mergeCell ref="VJV46:VJY46"/>
    <mergeCell ref="VJZ46:VKC46"/>
    <mergeCell ref="VIH46:VIK46"/>
    <mergeCell ref="VIL46:VIO46"/>
    <mergeCell ref="VIP46:VIS46"/>
    <mergeCell ref="VIT46:VIW46"/>
    <mergeCell ref="VIX46:VJA46"/>
    <mergeCell ref="VJB46:VJE46"/>
    <mergeCell ref="VMX46:VNA46"/>
    <mergeCell ref="VNB46:VNE46"/>
    <mergeCell ref="VNF46:VNI46"/>
    <mergeCell ref="VNJ46:VNM46"/>
    <mergeCell ref="VNN46:VNQ46"/>
    <mergeCell ref="VNR46:VNU46"/>
    <mergeCell ref="VLZ46:VMC46"/>
    <mergeCell ref="VMD46:VMG46"/>
    <mergeCell ref="VMH46:VMK46"/>
    <mergeCell ref="VML46:VMO46"/>
    <mergeCell ref="VMP46:VMS46"/>
    <mergeCell ref="VMT46:VMW46"/>
    <mergeCell ref="VLB46:VLE46"/>
    <mergeCell ref="VLF46:VLI46"/>
    <mergeCell ref="VLJ46:VLM46"/>
    <mergeCell ref="VLN46:VLQ46"/>
    <mergeCell ref="VLR46:VLU46"/>
    <mergeCell ref="VLV46:VLY46"/>
    <mergeCell ref="VPR46:VPU46"/>
    <mergeCell ref="VPV46:VPY46"/>
    <mergeCell ref="VPZ46:VQC46"/>
    <mergeCell ref="VQD46:VQG46"/>
    <mergeCell ref="VQH46:VQK46"/>
    <mergeCell ref="VQL46:VQO46"/>
    <mergeCell ref="VOT46:VOW46"/>
    <mergeCell ref="VOX46:VPA46"/>
    <mergeCell ref="VPB46:VPE46"/>
    <mergeCell ref="VPF46:VPI46"/>
    <mergeCell ref="VPJ46:VPM46"/>
    <mergeCell ref="VPN46:VPQ46"/>
    <mergeCell ref="VNV46:VNY46"/>
    <mergeCell ref="VNZ46:VOC46"/>
    <mergeCell ref="VOD46:VOG46"/>
    <mergeCell ref="VOH46:VOK46"/>
    <mergeCell ref="VOL46:VOO46"/>
    <mergeCell ref="VOP46:VOS46"/>
    <mergeCell ref="VSL46:VSO46"/>
    <mergeCell ref="VSP46:VSS46"/>
    <mergeCell ref="VST46:VSW46"/>
    <mergeCell ref="VSX46:VTA46"/>
    <mergeCell ref="VTB46:VTE46"/>
    <mergeCell ref="VTF46:VTI46"/>
    <mergeCell ref="VRN46:VRQ46"/>
    <mergeCell ref="VRR46:VRU46"/>
    <mergeCell ref="VRV46:VRY46"/>
    <mergeCell ref="VRZ46:VSC46"/>
    <mergeCell ref="VSD46:VSG46"/>
    <mergeCell ref="VSH46:VSK46"/>
    <mergeCell ref="VQP46:VQS46"/>
    <mergeCell ref="VQT46:VQW46"/>
    <mergeCell ref="VQX46:VRA46"/>
    <mergeCell ref="VRB46:VRE46"/>
    <mergeCell ref="VRF46:VRI46"/>
    <mergeCell ref="VRJ46:VRM46"/>
    <mergeCell ref="VVF46:VVI46"/>
    <mergeCell ref="VVJ46:VVM46"/>
    <mergeCell ref="VVN46:VVQ46"/>
    <mergeCell ref="VVR46:VVU46"/>
    <mergeCell ref="VVV46:VVY46"/>
    <mergeCell ref="VVZ46:VWC46"/>
    <mergeCell ref="VUH46:VUK46"/>
    <mergeCell ref="VUL46:VUO46"/>
    <mergeCell ref="VUP46:VUS46"/>
    <mergeCell ref="VUT46:VUW46"/>
    <mergeCell ref="VUX46:VVA46"/>
    <mergeCell ref="VVB46:VVE46"/>
    <mergeCell ref="VTJ46:VTM46"/>
    <mergeCell ref="VTN46:VTQ46"/>
    <mergeCell ref="VTR46:VTU46"/>
    <mergeCell ref="VTV46:VTY46"/>
    <mergeCell ref="VTZ46:VUC46"/>
    <mergeCell ref="VUD46:VUG46"/>
    <mergeCell ref="VXZ46:VYC46"/>
    <mergeCell ref="VYD46:VYG46"/>
    <mergeCell ref="VYH46:VYK46"/>
    <mergeCell ref="VYL46:VYO46"/>
    <mergeCell ref="VYP46:VYS46"/>
    <mergeCell ref="VYT46:VYW46"/>
    <mergeCell ref="VXB46:VXE46"/>
    <mergeCell ref="VXF46:VXI46"/>
    <mergeCell ref="VXJ46:VXM46"/>
    <mergeCell ref="VXN46:VXQ46"/>
    <mergeCell ref="VXR46:VXU46"/>
    <mergeCell ref="VXV46:VXY46"/>
    <mergeCell ref="VWD46:VWG46"/>
    <mergeCell ref="VWH46:VWK46"/>
    <mergeCell ref="VWL46:VWO46"/>
    <mergeCell ref="VWP46:VWS46"/>
    <mergeCell ref="VWT46:VWW46"/>
    <mergeCell ref="VWX46:VXA46"/>
    <mergeCell ref="WAT46:WAW46"/>
    <mergeCell ref="WAX46:WBA46"/>
    <mergeCell ref="WBB46:WBE46"/>
    <mergeCell ref="WBF46:WBI46"/>
    <mergeCell ref="WBJ46:WBM46"/>
    <mergeCell ref="WBN46:WBQ46"/>
    <mergeCell ref="VZV46:VZY46"/>
    <mergeCell ref="VZZ46:WAC46"/>
    <mergeCell ref="WAD46:WAG46"/>
    <mergeCell ref="WAH46:WAK46"/>
    <mergeCell ref="WAL46:WAO46"/>
    <mergeCell ref="WAP46:WAS46"/>
    <mergeCell ref="VYX46:VZA46"/>
    <mergeCell ref="VZB46:VZE46"/>
    <mergeCell ref="VZF46:VZI46"/>
    <mergeCell ref="VZJ46:VZM46"/>
    <mergeCell ref="VZN46:VZQ46"/>
    <mergeCell ref="VZR46:VZU46"/>
    <mergeCell ref="WDN46:WDQ46"/>
    <mergeCell ref="WDR46:WDU46"/>
    <mergeCell ref="WDV46:WDY46"/>
    <mergeCell ref="WDZ46:WEC46"/>
    <mergeCell ref="WED46:WEG46"/>
    <mergeCell ref="WEH46:WEK46"/>
    <mergeCell ref="WCP46:WCS46"/>
    <mergeCell ref="WCT46:WCW46"/>
    <mergeCell ref="WCX46:WDA46"/>
    <mergeCell ref="WDB46:WDE46"/>
    <mergeCell ref="WDF46:WDI46"/>
    <mergeCell ref="WDJ46:WDM46"/>
    <mergeCell ref="WBR46:WBU46"/>
    <mergeCell ref="WBV46:WBY46"/>
    <mergeCell ref="WBZ46:WCC46"/>
    <mergeCell ref="WCD46:WCG46"/>
    <mergeCell ref="WCH46:WCK46"/>
    <mergeCell ref="WCL46:WCO46"/>
    <mergeCell ref="WGH46:WGK46"/>
    <mergeCell ref="WGL46:WGO46"/>
    <mergeCell ref="WGP46:WGS46"/>
    <mergeCell ref="WGT46:WGW46"/>
    <mergeCell ref="WGX46:WHA46"/>
    <mergeCell ref="WHB46:WHE46"/>
    <mergeCell ref="WFJ46:WFM46"/>
    <mergeCell ref="WFN46:WFQ46"/>
    <mergeCell ref="WFR46:WFU46"/>
    <mergeCell ref="WFV46:WFY46"/>
    <mergeCell ref="WFZ46:WGC46"/>
    <mergeCell ref="WGD46:WGG46"/>
    <mergeCell ref="WEL46:WEO46"/>
    <mergeCell ref="WEP46:WES46"/>
    <mergeCell ref="WET46:WEW46"/>
    <mergeCell ref="WEX46:WFA46"/>
    <mergeCell ref="WFB46:WFE46"/>
    <mergeCell ref="WFF46:WFI46"/>
    <mergeCell ref="WJB46:WJE46"/>
    <mergeCell ref="WJF46:WJI46"/>
    <mergeCell ref="WJJ46:WJM46"/>
    <mergeCell ref="WJN46:WJQ46"/>
    <mergeCell ref="WJR46:WJU46"/>
    <mergeCell ref="WJV46:WJY46"/>
    <mergeCell ref="WID46:WIG46"/>
    <mergeCell ref="WIH46:WIK46"/>
    <mergeCell ref="WIL46:WIO46"/>
    <mergeCell ref="WIP46:WIS46"/>
    <mergeCell ref="WIT46:WIW46"/>
    <mergeCell ref="WIX46:WJA46"/>
    <mergeCell ref="WHF46:WHI46"/>
    <mergeCell ref="WHJ46:WHM46"/>
    <mergeCell ref="WHN46:WHQ46"/>
    <mergeCell ref="WHR46:WHU46"/>
    <mergeCell ref="WHV46:WHY46"/>
    <mergeCell ref="WHZ46:WIC46"/>
    <mergeCell ref="WLV46:WLY46"/>
    <mergeCell ref="WLZ46:WMC46"/>
    <mergeCell ref="WMD46:WMG46"/>
    <mergeCell ref="WMH46:WMK46"/>
    <mergeCell ref="WML46:WMO46"/>
    <mergeCell ref="WMP46:WMS46"/>
    <mergeCell ref="WKX46:WLA46"/>
    <mergeCell ref="WLB46:WLE46"/>
    <mergeCell ref="WLF46:WLI46"/>
    <mergeCell ref="WLJ46:WLM46"/>
    <mergeCell ref="WLN46:WLQ46"/>
    <mergeCell ref="WLR46:WLU46"/>
    <mergeCell ref="WJZ46:WKC46"/>
    <mergeCell ref="WKD46:WKG46"/>
    <mergeCell ref="WKH46:WKK46"/>
    <mergeCell ref="WKL46:WKO46"/>
    <mergeCell ref="WKP46:WKS46"/>
    <mergeCell ref="WKT46:WKW46"/>
    <mergeCell ref="WOP46:WOS46"/>
    <mergeCell ref="WOT46:WOW46"/>
    <mergeCell ref="WOX46:WPA46"/>
    <mergeCell ref="WPB46:WPE46"/>
    <mergeCell ref="WPF46:WPI46"/>
    <mergeCell ref="WPJ46:WPM46"/>
    <mergeCell ref="WNR46:WNU46"/>
    <mergeCell ref="WNV46:WNY46"/>
    <mergeCell ref="WNZ46:WOC46"/>
    <mergeCell ref="WOD46:WOG46"/>
    <mergeCell ref="WOH46:WOK46"/>
    <mergeCell ref="WOL46:WOO46"/>
    <mergeCell ref="WMT46:WMW46"/>
    <mergeCell ref="WMX46:WNA46"/>
    <mergeCell ref="WNB46:WNE46"/>
    <mergeCell ref="WNF46:WNI46"/>
    <mergeCell ref="WNJ46:WNM46"/>
    <mergeCell ref="WNN46:WNQ46"/>
    <mergeCell ref="WRJ46:WRM46"/>
    <mergeCell ref="WRN46:WRQ46"/>
    <mergeCell ref="WRR46:WRU46"/>
    <mergeCell ref="WRV46:WRY46"/>
    <mergeCell ref="WRZ46:WSC46"/>
    <mergeCell ref="WSD46:WSG46"/>
    <mergeCell ref="WQL46:WQO46"/>
    <mergeCell ref="WQP46:WQS46"/>
    <mergeCell ref="WQT46:WQW46"/>
    <mergeCell ref="WQX46:WRA46"/>
    <mergeCell ref="WRB46:WRE46"/>
    <mergeCell ref="WRF46:WRI46"/>
    <mergeCell ref="WPN46:WPQ46"/>
    <mergeCell ref="WPR46:WPU46"/>
    <mergeCell ref="WPV46:WPY46"/>
    <mergeCell ref="WPZ46:WQC46"/>
    <mergeCell ref="WQD46:WQG46"/>
    <mergeCell ref="WQH46:WQK46"/>
    <mergeCell ref="WUD46:WUG46"/>
    <mergeCell ref="WUH46:WUK46"/>
    <mergeCell ref="WUL46:WUO46"/>
    <mergeCell ref="WUP46:WUS46"/>
    <mergeCell ref="WUT46:WUW46"/>
    <mergeCell ref="WUX46:WVA46"/>
    <mergeCell ref="WTF46:WTI46"/>
    <mergeCell ref="WTJ46:WTM46"/>
    <mergeCell ref="WTN46:WTQ46"/>
    <mergeCell ref="WTR46:WTU46"/>
    <mergeCell ref="WTV46:WTY46"/>
    <mergeCell ref="WTZ46:WUC46"/>
    <mergeCell ref="WSH46:WSK46"/>
    <mergeCell ref="WSL46:WSO46"/>
    <mergeCell ref="WSP46:WSS46"/>
    <mergeCell ref="WST46:WSW46"/>
    <mergeCell ref="WSX46:WTA46"/>
    <mergeCell ref="WTB46:WTE46"/>
    <mergeCell ref="WWX46:WXA46"/>
    <mergeCell ref="WXB46:WXE46"/>
    <mergeCell ref="WXF46:WXI46"/>
    <mergeCell ref="WXJ46:WXM46"/>
    <mergeCell ref="WXN46:WXQ46"/>
    <mergeCell ref="WXR46:WXU46"/>
    <mergeCell ref="WVZ46:WWC46"/>
    <mergeCell ref="WWD46:WWG46"/>
    <mergeCell ref="WWH46:WWK46"/>
    <mergeCell ref="WWL46:WWO46"/>
    <mergeCell ref="WWP46:WWS46"/>
    <mergeCell ref="WWT46:WWW46"/>
    <mergeCell ref="WVB46:WVE46"/>
    <mergeCell ref="WVF46:WVI46"/>
    <mergeCell ref="WVJ46:WVM46"/>
    <mergeCell ref="WVN46:WVQ46"/>
    <mergeCell ref="WVR46:WVU46"/>
    <mergeCell ref="WVV46:WVY46"/>
    <mergeCell ref="WZV46:WZY46"/>
    <mergeCell ref="WZZ46:XAC46"/>
    <mergeCell ref="XAD46:XAG46"/>
    <mergeCell ref="XAH46:XAK46"/>
    <mergeCell ref="XAL46:XAO46"/>
    <mergeCell ref="WYT46:WYW46"/>
    <mergeCell ref="WYX46:WZA46"/>
    <mergeCell ref="WZB46:WZE46"/>
    <mergeCell ref="WZF46:WZI46"/>
    <mergeCell ref="WZJ46:WZM46"/>
    <mergeCell ref="WZN46:WZQ46"/>
    <mergeCell ref="WXV46:WXY46"/>
    <mergeCell ref="WXZ46:WYC46"/>
    <mergeCell ref="WYD46:WYG46"/>
    <mergeCell ref="WYH46:WYK46"/>
    <mergeCell ref="WYL46:WYO46"/>
    <mergeCell ref="WYP46:WYS46"/>
    <mergeCell ref="A116:A117"/>
    <mergeCell ref="B116:B117"/>
    <mergeCell ref="A118:A124"/>
    <mergeCell ref="B118:B124"/>
    <mergeCell ref="D103:D104"/>
    <mergeCell ref="D231:D237"/>
    <mergeCell ref="A92:A97"/>
    <mergeCell ref="B92:B97"/>
    <mergeCell ref="A100:A101"/>
    <mergeCell ref="B100:B101"/>
    <mergeCell ref="A109:A114"/>
    <mergeCell ref="B109:B114"/>
    <mergeCell ref="XCL46:XCO46"/>
    <mergeCell ref="XCP46:XCS46"/>
    <mergeCell ref="XCT46:XCW46"/>
    <mergeCell ref="A49:A50"/>
    <mergeCell ref="B49:B50"/>
    <mergeCell ref="A67:A69"/>
    <mergeCell ref="B67:B69"/>
    <mergeCell ref="XBN46:XBQ46"/>
    <mergeCell ref="XBR46:XBU46"/>
    <mergeCell ref="XBV46:XBY46"/>
    <mergeCell ref="XBZ46:XCC46"/>
    <mergeCell ref="XCD46:XCG46"/>
    <mergeCell ref="XCH46:XCK46"/>
    <mergeCell ref="XAP46:XAS46"/>
    <mergeCell ref="XAT46:XAW46"/>
    <mergeCell ref="XAX46:XBA46"/>
    <mergeCell ref="XBB46:XBE46"/>
    <mergeCell ref="XBF46:XBI46"/>
    <mergeCell ref="XBJ46:XBM46"/>
    <mergeCell ref="WZR46:WZU46"/>
  </mergeCells>
  <phoneticPr fontId="3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64CD-B4D0-D74F-8E3A-A200B48E72F3}">
  <sheetPr>
    <tabColor theme="4" tint="0.79998168889431442"/>
  </sheetPr>
  <dimension ref="A1:AN32"/>
  <sheetViews>
    <sheetView zoomScale="70" zoomScaleNormal="70" workbookViewId="0">
      <selection activeCell="A7" sqref="A7:A32"/>
    </sheetView>
  </sheetViews>
  <sheetFormatPr defaultColWidth="10.625" defaultRowHeight="15.75" x14ac:dyDescent="0.25"/>
  <cols>
    <col min="2" max="2" width="16" style="454" customWidth="1"/>
    <col min="3" max="3" width="13.375" hidden="1" customWidth="1"/>
    <col min="6" max="6" width="13.875" bestFit="1" customWidth="1"/>
    <col min="7" max="7" width="13.625" customWidth="1"/>
    <col min="8" max="8" width="2.875" customWidth="1"/>
    <col min="13" max="13" width="2.875" customWidth="1"/>
    <col min="17" max="17" width="12.875" bestFit="1" customWidth="1"/>
    <col min="18" max="18" width="7" customWidth="1"/>
    <col min="19" max="19" width="11.5" customWidth="1"/>
    <col min="20" max="20" width="16.25" customWidth="1"/>
    <col min="21" max="21" width="1.625" hidden="1" customWidth="1"/>
    <col min="22" max="22" width="11.625" customWidth="1"/>
    <col min="23" max="29" width="11.5" customWidth="1"/>
    <col min="30" max="30" width="18.875" bestFit="1" customWidth="1"/>
    <col min="31" max="31" width="2.875" customWidth="1"/>
    <col min="32" max="32" width="14.125" customWidth="1"/>
    <col min="33" max="34" width="11.5" customWidth="1"/>
    <col min="35" max="35" width="18.125" bestFit="1" customWidth="1"/>
    <col min="36" max="36" width="2.875" customWidth="1"/>
    <col min="37" max="37" width="13.875" customWidth="1"/>
    <col min="38" max="38" width="11.5" customWidth="1"/>
    <col min="39" max="39" width="13.875" customWidth="1"/>
    <col min="40" max="40" width="18.125" bestFit="1" customWidth="1"/>
  </cols>
  <sheetData>
    <row r="1" spans="1:40" ht="36" customHeight="1" x14ac:dyDescent="0.25">
      <c r="A1" s="514" t="s">
        <v>716</v>
      </c>
      <c r="B1" s="514"/>
      <c r="C1" s="514"/>
      <c r="D1" s="514"/>
      <c r="E1" s="514"/>
      <c r="F1" s="514"/>
      <c r="G1" s="514"/>
      <c r="H1" s="514"/>
      <c r="I1" s="514"/>
      <c r="J1" s="514"/>
      <c r="K1" s="514"/>
      <c r="L1" s="514"/>
      <c r="M1" s="514"/>
      <c r="N1" s="514"/>
      <c r="O1" s="514"/>
      <c r="P1" s="514"/>
      <c r="Q1" s="514"/>
      <c r="S1" s="514" t="s">
        <v>717</v>
      </c>
      <c r="T1" s="514"/>
      <c r="U1" s="514"/>
      <c r="V1" s="514"/>
      <c r="W1" s="514"/>
      <c r="X1" s="514"/>
      <c r="Y1" s="514"/>
      <c r="Z1" s="514"/>
      <c r="AA1" s="514"/>
      <c r="AB1" s="514"/>
      <c r="AC1" s="514"/>
      <c r="AD1" s="514"/>
      <c r="AE1" s="514"/>
      <c r="AF1" s="514"/>
      <c r="AG1" s="514"/>
      <c r="AH1" s="514"/>
      <c r="AI1" s="514"/>
      <c r="AJ1" s="514"/>
      <c r="AK1" s="514"/>
      <c r="AL1" s="514"/>
      <c r="AM1" s="514"/>
      <c r="AN1" s="514"/>
    </row>
    <row r="2" spans="1:40" ht="20.25" x14ac:dyDescent="0.25">
      <c r="A2" s="518" t="s">
        <v>718</v>
      </c>
      <c r="B2" s="518"/>
      <c r="C2" s="518"/>
      <c r="D2" s="518"/>
      <c r="E2" s="518"/>
      <c r="F2" s="518"/>
      <c r="G2" s="518"/>
      <c r="H2" s="369"/>
      <c r="I2" s="514" t="s">
        <v>719</v>
      </c>
      <c r="J2" s="514"/>
      <c r="K2" s="514"/>
      <c r="L2" s="514"/>
      <c r="M2" s="369"/>
      <c r="N2" s="518" t="s">
        <v>720</v>
      </c>
      <c r="O2" s="518"/>
      <c r="P2" s="518"/>
      <c r="Q2" s="518"/>
      <c r="S2" s="518" t="s">
        <v>718</v>
      </c>
      <c r="T2" s="518"/>
      <c r="U2" s="518"/>
      <c r="V2" s="518"/>
      <c r="W2" s="518"/>
      <c r="X2" s="518"/>
      <c r="Y2" s="518"/>
      <c r="Z2" s="518"/>
      <c r="AA2" s="518"/>
      <c r="AB2" s="518"/>
      <c r="AC2" s="518"/>
      <c r="AD2" s="518"/>
      <c r="AE2" s="369"/>
      <c r="AF2" s="514" t="s">
        <v>719</v>
      </c>
      <c r="AG2" s="514"/>
      <c r="AH2" s="514"/>
      <c r="AI2" s="514"/>
      <c r="AJ2" s="369"/>
      <c r="AK2" s="518" t="s">
        <v>720</v>
      </c>
      <c r="AL2" s="518"/>
      <c r="AM2" s="518"/>
      <c r="AN2" s="518"/>
    </row>
    <row r="3" spans="1:40" ht="15.95" customHeight="1" x14ac:dyDescent="0.25">
      <c r="A3" s="506" t="s">
        <v>721</v>
      </c>
      <c r="B3" s="508" t="s">
        <v>722</v>
      </c>
      <c r="C3" s="508" t="s">
        <v>722</v>
      </c>
      <c r="D3" s="511" t="s">
        <v>723</v>
      </c>
      <c r="E3" s="512"/>
      <c r="F3" s="362" t="s">
        <v>724</v>
      </c>
      <c r="G3" s="506" t="s">
        <v>725</v>
      </c>
      <c r="H3" s="370"/>
      <c r="I3" s="515" t="s">
        <v>721</v>
      </c>
      <c r="J3" s="516" t="s">
        <v>723</v>
      </c>
      <c r="K3" s="516" t="s">
        <v>724</v>
      </c>
      <c r="L3" s="515" t="s">
        <v>726</v>
      </c>
      <c r="M3" s="370"/>
      <c r="N3" s="515" t="s">
        <v>721</v>
      </c>
      <c r="O3" s="516" t="s">
        <v>723</v>
      </c>
      <c r="P3" s="516" t="s">
        <v>724</v>
      </c>
      <c r="Q3" s="515" t="s">
        <v>726</v>
      </c>
      <c r="S3" s="506" t="s">
        <v>721</v>
      </c>
      <c r="T3" s="508" t="s">
        <v>722</v>
      </c>
      <c r="U3" s="508" t="s">
        <v>722</v>
      </c>
      <c r="V3" s="511" t="s">
        <v>723</v>
      </c>
      <c r="W3" s="512"/>
      <c r="X3" s="512"/>
      <c r="Y3" s="513"/>
      <c r="Z3" s="511" t="s">
        <v>724</v>
      </c>
      <c r="AA3" s="512"/>
      <c r="AB3" s="512"/>
      <c r="AC3" s="513"/>
      <c r="AD3" s="506" t="s">
        <v>725</v>
      </c>
      <c r="AE3" s="370"/>
      <c r="AF3" s="506" t="s">
        <v>721</v>
      </c>
      <c r="AG3" s="516" t="s">
        <v>723</v>
      </c>
      <c r="AH3" s="516" t="s">
        <v>724</v>
      </c>
      <c r="AI3" s="515" t="s">
        <v>726</v>
      </c>
      <c r="AJ3" s="370"/>
      <c r="AK3" s="515" t="s">
        <v>721</v>
      </c>
      <c r="AL3" s="516" t="s">
        <v>723</v>
      </c>
      <c r="AM3" s="516" t="s">
        <v>724</v>
      </c>
      <c r="AN3" s="515" t="s">
        <v>726</v>
      </c>
    </row>
    <row r="4" spans="1:40" ht="30.6" customHeight="1" x14ac:dyDescent="0.25">
      <c r="A4" s="507"/>
      <c r="B4" s="509"/>
      <c r="C4" s="509"/>
      <c r="D4" s="363" t="s">
        <v>727</v>
      </c>
      <c r="E4" s="363" t="s">
        <v>728</v>
      </c>
      <c r="F4" s="364" t="s">
        <v>729</v>
      </c>
      <c r="G4" s="507"/>
      <c r="H4" s="364"/>
      <c r="I4" s="515"/>
      <c r="J4" s="517"/>
      <c r="K4" s="517"/>
      <c r="L4" s="515"/>
      <c r="M4" s="364"/>
      <c r="N4" s="515"/>
      <c r="O4" s="517"/>
      <c r="P4" s="517"/>
      <c r="Q4" s="515"/>
      <c r="S4" s="519"/>
      <c r="T4" s="509"/>
      <c r="U4" s="510"/>
      <c r="V4" s="363" t="s">
        <v>727</v>
      </c>
      <c r="W4" s="363" t="s">
        <v>728</v>
      </c>
      <c r="X4" s="363" t="s">
        <v>680</v>
      </c>
      <c r="Y4" s="363" t="s">
        <v>730</v>
      </c>
      <c r="Z4" s="364" t="s">
        <v>729</v>
      </c>
      <c r="AA4" s="364" t="s">
        <v>731</v>
      </c>
      <c r="AB4" s="364" t="s">
        <v>732</v>
      </c>
      <c r="AC4" s="364" t="s">
        <v>733</v>
      </c>
      <c r="AD4" s="507"/>
      <c r="AE4" s="364"/>
      <c r="AF4" s="507"/>
      <c r="AG4" s="517"/>
      <c r="AH4" s="517"/>
      <c r="AI4" s="515"/>
      <c r="AJ4" s="364"/>
      <c r="AK4" s="515"/>
      <c r="AL4" s="517"/>
      <c r="AM4" s="517"/>
      <c r="AN4" s="515"/>
    </row>
    <row r="5" spans="1:40" ht="30.6" hidden="1" customHeight="1" x14ac:dyDescent="0.25">
      <c r="A5" s="369" t="s">
        <v>734</v>
      </c>
      <c r="B5" s="475" t="s">
        <v>735</v>
      </c>
      <c r="C5" s="475" t="s">
        <v>736</v>
      </c>
      <c r="D5" s="369" t="s">
        <v>737</v>
      </c>
      <c r="E5" s="369" t="s">
        <v>738</v>
      </c>
      <c r="F5" s="369" t="s">
        <v>739</v>
      </c>
      <c r="G5" s="369" t="s">
        <v>740</v>
      </c>
      <c r="H5" s="369" t="s">
        <v>741</v>
      </c>
      <c r="I5" s="369" t="s">
        <v>742</v>
      </c>
      <c r="J5" s="476" t="s">
        <v>743</v>
      </c>
      <c r="K5" s="476" t="s">
        <v>744</v>
      </c>
      <c r="L5" s="369" t="s">
        <v>745</v>
      </c>
      <c r="M5" s="369" t="s">
        <v>746</v>
      </c>
      <c r="N5" s="369" t="s">
        <v>747</v>
      </c>
      <c r="O5" s="476" t="s">
        <v>748</v>
      </c>
      <c r="P5" s="476" t="s">
        <v>749</v>
      </c>
      <c r="Q5" s="369" t="s">
        <v>750</v>
      </c>
      <c r="S5" s="369" t="s">
        <v>734</v>
      </c>
      <c r="T5" s="475" t="s">
        <v>735</v>
      </c>
      <c r="U5" s="475" t="s">
        <v>736</v>
      </c>
      <c r="V5" s="369" t="s">
        <v>737</v>
      </c>
      <c r="W5" s="369" t="s">
        <v>738</v>
      </c>
      <c r="X5" s="369" t="s">
        <v>751</v>
      </c>
      <c r="Y5" s="369" t="s">
        <v>752</v>
      </c>
      <c r="Z5" s="369" t="s">
        <v>739</v>
      </c>
      <c r="AA5" s="369" t="s">
        <v>753</v>
      </c>
      <c r="AB5" s="369" t="s">
        <v>754</v>
      </c>
      <c r="AC5" s="369" t="s">
        <v>755</v>
      </c>
      <c r="AD5" s="369" t="s">
        <v>740</v>
      </c>
      <c r="AE5" s="369" t="s">
        <v>741</v>
      </c>
      <c r="AF5" s="369" t="s">
        <v>742</v>
      </c>
      <c r="AG5" s="476" t="s">
        <v>743</v>
      </c>
      <c r="AH5" s="476" t="s">
        <v>744</v>
      </c>
      <c r="AI5" s="369" t="s">
        <v>745</v>
      </c>
      <c r="AJ5" s="369" t="s">
        <v>746</v>
      </c>
      <c r="AK5" s="369" t="s">
        <v>747</v>
      </c>
      <c r="AL5" s="476" t="s">
        <v>748</v>
      </c>
      <c r="AM5" s="476" t="s">
        <v>749</v>
      </c>
      <c r="AN5" s="369" t="s">
        <v>750</v>
      </c>
    </row>
    <row r="6" spans="1:40" x14ac:dyDescent="0.25">
      <c r="A6" s="372" t="s">
        <v>756</v>
      </c>
      <c r="B6" s="452"/>
      <c r="C6" s="372"/>
      <c r="D6" s="372">
        <v>47</v>
      </c>
      <c r="E6" s="372">
        <v>102</v>
      </c>
      <c r="F6" s="372">
        <v>23</v>
      </c>
      <c r="G6" s="372">
        <v>172</v>
      </c>
      <c r="I6" s="372" t="s">
        <v>756</v>
      </c>
      <c r="J6" s="372">
        <v>149</v>
      </c>
      <c r="K6" s="372">
        <v>23</v>
      </c>
      <c r="L6" s="372">
        <v>172</v>
      </c>
      <c r="N6" s="373" t="s">
        <v>756</v>
      </c>
      <c r="O6" s="374">
        <v>1</v>
      </c>
      <c r="P6" s="374">
        <v>1</v>
      </c>
      <c r="Q6" s="374">
        <v>1</v>
      </c>
      <c r="S6" s="372" t="s">
        <v>756</v>
      </c>
      <c r="T6" s="375"/>
      <c r="U6" s="372"/>
      <c r="V6" s="372">
        <v>47</v>
      </c>
      <c r="W6" s="372">
        <v>102</v>
      </c>
      <c r="X6" s="372">
        <v>141</v>
      </c>
      <c r="Y6" s="372">
        <v>290</v>
      </c>
      <c r="Z6" s="372">
        <v>23</v>
      </c>
      <c r="AA6" s="372">
        <v>3</v>
      </c>
      <c r="AB6" s="372">
        <v>0</v>
      </c>
      <c r="AC6" s="372">
        <v>26</v>
      </c>
      <c r="AD6" s="372">
        <v>316</v>
      </c>
      <c r="AF6" s="372" t="s">
        <v>756</v>
      </c>
      <c r="AG6" s="372">
        <v>290</v>
      </c>
      <c r="AH6" s="372">
        <v>26</v>
      </c>
      <c r="AI6" s="372">
        <v>316</v>
      </c>
      <c r="AK6" s="376" t="s">
        <v>756</v>
      </c>
      <c r="AL6" s="374">
        <v>1</v>
      </c>
      <c r="AM6" s="374">
        <v>1</v>
      </c>
      <c r="AN6" s="374">
        <v>1</v>
      </c>
    </row>
    <row r="7" spans="1:40" x14ac:dyDescent="0.25">
      <c r="A7" s="365" t="s">
        <v>757</v>
      </c>
      <c r="B7" s="453" t="s">
        <v>758</v>
      </c>
      <c r="C7" s="365" t="s">
        <v>758</v>
      </c>
      <c r="D7" s="366">
        <v>2</v>
      </c>
      <c r="E7" s="366">
        <v>4</v>
      </c>
      <c r="F7" s="366">
        <v>0</v>
      </c>
      <c r="G7" s="366">
        <v>6</v>
      </c>
      <c r="I7" s="365" t="s">
        <v>757</v>
      </c>
      <c r="J7" s="366">
        <v>6</v>
      </c>
      <c r="K7" s="366">
        <v>0</v>
      </c>
      <c r="L7" s="366">
        <v>6</v>
      </c>
      <c r="N7" s="367" t="s">
        <v>757</v>
      </c>
      <c r="O7" s="368">
        <v>1</v>
      </c>
      <c r="P7" s="368"/>
      <c r="Q7" s="368">
        <v>1</v>
      </c>
      <c r="S7" s="365" t="s">
        <v>757</v>
      </c>
      <c r="T7" s="365" t="s">
        <v>758</v>
      </c>
      <c r="U7" s="365" t="s">
        <v>758</v>
      </c>
      <c r="V7" s="366">
        <v>2</v>
      </c>
      <c r="W7" s="366">
        <v>4</v>
      </c>
      <c r="X7" s="366">
        <v>9</v>
      </c>
      <c r="Y7" s="366">
        <v>15</v>
      </c>
      <c r="Z7" s="366">
        <v>0</v>
      </c>
      <c r="AA7" s="366">
        <v>1</v>
      </c>
      <c r="AB7" s="366">
        <v>0</v>
      </c>
      <c r="AC7" s="366">
        <v>1</v>
      </c>
      <c r="AD7" s="366">
        <v>16</v>
      </c>
      <c r="AF7" s="365" t="s">
        <v>757</v>
      </c>
      <c r="AG7" s="366">
        <v>15</v>
      </c>
      <c r="AH7" s="366">
        <v>1</v>
      </c>
      <c r="AI7" s="366">
        <v>16</v>
      </c>
      <c r="AK7" s="367" t="s">
        <v>757</v>
      </c>
      <c r="AL7" s="368">
        <v>1</v>
      </c>
      <c r="AM7" s="368">
        <v>1</v>
      </c>
      <c r="AN7" s="368">
        <v>1</v>
      </c>
    </row>
    <row r="8" spans="1:40" x14ac:dyDescent="0.25">
      <c r="A8" s="365" t="s">
        <v>759</v>
      </c>
      <c r="B8" s="453" t="s">
        <v>758</v>
      </c>
      <c r="C8" s="365" t="s">
        <v>758</v>
      </c>
      <c r="D8" s="366">
        <v>2</v>
      </c>
      <c r="E8" s="366">
        <v>3</v>
      </c>
      <c r="F8" s="366">
        <v>1</v>
      </c>
      <c r="G8" s="366">
        <v>6</v>
      </c>
      <c r="I8" s="365" t="s">
        <v>759</v>
      </c>
      <c r="J8" s="366">
        <v>5</v>
      </c>
      <c r="K8" s="366">
        <v>1</v>
      </c>
      <c r="L8" s="366">
        <v>6</v>
      </c>
      <c r="N8" s="367" t="s">
        <v>759</v>
      </c>
      <c r="O8" s="368">
        <v>1</v>
      </c>
      <c r="P8" s="368">
        <v>1</v>
      </c>
      <c r="Q8" s="368">
        <v>1</v>
      </c>
      <c r="S8" s="365" t="s">
        <v>759</v>
      </c>
      <c r="T8" s="365" t="s">
        <v>758</v>
      </c>
      <c r="U8" s="365" t="s">
        <v>758</v>
      </c>
      <c r="V8" s="366">
        <v>2</v>
      </c>
      <c r="W8" s="366">
        <v>3</v>
      </c>
      <c r="X8" s="366">
        <v>5</v>
      </c>
      <c r="Y8" s="366">
        <v>10</v>
      </c>
      <c r="Z8" s="366">
        <v>1</v>
      </c>
      <c r="AA8" s="366">
        <v>0</v>
      </c>
      <c r="AB8" s="366">
        <v>0</v>
      </c>
      <c r="AC8" s="366">
        <v>1</v>
      </c>
      <c r="AD8" s="366">
        <v>11</v>
      </c>
      <c r="AF8" s="365" t="s">
        <v>759</v>
      </c>
      <c r="AG8" s="366">
        <v>10</v>
      </c>
      <c r="AH8" s="366">
        <v>1</v>
      </c>
      <c r="AI8" s="366">
        <v>11</v>
      </c>
      <c r="AK8" s="367" t="s">
        <v>759</v>
      </c>
      <c r="AL8" s="368">
        <v>1</v>
      </c>
      <c r="AM8" s="368">
        <v>1</v>
      </c>
      <c r="AN8" s="368">
        <v>1</v>
      </c>
    </row>
    <row r="9" spans="1:40" x14ac:dyDescent="0.25">
      <c r="A9" s="365" t="s">
        <v>760</v>
      </c>
      <c r="B9" s="453" t="s">
        <v>761</v>
      </c>
      <c r="C9" s="365" t="s">
        <v>761</v>
      </c>
      <c r="D9" s="366">
        <v>2</v>
      </c>
      <c r="E9" s="366">
        <v>6</v>
      </c>
      <c r="F9" s="366">
        <v>1</v>
      </c>
      <c r="G9" s="366">
        <v>9</v>
      </c>
      <c r="I9" s="365" t="s">
        <v>760</v>
      </c>
      <c r="J9" s="366">
        <v>8</v>
      </c>
      <c r="K9" s="366">
        <v>1</v>
      </c>
      <c r="L9" s="366">
        <v>9</v>
      </c>
      <c r="N9" s="367" t="s">
        <v>760</v>
      </c>
      <c r="O9" s="368">
        <v>1</v>
      </c>
      <c r="P9" s="368">
        <v>1</v>
      </c>
      <c r="Q9" s="368">
        <v>1</v>
      </c>
      <c r="S9" s="365" t="s">
        <v>760</v>
      </c>
      <c r="T9" s="365" t="s">
        <v>761</v>
      </c>
      <c r="U9" s="365" t="s">
        <v>761</v>
      </c>
      <c r="V9" s="366">
        <v>2</v>
      </c>
      <c r="W9" s="366">
        <v>6</v>
      </c>
      <c r="X9" s="366">
        <v>7</v>
      </c>
      <c r="Y9" s="366">
        <v>15</v>
      </c>
      <c r="Z9" s="366">
        <v>1</v>
      </c>
      <c r="AA9" s="366">
        <v>0</v>
      </c>
      <c r="AB9" s="366">
        <v>0</v>
      </c>
      <c r="AC9" s="366">
        <v>1</v>
      </c>
      <c r="AD9" s="366">
        <v>16</v>
      </c>
      <c r="AF9" s="365" t="s">
        <v>760</v>
      </c>
      <c r="AG9" s="366">
        <v>15</v>
      </c>
      <c r="AH9" s="366">
        <v>1</v>
      </c>
      <c r="AI9" s="366">
        <v>16</v>
      </c>
      <c r="AK9" s="367" t="s">
        <v>760</v>
      </c>
      <c r="AL9" s="368">
        <v>1</v>
      </c>
      <c r="AM9" s="368">
        <v>1</v>
      </c>
      <c r="AN9" s="368">
        <v>1</v>
      </c>
    </row>
    <row r="10" spans="1:40" x14ac:dyDescent="0.25">
      <c r="A10" s="365" t="s">
        <v>762</v>
      </c>
      <c r="B10" s="453" t="s">
        <v>758</v>
      </c>
      <c r="C10" s="365" t="s">
        <v>758</v>
      </c>
      <c r="D10" s="366">
        <v>1</v>
      </c>
      <c r="E10" s="366">
        <v>3</v>
      </c>
      <c r="F10" s="366">
        <v>1</v>
      </c>
      <c r="G10" s="366">
        <v>5</v>
      </c>
      <c r="I10" s="365" t="s">
        <v>762</v>
      </c>
      <c r="J10" s="366">
        <v>4</v>
      </c>
      <c r="K10" s="366">
        <v>1</v>
      </c>
      <c r="L10" s="366">
        <v>5</v>
      </c>
      <c r="N10" s="367" t="s">
        <v>762</v>
      </c>
      <c r="O10" s="368">
        <v>1</v>
      </c>
      <c r="P10" s="368">
        <v>1</v>
      </c>
      <c r="Q10" s="368">
        <v>1</v>
      </c>
      <c r="S10" s="365" t="s">
        <v>762</v>
      </c>
      <c r="T10" s="365" t="s">
        <v>758</v>
      </c>
      <c r="U10" s="365" t="s">
        <v>758</v>
      </c>
      <c r="V10" s="366">
        <v>1</v>
      </c>
      <c r="W10" s="366">
        <v>3</v>
      </c>
      <c r="X10" s="366">
        <v>6</v>
      </c>
      <c r="Y10" s="366">
        <v>10</v>
      </c>
      <c r="Z10" s="366">
        <v>1</v>
      </c>
      <c r="AA10" s="366">
        <v>0</v>
      </c>
      <c r="AB10" s="366">
        <v>0</v>
      </c>
      <c r="AC10" s="366">
        <v>1</v>
      </c>
      <c r="AD10" s="366">
        <v>11</v>
      </c>
      <c r="AF10" s="365" t="s">
        <v>762</v>
      </c>
      <c r="AG10" s="366">
        <v>10</v>
      </c>
      <c r="AH10" s="366">
        <v>1</v>
      </c>
      <c r="AI10" s="366">
        <v>11</v>
      </c>
      <c r="AK10" s="367" t="s">
        <v>762</v>
      </c>
      <c r="AL10" s="368">
        <v>1</v>
      </c>
      <c r="AM10" s="368">
        <v>1</v>
      </c>
      <c r="AN10" s="368">
        <v>1</v>
      </c>
    </row>
    <row r="11" spans="1:40" x14ac:dyDescent="0.25">
      <c r="A11" s="365" t="s">
        <v>763</v>
      </c>
      <c r="B11" s="453" t="s">
        <v>764</v>
      </c>
      <c r="C11" s="365" t="s">
        <v>764</v>
      </c>
      <c r="D11" s="366">
        <v>3</v>
      </c>
      <c r="E11" s="366">
        <v>3</v>
      </c>
      <c r="F11" s="366">
        <v>1</v>
      </c>
      <c r="G11" s="366">
        <v>7</v>
      </c>
      <c r="I11" s="365" t="s">
        <v>763</v>
      </c>
      <c r="J11" s="366">
        <v>6</v>
      </c>
      <c r="K11" s="366">
        <v>1</v>
      </c>
      <c r="L11" s="366">
        <v>7</v>
      </c>
      <c r="N11" s="365" t="s">
        <v>763</v>
      </c>
      <c r="O11" s="368">
        <v>1</v>
      </c>
      <c r="P11" s="368">
        <v>1</v>
      </c>
      <c r="Q11" s="368">
        <v>1</v>
      </c>
      <c r="S11" s="365" t="s">
        <v>763</v>
      </c>
      <c r="T11" s="365" t="s">
        <v>764</v>
      </c>
      <c r="U11" s="365" t="s">
        <v>764</v>
      </c>
      <c r="V11" s="366">
        <v>3</v>
      </c>
      <c r="W11" s="366">
        <v>3</v>
      </c>
      <c r="X11" s="366">
        <v>4</v>
      </c>
      <c r="Y11" s="366">
        <v>10</v>
      </c>
      <c r="Z11" s="366">
        <v>1</v>
      </c>
      <c r="AA11" s="366">
        <v>0</v>
      </c>
      <c r="AB11" s="366">
        <v>0</v>
      </c>
      <c r="AC11" s="366">
        <v>1</v>
      </c>
      <c r="AD11" s="366">
        <v>11</v>
      </c>
      <c r="AF11" s="365" t="s">
        <v>763</v>
      </c>
      <c r="AG11" s="366">
        <v>10</v>
      </c>
      <c r="AH11" s="366">
        <v>1</v>
      </c>
      <c r="AI11" s="366">
        <v>11</v>
      </c>
      <c r="AK11" s="365" t="s">
        <v>763</v>
      </c>
      <c r="AL11" s="368">
        <v>1</v>
      </c>
      <c r="AM11" s="368">
        <v>1</v>
      </c>
      <c r="AN11" s="368">
        <v>1</v>
      </c>
    </row>
    <row r="12" spans="1:40" x14ac:dyDescent="0.25">
      <c r="A12" s="365" t="s">
        <v>765</v>
      </c>
      <c r="B12" s="453" t="s">
        <v>766</v>
      </c>
      <c r="C12" s="365" t="s">
        <v>766</v>
      </c>
      <c r="D12" s="366">
        <v>4</v>
      </c>
      <c r="E12" s="366">
        <v>5</v>
      </c>
      <c r="F12" s="366">
        <v>1</v>
      </c>
      <c r="G12" s="366">
        <v>10</v>
      </c>
      <c r="I12" s="365" t="s">
        <v>765</v>
      </c>
      <c r="J12" s="366">
        <v>9</v>
      </c>
      <c r="K12" s="366">
        <v>1</v>
      </c>
      <c r="L12" s="366">
        <v>10</v>
      </c>
      <c r="N12" s="367" t="s">
        <v>765</v>
      </c>
      <c r="O12" s="368">
        <v>1</v>
      </c>
      <c r="P12" s="368">
        <v>1</v>
      </c>
      <c r="Q12" s="368">
        <v>1</v>
      </c>
      <c r="S12" s="365" t="s">
        <v>765</v>
      </c>
      <c r="T12" s="365" t="s">
        <v>766</v>
      </c>
      <c r="U12" s="365" t="s">
        <v>766</v>
      </c>
      <c r="V12" s="366">
        <v>4</v>
      </c>
      <c r="W12" s="366">
        <v>5</v>
      </c>
      <c r="X12" s="366">
        <v>6</v>
      </c>
      <c r="Y12" s="366">
        <v>15</v>
      </c>
      <c r="Z12" s="366">
        <v>1</v>
      </c>
      <c r="AA12" s="366">
        <v>0</v>
      </c>
      <c r="AB12" s="366">
        <v>0</v>
      </c>
      <c r="AC12" s="366">
        <v>1</v>
      </c>
      <c r="AD12" s="366">
        <v>16</v>
      </c>
      <c r="AF12" s="365" t="s">
        <v>765</v>
      </c>
      <c r="AG12" s="366">
        <v>15</v>
      </c>
      <c r="AH12" s="366">
        <v>1</v>
      </c>
      <c r="AI12" s="366">
        <v>16</v>
      </c>
      <c r="AK12" s="367" t="s">
        <v>765</v>
      </c>
      <c r="AL12" s="368">
        <v>1</v>
      </c>
      <c r="AM12" s="368">
        <v>1</v>
      </c>
      <c r="AN12" s="368">
        <v>1</v>
      </c>
    </row>
    <row r="13" spans="1:40" x14ac:dyDescent="0.25">
      <c r="A13" s="365" t="s">
        <v>767</v>
      </c>
      <c r="B13" s="453" t="s">
        <v>768</v>
      </c>
      <c r="C13" s="365" t="s">
        <v>768</v>
      </c>
      <c r="D13" s="366">
        <v>1</v>
      </c>
      <c r="E13" s="366">
        <v>3</v>
      </c>
      <c r="F13" s="366">
        <v>1</v>
      </c>
      <c r="G13" s="366">
        <v>5</v>
      </c>
      <c r="I13" s="365" t="s">
        <v>767</v>
      </c>
      <c r="J13" s="366">
        <v>4</v>
      </c>
      <c r="K13" s="366">
        <v>1</v>
      </c>
      <c r="L13" s="366">
        <v>5</v>
      </c>
      <c r="N13" s="367" t="s">
        <v>767</v>
      </c>
      <c r="O13" s="368">
        <v>1</v>
      </c>
      <c r="P13" s="368">
        <v>1</v>
      </c>
      <c r="Q13" s="368">
        <v>1</v>
      </c>
      <c r="S13" s="365" t="s">
        <v>767</v>
      </c>
      <c r="T13" s="365" t="s">
        <v>768</v>
      </c>
      <c r="U13" s="365" t="s">
        <v>768</v>
      </c>
      <c r="V13" s="366">
        <v>1</v>
      </c>
      <c r="W13" s="366">
        <v>3</v>
      </c>
      <c r="X13" s="366">
        <v>6</v>
      </c>
      <c r="Y13" s="366">
        <v>10</v>
      </c>
      <c r="Z13" s="366">
        <v>1</v>
      </c>
      <c r="AA13" s="366">
        <v>0</v>
      </c>
      <c r="AB13" s="366">
        <v>0</v>
      </c>
      <c r="AC13" s="366">
        <v>1</v>
      </c>
      <c r="AD13" s="366">
        <v>11</v>
      </c>
      <c r="AF13" s="365" t="s">
        <v>767</v>
      </c>
      <c r="AG13" s="366">
        <v>10</v>
      </c>
      <c r="AH13" s="366">
        <v>1</v>
      </c>
      <c r="AI13" s="366">
        <v>11</v>
      </c>
      <c r="AK13" s="367" t="s">
        <v>767</v>
      </c>
      <c r="AL13" s="368">
        <v>1</v>
      </c>
      <c r="AM13" s="368">
        <v>1</v>
      </c>
      <c r="AN13" s="368">
        <v>1</v>
      </c>
    </row>
    <row r="14" spans="1:40" x14ac:dyDescent="0.25">
      <c r="A14" s="365" t="s">
        <v>769</v>
      </c>
      <c r="B14" s="453" t="s">
        <v>770</v>
      </c>
      <c r="C14" s="365" t="s">
        <v>770</v>
      </c>
      <c r="D14" s="366">
        <v>2</v>
      </c>
      <c r="E14" s="366">
        <v>6</v>
      </c>
      <c r="F14" s="366">
        <v>1</v>
      </c>
      <c r="G14" s="366">
        <v>9</v>
      </c>
      <c r="I14" s="365" t="s">
        <v>769</v>
      </c>
      <c r="J14" s="366">
        <v>8</v>
      </c>
      <c r="K14" s="366">
        <v>1</v>
      </c>
      <c r="L14" s="366">
        <v>9</v>
      </c>
      <c r="N14" s="367" t="s">
        <v>769</v>
      </c>
      <c r="O14" s="368">
        <v>1</v>
      </c>
      <c r="P14" s="368">
        <v>1</v>
      </c>
      <c r="Q14" s="368">
        <v>1</v>
      </c>
      <c r="R14" s="371"/>
      <c r="S14" s="365" t="s">
        <v>769</v>
      </c>
      <c r="T14" s="365" t="s">
        <v>770</v>
      </c>
      <c r="U14" s="365" t="s">
        <v>770</v>
      </c>
      <c r="V14" s="366">
        <v>2</v>
      </c>
      <c r="W14" s="366">
        <v>6</v>
      </c>
      <c r="X14" s="366">
        <v>7</v>
      </c>
      <c r="Y14" s="366">
        <v>15</v>
      </c>
      <c r="Z14" s="366">
        <v>1</v>
      </c>
      <c r="AA14" s="366">
        <v>0</v>
      </c>
      <c r="AB14" s="366">
        <v>0</v>
      </c>
      <c r="AC14" s="366">
        <v>1</v>
      </c>
      <c r="AD14" s="366">
        <v>16</v>
      </c>
      <c r="AF14" s="365" t="s">
        <v>769</v>
      </c>
      <c r="AG14" s="366">
        <v>15</v>
      </c>
      <c r="AH14" s="366">
        <v>1</v>
      </c>
      <c r="AI14" s="366">
        <v>16</v>
      </c>
      <c r="AK14" s="367" t="s">
        <v>769</v>
      </c>
      <c r="AL14" s="368">
        <v>1</v>
      </c>
      <c r="AM14" s="368">
        <v>1</v>
      </c>
      <c r="AN14" s="368">
        <v>1</v>
      </c>
    </row>
    <row r="15" spans="1:40" x14ac:dyDescent="0.25">
      <c r="A15" s="365" t="s">
        <v>771</v>
      </c>
      <c r="B15" s="453" t="s">
        <v>772</v>
      </c>
      <c r="C15" s="365" t="s">
        <v>772</v>
      </c>
      <c r="D15" s="366">
        <v>4</v>
      </c>
      <c r="E15" s="366">
        <v>5</v>
      </c>
      <c r="F15" s="366">
        <v>1</v>
      </c>
      <c r="G15" s="366">
        <v>10</v>
      </c>
      <c r="I15" s="365" t="s">
        <v>771</v>
      </c>
      <c r="J15" s="366">
        <v>9</v>
      </c>
      <c r="K15" s="366">
        <v>1</v>
      </c>
      <c r="L15" s="366">
        <v>10</v>
      </c>
      <c r="N15" s="367" t="s">
        <v>771</v>
      </c>
      <c r="O15" s="368">
        <v>1</v>
      </c>
      <c r="P15" s="368">
        <v>1</v>
      </c>
      <c r="Q15" s="368">
        <v>1</v>
      </c>
      <c r="S15" s="365" t="s">
        <v>771</v>
      </c>
      <c r="T15" s="365" t="s">
        <v>772</v>
      </c>
      <c r="U15" s="365" t="s">
        <v>772</v>
      </c>
      <c r="V15" s="366">
        <v>4</v>
      </c>
      <c r="W15" s="366">
        <v>5</v>
      </c>
      <c r="X15" s="366">
        <v>6</v>
      </c>
      <c r="Y15" s="366">
        <v>15</v>
      </c>
      <c r="Z15" s="366">
        <v>1</v>
      </c>
      <c r="AA15" s="366">
        <v>0</v>
      </c>
      <c r="AB15" s="366">
        <v>0</v>
      </c>
      <c r="AC15" s="366">
        <v>1</v>
      </c>
      <c r="AD15" s="366">
        <v>16</v>
      </c>
      <c r="AF15" s="365" t="s">
        <v>771</v>
      </c>
      <c r="AG15" s="366">
        <v>15</v>
      </c>
      <c r="AH15" s="366">
        <v>1</v>
      </c>
      <c r="AI15" s="366">
        <v>16</v>
      </c>
      <c r="AK15" s="367" t="s">
        <v>771</v>
      </c>
      <c r="AL15" s="368">
        <v>1</v>
      </c>
      <c r="AM15" s="368">
        <v>1</v>
      </c>
      <c r="AN15" s="368">
        <v>1</v>
      </c>
    </row>
    <row r="16" spans="1:40" x14ac:dyDescent="0.25">
      <c r="A16" s="365" t="s">
        <v>773</v>
      </c>
      <c r="B16" s="453" t="s">
        <v>764</v>
      </c>
      <c r="C16" s="365" t="s">
        <v>764</v>
      </c>
      <c r="D16" s="366">
        <v>1</v>
      </c>
      <c r="E16" s="366">
        <v>4</v>
      </c>
      <c r="F16" s="366">
        <v>1</v>
      </c>
      <c r="G16" s="366">
        <v>6</v>
      </c>
      <c r="I16" s="365" t="s">
        <v>773</v>
      </c>
      <c r="J16" s="366">
        <v>5</v>
      </c>
      <c r="K16" s="366">
        <v>1</v>
      </c>
      <c r="L16" s="366">
        <v>6</v>
      </c>
      <c r="N16" s="367" t="s">
        <v>773</v>
      </c>
      <c r="O16" s="368">
        <v>1</v>
      </c>
      <c r="P16" s="368">
        <v>1</v>
      </c>
      <c r="Q16" s="368">
        <v>1</v>
      </c>
      <c r="S16" s="365" t="s">
        <v>773</v>
      </c>
      <c r="T16" s="365" t="s">
        <v>764</v>
      </c>
      <c r="U16" s="365" t="s">
        <v>764</v>
      </c>
      <c r="V16" s="366">
        <v>1</v>
      </c>
      <c r="W16" s="366">
        <v>4</v>
      </c>
      <c r="X16" s="366">
        <v>5</v>
      </c>
      <c r="Y16" s="366">
        <v>10</v>
      </c>
      <c r="Z16" s="366">
        <v>1</v>
      </c>
      <c r="AA16" s="366">
        <v>0</v>
      </c>
      <c r="AB16" s="366">
        <v>0</v>
      </c>
      <c r="AC16" s="366">
        <v>1</v>
      </c>
      <c r="AD16" s="366">
        <v>11</v>
      </c>
      <c r="AF16" s="365" t="s">
        <v>773</v>
      </c>
      <c r="AG16" s="366">
        <v>10</v>
      </c>
      <c r="AH16" s="366">
        <v>1</v>
      </c>
      <c r="AI16" s="366">
        <v>11</v>
      </c>
      <c r="AK16" s="367" t="s">
        <v>773</v>
      </c>
      <c r="AL16" s="368">
        <v>1</v>
      </c>
      <c r="AM16" s="368">
        <v>1</v>
      </c>
      <c r="AN16" s="368">
        <v>1</v>
      </c>
    </row>
    <row r="17" spans="1:40" x14ac:dyDescent="0.25">
      <c r="A17" s="365" t="s">
        <v>774</v>
      </c>
      <c r="B17" s="453" t="s">
        <v>758</v>
      </c>
      <c r="C17" s="365" t="s">
        <v>758</v>
      </c>
      <c r="D17" s="366">
        <v>2</v>
      </c>
      <c r="E17" s="366">
        <v>6</v>
      </c>
      <c r="F17" s="366">
        <v>1</v>
      </c>
      <c r="G17" s="366">
        <v>9</v>
      </c>
      <c r="I17" s="365" t="s">
        <v>774</v>
      </c>
      <c r="J17" s="366">
        <v>8</v>
      </c>
      <c r="K17" s="366">
        <v>1</v>
      </c>
      <c r="L17" s="366">
        <v>9</v>
      </c>
      <c r="N17" s="367" t="s">
        <v>774</v>
      </c>
      <c r="O17" s="368">
        <v>1</v>
      </c>
      <c r="P17" s="368">
        <v>1</v>
      </c>
      <c r="Q17" s="368">
        <v>1</v>
      </c>
      <c r="S17" s="365" t="s">
        <v>774</v>
      </c>
      <c r="T17" s="365" t="s">
        <v>758</v>
      </c>
      <c r="U17" s="365" t="s">
        <v>758</v>
      </c>
      <c r="V17" s="366">
        <v>2</v>
      </c>
      <c r="W17" s="366">
        <v>6</v>
      </c>
      <c r="X17" s="366">
        <v>2</v>
      </c>
      <c r="Y17" s="366">
        <v>10</v>
      </c>
      <c r="Z17" s="366">
        <v>1</v>
      </c>
      <c r="AA17" s="366">
        <v>0</v>
      </c>
      <c r="AB17" s="366">
        <v>0</v>
      </c>
      <c r="AC17" s="366">
        <v>1</v>
      </c>
      <c r="AD17" s="366">
        <v>11</v>
      </c>
      <c r="AF17" s="365" t="s">
        <v>774</v>
      </c>
      <c r="AG17" s="366">
        <v>10</v>
      </c>
      <c r="AH17" s="366">
        <v>1</v>
      </c>
      <c r="AI17" s="366">
        <v>11</v>
      </c>
      <c r="AK17" s="367" t="s">
        <v>774</v>
      </c>
      <c r="AL17" s="368">
        <v>1</v>
      </c>
      <c r="AM17" s="368">
        <v>1</v>
      </c>
      <c r="AN17" s="368">
        <v>1</v>
      </c>
    </row>
    <row r="18" spans="1:40" x14ac:dyDescent="0.25">
      <c r="A18" s="365" t="s">
        <v>775</v>
      </c>
      <c r="B18" s="453" t="s">
        <v>766</v>
      </c>
      <c r="C18" s="365" t="s">
        <v>766</v>
      </c>
      <c r="D18" s="366">
        <v>3</v>
      </c>
      <c r="E18" s="366">
        <v>4</v>
      </c>
      <c r="F18" s="366">
        <v>1</v>
      </c>
      <c r="G18" s="366">
        <v>8</v>
      </c>
      <c r="I18" s="365" t="s">
        <v>775</v>
      </c>
      <c r="J18" s="366">
        <v>7</v>
      </c>
      <c r="K18" s="366">
        <v>1</v>
      </c>
      <c r="L18" s="366">
        <v>8</v>
      </c>
      <c r="N18" s="367" t="s">
        <v>775</v>
      </c>
      <c r="O18" s="368">
        <v>1</v>
      </c>
      <c r="P18" s="368">
        <v>1</v>
      </c>
      <c r="Q18" s="368">
        <v>1</v>
      </c>
      <c r="S18" s="365" t="s">
        <v>775</v>
      </c>
      <c r="T18" s="365" t="s">
        <v>766</v>
      </c>
      <c r="U18" s="365" t="s">
        <v>766</v>
      </c>
      <c r="V18" s="366">
        <v>3</v>
      </c>
      <c r="W18" s="366">
        <v>4</v>
      </c>
      <c r="X18" s="366">
        <v>8</v>
      </c>
      <c r="Y18" s="366">
        <v>15</v>
      </c>
      <c r="Z18" s="366">
        <v>1</v>
      </c>
      <c r="AA18" s="366">
        <v>0</v>
      </c>
      <c r="AB18" s="366">
        <v>0</v>
      </c>
      <c r="AC18" s="366">
        <v>1</v>
      </c>
      <c r="AD18" s="366">
        <v>16</v>
      </c>
      <c r="AF18" s="365" t="s">
        <v>775</v>
      </c>
      <c r="AG18" s="366">
        <v>15</v>
      </c>
      <c r="AH18" s="366">
        <v>1</v>
      </c>
      <c r="AI18" s="366">
        <v>16</v>
      </c>
      <c r="AK18" s="367" t="s">
        <v>775</v>
      </c>
      <c r="AL18" s="368">
        <v>1</v>
      </c>
      <c r="AM18" s="368">
        <v>1</v>
      </c>
      <c r="AN18" s="368">
        <v>1</v>
      </c>
    </row>
    <row r="19" spans="1:40" x14ac:dyDescent="0.25">
      <c r="A19" s="365" t="s">
        <v>776</v>
      </c>
      <c r="B19" s="453" t="s">
        <v>777</v>
      </c>
      <c r="C19" s="365" t="s">
        <v>777</v>
      </c>
      <c r="D19" s="366">
        <v>1</v>
      </c>
      <c r="E19" s="366">
        <v>3</v>
      </c>
      <c r="F19" s="366">
        <v>1</v>
      </c>
      <c r="G19" s="366">
        <v>5</v>
      </c>
      <c r="I19" s="365" t="s">
        <v>776</v>
      </c>
      <c r="J19" s="366">
        <v>4</v>
      </c>
      <c r="K19" s="366">
        <v>1</v>
      </c>
      <c r="L19" s="366">
        <v>5</v>
      </c>
      <c r="N19" s="367" t="s">
        <v>776</v>
      </c>
      <c r="O19" s="368">
        <v>1</v>
      </c>
      <c r="P19" s="368">
        <v>1</v>
      </c>
      <c r="Q19" s="368">
        <v>1</v>
      </c>
      <c r="S19" s="365" t="s">
        <v>776</v>
      </c>
      <c r="T19" s="365" t="s">
        <v>777</v>
      </c>
      <c r="U19" s="365" t="s">
        <v>777</v>
      </c>
      <c r="V19" s="366">
        <v>1</v>
      </c>
      <c r="W19" s="366">
        <v>3</v>
      </c>
      <c r="X19" s="366">
        <v>6</v>
      </c>
      <c r="Y19" s="366">
        <v>10</v>
      </c>
      <c r="Z19" s="366">
        <v>1</v>
      </c>
      <c r="AA19" s="366">
        <v>0</v>
      </c>
      <c r="AB19" s="366">
        <v>0</v>
      </c>
      <c r="AC19" s="366">
        <v>1</v>
      </c>
      <c r="AD19" s="366">
        <v>11</v>
      </c>
      <c r="AF19" s="365" t="s">
        <v>776</v>
      </c>
      <c r="AG19" s="366">
        <v>10</v>
      </c>
      <c r="AH19" s="366">
        <v>1</v>
      </c>
      <c r="AI19" s="366">
        <v>11</v>
      </c>
      <c r="AK19" s="367" t="s">
        <v>776</v>
      </c>
      <c r="AL19" s="368">
        <v>1</v>
      </c>
      <c r="AM19" s="368">
        <v>1</v>
      </c>
      <c r="AN19" s="368">
        <v>1</v>
      </c>
    </row>
    <row r="20" spans="1:40" x14ac:dyDescent="0.25">
      <c r="A20" s="365" t="s">
        <v>778</v>
      </c>
      <c r="B20" s="453" t="s">
        <v>766</v>
      </c>
      <c r="C20" s="365" t="s">
        <v>766</v>
      </c>
      <c r="D20" s="366">
        <v>2</v>
      </c>
      <c r="E20" s="366">
        <v>4</v>
      </c>
      <c r="F20" s="366">
        <v>1</v>
      </c>
      <c r="G20" s="366">
        <v>7</v>
      </c>
      <c r="I20" s="365" t="s">
        <v>778</v>
      </c>
      <c r="J20" s="366">
        <v>6</v>
      </c>
      <c r="K20" s="366">
        <v>1</v>
      </c>
      <c r="L20" s="366">
        <v>7</v>
      </c>
      <c r="N20" s="367" t="s">
        <v>778</v>
      </c>
      <c r="O20" s="368">
        <v>1</v>
      </c>
      <c r="P20" s="368">
        <v>1</v>
      </c>
      <c r="Q20" s="368">
        <v>1</v>
      </c>
      <c r="S20" s="365" t="s">
        <v>778</v>
      </c>
      <c r="T20" s="365" t="s">
        <v>766</v>
      </c>
      <c r="U20" s="365" t="s">
        <v>766</v>
      </c>
      <c r="V20" s="366">
        <v>2</v>
      </c>
      <c r="W20" s="366">
        <v>4</v>
      </c>
      <c r="X20" s="366">
        <v>4</v>
      </c>
      <c r="Y20" s="366">
        <v>10</v>
      </c>
      <c r="Z20" s="366">
        <v>1</v>
      </c>
      <c r="AA20" s="366">
        <v>0</v>
      </c>
      <c r="AB20" s="366">
        <v>0</v>
      </c>
      <c r="AC20" s="366">
        <v>1</v>
      </c>
      <c r="AD20" s="366">
        <v>11</v>
      </c>
      <c r="AF20" s="365" t="s">
        <v>778</v>
      </c>
      <c r="AG20" s="366">
        <v>10</v>
      </c>
      <c r="AH20" s="366">
        <v>1</v>
      </c>
      <c r="AI20" s="366">
        <v>11</v>
      </c>
      <c r="AK20" s="367" t="s">
        <v>778</v>
      </c>
      <c r="AL20" s="368">
        <v>1</v>
      </c>
      <c r="AM20" s="368">
        <v>1</v>
      </c>
      <c r="AN20" s="368">
        <v>1</v>
      </c>
    </row>
    <row r="21" spans="1:40" x14ac:dyDescent="0.25">
      <c r="A21" s="365" t="s">
        <v>779</v>
      </c>
      <c r="B21" s="453" t="s">
        <v>780</v>
      </c>
      <c r="C21" s="365" t="s">
        <v>780</v>
      </c>
      <c r="D21" s="366">
        <v>2</v>
      </c>
      <c r="E21" s="366">
        <v>5</v>
      </c>
      <c r="F21" s="366">
        <v>1</v>
      </c>
      <c r="G21" s="366">
        <v>8</v>
      </c>
      <c r="I21" s="365" t="s">
        <v>779</v>
      </c>
      <c r="J21" s="366">
        <v>7</v>
      </c>
      <c r="K21" s="366">
        <v>1</v>
      </c>
      <c r="L21" s="366">
        <v>8</v>
      </c>
      <c r="N21" s="367" t="s">
        <v>779</v>
      </c>
      <c r="O21" s="368">
        <v>1</v>
      </c>
      <c r="P21" s="368">
        <v>1</v>
      </c>
      <c r="Q21" s="368">
        <v>1</v>
      </c>
      <c r="S21" s="365" t="s">
        <v>779</v>
      </c>
      <c r="T21" s="365" t="s">
        <v>780</v>
      </c>
      <c r="U21" s="365" t="s">
        <v>780</v>
      </c>
      <c r="V21" s="366">
        <v>2</v>
      </c>
      <c r="W21" s="366">
        <v>5</v>
      </c>
      <c r="X21" s="366">
        <v>3</v>
      </c>
      <c r="Y21" s="366">
        <v>10</v>
      </c>
      <c r="Z21" s="366">
        <v>1</v>
      </c>
      <c r="AA21" s="366">
        <v>0</v>
      </c>
      <c r="AB21" s="366">
        <v>0</v>
      </c>
      <c r="AC21" s="366">
        <v>1</v>
      </c>
      <c r="AD21" s="366">
        <v>11</v>
      </c>
      <c r="AF21" s="365" t="s">
        <v>779</v>
      </c>
      <c r="AG21" s="366">
        <v>10</v>
      </c>
      <c r="AH21" s="366">
        <v>1</v>
      </c>
      <c r="AI21" s="366">
        <v>11</v>
      </c>
      <c r="AK21" s="367" t="s">
        <v>779</v>
      </c>
      <c r="AL21" s="368">
        <v>1</v>
      </c>
      <c r="AM21" s="368">
        <v>1</v>
      </c>
      <c r="AN21" s="368">
        <v>1</v>
      </c>
    </row>
    <row r="22" spans="1:40" x14ac:dyDescent="0.25">
      <c r="A22" s="365" t="s">
        <v>781</v>
      </c>
      <c r="B22" s="453" t="s">
        <v>782</v>
      </c>
      <c r="C22" s="365" t="s">
        <v>782</v>
      </c>
      <c r="D22" s="366">
        <v>2</v>
      </c>
      <c r="E22" s="366">
        <v>4</v>
      </c>
      <c r="F22" s="366">
        <v>0</v>
      </c>
      <c r="G22" s="366">
        <v>6</v>
      </c>
      <c r="I22" s="365" t="s">
        <v>781</v>
      </c>
      <c r="J22" s="366">
        <v>6</v>
      </c>
      <c r="K22" s="366">
        <v>0</v>
      </c>
      <c r="L22" s="366">
        <v>6</v>
      </c>
      <c r="N22" s="367" t="s">
        <v>781</v>
      </c>
      <c r="O22" s="368">
        <v>1</v>
      </c>
      <c r="P22" s="368"/>
      <c r="Q22" s="368">
        <v>1</v>
      </c>
      <c r="S22" s="365" t="s">
        <v>781</v>
      </c>
      <c r="T22" s="365" t="s">
        <v>782</v>
      </c>
      <c r="U22" s="365" t="s">
        <v>782</v>
      </c>
      <c r="V22" s="366">
        <v>2</v>
      </c>
      <c r="W22" s="366">
        <v>4</v>
      </c>
      <c r="X22" s="366">
        <v>4</v>
      </c>
      <c r="Y22" s="366">
        <v>10</v>
      </c>
      <c r="Z22" s="366">
        <v>0</v>
      </c>
      <c r="AA22" s="366">
        <v>1</v>
      </c>
      <c r="AB22" s="366">
        <v>0</v>
      </c>
      <c r="AC22" s="366">
        <v>1</v>
      </c>
      <c r="AD22" s="366">
        <v>11</v>
      </c>
      <c r="AF22" s="365" t="s">
        <v>781</v>
      </c>
      <c r="AG22" s="366">
        <v>10</v>
      </c>
      <c r="AH22" s="366">
        <v>1</v>
      </c>
      <c r="AI22" s="366">
        <v>11</v>
      </c>
      <c r="AK22" s="367" t="s">
        <v>781</v>
      </c>
      <c r="AL22" s="368">
        <v>1</v>
      </c>
      <c r="AM22" s="368">
        <v>1</v>
      </c>
      <c r="AN22" s="368">
        <v>1</v>
      </c>
    </row>
    <row r="23" spans="1:40" x14ac:dyDescent="0.25">
      <c r="A23" s="365" t="s">
        <v>783</v>
      </c>
      <c r="B23" s="453" t="s">
        <v>772</v>
      </c>
      <c r="C23" s="365" t="s">
        <v>772</v>
      </c>
      <c r="D23" s="366">
        <v>1</v>
      </c>
      <c r="E23" s="366">
        <v>2</v>
      </c>
      <c r="F23" s="366">
        <v>1</v>
      </c>
      <c r="G23" s="366">
        <v>4</v>
      </c>
      <c r="I23" s="365" t="s">
        <v>783</v>
      </c>
      <c r="J23" s="366">
        <v>3</v>
      </c>
      <c r="K23" s="366">
        <v>1</v>
      </c>
      <c r="L23" s="366">
        <v>4</v>
      </c>
      <c r="N23" s="367" t="s">
        <v>783</v>
      </c>
      <c r="O23" s="368">
        <v>1</v>
      </c>
      <c r="P23" s="368">
        <v>1</v>
      </c>
      <c r="Q23" s="368">
        <v>1</v>
      </c>
      <c r="S23" s="365" t="s">
        <v>783</v>
      </c>
      <c r="T23" s="365" t="s">
        <v>772</v>
      </c>
      <c r="U23" s="365" t="s">
        <v>772</v>
      </c>
      <c r="V23" s="366">
        <v>1</v>
      </c>
      <c r="W23" s="366">
        <v>2</v>
      </c>
      <c r="X23" s="366">
        <v>7</v>
      </c>
      <c r="Y23" s="366">
        <v>10</v>
      </c>
      <c r="Z23" s="366">
        <v>1</v>
      </c>
      <c r="AA23" s="366">
        <v>0</v>
      </c>
      <c r="AB23" s="366">
        <v>0</v>
      </c>
      <c r="AC23" s="366">
        <v>1</v>
      </c>
      <c r="AD23" s="366">
        <v>11</v>
      </c>
      <c r="AF23" s="365" t="s">
        <v>783</v>
      </c>
      <c r="AG23" s="366">
        <v>10</v>
      </c>
      <c r="AH23" s="366">
        <v>1</v>
      </c>
      <c r="AI23" s="366">
        <v>11</v>
      </c>
      <c r="AK23" s="367" t="s">
        <v>783</v>
      </c>
      <c r="AL23" s="368">
        <v>1</v>
      </c>
      <c r="AM23" s="368">
        <v>1</v>
      </c>
      <c r="AN23" s="368">
        <v>1</v>
      </c>
    </row>
    <row r="24" spans="1:40" x14ac:dyDescent="0.25">
      <c r="A24" s="365" t="s">
        <v>784</v>
      </c>
      <c r="B24" s="453" t="s">
        <v>768</v>
      </c>
      <c r="C24" s="365" t="s">
        <v>768</v>
      </c>
      <c r="D24" s="366">
        <v>2</v>
      </c>
      <c r="E24" s="366">
        <v>3</v>
      </c>
      <c r="F24" s="366">
        <v>1</v>
      </c>
      <c r="G24" s="366">
        <v>6</v>
      </c>
      <c r="I24" s="365" t="s">
        <v>784</v>
      </c>
      <c r="J24" s="366">
        <v>5</v>
      </c>
      <c r="K24" s="366">
        <v>1</v>
      </c>
      <c r="L24" s="366">
        <v>6</v>
      </c>
      <c r="N24" s="367" t="s">
        <v>784</v>
      </c>
      <c r="O24" s="368">
        <v>1</v>
      </c>
      <c r="P24" s="368">
        <v>1</v>
      </c>
      <c r="Q24" s="368">
        <v>1</v>
      </c>
      <c r="S24" s="365" t="s">
        <v>784</v>
      </c>
      <c r="T24" s="365" t="s">
        <v>768</v>
      </c>
      <c r="U24" s="365" t="s">
        <v>768</v>
      </c>
      <c r="V24" s="366">
        <v>2</v>
      </c>
      <c r="W24" s="366">
        <v>3</v>
      </c>
      <c r="X24" s="366">
        <v>5</v>
      </c>
      <c r="Y24" s="366">
        <v>10</v>
      </c>
      <c r="Z24" s="366">
        <v>1</v>
      </c>
      <c r="AA24" s="366">
        <v>0</v>
      </c>
      <c r="AB24" s="366">
        <v>0</v>
      </c>
      <c r="AC24" s="366">
        <v>1</v>
      </c>
      <c r="AD24" s="366">
        <v>11</v>
      </c>
      <c r="AF24" s="365" t="s">
        <v>784</v>
      </c>
      <c r="AG24" s="366">
        <v>10</v>
      </c>
      <c r="AH24" s="366">
        <v>1</v>
      </c>
      <c r="AI24" s="366">
        <v>11</v>
      </c>
      <c r="AK24" s="367" t="s">
        <v>784</v>
      </c>
      <c r="AL24" s="368">
        <v>1</v>
      </c>
      <c r="AM24" s="368">
        <v>1</v>
      </c>
      <c r="AN24" s="368">
        <v>1</v>
      </c>
    </row>
    <row r="25" spans="1:40" x14ac:dyDescent="0.25">
      <c r="A25" s="365" t="s">
        <v>785</v>
      </c>
      <c r="B25" s="453" t="s">
        <v>772</v>
      </c>
      <c r="C25" s="365" t="s">
        <v>772</v>
      </c>
      <c r="D25" s="366">
        <v>2</v>
      </c>
      <c r="E25" s="366">
        <v>4</v>
      </c>
      <c r="F25" s="366">
        <v>1</v>
      </c>
      <c r="G25" s="366">
        <v>7</v>
      </c>
      <c r="I25" s="365" t="s">
        <v>785</v>
      </c>
      <c r="J25" s="366">
        <v>6</v>
      </c>
      <c r="K25" s="366">
        <v>1</v>
      </c>
      <c r="L25" s="366">
        <v>7</v>
      </c>
      <c r="N25" s="367" t="s">
        <v>785</v>
      </c>
      <c r="O25" s="368">
        <v>1</v>
      </c>
      <c r="P25" s="368">
        <v>1</v>
      </c>
      <c r="Q25" s="368">
        <v>1</v>
      </c>
      <c r="S25" s="365" t="s">
        <v>785</v>
      </c>
      <c r="T25" s="365" t="s">
        <v>772</v>
      </c>
      <c r="U25" s="365" t="s">
        <v>772</v>
      </c>
      <c r="V25" s="366">
        <v>2</v>
      </c>
      <c r="W25" s="366">
        <v>4</v>
      </c>
      <c r="X25" s="366">
        <v>4</v>
      </c>
      <c r="Y25" s="366">
        <v>10</v>
      </c>
      <c r="Z25" s="366">
        <v>1</v>
      </c>
      <c r="AA25" s="366">
        <v>0</v>
      </c>
      <c r="AB25" s="366">
        <v>0</v>
      </c>
      <c r="AC25" s="366">
        <v>1</v>
      </c>
      <c r="AD25" s="366">
        <v>11</v>
      </c>
      <c r="AF25" s="365" t="s">
        <v>785</v>
      </c>
      <c r="AG25" s="366">
        <v>10</v>
      </c>
      <c r="AH25" s="366">
        <v>1</v>
      </c>
      <c r="AI25" s="366">
        <v>11</v>
      </c>
      <c r="AK25" s="367" t="s">
        <v>785</v>
      </c>
      <c r="AL25" s="368">
        <v>1</v>
      </c>
      <c r="AM25" s="368">
        <v>1</v>
      </c>
      <c r="AN25" s="368">
        <v>1</v>
      </c>
    </row>
    <row r="26" spans="1:40" x14ac:dyDescent="0.25">
      <c r="A26" s="365" t="s">
        <v>786</v>
      </c>
      <c r="B26" s="453" t="s">
        <v>787</v>
      </c>
      <c r="C26" s="365" t="s">
        <v>787</v>
      </c>
      <c r="D26" s="366">
        <v>1</v>
      </c>
      <c r="E26" s="366">
        <v>3</v>
      </c>
      <c r="F26" s="366">
        <v>1</v>
      </c>
      <c r="G26" s="366">
        <v>5</v>
      </c>
      <c r="I26" s="365" t="s">
        <v>786</v>
      </c>
      <c r="J26" s="366">
        <v>4</v>
      </c>
      <c r="K26" s="366">
        <v>1</v>
      </c>
      <c r="L26" s="366">
        <v>5</v>
      </c>
      <c r="N26" s="367" t="s">
        <v>786</v>
      </c>
      <c r="O26" s="368">
        <v>1</v>
      </c>
      <c r="P26" s="368">
        <v>1</v>
      </c>
      <c r="Q26" s="368">
        <v>1</v>
      </c>
      <c r="S26" s="365" t="s">
        <v>786</v>
      </c>
      <c r="T26" s="365" t="s">
        <v>787</v>
      </c>
      <c r="U26" s="365" t="s">
        <v>787</v>
      </c>
      <c r="V26" s="366">
        <v>1</v>
      </c>
      <c r="W26" s="366">
        <v>3</v>
      </c>
      <c r="X26" s="366">
        <v>6</v>
      </c>
      <c r="Y26" s="366">
        <v>10</v>
      </c>
      <c r="Z26" s="366">
        <v>1</v>
      </c>
      <c r="AA26" s="366">
        <v>0</v>
      </c>
      <c r="AB26" s="366">
        <v>0</v>
      </c>
      <c r="AC26" s="366">
        <v>1</v>
      </c>
      <c r="AD26" s="366">
        <v>11</v>
      </c>
      <c r="AF26" s="365" t="s">
        <v>786</v>
      </c>
      <c r="AG26" s="366">
        <v>10</v>
      </c>
      <c r="AH26" s="366">
        <v>1</v>
      </c>
      <c r="AI26" s="366">
        <v>11</v>
      </c>
      <c r="AK26" s="367" t="s">
        <v>786</v>
      </c>
      <c r="AL26" s="368">
        <v>1</v>
      </c>
      <c r="AM26" s="368">
        <v>1</v>
      </c>
      <c r="AN26" s="368">
        <v>1</v>
      </c>
    </row>
    <row r="27" spans="1:40" x14ac:dyDescent="0.25">
      <c r="A27" s="365" t="s">
        <v>788</v>
      </c>
      <c r="B27" s="453" t="s">
        <v>766</v>
      </c>
      <c r="C27" s="365" t="s">
        <v>766</v>
      </c>
      <c r="D27" s="366">
        <v>1</v>
      </c>
      <c r="E27" s="366">
        <v>4</v>
      </c>
      <c r="F27" s="366">
        <v>0</v>
      </c>
      <c r="G27" s="366">
        <v>5</v>
      </c>
      <c r="I27" s="365" t="s">
        <v>788</v>
      </c>
      <c r="J27" s="366">
        <v>5</v>
      </c>
      <c r="K27" s="366">
        <v>0</v>
      </c>
      <c r="L27" s="366">
        <v>5</v>
      </c>
      <c r="N27" s="367" t="s">
        <v>788</v>
      </c>
      <c r="O27" s="368">
        <v>1</v>
      </c>
      <c r="P27" s="368"/>
      <c r="Q27" s="368">
        <v>1</v>
      </c>
      <c r="S27" s="365" t="s">
        <v>788</v>
      </c>
      <c r="T27" s="365" t="s">
        <v>766</v>
      </c>
      <c r="U27" s="365" t="s">
        <v>766</v>
      </c>
      <c r="V27" s="366">
        <v>1</v>
      </c>
      <c r="W27" s="366">
        <v>4</v>
      </c>
      <c r="X27" s="366">
        <v>5</v>
      </c>
      <c r="Y27" s="366">
        <v>10</v>
      </c>
      <c r="Z27" s="366">
        <v>0</v>
      </c>
      <c r="AA27" s="366">
        <v>1</v>
      </c>
      <c r="AB27" s="366">
        <v>0</v>
      </c>
      <c r="AC27" s="366">
        <v>1</v>
      </c>
      <c r="AD27" s="366">
        <v>11</v>
      </c>
      <c r="AF27" s="365" t="s">
        <v>788</v>
      </c>
      <c r="AG27" s="366">
        <v>10</v>
      </c>
      <c r="AH27" s="366">
        <v>1</v>
      </c>
      <c r="AI27" s="366">
        <v>11</v>
      </c>
      <c r="AK27" s="367" t="s">
        <v>788</v>
      </c>
      <c r="AL27" s="368">
        <v>1</v>
      </c>
      <c r="AM27" s="368">
        <v>1</v>
      </c>
      <c r="AN27" s="368">
        <v>1</v>
      </c>
    </row>
    <row r="28" spans="1:40" x14ac:dyDescent="0.25">
      <c r="A28" s="365" t="s">
        <v>789</v>
      </c>
      <c r="B28" s="453" t="s">
        <v>790</v>
      </c>
      <c r="C28" s="365" t="s">
        <v>790</v>
      </c>
      <c r="D28" s="366">
        <v>1</v>
      </c>
      <c r="E28" s="366">
        <v>4</v>
      </c>
      <c r="F28" s="366">
        <v>1</v>
      </c>
      <c r="G28" s="366">
        <v>6</v>
      </c>
      <c r="I28" s="365" t="s">
        <v>789</v>
      </c>
      <c r="J28" s="366">
        <v>5</v>
      </c>
      <c r="K28" s="366">
        <v>1</v>
      </c>
      <c r="L28" s="366">
        <v>6</v>
      </c>
      <c r="N28" s="367" t="s">
        <v>789</v>
      </c>
      <c r="O28" s="368">
        <v>1</v>
      </c>
      <c r="P28" s="368">
        <v>1</v>
      </c>
      <c r="Q28" s="368">
        <v>1</v>
      </c>
      <c r="S28" s="365" t="s">
        <v>789</v>
      </c>
      <c r="T28" s="365" t="s">
        <v>790</v>
      </c>
      <c r="U28" s="365" t="s">
        <v>790</v>
      </c>
      <c r="V28" s="366">
        <v>1</v>
      </c>
      <c r="W28" s="366">
        <v>4</v>
      </c>
      <c r="X28" s="366">
        <v>5</v>
      </c>
      <c r="Y28" s="366">
        <v>10</v>
      </c>
      <c r="Z28" s="366">
        <v>1</v>
      </c>
      <c r="AA28" s="366">
        <v>0</v>
      </c>
      <c r="AB28" s="366">
        <v>0</v>
      </c>
      <c r="AC28" s="366">
        <v>1</v>
      </c>
      <c r="AD28" s="366">
        <v>11</v>
      </c>
      <c r="AF28" s="365" t="s">
        <v>789</v>
      </c>
      <c r="AG28" s="366">
        <v>10</v>
      </c>
      <c r="AH28" s="366">
        <v>1</v>
      </c>
      <c r="AI28" s="366">
        <v>11</v>
      </c>
      <c r="AK28" s="367" t="s">
        <v>789</v>
      </c>
      <c r="AL28" s="368">
        <v>1</v>
      </c>
      <c r="AM28" s="368">
        <v>1</v>
      </c>
      <c r="AN28" s="368">
        <v>1</v>
      </c>
    </row>
    <row r="29" spans="1:40" x14ac:dyDescent="0.25">
      <c r="A29" s="365" t="s">
        <v>791</v>
      </c>
      <c r="B29" s="453" t="s">
        <v>790</v>
      </c>
      <c r="C29" s="365" t="s">
        <v>790</v>
      </c>
      <c r="D29" s="366">
        <v>1</v>
      </c>
      <c r="E29" s="366">
        <v>3</v>
      </c>
      <c r="F29" s="366">
        <v>1</v>
      </c>
      <c r="G29" s="366">
        <v>5</v>
      </c>
      <c r="I29" s="365" t="s">
        <v>791</v>
      </c>
      <c r="J29" s="366">
        <v>4</v>
      </c>
      <c r="K29" s="366">
        <v>1</v>
      </c>
      <c r="L29" s="366">
        <v>5</v>
      </c>
      <c r="N29" s="367" t="s">
        <v>791</v>
      </c>
      <c r="O29" s="368">
        <v>1</v>
      </c>
      <c r="P29" s="368">
        <v>1</v>
      </c>
      <c r="Q29" s="368">
        <v>1</v>
      </c>
      <c r="S29" s="365" t="s">
        <v>791</v>
      </c>
      <c r="T29" s="365" t="s">
        <v>790</v>
      </c>
      <c r="U29" s="365" t="s">
        <v>790</v>
      </c>
      <c r="V29" s="366">
        <v>1</v>
      </c>
      <c r="W29" s="366">
        <v>3</v>
      </c>
      <c r="X29" s="366">
        <v>6</v>
      </c>
      <c r="Y29" s="366">
        <v>10</v>
      </c>
      <c r="Z29" s="366">
        <v>1</v>
      </c>
      <c r="AA29" s="366">
        <v>0</v>
      </c>
      <c r="AB29" s="366">
        <v>0</v>
      </c>
      <c r="AC29" s="366">
        <v>1</v>
      </c>
      <c r="AD29" s="366">
        <v>11</v>
      </c>
      <c r="AF29" s="365" t="s">
        <v>791</v>
      </c>
      <c r="AG29" s="366">
        <v>10</v>
      </c>
      <c r="AH29" s="366">
        <v>1</v>
      </c>
      <c r="AI29" s="366">
        <v>11</v>
      </c>
      <c r="AK29" s="367" t="s">
        <v>791</v>
      </c>
      <c r="AL29" s="368">
        <v>1</v>
      </c>
      <c r="AM29" s="368">
        <v>1</v>
      </c>
      <c r="AN29" s="368">
        <v>1</v>
      </c>
    </row>
    <row r="30" spans="1:40" x14ac:dyDescent="0.25">
      <c r="A30" s="365" t="s">
        <v>792</v>
      </c>
      <c r="B30" s="453" t="s">
        <v>758</v>
      </c>
      <c r="C30" s="365" t="s">
        <v>758</v>
      </c>
      <c r="D30" s="366">
        <v>2</v>
      </c>
      <c r="E30" s="366">
        <v>4</v>
      </c>
      <c r="F30" s="366">
        <v>1</v>
      </c>
      <c r="G30" s="366">
        <v>7</v>
      </c>
      <c r="I30" s="365" t="s">
        <v>792</v>
      </c>
      <c r="J30" s="366">
        <v>6</v>
      </c>
      <c r="K30" s="366">
        <v>1</v>
      </c>
      <c r="L30" s="366">
        <v>7</v>
      </c>
      <c r="N30" s="367" t="s">
        <v>792</v>
      </c>
      <c r="O30" s="368">
        <v>1</v>
      </c>
      <c r="P30" s="368">
        <v>1</v>
      </c>
      <c r="Q30" s="368">
        <v>1</v>
      </c>
      <c r="S30" s="365" t="s">
        <v>792</v>
      </c>
      <c r="T30" s="365" t="s">
        <v>758</v>
      </c>
      <c r="U30" s="365" t="s">
        <v>758</v>
      </c>
      <c r="V30" s="366">
        <v>2</v>
      </c>
      <c r="W30" s="366">
        <v>4</v>
      </c>
      <c r="X30" s="366">
        <v>4</v>
      </c>
      <c r="Y30" s="366">
        <v>10</v>
      </c>
      <c r="Z30" s="366">
        <v>1</v>
      </c>
      <c r="AA30" s="366">
        <v>0</v>
      </c>
      <c r="AB30" s="366">
        <v>0</v>
      </c>
      <c r="AC30" s="366">
        <v>1</v>
      </c>
      <c r="AD30" s="366">
        <v>11</v>
      </c>
      <c r="AF30" s="365" t="s">
        <v>792</v>
      </c>
      <c r="AG30" s="366">
        <v>10</v>
      </c>
      <c r="AH30" s="366">
        <v>1</v>
      </c>
      <c r="AI30" s="366">
        <v>11</v>
      </c>
      <c r="AK30" s="367" t="s">
        <v>792</v>
      </c>
      <c r="AL30" s="368">
        <v>1</v>
      </c>
      <c r="AM30" s="368">
        <v>1</v>
      </c>
      <c r="AN30" s="368">
        <v>1</v>
      </c>
    </row>
    <row r="31" spans="1:40" x14ac:dyDescent="0.25">
      <c r="A31" s="365" t="s">
        <v>793</v>
      </c>
      <c r="B31" s="453" t="s">
        <v>794</v>
      </c>
      <c r="C31" s="365" t="s">
        <v>794</v>
      </c>
      <c r="D31" s="366">
        <v>1</v>
      </c>
      <c r="E31" s="366">
        <v>3</v>
      </c>
      <c r="F31" s="366">
        <v>1</v>
      </c>
      <c r="G31" s="366">
        <v>5</v>
      </c>
      <c r="I31" s="365" t="s">
        <v>793</v>
      </c>
      <c r="J31" s="366">
        <v>4</v>
      </c>
      <c r="K31" s="366">
        <v>1</v>
      </c>
      <c r="L31" s="366">
        <v>5</v>
      </c>
      <c r="N31" s="367" t="s">
        <v>793</v>
      </c>
      <c r="O31" s="368">
        <v>1</v>
      </c>
      <c r="P31" s="368">
        <v>1</v>
      </c>
      <c r="Q31" s="368">
        <v>1</v>
      </c>
      <c r="S31" s="365" t="s">
        <v>793</v>
      </c>
      <c r="T31" s="365" t="s">
        <v>794</v>
      </c>
      <c r="U31" s="365" t="s">
        <v>794</v>
      </c>
      <c r="V31" s="366">
        <v>1</v>
      </c>
      <c r="W31" s="366">
        <v>3</v>
      </c>
      <c r="X31" s="366">
        <v>6</v>
      </c>
      <c r="Y31" s="366">
        <v>10</v>
      </c>
      <c r="Z31" s="366">
        <v>1</v>
      </c>
      <c r="AA31" s="366">
        <v>0</v>
      </c>
      <c r="AB31" s="366">
        <v>0</v>
      </c>
      <c r="AC31" s="366">
        <v>1</v>
      </c>
      <c r="AD31" s="366">
        <v>11</v>
      </c>
      <c r="AF31" s="365" t="s">
        <v>793</v>
      </c>
      <c r="AG31" s="366">
        <v>10</v>
      </c>
      <c r="AH31" s="366">
        <v>1</v>
      </c>
      <c r="AI31" s="366">
        <v>11</v>
      </c>
      <c r="AK31" s="367" t="s">
        <v>793</v>
      </c>
      <c r="AL31" s="368">
        <v>1</v>
      </c>
      <c r="AM31" s="368">
        <v>1</v>
      </c>
      <c r="AN31" s="368">
        <v>1</v>
      </c>
    </row>
    <row r="32" spans="1:40" x14ac:dyDescent="0.25">
      <c r="A32" s="365" t="s">
        <v>795</v>
      </c>
      <c r="B32" s="453" t="s">
        <v>761</v>
      </c>
      <c r="C32" s="365" t="s">
        <v>761</v>
      </c>
      <c r="D32" s="366">
        <v>1</v>
      </c>
      <c r="E32" s="366">
        <v>4</v>
      </c>
      <c r="F32" s="366">
        <v>1</v>
      </c>
      <c r="G32" s="366">
        <v>6</v>
      </c>
      <c r="I32" s="365" t="s">
        <v>795</v>
      </c>
      <c r="J32" s="366">
        <v>5</v>
      </c>
      <c r="K32" s="366">
        <v>1</v>
      </c>
      <c r="L32" s="366">
        <v>6</v>
      </c>
      <c r="N32" s="367" t="s">
        <v>795</v>
      </c>
      <c r="O32" s="368">
        <v>1</v>
      </c>
      <c r="P32" s="368">
        <v>1</v>
      </c>
      <c r="Q32" s="368">
        <v>1</v>
      </c>
      <c r="S32" s="365" t="s">
        <v>795</v>
      </c>
      <c r="T32" s="365" t="s">
        <v>761</v>
      </c>
      <c r="U32" s="365" t="s">
        <v>761</v>
      </c>
      <c r="V32" s="366">
        <v>1</v>
      </c>
      <c r="W32" s="366">
        <v>4</v>
      </c>
      <c r="X32" s="366">
        <v>5</v>
      </c>
      <c r="Y32" s="366">
        <v>10</v>
      </c>
      <c r="Z32" s="366">
        <v>1</v>
      </c>
      <c r="AA32" s="366">
        <v>0</v>
      </c>
      <c r="AB32" s="366">
        <v>0</v>
      </c>
      <c r="AC32" s="366">
        <v>1</v>
      </c>
      <c r="AD32" s="366">
        <v>11</v>
      </c>
      <c r="AF32" s="365" t="s">
        <v>795</v>
      </c>
      <c r="AG32" s="366">
        <v>10</v>
      </c>
      <c r="AH32" s="366">
        <v>1</v>
      </c>
      <c r="AI32" s="366">
        <v>11</v>
      </c>
      <c r="AK32" s="367" t="s">
        <v>795</v>
      </c>
      <c r="AL32" s="368">
        <v>1</v>
      </c>
      <c r="AM32" s="368">
        <v>1</v>
      </c>
      <c r="AN32" s="368">
        <v>1</v>
      </c>
    </row>
  </sheetData>
  <mergeCells count="35">
    <mergeCell ref="N3:N4"/>
    <mergeCell ref="O3:O4"/>
    <mergeCell ref="P3:P4"/>
    <mergeCell ref="Q3:Q4"/>
    <mergeCell ref="A2:G2"/>
    <mergeCell ref="I2:L2"/>
    <mergeCell ref="N2:Q2"/>
    <mergeCell ref="D3:E3"/>
    <mergeCell ref="G3:G4"/>
    <mergeCell ref="I3:I4"/>
    <mergeCell ref="J3:J4"/>
    <mergeCell ref="K3:K4"/>
    <mergeCell ref="L3:L4"/>
    <mergeCell ref="S1:AN1"/>
    <mergeCell ref="A1:Q1"/>
    <mergeCell ref="AN3:AN4"/>
    <mergeCell ref="A3:A4"/>
    <mergeCell ref="B3:B4"/>
    <mergeCell ref="C3:C4"/>
    <mergeCell ref="AG3:AG4"/>
    <mergeCell ref="AH3:AH4"/>
    <mergeCell ref="AI3:AI4"/>
    <mergeCell ref="AK3:AK4"/>
    <mergeCell ref="AL3:AL4"/>
    <mergeCell ref="AM3:AM4"/>
    <mergeCell ref="S2:AD2"/>
    <mergeCell ref="AF2:AI2"/>
    <mergeCell ref="AK2:AN2"/>
    <mergeCell ref="S3:S4"/>
    <mergeCell ref="AF3:AF4"/>
    <mergeCell ref="T3:T4"/>
    <mergeCell ref="U3:U4"/>
    <mergeCell ref="V3:Y3"/>
    <mergeCell ref="Z3:AC3"/>
    <mergeCell ref="AD3:AD4"/>
  </mergeCells>
  <conditionalFormatting sqref="D7:G32 J7:L32 O7:Q32 V7:AD32 AG7:AI32 AL7:AN32">
    <cfRule type="expression" dxfId="16" priority="2">
      <formula>ODD(ROW())=ROW()</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U36"/>
  <sheetViews>
    <sheetView zoomScale="75" zoomScaleNormal="70" workbookViewId="0">
      <pane xSplit="2" ySplit="1" topLeftCell="L2" activePane="bottomRight" state="frozen"/>
      <selection pane="topRight" activeCell="C1" sqref="C1"/>
      <selection pane="bottomLeft" activeCell="A2" sqref="A2"/>
      <selection pane="bottomRight" activeCell="U4" sqref="U4:U29"/>
    </sheetView>
  </sheetViews>
  <sheetFormatPr defaultColWidth="18.875" defaultRowHeight="20.25" customHeight="1" x14ac:dyDescent="0.25"/>
  <cols>
    <col min="1" max="2" width="18.875" style="103"/>
    <col min="3" max="12" width="20" customWidth="1"/>
    <col min="13" max="13" width="19" customWidth="1"/>
    <col min="14" max="14" width="2.875" customWidth="1"/>
    <col min="15" max="17" width="20" style="129" customWidth="1"/>
    <col min="18" max="18" width="5.625" style="129" bestFit="1" customWidth="1"/>
    <col min="19" max="19" width="20" style="129" customWidth="1"/>
    <col min="20" max="20" width="5.625" bestFit="1" customWidth="1"/>
    <col min="21" max="21" width="20" style="173" customWidth="1"/>
  </cols>
  <sheetData>
    <row r="1" spans="1:21" s="118" customFormat="1" ht="30.95" customHeight="1" x14ac:dyDescent="0.2">
      <c r="A1" s="523" t="s">
        <v>721</v>
      </c>
      <c r="B1" s="527" t="s">
        <v>796</v>
      </c>
      <c r="C1" s="525" t="s">
        <v>797</v>
      </c>
      <c r="D1" s="525"/>
      <c r="E1" s="525"/>
      <c r="F1" s="525"/>
      <c r="G1" s="525"/>
      <c r="H1" s="525"/>
      <c r="I1" s="525"/>
      <c r="J1" s="525"/>
      <c r="K1" s="525"/>
      <c r="L1" s="525"/>
      <c r="M1" s="525"/>
      <c r="N1" s="117"/>
      <c r="O1" s="526" t="s">
        <v>798</v>
      </c>
      <c r="P1" s="526"/>
      <c r="Q1" s="526"/>
      <c r="R1" s="127"/>
      <c r="S1" s="522" t="s">
        <v>799</v>
      </c>
      <c r="U1" s="520" t="s">
        <v>800</v>
      </c>
    </row>
    <row r="2" spans="1:21" s="101" customFormat="1" ht="60" x14ac:dyDescent="0.25">
      <c r="A2" s="524"/>
      <c r="B2" s="528"/>
      <c r="C2" s="290" t="s">
        <v>801</v>
      </c>
      <c r="D2" s="290" t="s">
        <v>802</v>
      </c>
      <c r="E2" s="290" t="s">
        <v>803</v>
      </c>
      <c r="F2" s="290" t="s">
        <v>804</v>
      </c>
      <c r="G2" s="290" t="s">
        <v>805</v>
      </c>
      <c r="H2" s="290" t="s">
        <v>806</v>
      </c>
      <c r="I2" s="290" t="s">
        <v>807</v>
      </c>
      <c r="J2" s="290" t="s">
        <v>808</v>
      </c>
      <c r="K2" s="290" t="s">
        <v>809</v>
      </c>
      <c r="L2" s="290" t="s">
        <v>810</v>
      </c>
      <c r="M2" s="280" t="s">
        <v>811</v>
      </c>
      <c r="N2" s="104"/>
      <c r="O2" s="291" t="s">
        <v>812</v>
      </c>
      <c r="P2" s="291" t="s">
        <v>813</v>
      </c>
      <c r="Q2" s="292" t="s">
        <v>814</v>
      </c>
      <c r="R2" s="128"/>
      <c r="S2" s="522"/>
      <c r="U2" s="521"/>
    </row>
    <row r="3" spans="1:21" s="101" customFormat="1" ht="33" hidden="1" customHeight="1" x14ac:dyDescent="0.25">
      <c r="A3" s="400" t="s">
        <v>815</v>
      </c>
      <c r="B3" s="400" t="s">
        <v>816</v>
      </c>
      <c r="C3" s="401" t="s">
        <v>817</v>
      </c>
      <c r="D3" s="401" t="s">
        <v>818</v>
      </c>
      <c r="E3" s="401" t="s">
        <v>819</v>
      </c>
      <c r="F3" s="401" t="s">
        <v>820</v>
      </c>
      <c r="G3" s="401" t="s">
        <v>821</v>
      </c>
      <c r="H3" s="401" t="s">
        <v>822</v>
      </c>
      <c r="I3" s="401" t="s">
        <v>823</v>
      </c>
      <c r="J3" s="401" t="s">
        <v>824</v>
      </c>
      <c r="K3" s="401" t="s">
        <v>825</v>
      </c>
      <c r="L3" s="401" t="s">
        <v>826</v>
      </c>
      <c r="M3" s="400" t="s">
        <v>827</v>
      </c>
      <c r="N3" s="104" t="s">
        <v>741</v>
      </c>
      <c r="O3" s="402" t="s">
        <v>828</v>
      </c>
      <c r="P3" s="402" t="s">
        <v>829</v>
      </c>
      <c r="Q3" s="403" t="s">
        <v>830</v>
      </c>
      <c r="R3" s="128" t="s">
        <v>746</v>
      </c>
      <c r="S3" s="404" t="s">
        <v>831</v>
      </c>
      <c r="U3" s="397"/>
    </row>
    <row r="4" spans="1:21" s="7" customFormat="1" ht="20.25" customHeight="1" x14ac:dyDescent="0.25">
      <c r="A4" s="332" t="s">
        <v>757</v>
      </c>
      <c r="B4" s="332" t="s">
        <v>758</v>
      </c>
      <c r="C4" s="334">
        <v>0.85714290000000004</v>
      </c>
      <c r="D4" s="334">
        <v>0.67401960000000005</v>
      </c>
      <c r="E4" s="334">
        <v>0.73295460000000001</v>
      </c>
      <c r="F4" s="334">
        <v>0.56521739999999998</v>
      </c>
      <c r="G4" s="334">
        <v>0.97777780000000003</v>
      </c>
      <c r="H4" s="334">
        <v>0.57051280000000004</v>
      </c>
      <c r="I4" s="334">
        <v>0.20370369999999999</v>
      </c>
      <c r="J4" s="334">
        <v>0.72988500000000001</v>
      </c>
      <c r="K4" s="334">
        <v>0.97530870000000003</v>
      </c>
      <c r="L4" s="334">
        <v>0.7820513</v>
      </c>
      <c r="M4" s="343">
        <v>0.57921040000000001</v>
      </c>
      <c r="O4" s="340">
        <v>0.53687499999999999</v>
      </c>
      <c r="P4" s="341">
        <v>0.70750000000000002</v>
      </c>
      <c r="Q4" s="341">
        <v>0.6221875</v>
      </c>
      <c r="R4" s="132"/>
      <c r="S4" s="342">
        <v>0.63484379999999996</v>
      </c>
      <c r="U4" s="172">
        <f>(0.4*M4)+(0.2*Q4)+(0.4*S4)</f>
        <v>0.61005917999999992</v>
      </c>
    </row>
    <row r="5" spans="1:21" s="7" customFormat="1" ht="20.25" customHeight="1" x14ac:dyDescent="0.25">
      <c r="A5" s="100" t="s">
        <v>759</v>
      </c>
      <c r="B5" s="100" t="s">
        <v>758</v>
      </c>
      <c r="C5" s="121">
        <v>0.79761899999999997</v>
      </c>
      <c r="D5" s="121">
        <v>0.59313729999999998</v>
      </c>
      <c r="E5" s="121">
        <v>0.52462120000000001</v>
      </c>
      <c r="F5" s="121">
        <v>0.58695649999999999</v>
      </c>
      <c r="G5" s="121">
        <v>0.7888889</v>
      </c>
      <c r="H5" s="121">
        <v>0.62179490000000004</v>
      </c>
      <c r="I5" s="121">
        <v>2.9629599999999999E-2</v>
      </c>
      <c r="J5" s="121">
        <v>0.76436780000000004</v>
      </c>
      <c r="K5" s="121">
        <v>0.8518519</v>
      </c>
      <c r="L5" s="121">
        <v>0.59615390000000001</v>
      </c>
      <c r="M5" s="310">
        <v>0.49169109999999999</v>
      </c>
      <c r="O5" s="130">
        <v>0.54545460000000001</v>
      </c>
      <c r="P5" s="131">
        <v>0.73545459999999996</v>
      </c>
      <c r="Q5" s="131">
        <v>0.64045450000000004</v>
      </c>
      <c r="R5" s="132"/>
      <c r="S5" s="133">
        <v>0.6865909</v>
      </c>
      <c r="U5" s="172">
        <f>(0.4*M5)+(0.2*Q5)+(0.4*S5)</f>
        <v>0.59940370000000009</v>
      </c>
    </row>
    <row r="6" spans="1:21" s="7" customFormat="1" ht="20.25" customHeight="1" x14ac:dyDescent="0.25">
      <c r="A6" s="99" t="s">
        <v>760</v>
      </c>
      <c r="B6" s="99" t="s">
        <v>761</v>
      </c>
      <c r="C6" s="122">
        <v>0.70634920000000001</v>
      </c>
      <c r="D6" s="122">
        <v>0.55228759999999999</v>
      </c>
      <c r="E6" s="122">
        <v>0.61868690000000004</v>
      </c>
      <c r="F6" s="122">
        <v>0.56521739999999998</v>
      </c>
      <c r="G6" s="122">
        <v>0.8</v>
      </c>
      <c r="H6" s="122">
        <v>0.60256410000000005</v>
      </c>
      <c r="I6" s="122">
        <v>0.12987650000000001</v>
      </c>
      <c r="J6" s="122">
        <v>0.80459769999999997</v>
      </c>
      <c r="K6" s="122">
        <v>0.90534979999999998</v>
      </c>
      <c r="L6" s="122">
        <v>0.77777779999999996</v>
      </c>
      <c r="M6" s="309">
        <v>0.52507559999999998</v>
      </c>
      <c r="O6" s="134">
        <v>0.46750000000000003</v>
      </c>
      <c r="P6" s="135">
        <v>0.65</v>
      </c>
      <c r="Q6" s="135">
        <v>0.55874999999999997</v>
      </c>
      <c r="R6" s="132"/>
      <c r="S6" s="136">
        <v>0.46187499999999998</v>
      </c>
      <c r="U6" s="172">
        <f t="shared" ref="U6:U29" si="0">(0.4*M6)+(0.2*Q6)+(0.4*S6)</f>
        <v>0.50653024000000002</v>
      </c>
    </row>
    <row r="7" spans="1:21" s="7" customFormat="1" ht="20.25" customHeight="1" x14ac:dyDescent="0.25">
      <c r="A7" s="100" t="s">
        <v>762</v>
      </c>
      <c r="B7" s="100" t="s">
        <v>758</v>
      </c>
      <c r="C7" s="121">
        <v>0.6</v>
      </c>
      <c r="D7" s="121">
        <v>0.56176470000000001</v>
      </c>
      <c r="E7" s="121">
        <v>0.49545450000000002</v>
      </c>
      <c r="F7" s="121">
        <v>0.73043480000000005</v>
      </c>
      <c r="G7" s="121">
        <v>0.78333339999999996</v>
      </c>
      <c r="H7" s="121">
        <v>0.71538460000000004</v>
      </c>
      <c r="I7" s="121">
        <v>3.8888899999999997E-2</v>
      </c>
      <c r="J7" s="121">
        <v>0.80689659999999996</v>
      </c>
      <c r="K7" s="121">
        <v>0.88148150000000003</v>
      </c>
      <c r="L7" s="121">
        <v>0.83846149999999997</v>
      </c>
      <c r="M7" s="121">
        <v>0.51568049999999999</v>
      </c>
      <c r="O7" s="130">
        <v>0.48416670000000001</v>
      </c>
      <c r="P7" s="131">
        <v>0.71666660000000004</v>
      </c>
      <c r="Q7" s="131">
        <v>0.58380949999999998</v>
      </c>
      <c r="R7" s="132"/>
      <c r="S7" s="133">
        <v>0.58852269999999995</v>
      </c>
      <c r="U7" s="171">
        <f t="shared" si="0"/>
        <v>0.55844318000000004</v>
      </c>
    </row>
    <row r="8" spans="1:21" s="7" customFormat="1" ht="20.25" customHeight="1" x14ac:dyDescent="0.25">
      <c r="A8" s="99" t="s">
        <v>763</v>
      </c>
      <c r="B8" s="99" t="s">
        <v>764</v>
      </c>
      <c r="C8" s="122">
        <v>0.6734694</v>
      </c>
      <c r="D8" s="122">
        <v>0.53361340000000002</v>
      </c>
      <c r="E8" s="122">
        <v>0.55519479999999999</v>
      </c>
      <c r="F8" s="122">
        <v>0.57142859999999995</v>
      </c>
      <c r="G8" s="122">
        <v>0.7733333</v>
      </c>
      <c r="H8" s="122">
        <v>0.456044</v>
      </c>
      <c r="I8" s="122">
        <v>0</v>
      </c>
      <c r="J8" s="122">
        <v>0.55172410000000005</v>
      </c>
      <c r="K8" s="122">
        <v>0.89417990000000003</v>
      </c>
      <c r="L8" s="122">
        <v>0.52197800000000005</v>
      </c>
      <c r="M8" s="122">
        <v>0.42787439999999999</v>
      </c>
      <c r="O8" s="134">
        <v>0.442</v>
      </c>
      <c r="P8" s="135">
        <v>0.64863630000000005</v>
      </c>
      <c r="Q8" s="135">
        <v>0.55023809999999995</v>
      </c>
      <c r="R8" s="132"/>
      <c r="S8" s="136">
        <v>0.52420460000000002</v>
      </c>
      <c r="U8" s="172">
        <f t="shared" si="0"/>
        <v>0.49087922</v>
      </c>
    </row>
    <row r="9" spans="1:21" s="7" customFormat="1" ht="20.25" customHeight="1" x14ac:dyDescent="0.25">
      <c r="A9" s="100" t="s">
        <v>765</v>
      </c>
      <c r="B9" s="100" t="s">
        <v>766</v>
      </c>
      <c r="C9" s="121">
        <v>0.66071429999999998</v>
      </c>
      <c r="D9" s="121">
        <v>0.5</v>
      </c>
      <c r="E9" s="121">
        <v>0.70795450000000004</v>
      </c>
      <c r="F9" s="121">
        <v>0.64782609999999996</v>
      </c>
      <c r="G9" s="121">
        <v>0.78666670000000005</v>
      </c>
      <c r="H9" s="121">
        <v>0.73846160000000005</v>
      </c>
      <c r="I9" s="121">
        <v>4.2222200000000001E-2</v>
      </c>
      <c r="J9" s="121">
        <v>0.77241380000000004</v>
      </c>
      <c r="K9" s="121">
        <v>0.79629629999999996</v>
      </c>
      <c r="L9" s="121">
        <v>0.79615380000000002</v>
      </c>
      <c r="M9" s="308">
        <v>0.52368809999999999</v>
      </c>
      <c r="O9" s="130">
        <v>0.40470590000000001</v>
      </c>
      <c r="P9" s="131">
        <v>0.754</v>
      </c>
      <c r="Q9" s="131">
        <v>0.56843750000000004</v>
      </c>
      <c r="R9" s="132"/>
      <c r="S9" s="133">
        <v>0.44064520000000001</v>
      </c>
      <c r="U9" s="171">
        <f t="shared" si="0"/>
        <v>0.49942081999999999</v>
      </c>
    </row>
    <row r="10" spans="1:21" s="7" customFormat="1" ht="20.25" customHeight="1" x14ac:dyDescent="0.25">
      <c r="A10" s="99" t="s">
        <v>767</v>
      </c>
      <c r="B10" s="99" t="s">
        <v>768</v>
      </c>
      <c r="C10" s="122">
        <v>0.6</v>
      </c>
      <c r="D10" s="122">
        <v>0.57941169999999997</v>
      </c>
      <c r="E10" s="122">
        <v>0.58636359999999998</v>
      </c>
      <c r="F10" s="122">
        <v>0.6</v>
      </c>
      <c r="G10" s="122">
        <v>0.86666670000000001</v>
      </c>
      <c r="H10" s="122">
        <v>0.53076920000000005</v>
      </c>
      <c r="I10" s="122">
        <v>0.2142222</v>
      </c>
      <c r="J10" s="122">
        <v>0.65517239999999999</v>
      </c>
      <c r="K10" s="122">
        <v>0.82962959999999997</v>
      </c>
      <c r="L10" s="122">
        <v>0.50769229999999999</v>
      </c>
      <c r="M10" s="122">
        <v>0.50536139999999996</v>
      </c>
      <c r="O10" s="134">
        <v>0.46</v>
      </c>
      <c r="P10" s="135">
        <v>0.6181818</v>
      </c>
      <c r="Q10" s="135">
        <v>0.53909090000000004</v>
      </c>
      <c r="R10" s="132"/>
      <c r="S10" s="136">
        <v>0.62238629999999995</v>
      </c>
      <c r="U10" s="172">
        <f t="shared" si="0"/>
        <v>0.55891725999999997</v>
      </c>
    </row>
    <row r="11" spans="1:21" s="7" customFormat="1" ht="20.25" customHeight="1" x14ac:dyDescent="0.25">
      <c r="A11" s="100" t="s">
        <v>769</v>
      </c>
      <c r="B11" s="100" t="s">
        <v>770</v>
      </c>
      <c r="C11" s="121">
        <v>0.42460320000000001</v>
      </c>
      <c r="D11" s="121">
        <v>0.34640520000000002</v>
      </c>
      <c r="E11" s="121">
        <v>0.34595959999999998</v>
      </c>
      <c r="F11" s="121">
        <v>0.28019319999999998</v>
      </c>
      <c r="G11" s="121">
        <v>0.61666670000000001</v>
      </c>
      <c r="H11" s="121">
        <v>0.34188039999999997</v>
      </c>
      <c r="I11" s="121">
        <v>0</v>
      </c>
      <c r="J11" s="121">
        <v>0.54406129999999997</v>
      </c>
      <c r="K11" s="121">
        <v>0.82716049999999997</v>
      </c>
      <c r="L11" s="121">
        <v>0.3846154</v>
      </c>
      <c r="M11" s="308">
        <v>0.31379430000000003</v>
      </c>
      <c r="O11" s="130">
        <v>0.37</v>
      </c>
      <c r="P11" s="131">
        <v>0.62142850000000005</v>
      </c>
      <c r="Q11" s="131">
        <v>0.48</v>
      </c>
      <c r="R11" s="132"/>
      <c r="S11" s="133">
        <v>0.2405833</v>
      </c>
      <c r="U11" s="171">
        <f t="shared" si="0"/>
        <v>0.31775104000000004</v>
      </c>
    </row>
    <row r="12" spans="1:21" s="7" customFormat="1" ht="20.25" customHeight="1" x14ac:dyDescent="0.25">
      <c r="A12" s="99" t="s">
        <v>771</v>
      </c>
      <c r="B12" s="99" t="s">
        <v>772</v>
      </c>
      <c r="C12" s="122">
        <v>0.7</v>
      </c>
      <c r="D12" s="122">
        <v>0.72058820000000001</v>
      </c>
      <c r="E12" s="122">
        <v>0.60681819999999997</v>
      </c>
      <c r="F12" s="122">
        <v>0.58260869999999998</v>
      </c>
      <c r="G12" s="122">
        <v>0.8074074</v>
      </c>
      <c r="H12" s="122">
        <v>0.60384610000000005</v>
      </c>
      <c r="I12" s="122">
        <v>1.7333299999999999E-2</v>
      </c>
      <c r="J12" s="122">
        <v>0.78275859999999997</v>
      </c>
      <c r="K12" s="122">
        <v>0.9</v>
      </c>
      <c r="L12" s="122">
        <v>0.78846159999999998</v>
      </c>
      <c r="M12" s="309">
        <v>0.51696609999999998</v>
      </c>
      <c r="O12" s="134">
        <v>0.37687500000000002</v>
      </c>
      <c r="P12" s="135">
        <v>0.67937499999999995</v>
      </c>
      <c r="Q12" s="135">
        <v>0.52812499999999996</v>
      </c>
      <c r="R12" s="132"/>
      <c r="S12" s="136">
        <v>0.45937499999999998</v>
      </c>
      <c r="U12" s="172">
        <f t="shared" si="0"/>
        <v>0.49616143999999995</v>
      </c>
    </row>
    <row r="13" spans="1:21" s="7" customFormat="1" ht="20.25" customHeight="1" x14ac:dyDescent="0.25">
      <c r="A13" s="100" t="s">
        <v>773</v>
      </c>
      <c r="B13" s="100" t="s">
        <v>764</v>
      </c>
      <c r="C13" s="121">
        <v>0.73214290000000004</v>
      </c>
      <c r="D13" s="121">
        <v>0.80882350000000003</v>
      </c>
      <c r="E13" s="121">
        <v>0.54166669999999995</v>
      </c>
      <c r="F13" s="121">
        <v>0.47826089999999999</v>
      </c>
      <c r="G13" s="121">
        <v>0.8</v>
      </c>
      <c r="H13" s="121">
        <v>0.48717949999999999</v>
      </c>
      <c r="I13" s="121">
        <v>0</v>
      </c>
      <c r="J13" s="121">
        <v>0.7758621</v>
      </c>
      <c r="K13" s="121">
        <v>0.93209869999999995</v>
      </c>
      <c r="L13" s="121">
        <v>0.79487180000000002</v>
      </c>
      <c r="M13" s="121">
        <v>0.4831319</v>
      </c>
      <c r="O13" s="130">
        <v>0.50846150000000001</v>
      </c>
      <c r="P13" s="131">
        <v>0.67333330000000002</v>
      </c>
      <c r="Q13" s="131">
        <v>0.57590909999999995</v>
      </c>
      <c r="R13" s="132"/>
      <c r="S13" s="133">
        <v>0.5603572</v>
      </c>
      <c r="U13" s="171">
        <f t="shared" si="0"/>
        <v>0.53257746000000006</v>
      </c>
    </row>
    <row r="14" spans="1:21" s="7" customFormat="1" ht="20.25" customHeight="1" x14ac:dyDescent="0.25">
      <c r="A14" s="99" t="s">
        <v>774</v>
      </c>
      <c r="B14" s="99" t="s">
        <v>758</v>
      </c>
      <c r="C14" s="122">
        <v>0.86904760000000003</v>
      </c>
      <c r="D14" s="122">
        <v>0.91013069999999996</v>
      </c>
      <c r="E14" s="122">
        <v>0.57702019999999998</v>
      </c>
      <c r="F14" s="122">
        <v>0.70048310000000003</v>
      </c>
      <c r="G14" s="122">
        <v>0.97777780000000003</v>
      </c>
      <c r="H14" s="122">
        <v>0.72222220000000004</v>
      </c>
      <c r="I14" s="122">
        <v>0.26098769999999999</v>
      </c>
      <c r="J14" s="122">
        <v>0.84674329999999998</v>
      </c>
      <c r="K14" s="122">
        <v>0.94238679999999997</v>
      </c>
      <c r="L14" s="122">
        <v>0.72222220000000004</v>
      </c>
      <c r="M14" s="309">
        <v>0.63423969999999996</v>
      </c>
      <c r="O14" s="134">
        <v>0.42090909999999998</v>
      </c>
      <c r="P14" s="135">
        <v>0.58909089999999997</v>
      </c>
      <c r="Q14" s="135">
        <v>0.505</v>
      </c>
      <c r="R14" s="132"/>
      <c r="S14" s="136">
        <v>0.46477269999999998</v>
      </c>
      <c r="U14" s="172">
        <f t="shared" si="0"/>
        <v>0.54060496000000002</v>
      </c>
    </row>
    <row r="15" spans="1:21" s="7" customFormat="1" ht="20.25" customHeight="1" x14ac:dyDescent="0.25">
      <c r="A15" s="100" t="s">
        <v>775</v>
      </c>
      <c r="B15" s="100" t="s">
        <v>766</v>
      </c>
      <c r="C15" s="121">
        <v>0.625</v>
      </c>
      <c r="D15" s="121">
        <v>0.51838240000000002</v>
      </c>
      <c r="E15" s="121">
        <v>0.484375</v>
      </c>
      <c r="F15" s="121">
        <v>0.43478260000000002</v>
      </c>
      <c r="G15" s="121">
        <v>0.98333329999999997</v>
      </c>
      <c r="H15" s="121">
        <v>0.50480769999999997</v>
      </c>
      <c r="I15" s="121">
        <v>4.7222199999999999E-2</v>
      </c>
      <c r="J15" s="121">
        <v>0.73706899999999997</v>
      </c>
      <c r="K15" s="121">
        <v>0.80092589999999997</v>
      </c>
      <c r="L15" s="121">
        <v>0.51923079999999999</v>
      </c>
      <c r="M15" s="308">
        <v>0.43571959999999998</v>
      </c>
      <c r="O15" s="130">
        <v>0.43187500000000001</v>
      </c>
      <c r="P15" s="131">
        <v>0.63249999999999995</v>
      </c>
      <c r="Q15" s="131">
        <v>0.53218750000000004</v>
      </c>
      <c r="R15" s="132"/>
      <c r="S15" s="133">
        <v>0.38312499999999999</v>
      </c>
      <c r="U15" s="171">
        <f t="shared" si="0"/>
        <v>0.43397534000000004</v>
      </c>
    </row>
    <row r="16" spans="1:21" s="7" customFormat="1" ht="20.25" customHeight="1" x14ac:dyDescent="0.25">
      <c r="A16" s="99" t="s">
        <v>776</v>
      </c>
      <c r="B16" s="99" t="s">
        <v>777</v>
      </c>
      <c r="C16" s="122">
        <v>0.85714290000000004</v>
      </c>
      <c r="D16" s="122">
        <v>0.87647059999999999</v>
      </c>
      <c r="E16" s="122">
        <v>0.73181819999999997</v>
      </c>
      <c r="F16" s="122">
        <v>0.67826090000000006</v>
      </c>
      <c r="G16" s="122">
        <v>0.95555559999999995</v>
      </c>
      <c r="H16" s="122">
        <v>0.89230770000000004</v>
      </c>
      <c r="I16" s="122">
        <v>5.7777799999999997E-2</v>
      </c>
      <c r="J16" s="122">
        <v>0.71724140000000003</v>
      </c>
      <c r="K16" s="122">
        <v>0.82962959999999997</v>
      </c>
      <c r="L16" s="122">
        <v>0.79230769999999995</v>
      </c>
      <c r="M16" s="309">
        <v>0.60686560000000001</v>
      </c>
      <c r="O16" s="134">
        <v>0.59090909999999996</v>
      </c>
      <c r="P16" s="135">
        <v>0.76636360000000003</v>
      </c>
      <c r="Q16" s="135">
        <v>0.67863640000000003</v>
      </c>
      <c r="R16" s="132"/>
      <c r="S16" s="136">
        <v>0.7246591</v>
      </c>
      <c r="U16" s="172">
        <f t="shared" si="0"/>
        <v>0.6683371600000001</v>
      </c>
    </row>
    <row r="17" spans="1:21" s="7" customFormat="1" ht="20.25" customHeight="1" x14ac:dyDescent="0.25">
      <c r="A17" s="100" t="s">
        <v>778</v>
      </c>
      <c r="B17" s="100" t="s">
        <v>766</v>
      </c>
      <c r="C17" s="121">
        <v>0.68367339999999999</v>
      </c>
      <c r="D17" s="121">
        <v>0.67857140000000005</v>
      </c>
      <c r="E17" s="121">
        <v>0.66720780000000002</v>
      </c>
      <c r="F17" s="121">
        <v>0.6086956</v>
      </c>
      <c r="G17" s="121">
        <v>0.75555559999999999</v>
      </c>
      <c r="H17" s="121">
        <v>0.80769230000000003</v>
      </c>
      <c r="I17" s="121">
        <v>0.15619050000000001</v>
      </c>
      <c r="J17" s="121">
        <v>0.89162560000000002</v>
      </c>
      <c r="K17" s="121">
        <v>0.88888889999999998</v>
      </c>
      <c r="L17" s="121">
        <v>0.82967029999999997</v>
      </c>
      <c r="M17" s="121">
        <v>0.59428449999999999</v>
      </c>
      <c r="O17" s="130">
        <v>0.52363630000000005</v>
      </c>
      <c r="P17" s="131">
        <v>0.64863630000000005</v>
      </c>
      <c r="Q17" s="131">
        <v>0.58613630000000005</v>
      </c>
      <c r="R17" s="132"/>
      <c r="S17" s="133">
        <v>0.53625</v>
      </c>
      <c r="U17" s="171">
        <f t="shared" si="0"/>
        <v>0.56944106000000005</v>
      </c>
    </row>
    <row r="18" spans="1:21" s="7" customFormat="1" ht="20.25" customHeight="1" x14ac:dyDescent="0.25">
      <c r="A18" s="99" t="s">
        <v>779</v>
      </c>
      <c r="B18" s="99" t="s">
        <v>780</v>
      </c>
      <c r="C18" s="122">
        <v>0.75892859999999995</v>
      </c>
      <c r="D18" s="122">
        <v>0.72794119999999995</v>
      </c>
      <c r="E18" s="122">
        <v>0.65198860000000003</v>
      </c>
      <c r="F18" s="122">
        <v>0.71195649999999999</v>
      </c>
      <c r="G18" s="122">
        <v>0.84444450000000004</v>
      </c>
      <c r="H18" s="122">
        <v>0.71634609999999999</v>
      </c>
      <c r="I18" s="122">
        <v>7.7222200000000005E-2</v>
      </c>
      <c r="J18" s="122">
        <v>0.78017239999999999</v>
      </c>
      <c r="K18" s="122">
        <v>0.92592589999999997</v>
      </c>
      <c r="L18" s="122">
        <v>0.8125</v>
      </c>
      <c r="M18" s="309">
        <v>0.56562380000000001</v>
      </c>
      <c r="O18" s="134">
        <v>0.48090909999999998</v>
      </c>
      <c r="P18" s="135">
        <v>0.83272729999999995</v>
      </c>
      <c r="Q18" s="135">
        <v>0.65681820000000002</v>
      </c>
      <c r="R18" s="132"/>
      <c r="S18" s="136">
        <v>0.52170459999999996</v>
      </c>
      <c r="U18" s="172">
        <f t="shared" si="0"/>
        <v>0.56629499999999999</v>
      </c>
    </row>
    <row r="19" spans="1:21" s="7" customFormat="1" ht="20.25" customHeight="1" x14ac:dyDescent="0.25">
      <c r="A19" s="100" t="s">
        <v>781</v>
      </c>
      <c r="B19" s="100" t="s">
        <v>782</v>
      </c>
      <c r="C19" s="121">
        <v>0.77976190000000001</v>
      </c>
      <c r="D19" s="121">
        <v>0.77450980000000003</v>
      </c>
      <c r="E19" s="121">
        <v>0.86363639999999997</v>
      </c>
      <c r="F19" s="121">
        <v>0.91304350000000001</v>
      </c>
      <c r="G19" s="121">
        <v>1</v>
      </c>
      <c r="H19" s="121">
        <v>0.80128200000000005</v>
      </c>
      <c r="I19" s="121">
        <v>0.1037037</v>
      </c>
      <c r="J19" s="121">
        <v>0.92528739999999998</v>
      </c>
      <c r="K19" s="121">
        <v>0.98148150000000001</v>
      </c>
      <c r="L19" s="121">
        <v>0.96153840000000002</v>
      </c>
      <c r="M19" s="308">
        <v>0.66141930000000004</v>
      </c>
      <c r="O19" s="130">
        <v>0.51500000000000001</v>
      </c>
      <c r="P19" s="131">
        <v>0.68500000000000005</v>
      </c>
      <c r="Q19" s="131">
        <v>0.59227269999999999</v>
      </c>
      <c r="R19" s="132"/>
      <c r="S19" s="133">
        <v>0.62136360000000002</v>
      </c>
      <c r="U19" s="171">
        <f t="shared" si="0"/>
        <v>0.63156769999999995</v>
      </c>
    </row>
    <row r="20" spans="1:21" s="7" customFormat="1" ht="20.25" customHeight="1" x14ac:dyDescent="0.25">
      <c r="A20" s="99" t="s">
        <v>783</v>
      </c>
      <c r="B20" s="99" t="s">
        <v>772</v>
      </c>
      <c r="C20" s="122">
        <v>0.85714290000000004</v>
      </c>
      <c r="D20" s="122">
        <v>0.72794119999999995</v>
      </c>
      <c r="E20" s="122">
        <v>0.66761360000000003</v>
      </c>
      <c r="F20" s="122">
        <v>0.31521739999999998</v>
      </c>
      <c r="G20" s="122">
        <v>0.9</v>
      </c>
      <c r="H20" s="122">
        <v>0.75</v>
      </c>
      <c r="I20" s="122">
        <v>0.3777778</v>
      </c>
      <c r="J20" s="122">
        <v>0.85344830000000005</v>
      </c>
      <c r="K20" s="122">
        <v>0.92592589999999997</v>
      </c>
      <c r="L20" s="122">
        <v>0.63461540000000005</v>
      </c>
      <c r="M20" s="309">
        <v>0.63892959999999999</v>
      </c>
      <c r="O20" s="134">
        <v>0.54454550000000002</v>
      </c>
      <c r="P20" s="135">
        <v>0.70090909999999995</v>
      </c>
      <c r="Q20" s="135">
        <v>0.62272729999999998</v>
      </c>
      <c r="R20" s="132"/>
      <c r="S20" s="136">
        <v>0.54238640000000005</v>
      </c>
      <c r="U20" s="172">
        <f t="shared" si="0"/>
        <v>0.59707186000000001</v>
      </c>
    </row>
    <row r="21" spans="1:21" s="7" customFormat="1" ht="20.25" customHeight="1" x14ac:dyDescent="0.25">
      <c r="A21" s="100" t="s">
        <v>784</v>
      </c>
      <c r="B21" s="100" t="s">
        <v>768</v>
      </c>
      <c r="C21" s="121">
        <v>0.35119050000000002</v>
      </c>
      <c r="D21" s="121">
        <v>0.1593137</v>
      </c>
      <c r="E21" s="121">
        <v>0.59090909999999996</v>
      </c>
      <c r="F21" s="121">
        <v>0.21739130000000001</v>
      </c>
      <c r="G21" s="121">
        <v>0.55555560000000004</v>
      </c>
      <c r="H21" s="121">
        <v>0.63461540000000005</v>
      </c>
      <c r="I21" s="121">
        <v>7.5555600000000001E-2</v>
      </c>
      <c r="J21" s="121">
        <v>0.66666669999999995</v>
      </c>
      <c r="K21" s="121">
        <v>0.78395060000000005</v>
      </c>
      <c r="L21" s="121">
        <v>0.28846149999999998</v>
      </c>
      <c r="M21" s="308">
        <v>0.39213100000000001</v>
      </c>
      <c r="O21" s="130">
        <v>0.44615379999999999</v>
      </c>
      <c r="P21" s="131">
        <v>0.48888890000000002</v>
      </c>
      <c r="Q21" s="131">
        <v>0.4636364</v>
      </c>
      <c r="R21" s="132"/>
      <c r="S21" s="133">
        <v>0.34340910000000002</v>
      </c>
      <c r="U21" s="171">
        <f t="shared" si="0"/>
        <v>0.38694332000000004</v>
      </c>
    </row>
    <row r="22" spans="1:21" s="7" customFormat="1" ht="20.25" customHeight="1" x14ac:dyDescent="0.25">
      <c r="A22" s="459" t="s">
        <v>785</v>
      </c>
      <c r="B22" s="459" t="s">
        <v>772</v>
      </c>
      <c r="C22" s="460">
        <v>0.61734690000000003</v>
      </c>
      <c r="D22" s="460">
        <v>0.43907560000000001</v>
      </c>
      <c r="E22" s="460">
        <v>0.49350650000000001</v>
      </c>
      <c r="F22" s="460">
        <v>0.24223600000000001</v>
      </c>
      <c r="G22" s="460">
        <v>0.71428570000000002</v>
      </c>
      <c r="H22" s="460">
        <v>0.4340659</v>
      </c>
      <c r="I22" s="460">
        <v>1.01587E-2</v>
      </c>
      <c r="J22" s="460">
        <v>0.67980300000000005</v>
      </c>
      <c r="K22" s="460">
        <v>0.8465608</v>
      </c>
      <c r="L22" s="460">
        <v>0.48901099999999997</v>
      </c>
      <c r="M22" s="309">
        <v>0.39291999999999999</v>
      </c>
      <c r="O22" s="461">
        <v>0.39909090000000003</v>
      </c>
      <c r="P22" s="462">
        <v>0.61727270000000001</v>
      </c>
      <c r="Q22" s="462">
        <v>0.50818180000000002</v>
      </c>
      <c r="R22" s="129"/>
      <c r="S22" s="463">
        <v>0.41875000000000001</v>
      </c>
      <c r="U22" s="172">
        <f t="shared" si="0"/>
        <v>0.42630436000000005</v>
      </c>
    </row>
    <row r="23" spans="1:21" s="7" customFormat="1" ht="20.25" customHeight="1" x14ac:dyDescent="0.25">
      <c r="A23" s="100" t="s">
        <v>786</v>
      </c>
      <c r="B23" s="100" t="s">
        <v>787</v>
      </c>
      <c r="C23" s="121">
        <v>0.87142850000000005</v>
      </c>
      <c r="D23" s="121">
        <v>0.6323529</v>
      </c>
      <c r="E23" s="121">
        <v>0.60454549999999996</v>
      </c>
      <c r="F23" s="121">
        <v>0.62608699999999995</v>
      </c>
      <c r="G23" s="121">
        <v>0.71666660000000004</v>
      </c>
      <c r="H23" s="121">
        <v>0.5</v>
      </c>
      <c r="I23" s="121">
        <v>0</v>
      </c>
      <c r="J23" s="121">
        <v>0.80689659999999996</v>
      </c>
      <c r="K23" s="121">
        <v>0.96296300000000001</v>
      </c>
      <c r="L23" s="121">
        <v>0.51538459999999997</v>
      </c>
      <c r="M23" s="308">
        <v>0.48934909999999998</v>
      </c>
      <c r="O23" s="130">
        <v>0.49615379999999998</v>
      </c>
      <c r="P23" s="131">
        <v>0.73611110000000002</v>
      </c>
      <c r="Q23" s="131">
        <v>0.59431820000000002</v>
      </c>
      <c r="R23" s="132"/>
      <c r="S23" s="133">
        <v>0.49443179999999998</v>
      </c>
      <c r="U23" s="171">
        <f t="shared" si="0"/>
        <v>0.51237599999999994</v>
      </c>
    </row>
    <row r="24" spans="1:21" s="7" customFormat="1" ht="20.25" customHeight="1" x14ac:dyDescent="0.25">
      <c r="A24" s="99" t="s">
        <v>788</v>
      </c>
      <c r="B24" s="99" t="s">
        <v>766</v>
      </c>
      <c r="C24" s="122">
        <v>0.75</v>
      </c>
      <c r="D24" s="122">
        <v>0.41470590000000002</v>
      </c>
      <c r="E24" s="122">
        <v>0.4704545</v>
      </c>
      <c r="F24" s="122">
        <v>0.48695650000000001</v>
      </c>
      <c r="G24" s="122">
        <v>0.26666669999999998</v>
      </c>
      <c r="H24" s="122">
        <v>0.63846150000000002</v>
      </c>
      <c r="I24" s="122">
        <v>1.3333299999999999E-2</v>
      </c>
      <c r="J24" s="122">
        <v>0.55862069999999997</v>
      </c>
      <c r="K24" s="122">
        <v>0.8074074</v>
      </c>
      <c r="L24" s="122">
        <v>0.4384615</v>
      </c>
      <c r="M24" s="309">
        <v>0.41024100000000002</v>
      </c>
      <c r="O24" s="134">
        <v>0.43909090000000001</v>
      </c>
      <c r="P24" s="135">
        <v>0.63318180000000002</v>
      </c>
      <c r="Q24" s="135">
        <v>0.53613639999999996</v>
      </c>
      <c r="R24" s="132"/>
      <c r="S24" s="136">
        <v>0.33202379999999998</v>
      </c>
      <c r="U24" s="172">
        <f t="shared" si="0"/>
        <v>0.40413319999999997</v>
      </c>
    </row>
    <row r="25" spans="1:21" s="7" customFormat="1" ht="20.25" customHeight="1" x14ac:dyDescent="0.25">
      <c r="A25" s="100" t="s">
        <v>789</v>
      </c>
      <c r="B25" s="100" t="s">
        <v>790</v>
      </c>
      <c r="C25" s="121">
        <v>0.79761899999999997</v>
      </c>
      <c r="D25" s="121">
        <v>0.67401960000000005</v>
      </c>
      <c r="E25" s="121">
        <v>0.67424240000000002</v>
      </c>
      <c r="F25" s="121">
        <v>0.71014489999999997</v>
      </c>
      <c r="G25" s="121">
        <v>1</v>
      </c>
      <c r="H25" s="121">
        <v>0.69871799999999995</v>
      </c>
      <c r="I25" s="121">
        <v>0.1535185</v>
      </c>
      <c r="J25" s="121">
        <v>0.83333330000000005</v>
      </c>
      <c r="K25" s="121">
        <v>0.91975309999999999</v>
      </c>
      <c r="L25" s="121">
        <v>0.80769230000000003</v>
      </c>
      <c r="M25" s="308">
        <v>0.58831820000000001</v>
      </c>
      <c r="O25" s="130">
        <v>0.47769230000000001</v>
      </c>
      <c r="P25" s="131">
        <v>0.79777779999999998</v>
      </c>
      <c r="Q25" s="131">
        <v>0.60863639999999997</v>
      </c>
      <c r="R25" s="132"/>
      <c r="S25" s="133">
        <v>0.4805682</v>
      </c>
      <c r="U25" s="171">
        <f t="shared" si="0"/>
        <v>0.54928184000000002</v>
      </c>
    </row>
    <row r="26" spans="1:21" s="7" customFormat="1" ht="20.25" customHeight="1" x14ac:dyDescent="0.25">
      <c r="A26" s="99" t="s">
        <v>791</v>
      </c>
      <c r="B26" s="99" t="s">
        <v>790</v>
      </c>
      <c r="C26" s="122">
        <v>0.77857140000000002</v>
      </c>
      <c r="D26" s="122">
        <v>0.66764710000000005</v>
      </c>
      <c r="E26" s="122">
        <v>0.65681820000000002</v>
      </c>
      <c r="F26" s="122">
        <v>0.77391299999999996</v>
      </c>
      <c r="G26" s="122">
        <v>1</v>
      </c>
      <c r="H26" s="122">
        <v>0.66923080000000001</v>
      </c>
      <c r="I26" s="122">
        <v>1.6888899999999998E-2</v>
      </c>
      <c r="J26" s="122">
        <v>0.76551720000000001</v>
      </c>
      <c r="K26" s="122">
        <v>0.94814810000000005</v>
      </c>
      <c r="L26" s="122">
        <v>0.84615390000000001</v>
      </c>
      <c r="M26" s="309">
        <v>0.54644579999999998</v>
      </c>
      <c r="O26" s="134">
        <v>0.52909090000000003</v>
      </c>
      <c r="P26" s="135">
        <v>0.67500000000000004</v>
      </c>
      <c r="Q26" s="135">
        <v>0.60204550000000001</v>
      </c>
      <c r="R26" s="132"/>
      <c r="S26" s="136">
        <v>0.33909089999999997</v>
      </c>
      <c r="U26" s="172">
        <f t="shared" si="0"/>
        <v>0.47462377999999994</v>
      </c>
    </row>
    <row r="27" spans="1:21" s="7" customFormat="1" ht="20.25" customHeight="1" x14ac:dyDescent="0.25">
      <c r="A27" s="100" t="s">
        <v>792</v>
      </c>
      <c r="B27" s="100" t="s">
        <v>758</v>
      </c>
      <c r="C27" s="121">
        <v>0.82142859999999995</v>
      </c>
      <c r="D27" s="121">
        <v>0.78991599999999995</v>
      </c>
      <c r="E27" s="121">
        <v>0.67370129999999995</v>
      </c>
      <c r="F27" s="121">
        <v>0.46583849999999999</v>
      </c>
      <c r="G27" s="121">
        <v>0.95</v>
      </c>
      <c r="H27" s="121">
        <v>0.73076920000000001</v>
      </c>
      <c r="I27" s="121">
        <v>0.18666669999999999</v>
      </c>
      <c r="J27" s="121">
        <v>0.74384240000000001</v>
      </c>
      <c r="K27" s="121">
        <v>0.84126990000000001</v>
      </c>
      <c r="L27" s="121">
        <v>0.70879119999999995</v>
      </c>
      <c r="M27" s="308">
        <v>0.58330490000000002</v>
      </c>
      <c r="O27" s="130">
        <v>0.57250000000000001</v>
      </c>
      <c r="P27" s="131">
        <v>0.73899999999999999</v>
      </c>
      <c r="Q27" s="131">
        <v>0.64818180000000003</v>
      </c>
      <c r="R27" s="132"/>
      <c r="S27" s="133">
        <v>0.67295459999999996</v>
      </c>
      <c r="U27" s="171">
        <f t="shared" si="0"/>
        <v>0.63214016000000006</v>
      </c>
    </row>
    <row r="28" spans="1:21" s="7" customFormat="1" ht="20.25" customHeight="1" x14ac:dyDescent="0.25">
      <c r="A28" s="99" t="s">
        <v>793</v>
      </c>
      <c r="B28" s="99" t="s">
        <v>794</v>
      </c>
      <c r="C28" s="122">
        <v>0.83571430000000002</v>
      </c>
      <c r="D28" s="122">
        <v>0.73823530000000004</v>
      </c>
      <c r="E28" s="122">
        <v>0.71818179999999998</v>
      </c>
      <c r="F28" s="122">
        <v>0.63478259999999997</v>
      </c>
      <c r="G28" s="122">
        <v>0.76666670000000003</v>
      </c>
      <c r="H28" s="122">
        <v>0.7</v>
      </c>
      <c r="I28" s="122">
        <v>0.12088889999999999</v>
      </c>
      <c r="J28" s="122">
        <v>0.85517240000000005</v>
      </c>
      <c r="K28" s="122">
        <v>0.89629630000000005</v>
      </c>
      <c r="L28" s="122">
        <v>0.76153839999999995</v>
      </c>
      <c r="M28" s="309">
        <v>0.58367469999999999</v>
      </c>
      <c r="O28" s="134">
        <v>0.60181819999999997</v>
      </c>
      <c r="P28" s="135">
        <v>0.79</v>
      </c>
      <c r="Q28" s="135">
        <v>0.69590909999999995</v>
      </c>
      <c r="R28" s="132"/>
      <c r="S28" s="136">
        <v>0.37681819999999999</v>
      </c>
      <c r="U28" s="172">
        <f t="shared" si="0"/>
        <v>0.52337898000000005</v>
      </c>
    </row>
    <row r="29" spans="1:21" s="7" customFormat="1" ht="20.25" customHeight="1" x14ac:dyDescent="0.25">
      <c r="A29" s="100" t="s">
        <v>795</v>
      </c>
      <c r="B29" s="100" t="s">
        <v>761</v>
      </c>
      <c r="C29" s="121">
        <v>0.79761899999999997</v>
      </c>
      <c r="D29" s="121">
        <v>0.62009809999999999</v>
      </c>
      <c r="E29" s="121">
        <v>0.57196970000000003</v>
      </c>
      <c r="F29" s="121">
        <v>0.57971010000000001</v>
      </c>
      <c r="G29" s="121">
        <v>0.68333330000000003</v>
      </c>
      <c r="H29" s="121">
        <v>0.37179489999999998</v>
      </c>
      <c r="I29" s="121">
        <v>0</v>
      </c>
      <c r="J29" s="121">
        <v>0.78735630000000001</v>
      </c>
      <c r="K29" s="121">
        <v>0.89506169999999996</v>
      </c>
      <c r="L29" s="121">
        <v>0.62179490000000004</v>
      </c>
      <c r="M29" s="308">
        <v>0.45238099999999998</v>
      </c>
      <c r="O29" s="130">
        <v>0.44769229999999999</v>
      </c>
      <c r="P29" s="131">
        <v>0.67222219999999999</v>
      </c>
      <c r="Q29" s="131">
        <v>0.53954550000000001</v>
      </c>
      <c r="R29" s="132"/>
      <c r="S29" s="133">
        <v>0.50583330000000004</v>
      </c>
      <c r="U29" s="171">
        <f t="shared" si="0"/>
        <v>0.49119482000000003</v>
      </c>
    </row>
    <row r="30" spans="1:21" s="124" customFormat="1" ht="32.25" customHeight="1" x14ac:dyDescent="0.25">
      <c r="A30" s="124" t="s">
        <v>832</v>
      </c>
      <c r="C30" s="125">
        <v>0.72321749999999996</v>
      </c>
      <c r="D30" s="125">
        <v>0.62382159999999998</v>
      </c>
      <c r="E30" s="125">
        <v>0.60821780000000003</v>
      </c>
      <c r="F30" s="125">
        <v>0.56567860000000003</v>
      </c>
      <c r="G30" s="125">
        <v>0.81040699999999999</v>
      </c>
      <c r="H30" s="125">
        <v>0.62464430000000004</v>
      </c>
      <c r="I30" s="125">
        <v>8.9760300000000001E-2</v>
      </c>
      <c r="J30" s="125">
        <v>0.75525129999999996</v>
      </c>
      <c r="K30" s="125">
        <v>0.88422820000000002</v>
      </c>
      <c r="L30" s="125">
        <v>0.67452279999999998</v>
      </c>
      <c r="M30" s="125">
        <v>0.51762779999999997</v>
      </c>
      <c r="N30" s="125"/>
      <c r="O30" s="125">
        <v>0.48127330000000001</v>
      </c>
      <c r="P30" s="125">
        <v>0.68497149999999996</v>
      </c>
      <c r="Q30" s="125">
        <v>0.57759119999999997</v>
      </c>
      <c r="R30" s="125"/>
      <c r="S30" s="125">
        <v>0.49913560000000001</v>
      </c>
      <c r="U30" s="125">
        <f>(0.4*M30)+(0.2*Q30)+(0.4*S30)</f>
        <v>0.52222360000000001</v>
      </c>
    </row>
    <row r="31" spans="1:21" ht="20.25" customHeight="1" x14ac:dyDescent="0.25">
      <c r="L31" s="126" t="s">
        <v>833</v>
      </c>
      <c r="M31" s="170">
        <f>_xlfn.PERCENTILE.INC(M4:M29,0.25)</f>
        <v>0.46006872499999996</v>
      </c>
      <c r="P31" s="126" t="s">
        <v>833</v>
      </c>
      <c r="Q31" s="170">
        <f>_xlfn.PERCENTILE.INC(Q4:Q29,0.25)</f>
        <v>0.53687502499999995</v>
      </c>
      <c r="R31" s="126" t="s">
        <v>833</v>
      </c>
      <c r="S31" s="170">
        <f>_xlfn.PERCENTILE.INC(S4:S29,0.25)</f>
        <v>0.42422380000000004</v>
      </c>
      <c r="T31" s="126" t="s">
        <v>834</v>
      </c>
      <c r="U31" s="170">
        <f>_xlfn.PERCENTILE.INC(U4:U29,0.25)</f>
        <v>0.49095812</v>
      </c>
    </row>
    <row r="32" spans="1:21" ht="20.25" customHeight="1" x14ac:dyDescent="0.25">
      <c r="C32" s="244"/>
      <c r="K32" s="244">
        <f>AVERAGE(C4:L4)</f>
        <v>0.70685738000000009</v>
      </c>
      <c r="L32" s="126" t="s">
        <v>835</v>
      </c>
      <c r="M32" s="170">
        <f>_xlfn.PERCENTILE.INC(M4:M29,0.5)</f>
        <v>0.52032710000000004</v>
      </c>
      <c r="P32" s="126" t="s">
        <v>835</v>
      </c>
      <c r="Q32" s="170">
        <f>_xlfn.PERCENTILE.INC(Q4:Q29,0.5)</f>
        <v>0.57985929999999997</v>
      </c>
      <c r="R32" s="126" t="s">
        <v>835</v>
      </c>
      <c r="S32" s="170">
        <f>_xlfn.PERCENTILE.INC(S4:S29,0.5)</f>
        <v>0.50013255000000001</v>
      </c>
      <c r="T32" s="126" t="s">
        <v>836</v>
      </c>
      <c r="U32" s="170">
        <f>_xlfn.PERCENTILE.INC(U4:U29,0.5)</f>
        <v>0.52797822000000005</v>
      </c>
    </row>
    <row r="33" spans="3:21" ht="20.25" customHeight="1" x14ac:dyDescent="0.25">
      <c r="G33" s="244"/>
      <c r="I33" s="244">
        <f>AVERAGE(C4:L4)</f>
        <v>0.70685738000000009</v>
      </c>
    </row>
    <row r="34" spans="3:21" ht="20.25" customHeight="1" x14ac:dyDescent="0.25">
      <c r="L34" s="244"/>
    </row>
    <row r="35" spans="3:21" ht="20.25" customHeight="1" x14ac:dyDescent="0.25">
      <c r="C35" s="244"/>
      <c r="D35" s="262"/>
      <c r="E35" s="244"/>
      <c r="F35" s="244"/>
      <c r="G35" s="244"/>
      <c r="H35" s="244"/>
      <c r="I35" s="244"/>
      <c r="J35" s="244"/>
      <c r="K35" s="244"/>
      <c r="L35" s="244"/>
      <c r="M35" s="244"/>
      <c r="N35" s="244"/>
      <c r="O35" s="244"/>
      <c r="P35" s="244"/>
      <c r="Q35" s="244"/>
      <c r="R35" s="244"/>
      <c r="S35" s="244"/>
      <c r="T35" s="244"/>
      <c r="U35" s="244"/>
    </row>
    <row r="36" spans="3:21" ht="20.25" customHeight="1" x14ac:dyDescent="0.25">
      <c r="C36" s="244"/>
      <c r="D36" s="244"/>
      <c r="E36" s="244"/>
      <c r="F36" s="244"/>
      <c r="G36" s="244"/>
      <c r="H36" s="244"/>
      <c r="I36" s="244"/>
      <c r="J36" s="244"/>
      <c r="K36" s="244"/>
      <c r="L36" s="244"/>
      <c r="M36" s="244"/>
      <c r="N36" s="244"/>
      <c r="O36" s="244"/>
      <c r="P36" s="244"/>
      <c r="Q36" s="244"/>
      <c r="R36" s="244"/>
      <c r="S36" s="244"/>
      <c r="T36" s="244"/>
      <c r="U36" s="244"/>
    </row>
  </sheetData>
  <autoFilter ref="A2:S32" xr:uid="{00000000-0009-0000-0000-000004000000}"/>
  <mergeCells count="6">
    <mergeCell ref="U1:U2"/>
    <mergeCell ref="S1:S2"/>
    <mergeCell ref="A1:A2"/>
    <mergeCell ref="C1:M1"/>
    <mergeCell ref="O1:Q1"/>
    <mergeCell ref="B1:B2"/>
  </mergeCells>
  <conditionalFormatting sqref="M4:M29">
    <cfRule type="cellIs" dxfId="15" priority="12" operator="between">
      <formula>$M$31</formula>
      <formula>$M$32</formula>
    </cfRule>
    <cfRule type="cellIs" dxfId="14" priority="13" operator="lessThan">
      <formula>$M$31</formula>
    </cfRule>
    <cfRule type="cellIs" dxfId="13" priority="14" operator="greaterThan">
      <formula>$M$32</formula>
    </cfRule>
  </conditionalFormatting>
  <conditionalFormatting sqref="Q4:Q29">
    <cfRule type="cellIs" dxfId="12" priority="9" operator="between">
      <formula>$Q$31</formula>
      <formula>$Q$32</formula>
    </cfRule>
    <cfRule type="cellIs" dxfId="11" priority="10" operator="lessThan">
      <formula>$Q$31</formula>
    </cfRule>
    <cfRule type="cellIs" dxfId="10" priority="11" operator="greaterThan">
      <formula>$Q$32</formula>
    </cfRule>
  </conditionalFormatting>
  <conditionalFormatting sqref="S4:S29">
    <cfRule type="cellIs" dxfId="9" priority="6" operator="between">
      <formula>$S$31</formula>
      <formula>$S$32</formula>
    </cfRule>
    <cfRule type="cellIs" dxfId="8" priority="7" operator="greaterThan">
      <formula>$S$32</formula>
    </cfRule>
    <cfRule type="cellIs" dxfId="7" priority="8" operator="lessThan">
      <formula>$S$31</formula>
    </cfRule>
  </conditionalFormatting>
  <conditionalFormatting sqref="U4:U29">
    <cfRule type="cellIs" dxfId="6" priority="2" operator="between">
      <formula>$U$31</formula>
      <formula>$U$32</formula>
    </cfRule>
    <cfRule type="cellIs" dxfId="5" priority="3" operator="greaterThan">
      <formula>$U$32</formula>
    </cfRule>
    <cfRule type="cellIs" dxfId="4" priority="4" operator="lessThan">
      <formula>$U$31</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BC42"/>
  <sheetViews>
    <sheetView zoomScale="70" zoomScaleNormal="70" workbookViewId="0">
      <pane xSplit="2" ySplit="2" topLeftCell="AO4" activePane="bottomRight" state="frozen"/>
      <selection pane="topRight" activeCell="C1" sqref="C1"/>
      <selection pane="bottomLeft" activeCell="A3" sqref="A3"/>
      <selection pane="bottomRight" activeCell="A3" sqref="A3:XFD3"/>
    </sheetView>
  </sheetViews>
  <sheetFormatPr defaultColWidth="18.875" defaultRowHeight="20.25" customHeight="1" x14ac:dyDescent="0.25"/>
  <cols>
    <col min="1" max="1" width="21.875" style="103" bestFit="1" customWidth="1"/>
    <col min="2" max="4" width="18.875" style="103"/>
    <col min="5" max="19" width="19" customWidth="1"/>
    <col min="20" max="20" width="4.375" style="115" customWidth="1"/>
    <col min="21" max="22" width="18.875" style="103"/>
    <col min="23" max="37" width="19" customWidth="1"/>
    <col min="38" max="38" width="4.375" style="115" customWidth="1"/>
    <col min="39" max="55" width="19" customWidth="1"/>
    <col min="56" max="56" width="4.875" customWidth="1"/>
  </cols>
  <sheetData>
    <row r="1" spans="1:55" s="118" customFormat="1" ht="15" customHeight="1" x14ac:dyDescent="0.2">
      <c r="A1" s="529" t="s">
        <v>721</v>
      </c>
      <c r="B1" s="529" t="s">
        <v>796</v>
      </c>
      <c r="C1" s="529" t="s">
        <v>837</v>
      </c>
      <c r="D1" s="529"/>
      <c r="E1" s="529"/>
      <c r="F1" s="529"/>
      <c r="G1" s="529"/>
      <c r="H1" s="529"/>
      <c r="I1" s="529"/>
      <c r="J1" s="529"/>
      <c r="K1" s="529"/>
      <c r="L1" s="529"/>
      <c r="M1" s="529"/>
      <c r="N1" s="529"/>
      <c r="O1" s="529"/>
      <c r="P1" s="529"/>
      <c r="Q1" s="529"/>
      <c r="R1" s="529"/>
      <c r="S1" s="400"/>
      <c r="T1" s="200"/>
      <c r="U1" s="529" t="s">
        <v>838</v>
      </c>
      <c r="V1" s="529"/>
      <c r="W1" s="529"/>
      <c r="X1" s="529"/>
      <c r="Y1" s="529"/>
      <c r="Z1" s="529"/>
      <c r="AA1" s="529"/>
      <c r="AB1" s="529"/>
      <c r="AC1" s="529"/>
      <c r="AD1" s="529"/>
      <c r="AE1" s="529"/>
      <c r="AF1" s="529"/>
      <c r="AG1" s="529"/>
      <c r="AH1" s="529"/>
      <c r="AI1" s="529"/>
      <c r="AJ1" s="529"/>
      <c r="AK1" s="400"/>
      <c r="AL1" s="200"/>
      <c r="AM1" s="529" t="s">
        <v>839</v>
      </c>
      <c r="AN1" s="529"/>
      <c r="AO1" s="529"/>
      <c r="AP1" s="529"/>
      <c r="AQ1" s="529"/>
      <c r="AR1" s="529"/>
      <c r="AS1" s="529"/>
      <c r="AT1" s="529"/>
      <c r="AU1" s="529"/>
      <c r="AV1" s="529"/>
      <c r="AW1" s="529"/>
      <c r="AX1" s="529"/>
      <c r="AY1" s="529"/>
      <c r="AZ1" s="529"/>
      <c r="BA1" s="529"/>
      <c r="BB1" s="529"/>
      <c r="BC1" s="400"/>
    </row>
    <row r="2" spans="1:55" s="101" customFormat="1" ht="53.45" customHeight="1" x14ac:dyDescent="0.25">
      <c r="A2" s="529"/>
      <c r="B2" s="529"/>
      <c r="C2" s="529" t="s">
        <v>840</v>
      </c>
      <c r="D2" s="529"/>
      <c r="E2" s="529" t="s">
        <v>841</v>
      </c>
      <c r="F2" s="529"/>
      <c r="G2" s="529" t="s">
        <v>842</v>
      </c>
      <c r="H2" s="529"/>
      <c r="I2" s="529" t="s">
        <v>843</v>
      </c>
      <c r="J2" s="529"/>
      <c r="K2" s="529" t="s">
        <v>844</v>
      </c>
      <c r="L2" s="529"/>
      <c r="M2" s="529" t="s">
        <v>845</v>
      </c>
      <c r="N2" s="529"/>
      <c r="O2" s="280" t="s">
        <v>846</v>
      </c>
      <c r="P2" s="280" t="s">
        <v>847</v>
      </c>
      <c r="Q2" s="280" t="s">
        <v>848</v>
      </c>
      <c r="R2" s="280" t="s">
        <v>849</v>
      </c>
      <c r="S2" s="280" t="s">
        <v>850</v>
      </c>
      <c r="T2" s="200"/>
      <c r="U2" s="529" t="s">
        <v>840</v>
      </c>
      <c r="V2" s="529"/>
      <c r="W2" s="529" t="s">
        <v>841</v>
      </c>
      <c r="X2" s="529"/>
      <c r="Y2" s="529" t="s">
        <v>842</v>
      </c>
      <c r="Z2" s="529"/>
      <c r="AA2" s="529" t="s">
        <v>843</v>
      </c>
      <c r="AB2" s="529"/>
      <c r="AC2" s="529" t="s">
        <v>844</v>
      </c>
      <c r="AD2" s="529"/>
      <c r="AE2" s="529" t="s">
        <v>845</v>
      </c>
      <c r="AF2" s="529"/>
      <c r="AG2" s="280" t="s">
        <v>846</v>
      </c>
      <c r="AH2" s="280" t="s">
        <v>847</v>
      </c>
      <c r="AI2" s="280" t="s">
        <v>848</v>
      </c>
      <c r="AJ2" s="280" t="s">
        <v>849</v>
      </c>
      <c r="AK2" s="280" t="s">
        <v>850</v>
      </c>
      <c r="AL2" s="200"/>
      <c r="AM2" s="529" t="s">
        <v>840</v>
      </c>
      <c r="AN2" s="529"/>
      <c r="AO2" s="529" t="s">
        <v>841</v>
      </c>
      <c r="AP2" s="529"/>
      <c r="AQ2" s="529" t="s">
        <v>842</v>
      </c>
      <c r="AR2" s="529"/>
      <c r="AS2" s="530" t="s">
        <v>843</v>
      </c>
      <c r="AT2" s="531"/>
      <c r="AU2" s="529" t="s">
        <v>844</v>
      </c>
      <c r="AV2" s="529"/>
      <c r="AW2" s="529" t="s">
        <v>845</v>
      </c>
      <c r="AX2" s="529"/>
      <c r="AY2" s="280" t="s">
        <v>846</v>
      </c>
      <c r="AZ2" s="280" t="s">
        <v>847</v>
      </c>
      <c r="BA2" s="280" t="s">
        <v>848</v>
      </c>
      <c r="BB2" s="280" t="s">
        <v>849</v>
      </c>
      <c r="BC2" s="280" t="s">
        <v>850</v>
      </c>
    </row>
    <row r="3" spans="1:55" s="101" customFormat="1" ht="30" hidden="1" x14ac:dyDescent="0.25">
      <c r="A3" s="400"/>
      <c r="B3" s="400"/>
      <c r="C3" s="400"/>
      <c r="D3" s="400"/>
      <c r="E3" s="400"/>
      <c r="F3" s="400"/>
      <c r="G3" s="400"/>
      <c r="H3" s="400"/>
      <c r="I3" s="400" t="s">
        <v>851</v>
      </c>
      <c r="J3" s="400" t="s">
        <v>852</v>
      </c>
      <c r="K3" s="400" t="s">
        <v>853</v>
      </c>
      <c r="L3" s="400" t="s">
        <v>854</v>
      </c>
      <c r="M3" s="400"/>
      <c r="N3" s="400"/>
      <c r="O3" s="400"/>
      <c r="P3" s="400"/>
      <c r="Q3" s="400" t="s">
        <v>855</v>
      </c>
      <c r="R3" s="400" t="s">
        <v>856</v>
      </c>
      <c r="S3" s="400"/>
      <c r="T3" s="200"/>
      <c r="U3" s="400"/>
      <c r="V3" s="400"/>
      <c r="W3" s="400"/>
      <c r="X3" s="400"/>
      <c r="Y3" s="400"/>
      <c r="Z3" s="400"/>
      <c r="AA3" s="400" t="s">
        <v>857</v>
      </c>
      <c r="AB3" s="400" t="s">
        <v>858</v>
      </c>
      <c r="AC3" s="400" t="s">
        <v>859</v>
      </c>
      <c r="AD3" s="400" t="s">
        <v>860</v>
      </c>
      <c r="AE3" s="400"/>
      <c r="AF3" s="400"/>
      <c r="AG3" s="400"/>
      <c r="AH3" s="400"/>
      <c r="AI3" s="400" t="s">
        <v>861</v>
      </c>
      <c r="AJ3" s="400" t="s">
        <v>862</v>
      </c>
      <c r="AK3" s="400"/>
      <c r="AL3" s="200"/>
      <c r="AM3" s="400"/>
      <c r="AN3" s="400"/>
      <c r="AO3" s="400"/>
      <c r="AP3" s="400"/>
      <c r="AQ3" s="400"/>
      <c r="AR3" s="400"/>
      <c r="AS3" s="400" t="s">
        <v>863</v>
      </c>
      <c r="AT3" s="400" t="s">
        <v>864</v>
      </c>
      <c r="AU3" s="400" t="s">
        <v>865</v>
      </c>
      <c r="AV3" s="400" t="s">
        <v>866</v>
      </c>
      <c r="AW3" s="400"/>
      <c r="AX3" s="400"/>
      <c r="AY3" s="400"/>
      <c r="AZ3" s="400"/>
      <c r="BA3" s="400" t="s">
        <v>867</v>
      </c>
      <c r="BB3" s="400" t="s">
        <v>868</v>
      </c>
      <c r="BC3" s="400"/>
    </row>
    <row r="4" spans="1:55" s="7" customFormat="1" ht="15.75" x14ac:dyDescent="0.25">
      <c r="A4" s="332" t="s">
        <v>757</v>
      </c>
      <c r="B4" s="332" t="s">
        <v>758</v>
      </c>
      <c r="C4" s="333">
        <v>0.46300000000000002</v>
      </c>
      <c r="D4" s="334" t="s">
        <v>869</v>
      </c>
      <c r="E4" s="333">
        <v>0.441</v>
      </c>
      <c r="F4" s="334" t="s">
        <v>870</v>
      </c>
      <c r="G4" s="333">
        <v>0.42099999999999999</v>
      </c>
      <c r="H4" s="334" t="s">
        <v>871</v>
      </c>
      <c r="I4" s="334">
        <v>0.52300000000000002</v>
      </c>
      <c r="J4" s="334" t="s">
        <v>872</v>
      </c>
      <c r="K4" s="334">
        <v>0.57699999999999996</v>
      </c>
      <c r="L4" s="334" t="s">
        <v>3816</v>
      </c>
      <c r="M4" s="334"/>
      <c r="N4" s="334"/>
      <c r="O4" s="333">
        <v>-2.1999999999999999E-2</v>
      </c>
      <c r="P4" s="335">
        <v>-1.9E-2</v>
      </c>
      <c r="Q4" s="335" t="s">
        <v>873</v>
      </c>
      <c r="R4" s="335">
        <v>5.3999999999999999E-2</v>
      </c>
      <c r="S4" s="334"/>
      <c r="T4" s="201"/>
      <c r="U4" s="336">
        <v>0.66800000000000004</v>
      </c>
      <c r="V4" s="337" t="s">
        <v>874</v>
      </c>
      <c r="W4" s="333">
        <v>0.58299999999999996</v>
      </c>
      <c r="X4" s="334" t="s">
        <v>875</v>
      </c>
      <c r="Y4" s="333">
        <v>0.59299999999999997</v>
      </c>
      <c r="Z4" s="334" t="s">
        <v>876</v>
      </c>
      <c r="AA4" s="334">
        <v>0.58399999999999996</v>
      </c>
      <c r="AB4" s="334" t="s">
        <v>877</v>
      </c>
      <c r="AC4" s="334">
        <v>0.622</v>
      </c>
      <c r="AD4" s="334" t="s">
        <v>3848</v>
      </c>
      <c r="AE4" s="334"/>
      <c r="AF4" s="334"/>
      <c r="AG4" s="333">
        <v>-8.5000000000000006E-2</v>
      </c>
      <c r="AH4" s="335">
        <v>1.0999999999999999E-2</v>
      </c>
      <c r="AI4" s="335">
        <v>-0.01</v>
      </c>
      <c r="AJ4" s="335">
        <v>3.9E-2</v>
      </c>
      <c r="AK4" s="334"/>
      <c r="AL4" s="201"/>
      <c r="AM4" s="338">
        <v>0.34599999999999997</v>
      </c>
      <c r="AN4" s="339" t="s">
        <v>878</v>
      </c>
      <c r="AO4" s="336">
        <v>0.33500000000000002</v>
      </c>
      <c r="AP4" s="337" t="s">
        <v>879</v>
      </c>
      <c r="AQ4" s="333">
        <v>0.32700000000000001</v>
      </c>
      <c r="AR4" s="334" t="s">
        <v>880</v>
      </c>
      <c r="AS4" s="334">
        <v>0.46200000000000002</v>
      </c>
      <c r="AT4" s="334" t="s">
        <v>881</v>
      </c>
      <c r="AU4" s="334">
        <v>0.63500000000000001</v>
      </c>
      <c r="AV4" s="334" t="s">
        <v>3875</v>
      </c>
      <c r="AW4" s="334"/>
      <c r="AX4" s="334"/>
      <c r="AY4" s="333" t="s">
        <v>882</v>
      </c>
      <c r="AZ4" s="334">
        <v>-8.0000000000000002E-3</v>
      </c>
      <c r="BA4" s="334" t="s">
        <v>883</v>
      </c>
      <c r="BB4" s="334" t="s">
        <v>884</v>
      </c>
      <c r="BC4" s="334"/>
    </row>
    <row r="5" spans="1:55" s="7" customFormat="1" ht="19.5" customHeight="1" x14ac:dyDescent="0.25">
      <c r="A5" s="100" t="s">
        <v>885</v>
      </c>
      <c r="B5" s="100" t="s">
        <v>764</v>
      </c>
      <c r="C5" s="254">
        <v>0.31900000000000001</v>
      </c>
      <c r="D5" s="121" t="s">
        <v>886</v>
      </c>
      <c r="E5" s="254">
        <v>0.499</v>
      </c>
      <c r="F5" s="121" t="s">
        <v>887</v>
      </c>
      <c r="G5" s="254">
        <v>0.442</v>
      </c>
      <c r="H5" s="121" t="s">
        <v>888</v>
      </c>
      <c r="I5" s="121">
        <v>0.38100000000000001</v>
      </c>
      <c r="J5" s="121" t="s">
        <v>889</v>
      </c>
      <c r="K5" s="121"/>
      <c r="L5" s="121"/>
      <c r="M5" s="121"/>
      <c r="N5" s="121"/>
      <c r="O5" s="254">
        <v>0.18</v>
      </c>
      <c r="P5" s="195">
        <v>-5.7000000000000002E-2</v>
      </c>
      <c r="Q5" s="195">
        <v>-0.06</v>
      </c>
      <c r="R5" s="195"/>
      <c r="S5" s="121"/>
      <c r="T5" s="201"/>
      <c r="U5" s="257">
        <v>0.57899999999999996</v>
      </c>
      <c r="V5" s="198" t="s">
        <v>890</v>
      </c>
      <c r="W5" s="254">
        <v>0.53700000000000003</v>
      </c>
      <c r="X5" s="121" t="s">
        <v>891</v>
      </c>
      <c r="Y5" s="254">
        <v>0.46700000000000003</v>
      </c>
      <c r="Z5" s="121" t="s">
        <v>892</v>
      </c>
      <c r="AA5" s="121">
        <v>0.45600000000000002</v>
      </c>
      <c r="AB5" s="121" t="s">
        <v>893</v>
      </c>
      <c r="AC5" s="121"/>
      <c r="AD5" s="121"/>
      <c r="AE5" s="121"/>
      <c r="AF5" s="121"/>
      <c r="AG5" s="254">
        <v>-4.2000000000000003E-2</v>
      </c>
      <c r="AH5" s="195">
        <v>-7.0000000000000007E-2</v>
      </c>
      <c r="AI5" s="195">
        <v>-1.0999999999999999E-2</v>
      </c>
      <c r="AJ5" s="195"/>
      <c r="AK5" s="121"/>
      <c r="AL5" s="201"/>
      <c r="AM5" s="260">
        <v>0.26200000000000001</v>
      </c>
      <c r="AN5" s="198" t="s">
        <v>894</v>
      </c>
      <c r="AO5" s="257">
        <v>0.39200000000000002</v>
      </c>
      <c r="AP5" s="198" t="s">
        <v>895</v>
      </c>
      <c r="AQ5" s="254">
        <v>0.32</v>
      </c>
      <c r="AR5" s="121" t="s">
        <v>896</v>
      </c>
      <c r="AS5" s="121">
        <v>0.46600000000000003</v>
      </c>
      <c r="AT5" s="121" t="s">
        <v>897</v>
      </c>
      <c r="AU5" s="121"/>
      <c r="AV5" s="121"/>
      <c r="AW5" s="121"/>
      <c r="AX5" s="121"/>
      <c r="AY5" s="254">
        <v>0.13</v>
      </c>
      <c r="AZ5" s="121">
        <v>-7.1999999999999995E-2</v>
      </c>
      <c r="BA5" s="121" t="s">
        <v>898</v>
      </c>
      <c r="BB5" s="121"/>
      <c r="BC5" s="121"/>
    </row>
    <row r="6" spans="1:55" s="7" customFormat="1" ht="20.25" customHeight="1" x14ac:dyDescent="0.25">
      <c r="A6" s="99" t="s">
        <v>759</v>
      </c>
      <c r="B6" s="99" t="s">
        <v>758</v>
      </c>
      <c r="C6" s="253">
        <v>0.35499999999999998</v>
      </c>
      <c r="D6" s="122" t="s">
        <v>899</v>
      </c>
      <c r="E6" s="253">
        <v>0.47699999999999998</v>
      </c>
      <c r="F6" s="122" t="s">
        <v>900</v>
      </c>
      <c r="G6" s="253">
        <v>0.55200000000000005</v>
      </c>
      <c r="H6" s="122" t="s">
        <v>901</v>
      </c>
      <c r="I6" s="122">
        <v>0.42299999999999999</v>
      </c>
      <c r="J6" s="122" t="s">
        <v>902</v>
      </c>
      <c r="K6" s="122">
        <v>0.49199999999999999</v>
      </c>
      <c r="L6" s="122" t="s">
        <v>3817</v>
      </c>
      <c r="M6" s="122"/>
      <c r="N6" s="122"/>
      <c r="O6" s="253" t="s">
        <v>903</v>
      </c>
      <c r="P6" s="194">
        <v>7.4999999999999997E-2</v>
      </c>
      <c r="Q6" s="194" t="s">
        <v>904</v>
      </c>
      <c r="R6" s="194" t="s">
        <v>3840</v>
      </c>
      <c r="S6" s="122"/>
      <c r="T6" s="201"/>
      <c r="U6" s="256">
        <v>0.63500000000000001</v>
      </c>
      <c r="V6" s="197" t="s">
        <v>905</v>
      </c>
      <c r="W6" s="253">
        <v>0.628</v>
      </c>
      <c r="X6" s="122" t="s">
        <v>906</v>
      </c>
      <c r="Y6" s="253">
        <v>0.55300000000000005</v>
      </c>
      <c r="Z6" s="122" t="s">
        <v>907</v>
      </c>
      <c r="AA6" s="122">
        <v>0.54800000000000004</v>
      </c>
      <c r="AB6" s="122" t="s">
        <v>908</v>
      </c>
      <c r="AC6" s="122">
        <v>0.64</v>
      </c>
      <c r="AD6" s="122" t="s">
        <v>3849</v>
      </c>
      <c r="AE6" s="122"/>
      <c r="AF6" s="122"/>
      <c r="AG6" s="253" t="s">
        <v>909</v>
      </c>
      <c r="AH6" s="194">
        <v>-7.4999999999999997E-2</v>
      </c>
      <c r="AI6" s="194">
        <v>-5.0000000000000001E-3</v>
      </c>
      <c r="AJ6" s="194" t="s">
        <v>910</v>
      </c>
      <c r="AK6" s="122"/>
      <c r="AL6" s="201"/>
      <c r="AM6" s="259">
        <v>0.245</v>
      </c>
      <c r="AN6" s="197" t="s">
        <v>911</v>
      </c>
      <c r="AO6" s="256">
        <v>0.53200000000000003</v>
      </c>
      <c r="AP6" s="197" t="s">
        <v>912</v>
      </c>
      <c r="AQ6" s="253">
        <v>0.60599999999999998</v>
      </c>
      <c r="AR6" s="122" t="s">
        <v>913</v>
      </c>
      <c r="AS6" s="122">
        <v>0.52900000000000003</v>
      </c>
      <c r="AT6" s="122" t="s">
        <v>914</v>
      </c>
      <c r="AU6" s="122">
        <v>0.68700000000000006</v>
      </c>
      <c r="AV6" s="122" t="s">
        <v>3876</v>
      </c>
      <c r="AW6" s="122"/>
      <c r="AX6" s="122"/>
      <c r="AY6" s="253">
        <v>0.28699999999999998</v>
      </c>
      <c r="AZ6" s="122">
        <v>7.2999999999999995E-2</v>
      </c>
      <c r="BA6" s="122">
        <v>-7.6999999999999999E-2</v>
      </c>
      <c r="BB6" s="122">
        <v>0.158</v>
      </c>
      <c r="BC6" s="122"/>
    </row>
    <row r="7" spans="1:55" s="7" customFormat="1" ht="20.25" customHeight="1" x14ac:dyDescent="0.25">
      <c r="A7" s="100" t="s">
        <v>760</v>
      </c>
      <c r="B7" s="100" t="s">
        <v>761</v>
      </c>
      <c r="C7" s="121">
        <v>0.46300000000000002</v>
      </c>
      <c r="D7" s="121" t="s">
        <v>915</v>
      </c>
      <c r="E7" s="254">
        <v>0.61599999999999999</v>
      </c>
      <c r="F7" s="121" t="s">
        <v>916</v>
      </c>
      <c r="G7" s="254">
        <v>0.51200000000000001</v>
      </c>
      <c r="H7" s="121" t="s">
        <v>917</v>
      </c>
      <c r="I7" s="121">
        <v>0.55500000000000005</v>
      </c>
      <c r="J7" s="121" t="s">
        <v>918</v>
      </c>
      <c r="K7" s="121">
        <v>0.52500000000000002</v>
      </c>
      <c r="L7" s="121" t="s">
        <v>3818</v>
      </c>
      <c r="M7" s="121"/>
      <c r="N7" s="121"/>
      <c r="O7" s="254" t="s">
        <v>919</v>
      </c>
      <c r="P7" s="195">
        <v>-0.104</v>
      </c>
      <c r="Q7" s="195">
        <v>4.2000000000000003E-2</v>
      </c>
      <c r="R7" s="195">
        <v>-0.03</v>
      </c>
      <c r="S7" s="121"/>
      <c r="T7" s="201"/>
      <c r="U7" s="257">
        <v>0.59799999999999998</v>
      </c>
      <c r="V7" s="198" t="s">
        <v>920</v>
      </c>
      <c r="W7" s="254">
        <v>0.56799999999999995</v>
      </c>
      <c r="X7" s="121" t="s">
        <v>921</v>
      </c>
      <c r="Y7" s="254">
        <v>0.57199999999999995</v>
      </c>
      <c r="Z7" s="121" t="s">
        <v>922</v>
      </c>
      <c r="AA7" s="121">
        <v>0.53400000000000003</v>
      </c>
      <c r="AB7" s="121" t="s">
        <v>923</v>
      </c>
      <c r="AC7" s="121">
        <v>0.55900000000000005</v>
      </c>
      <c r="AD7" s="121" t="s">
        <v>3850</v>
      </c>
      <c r="AE7" s="121"/>
      <c r="AF7" s="121"/>
      <c r="AG7" s="254">
        <v>-0.03</v>
      </c>
      <c r="AH7" s="195">
        <v>3.0000000000000001E-3</v>
      </c>
      <c r="AI7" s="195">
        <v>-3.7999999999999999E-2</v>
      </c>
      <c r="AJ7" s="195">
        <v>2.5000000000000001E-2</v>
      </c>
      <c r="AK7" s="121"/>
      <c r="AL7" s="201"/>
      <c r="AM7" s="260">
        <v>0.47099999999999997</v>
      </c>
      <c r="AN7" s="198" t="s">
        <v>924</v>
      </c>
      <c r="AO7" s="257">
        <v>0.42499999999999999</v>
      </c>
      <c r="AP7" s="198" t="s">
        <v>925</v>
      </c>
      <c r="AQ7" s="254">
        <v>0.36799999999999999</v>
      </c>
      <c r="AR7" s="121" t="s">
        <v>926</v>
      </c>
      <c r="AS7" s="121">
        <v>0.58399999999999996</v>
      </c>
      <c r="AT7" s="121" t="s">
        <v>927</v>
      </c>
      <c r="AU7" s="121">
        <v>0.46200000000000002</v>
      </c>
      <c r="AV7" s="121" t="s">
        <v>3877</v>
      </c>
      <c r="AW7" s="121"/>
      <c r="AX7" s="121"/>
      <c r="AY7" s="254" t="s">
        <v>928</v>
      </c>
      <c r="AZ7" s="121">
        <v>-5.7000000000000002E-2</v>
      </c>
      <c r="BA7" s="121" t="s">
        <v>929</v>
      </c>
      <c r="BB7" s="121" t="s">
        <v>930</v>
      </c>
      <c r="BC7" s="121"/>
    </row>
    <row r="8" spans="1:55" s="7" customFormat="1" ht="20.25" customHeight="1" x14ac:dyDescent="0.25">
      <c r="A8" s="99" t="s">
        <v>762</v>
      </c>
      <c r="B8" s="99" t="s">
        <v>758</v>
      </c>
      <c r="C8" s="253">
        <v>0.45600000000000002</v>
      </c>
      <c r="D8" s="122" t="s">
        <v>931</v>
      </c>
      <c r="E8" s="253">
        <v>0.50900000000000001</v>
      </c>
      <c r="F8" s="122" t="s">
        <v>932</v>
      </c>
      <c r="G8" s="253">
        <v>0.52300000000000002</v>
      </c>
      <c r="H8" s="122" t="s">
        <v>933</v>
      </c>
      <c r="I8" s="122">
        <v>0.56299999999999994</v>
      </c>
      <c r="J8" s="122" t="s">
        <v>934</v>
      </c>
      <c r="K8" s="122">
        <v>0.51600000000000001</v>
      </c>
      <c r="L8" s="122" t="s">
        <v>3819</v>
      </c>
      <c r="M8" s="122"/>
      <c r="N8" s="122"/>
      <c r="O8" s="253">
        <v>5.2999999999999999E-2</v>
      </c>
      <c r="P8" s="194">
        <v>1.2999999999999999E-2</v>
      </c>
      <c r="Q8" s="194">
        <v>4.1000000000000002E-2</v>
      </c>
      <c r="R8" s="194">
        <v>-4.7E-2</v>
      </c>
      <c r="S8" s="122"/>
      <c r="T8" s="201"/>
      <c r="U8" s="256">
        <v>0.67</v>
      </c>
      <c r="V8" s="197" t="s">
        <v>935</v>
      </c>
      <c r="W8" s="253">
        <v>0.627</v>
      </c>
      <c r="X8" s="122" t="s">
        <v>936</v>
      </c>
      <c r="Y8" s="253">
        <v>0.58699999999999997</v>
      </c>
      <c r="Z8" s="122" t="s">
        <v>937</v>
      </c>
      <c r="AA8" s="122">
        <v>0.68200000000000005</v>
      </c>
      <c r="AB8" s="122" t="s">
        <v>938</v>
      </c>
      <c r="AC8" s="122">
        <v>0.58399999999999996</v>
      </c>
      <c r="AD8" s="122" t="s">
        <v>3851</v>
      </c>
      <c r="AE8" s="122"/>
      <c r="AF8" s="122"/>
      <c r="AG8" s="253" t="s">
        <v>939</v>
      </c>
      <c r="AH8" s="194">
        <v>-0.04</v>
      </c>
      <c r="AI8" s="194" t="s">
        <v>940</v>
      </c>
      <c r="AJ8" s="194" t="s">
        <v>941</v>
      </c>
      <c r="AK8" s="122"/>
      <c r="AL8" s="201"/>
      <c r="AM8" s="259">
        <v>0.32</v>
      </c>
      <c r="AN8" s="197" t="s">
        <v>942</v>
      </c>
      <c r="AO8" s="256">
        <v>0.53100000000000003</v>
      </c>
      <c r="AP8" s="197" t="s">
        <v>943</v>
      </c>
      <c r="AQ8" s="253">
        <v>0.41</v>
      </c>
      <c r="AR8" s="122" t="s">
        <v>944</v>
      </c>
      <c r="AS8" s="122">
        <v>0.57299999999999995</v>
      </c>
      <c r="AT8" s="122" t="s">
        <v>945</v>
      </c>
      <c r="AU8" s="122">
        <v>0.58899999999999997</v>
      </c>
      <c r="AV8" s="122" t="s">
        <v>3878</v>
      </c>
      <c r="AW8" s="122"/>
      <c r="AX8" s="122"/>
      <c r="AY8" s="253">
        <v>0.21</v>
      </c>
      <c r="AZ8" s="122" t="s">
        <v>946</v>
      </c>
      <c r="BA8" s="122" t="s">
        <v>947</v>
      </c>
      <c r="BB8" s="122">
        <v>1.4999999999999999E-2</v>
      </c>
      <c r="BC8" s="122"/>
    </row>
    <row r="9" spans="1:55" s="7" customFormat="1" ht="20.25" customHeight="1" x14ac:dyDescent="0.25">
      <c r="A9" s="100" t="s">
        <v>948</v>
      </c>
      <c r="B9" s="100" t="s">
        <v>787</v>
      </c>
      <c r="C9" s="254">
        <v>0.42799999999999999</v>
      </c>
      <c r="D9" s="121" t="s">
        <v>949</v>
      </c>
      <c r="E9" s="254">
        <v>0.41199999999999998</v>
      </c>
      <c r="F9" s="121" t="s">
        <v>950</v>
      </c>
      <c r="G9" s="254">
        <v>0.40600000000000003</v>
      </c>
      <c r="H9" s="121" t="s">
        <v>951</v>
      </c>
      <c r="I9" s="121">
        <v>0.48899999999999999</v>
      </c>
      <c r="J9" s="121" t="s">
        <v>952</v>
      </c>
      <c r="K9" s="121"/>
      <c r="L9" s="121"/>
      <c r="M9" s="121"/>
      <c r="N9" s="121"/>
      <c r="O9" s="254">
        <v>-1.7000000000000001E-2</v>
      </c>
      <c r="P9" s="195">
        <v>-4.1000000000000002E-2</v>
      </c>
      <c r="Q9" s="195" t="s">
        <v>953</v>
      </c>
      <c r="R9" s="195"/>
      <c r="S9" s="121"/>
      <c r="T9" s="201"/>
      <c r="U9" s="257">
        <v>0.61699999999999999</v>
      </c>
      <c r="V9" s="198" t="s">
        <v>954</v>
      </c>
      <c r="W9" s="254">
        <v>0.52300000000000002</v>
      </c>
      <c r="X9" s="121" t="s">
        <v>955</v>
      </c>
      <c r="Y9" s="254">
        <v>0.60699999999999998</v>
      </c>
      <c r="Z9" s="121" t="s">
        <v>956</v>
      </c>
      <c r="AA9" s="121">
        <v>0.66900000000000004</v>
      </c>
      <c r="AB9" s="121" t="s">
        <v>957</v>
      </c>
      <c r="AC9" s="121"/>
      <c r="AD9" s="121"/>
      <c r="AE9" s="121"/>
      <c r="AF9" s="121"/>
      <c r="AG9" s="254">
        <v>-9.2999999999999999E-2</v>
      </c>
      <c r="AH9" s="195" t="s">
        <v>958</v>
      </c>
      <c r="AI9" s="195">
        <v>6.2E-2</v>
      </c>
      <c r="AJ9" s="195"/>
      <c r="AK9" s="121"/>
      <c r="AL9" s="201"/>
      <c r="AM9" s="260">
        <v>0.35399999999999998</v>
      </c>
      <c r="AN9" s="198" t="s">
        <v>959</v>
      </c>
      <c r="AO9" s="257">
        <v>0.56999999999999995</v>
      </c>
      <c r="AP9" s="198" t="s">
        <v>960</v>
      </c>
      <c r="AQ9" s="254">
        <v>0.57699999999999996</v>
      </c>
      <c r="AR9" s="121" t="s">
        <v>961</v>
      </c>
      <c r="AS9" s="121">
        <v>0.6</v>
      </c>
      <c r="AT9" s="121" t="s">
        <v>962</v>
      </c>
      <c r="AU9" s="121"/>
      <c r="AV9" s="121"/>
      <c r="AW9" s="121"/>
      <c r="AX9" s="121"/>
      <c r="AY9" s="254">
        <v>0.216</v>
      </c>
      <c r="AZ9" s="121">
        <v>7.0000000000000001E-3</v>
      </c>
      <c r="BA9" s="121">
        <v>2.3E-2</v>
      </c>
      <c r="BB9" s="121"/>
      <c r="BC9" s="121"/>
    </row>
    <row r="10" spans="1:55" s="7" customFormat="1" ht="15.75" x14ac:dyDescent="0.25">
      <c r="A10" s="99" t="s">
        <v>963</v>
      </c>
      <c r="B10" s="99" t="s">
        <v>766</v>
      </c>
      <c r="C10" s="253">
        <v>0.36499999999999999</v>
      </c>
      <c r="D10" s="122" t="s">
        <v>964</v>
      </c>
      <c r="E10" s="253">
        <v>0.504</v>
      </c>
      <c r="F10" s="122" t="s">
        <v>965</v>
      </c>
      <c r="G10" s="253">
        <v>0.373</v>
      </c>
      <c r="H10" s="122" t="s">
        <v>966</v>
      </c>
      <c r="I10" s="122">
        <v>0.44800000000000001</v>
      </c>
      <c r="J10" s="122" t="s">
        <v>967</v>
      </c>
      <c r="K10" s="122"/>
      <c r="L10" s="122"/>
      <c r="M10" s="122"/>
      <c r="N10" s="122"/>
      <c r="O10" s="253">
        <v>0.13900000000000001</v>
      </c>
      <c r="P10" s="194" t="s">
        <v>968</v>
      </c>
      <c r="Q10" s="194">
        <v>7.3999999999999996E-2</v>
      </c>
      <c r="R10" s="194"/>
      <c r="S10" s="122"/>
      <c r="T10" s="201"/>
      <c r="U10" s="256">
        <v>0.70399999999999996</v>
      </c>
      <c r="V10" s="197" t="s">
        <v>969</v>
      </c>
      <c r="W10" s="253">
        <v>0.63200000000000001</v>
      </c>
      <c r="X10" s="122" t="s">
        <v>970</v>
      </c>
      <c r="Y10" s="253">
        <v>0.53500000000000003</v>
      </c>
      <c r="Z10" s="122" t="s">
        <v>971</v>
      </c>
      <c r="AA10" s="122">
        <v>0.58799999999999997</v>
      </c>
      <c r="AB10" s="122" t="s">
        <v>972</v>
      </c>
      <c r="AC10" s="122"/>
      <c r="AD10" s="122"/>
      <c r="AE10" s="122"/>
      <c r="AF10" s="122"/>
      <c r="AG10" s="253" t="s">
        <v>973</v>
      </c>
      <c r="AH10" s="194" t="s">
        <v>974</v>
      </c>
      <c r="AI10" s="194">
        <v>5.2999999999999999E-2</v>
      </c>
      <c r="AJ10" s="194"/>
      <c r="AK10" s="122"/>
      <c r="AL10" s="201"/>
      <c r="AM10" s="259">
        <v>0.193</v>
      </c>
      <c r="AN10" s="197" t="s">
        <v>975</v>
      </c>
      <c r="AO10" s="256">
        <v>0.443</v>
      </c>
      <c r="AP10" s="197" t="s">
        <v>976</v>
      </c>
      <c r="AQ10" s="253">
        <v>0.35399999999999998</v>
      </c>
      <c r="AR10" s="122" t="s">
        <v>977</v>
      </c>
      <c r="AS10" s="122">
        <v>0.39400000000000002</v>
      </c>
      <c r="AT10" s="122" t="s">
        <v>978</v>
      </c>
      <c r="AU10" s="122"/>
      <c r="AV10" s="122"/>
      <c r="AW10" s="122"/>
      <c r="AX10" s="122"/>
      <c r="AY10" s="253" t="s">
        <v>979</v>
      </c>
      <c r="AZ10" s="122" t="s">
        <v>980</v>
      </c>
      <c r="BA10" s="122">
        <v>0.04</v>
      </c>
      <c r="BB10" s="122"/>
      <c r="BC10" s="122"/>
    </row>
    <row r="11" spans="1:55" s="7" customFormat="1" ht="20.25" customHeight="1" x14ac:dyDescent="0.25">
      <c r="A11" s="100" t="s">
        <v>763</v>
      </c>
      <c r="B11" s="100" t="s">
        <v>764</v>
      </c>
      <c r="C11" s="254">
        <v>0.373</v>
      </c>
      <c r="D11" s="121" t="s">
        <v>981</v>
      </c>
      <c r="E11" s="254">
        <v>0.35599999999999998</v>
      </c>
      <c r="F11" s="121" t="s">
        <v>982</v>
      </c>
      <c r="G11" s="254">
        <v>0.42899999999999999</v>
      </c>
      <c r="H11" s="121" t="s">
        <v>983</v>
      </c>
      <c r="I11" s="121">
        <v>0.42</v>
      </c>
      <c r="J11" s="121" t="s">
        <v>984</v>
      </c>
      <c r="K11" s="121">
        <v>0.42699999999999999</v>
      </c>
      <c r="L11" s="121" t="s">
        <v>3820</v>
      </c>
      <c r="M11" s="121"/>
      <c r="N11" s="121"/>
      <c r="O11" s="254">
        <v>-1.7999999999999999E-2</v>
      </c>
      <c r="P11" s="195">
        <v>7.2999999999999995E-2</v>
      </c>
      <c r="Q11" s="195">
        <v>-0.01</v>
      </c>
      <c r="R11" s="195">
        <v>8.0000000000000002E-3</v>
      </c>
      <c r="S11" s="121"/>
      <c r="T11" s="201"/>
      <c r="U11" s="257">
        <v>0.65600000000000003</v>
      </c>
      <c r="V11" s="198" t="s">
        <v>985</v>
      </c>
      <c r="W11" s="254">
        <v>0.52300000000000002</v>
      </c>
      <c r="X11" s="121" t="s">
        <v>986</v>
      </c>
      <c r="Y11" s="254">
        <v>0.59799999999999998</v>
      </c>
      <c r="Z11" s="121" t="s">
        <v>987</v>
      </c>
      <c r="AA11" s="121">
        <v>0.629</v>
      </c>
      <c r="AB11" s="121" t="s">
        <v>988</v>
      </c>
      <c r="AC11" s="121">
        <v>0.55000000000000004</v>
      </c>
      <c r="AD11" s="121" t="s">
        <v>3852</v>
      </c>
      <c r="AE11" s="121"/>
      <c r="AF11" s="121"/>
      <c r="AG11" s="254">
        <v>-0.13200000000000001</v>
      </c>
      <c r="AH11" s="195" t="s">
        <v>989</v>
      </c>
      <c r="AI11" s="195">
        <v>3.1E-2</v>
      </c>
      <c r="AJ11" s="195">
        <v>-7.9000000000000001E-2</v>
      </c>
      <c r="AK11" s="121"/>
      <c r="AL11" s="201"/>
      <c r="AM11" s="260">
        <v>0.308</v>
      </c>
      <c r="AN11" s="198" t="s">
        <v>990</v>
      </c>
      <c r="AO11" s="257">
        <v>0.41799999999999998</v>
      </c>
      <c r="AP11" s="198" t="s">
        <v>991</v>
      </c>
      <c r="AQ11" s="254">
        <v>0.35</v>
      </c>
      <c r="AR11" s="121" t="s">
        <v>992</v>
      </c>
      <c r="AS11" s="121">
        <v>0.442</v>
      </c>
      <c r="AT11" s="121" t="s">
        <v>993</v>
      </c>
      <c r="AU11" s="121">
        <v>0.52400000000000002</v>
      </c>
      <c r="AV11" s="121" t="s">
        <v>3879</v>
      </c>
      <c r="AW11" s="121"/>
      <c r="AX11" s="121"/>
      <c r="AY11" s="254">
        <v>0.11</v>
      </c>
      <c r="AZ11" s="121">
        <v>-6.8000000000000005E-2</v>
      </c>
      <c r="BA11" s="121">
        <v>9.1999999999999998E-2</v>
      </c>
      <c r="BB11" s="121">
        <v>8.2000000000000003E-2</v>
      </c>
      <c r="BC11" s="121"/>
    </row>
    <row r="12" spans="1:55" s="7" customFormat="1" ht="20.25" customHeight="1" x14ac:dyDescent="0.25">
      <c r="A12" s="99" t="s">
        <v>765</v>
      </c>
      <c r="B12" s="99" t="s">
        <v>766</v>
      </c>
      <c r="C12" s="253">
        <v>0.38</v>
      </c>
      <c r="D12" s="122" t="s">
        <v>994</v>
      </c>
      <c r="E12" s="253">
        <v>0.42499999999999999</v>
      </c>
      <c r="F12" s="122" t="s">
        <v>995</v>
      </c>
      <c r="G12" s="253">
        <v>0.33500000000000002</v>
      </c>
      <c r="H12" s="122" t="s">
        <v>996</v>
      </c>
      <c r="I12" s="122">
        <v>0.441</v>
      </c>
      <c r="J12" s="122" t="s">
        <v>997</v>
      </c>
      <c r="K12" s="122">
        <v>0.52300000000000002</v>
      </c>
      <c r="L12" s="122" t="s">
        <v>3821</v>
      </c>
      <c r="M12" s="122"/>
      <c r="N12" s="122"/>
      <c r="O12" s="253">
        <v>4.4999999999999998E-2</v>
      </c>
      <c r="P12" s="194" t="s">
        <v>998</v>
      </c>
      <c r="Q12" s="194" t="s">
        <v>999</v>
      </c>
      <c r="R12" s="194">
        <v>8.3000000000000004E-2</v>
      </c>
      <c r="S12" s="122"/>
      <c r="T12" s="201"/>
      <c r="U12" s="256">
        <v>0.64600000000000002</v>
      </c>
      <c r="V12" s="197" t="s">
        <v>1000</v>
      </c>
      <c r="W12" s="253">
        <v>0.64</v>
      </c>
      <c r="X12" s="122" t="s">
        <v>1001</v>
      </c>
      <c r="Y12" s="253">
        <v>0.624</v>
      </c>
      <c r="Z12" s="122" t="s">
        <v>1002</v>
      </c>
      <c r="AA12" s="122">
        <v>0.57199999999999995</v>
      </c>
      <c r="AB12" s="122" t="s">
        <v>1003</v>
      </c>
      <c r="AC12" s="122">
        <v>0.56799999999999995</v>
      </c>
      <c r="AD12" s="122" t="s">
        <v>3853</v>
      </c>
      <c r="AE12" s="122"/>
      <c r="AF12" s="122"/>
      <c r="AG12" s="253">
        <v>-6.0000000000000001E-3</v>
      </c>
      <c r="AH12" s="194">
        <v>-1.4999999999999999E-2</v>
      </c>
      <c r="AI12" s="194" t="s">
        <v>1004</v>
      </c>
      <c r="AJ12" s="194">
        <v>-4.0000000000000001E-3</v>
      </c>
      <c r="AK12" s="122"/>
      <c r="AL12" s="201"/>
      <c r="AM12" s="259">
        <v>0.28000000000000003</v>
      </c>
      <c r="AN12" s="197" t="s">
        <v>1005</v>
      </c>
      <c r="AO12" s="256">
        <v>0.26700000000000002</v>
      </c>
      <c r="AP12" s="197" t="s">
        <v>1006</v>
      </c>
      <c r="AQ12" s="253">
        <v>0.30599999999999999</v>
      </c>
      <c r="AR12" s="122" t="s">
        <v>1007</v>
      </c>
      <c r="AS12" s="122">
        <v>0.32200000000000001</v>
      </c>
      <c r="AT12" s="122" t="s">
        <v>1008</v>
      </c>
      <c r="AU12" s="122">
        <v>0.441</v>
      </c>
      <c r="AV12" s="122" t="s">
        <v>3880</v>
      </c>
      <c r="AW12" s="122"/>
      <c r="AX12" s="122"/>
      <c r="AY12" s="253">
        <v>-1.2999999999999999E-2</v>
      </c>
      <c r="AZ12" s="122">
        <v>3.9E-2</v>
      </c>
      <c r="BA12" s="122">
        <v>1.6E-2</v>
      </c>
      <c r="BB12" s="122" t="s">
        <v>1009</v>
      </c>
      <c r="BC12" s="122"/>
    </row>
    <row r="13" spans="1:55" s="7" customFormat="1" ht="20.25" customHeight="1" x14ac:dyDescent="0.25">
      <c r="A13" s="100" t="s">
        <v>767</v>
      </c>
      <c r="B13" s="100" t="s">
        <v>768</v>
      </c>
      <c r="C13" s="254">
        <v>0.39900000000000002</v>
      </c>
      <c r="D13" s="121" t="s">
        <v>1010</v>
      </c>
      <c r="E13" s="254">
        <v>0.48299999999999998</v>
      </c>
      <c r="F13" s="121" t="s">
        <v>1011</v>
      </c>
      <c r="G13" s="254">
        <v>0.498</v>
      </c>
      <c r="H13" s="121" t="s">
        <v>1012</v>
      </c>
      <c r="I13" s="121">
        <v>0.45200000000000001</v>
      </c>
      <c r="J13" s="121" t="s">
        <v>1013</v>
      </c>
      <c r="K13" s="121">
        <v>0.503</v>
      </c>
      <c r="L13" s="121" t="s">
        <v>3822</v>
      </c>
      <c r="M13" s="121"/>
      <c r="N13" s="121"/>
      <c r="O13" s="254" t="s">
        <v>1014</v>
      </c>
      <c r="P13" s="195">
        <v>1.4999999999999999E-2</v>
      </c>
      <c r="Q13" s="195">
        <v>-4.5999999999999999E-2</v>
      </c>
      <c r="R13" s="195">
        <v>5.0999999999999997E-2</v>
      </c>
      <c r="S13" s="121"/>
      <c r="T13" s="201"/>
      <c r="U13" s="257">
        <v>0.58499999999999996</v>
      </c>
      <c r="V13" s="198" t="s">
        <v>1015</v>
      </c>
      <c r="W13" s="254">
        <v>0.66800000000000004</v>
      </c>
      <c r="X13" s="121" t="s">
        <v>1016</v>
      </c>
      <c r="Y13" s="254">
        <v>0.52900000000000003</v>
      </c>
      <c r="Z13" s="121" t="s">
        <v>1017</v>
      </c>
      <c r="AA13" s="121">
        <v>0.75</v>
      </c>
      <c r="AB13" s="121" t="s">
        <v>1018</v>
      </c>
      <c r="AC13" s="121">
        <v>0.53900000000000003</v>
      </c>
      <c r="AD13" s="121" t="s">
        <v>3854</v>
      </c>
      <c r="AE13" s="121"/>
      <c r="AF13" s="121"/>
      <c r="AG13" s="254">
        <v>8.3000000000000004E-2</v>
      </c>
      <c r="AH13" s="195" t="s">
        <v>1019</v>
      </c>
      <c r="AI13" s="195" t="s">
        <v>1020</v>
      </c>
      <c r="AJ13" s="195" t="s">
        <v>1021</v>
      </c>
      <c r="AK13" s="121"/>
      <c r="AL13" s="201"/>
      <c r="AM13" s="260">
        <v>0.44600000000000001</v>
      </c>
      <c r="AN13" s="198" t="s">
        <v>1022</v>
      </c>
      <c r="AO13" s="257">
        <v>0.46600000000000003</v>
      </c>
      <c r="AP13" s="198" t="s">
        <v>1023</v>
      </c>
      <c r="AQ13" s="254">
        <v>0.40699999999999997</v>
      </c>
      <c r="AR13" s="121" t="s">
        <v>1024</v>
      </c>
      <c r="AS13" s="121">
        <v>0.60499999999999998</v>
      </c>
      <c r="AT13" s="121" t="s">
        <v>1025</v>
      </c>
      <c r="AU13" s="121">
        <v>0.622</v>
      </c>
      <c r="AV13" s="121" t="s">
        <v>3881</v>
      </c>
      <c r="AW13" s="121"/>
      <c r="AX13" s="121"/>
      <c r="AY13" s="254">
        <v>0.02</v>
      </c>
      <c r="AZ13" s="121">
        <v>-5.8000000000000003E-2</v>
      </c>
      <c r="BA13" s="121" t="s">
        <v>1026</v>
      </c>
      <c r="BB13" s="121">
        <v>1.7999999999999999E-2</v>
      </c>
      <c r="BC13" s="121"/>
    </row>
    <row r="14" spans="1:55" ht="20.25" customHeight="1" x14ac:dyDescent="0.25">
      <c r="A14" s="99" t="s">
        <v>769</v>
      </c>
      <c r="B14" s="99" t="s">
        <v>770</v>
      </c>
      <c r="C14" s="253">
        <v>0.27200000000000002</v>
      </c>
      <c r="D14" s="122" t="s">
        <v>1027</v>
      </c>
      <c r="E14" s="253">
        <v>0.29599999999999999</v>
      </c>
      <c r="F14" s="122" t="s">
        <v>1028</v>
      </c>
      <c r="G14" s="253">
        <v>0.33</v>
      </c>
      <c r="H14" s="122" t="s">
        <v>1029</v>
      </c>
      <c r="I14" s="122">
        <v>0.23100000000000001</v>
      </c>
      <c r="J14" s="122" t="s">
        <v>1030</v>
      </c>
      <c r="K14" s="122">
        <v>0.314</v>
      </c>
      <c r="L14" s="122" t="s">
        <v>3823</v>
      </c>
      <c r="M14" s="122"/>
      <c r="N14" s="122"/>
      <c r="O14" s="253" t="s">
        <v>1031</v>
      </c>
      <c r="P14" s="194">
        <v>3.3000000000000002E-2</v>
      </c>
      <c r="Q14" s="194" t="s">
        <v>1032</v>
      </c>
      <c r="R14" s="194" t="s">
        <v>3841</v>
      </c>
      <c r="S14" s="122"/>
      <c r="T14" s="201"/>
      <c r="U14" s="256">
        <v>0.53200000000000003</v>
      </c>
      <c r="V14" s="197" t="s">
        <v>1033</v>
      </c>
      <c r="W14" s="253">
        <v>0.443</v>
      </c>
      <c r="X14" s="122" t="s">
        <v>1034</v>
      </c>
      <c r="Y14" s="253">
        <v>0.42</v>
      </c>
      <c r="Z14" s="122" t="s">
        <v>1035</v>
      </c>
      <c r="AA14" s="122">
        <v>0.46400000000000002</v>
      </c>
      <c r="AB14" s="122" t="s">
        <v>1036</v>
      </c>
      <c r="AC14" s="122">
        <v>0.48</v>
      </c>
      <c r="AD14" s="122" t="s">
        <v>3855</v>
      </c>
      <c r="AE14" s="122"/>
      <c r="AF14" s="122"/>
      <c r="AG14" s="253">
        <v>-8.8999999999999996E-2</v>
      </c>
      <c r="AH14" s="194">
        <v>-2.4E-2</v>
      </c>
      <c r="AI14" s="194">
        <v>4.4999999999999998E-2</v>
      </c>
      <c r="AJ14" s="194">
        <v>1.6E-2</v>
      </c>
      <c r="AK14" s="122"/>
      <c r="AL14" s="201"/>
      <c r="AM14" s="259">
        <v>0.26300000000000001</v>
      </c>
      <c r="AN14" s="197" t="s">
        <v>1037</v>
      </c>
      <c r="AO14" s="256">
        <v>0.308</v>
      </c>
      <c r="AP14" s="197" t="s">
        <v>1038</v>
      </c>
      <c r="AQ14" s="253">
        <v>0.23300000000000001</v>
      </c>
      <c r="AR14" s="122" t="s">
        <v>1039</v>
      </c>
      <c r="AS14" s="122">
        <v>0.20200000000000001</v>
      </c>
      <c r="AT14" s="122" t="s">
        <v>1040</v>
      </c>
      <c r="AU14" s="122">
        <v>0.24099999999999999</v>
      </c>
      <c r="AV14" s="122" t="s">
        <v>3882</v>
      </c>
      <c r="AW14" s="122"/>
      <c r="AX14" s="122"/>
      <c r="AY14" s="253" t="s">
        <v>1041</v>
      </c>
      <c r="AZ14" s="122" t="s">
        <v>1042</v>
      </c>
      <c r="BA14" s="122">
        <v>-3.1E-2</v>
      </c>
      <c r="BB14" s="122">
        <v>3.9E-2</v>
      </c>
      <c r="BC14" s="122"/>
    </row>
    <row r="15" spans="1:55" ht="20.25" customHeight="1" x14ac:dyDescent="0.25">
      <c r="A15" s="100" t="s">
        <v>771</v>
      </c>
      <c r="B15" s="100" t="s">
        <v>772</v>
      </c>
      <c r="C15" s="254">
        <v>0.41699999999999998</v>
      </c>
      <c r="D15" s="121" t="s">
        <v>1043</v>
      </c>
      <c r="E15" s="254">
        <v>0.42299999999999999</v>
      </c>
      <c r="F15" s="121" t="s">
        <v>1044</v>
      </c>
      <c r="G15" s="254">
        <v>0.45900000000000002</v>
      </c>
      <c r="H15" s="121" t="s">
        <v>1045</v>
      </c>
      <c r="I15" s="121">
        <v>0.42099999999999999</v>
      </c>
      <c r="J15" s="121" t="s">
        <v>1046</v>
      </c>
      <c r="K15" s="121">
        <v>0.51700000000000002</v>
      </c>
      <c r="L15" s="121" t="s">
        <v>3824</v>
      </c>
      <c r="M15" s="121"/>
      <c r="N15" s="121"/>
      <c r="O15" s="254">
        <v>7.0000000000000001E-3</v>
      </c>
      <c r="P15" s="195">
        <v>3.5999999999999997E-2</v>
      </c>
      <c r="Q15" s="195">
        <v>-3.7999999999999999E-2</v>
      </c>
      <c r="R15" s="195" t="s">
        <v>3842</v>
      </c>
      <c r="S15" s="121"/>
      <c r="T15" s="201"/>
      <c r="U15" s="257">
        <v>0.59499999999999997</v>
      </c>
      <c r="V15" s="198" t="s">
        <v>1047</v>
      </c>
      <c r="W15" s="254">
        <v>0.55800000000000005</v>
      </c>
      <c r="X15" s="121" t="s">
        <v>1048</v>
      </c>
      <c r="Y15" s="254">
        <v>0.61699999999999999</v>
      </c>
      <c r="Z15" s="121" t="s">
        <v>1049</v>
      </c>
      <c r="AA15" s="121">
        <v>0.58899999999999997</v>
      </c>
      <c r="AB15" s="121" t="s">
        <v>1050</v>
      </c>
      <c r="AC15" s="121">
        <v>0.52800000000000002</v>
      </c>
      <c r="AD15" s="121" t="s">
        <v>3856</v>
      </c>
      <c r="AE15" s="121"/>
      <c r="AF15" s="121"/>
      <c r="AG15" s="254">
        <v>-3.6999999999999998E-2</v>
      </c>
      <c r="AH15" s="195">
        <v>5.8999999999999997E-2</v>
      </c>
      <c r="AI15" s="195">
        <v>-2.9000000000000001E-2</v>
      </c>
      <c r="AJ15" s="195">
        <v>-6.0999999999999999E-2</v>
      </c>
      <c r="AK15" s="121"/>
      <c r="AL15" s="201"/>
      <c r="AM15" s="260">
        <v>0.373</v>
      </c>
      <c r="AN15" s="198" t="s">
        <v>1051</v>
      </c>
      <c r="AO15" s="257">
        <v>0.41799999999999998</v>
      </c>
      <c r="AP15" s="198" t="s">
        <v>1052</v>
      </c>
      <c r="AQ15" s="254">
        <v>0.46500000000000002</v>
      </c>
      <c r="AR15" s="121" t="s">
        <v>1053</v>
      </c>
      <c r="AS15" s="121">
        <v>0.40200000000000002</v>
      </c>
      <c r="AT15" s="121" t="s">
        <v>1054</v>
      </c>
      <c r="AU15" s="121">
        <v>0.45900000000000002</v>
      </c>
      <c r="AV15" s="121" t="s">
        <v>3883</v>
      </c>
      <c r="AW15" s="121"/>
      <c r="AX15" s="121"/>
      <c r="AY15" s="254" t="s">
        <v>1041</v>
      </c>
      <c r="AZ15" s="121">
        <v>4.7E-2</v>
      </c>
      <c r="BA15" s="121" t="s">
        <v>1055</v>
      </c>
      <c r="BB15" s="121">
        <v>5.7000000000000002E-2</v>
      </c>
      <c r="BC15" s="121"/>
    </row>
    <row r="16" spans="1:55" ht="20.25" customHeight="1" x14ac:dyDescent="0.25">
      <c r="A16" s="99" t="s">
        <v>773</v>
      </c>
      <c r="B16" s="99" t="s">
        <v>764</v>
      </c>
      <c r="C16" s="253">
        <v>0.58199999999999996</v>
      </c>
      <c r="D16" s="122" t="s">
        <v>1056</v>
      </c>
      <c r="E16" s="253">
        <v>0.41299999999999998</v>
      </c>
      <c r="F16" s="122" t="s">
        <v>1057</v>
      </c>
      <c r="G16" s="253">
        <v>0.435</v>
      </c>
      <c r="H16" s="122" t="s">
        <v>1058</v>
      </c>
      <c r="I16" s="122">
        <v>0.46300000000000002</v>
      </c>
      <c r="J16" s="122" t="s">
        <v>1059</v>
      </c>
      <c r="K16" s="122">
        <v>0.48299999999999998</v>
      </c>
      <c r="L16" s="122" t="s">
        <v>1060</v>
      </c>
      <c r="M16" s="122"/>
      <c r="N16" s="122"/>
      <c r="O16" s="253" t="s">
        <v>1061</v>
      </c>
      <c r="P16" s="194">
        <v>2.1999999999999999E-2</v>
      </c>
      <c r="Q16" s="194">
        <v>2.8000000000000001E-2</v>
      </c>
      <c r="R16" s="194">
        <v>0.02</v>
      </c>
      <c r="S16" s="122"/>
      <c r="T16" s="201"/>
      <c r="U16" s="256">
        <v>0.66900000000000004</v>
      </c>
      <c r="V16" s="197" t="s">
        <v>1062</v>
      </c>
      <c r="W16" s="253">
        <v>0.57399999999999995</v>
      </c>
      <c r="X16" s="122" t="s">
        <v>1063</v>
      </c>
      <c r="Y16" s="253">
        <v>0.60599999999999998</v>
      </c>
      <c r="Z16" s="122" t="s">
        <v>1064</v>
      </c>
      <c r="AA16" s="122">
        <v>0.52800000000000002</v>
      </c>
      <c r="AB16" s="122" t="s">
        <v>1065</v>
      </c>
      <c r="AC16" s="122">
        <v>0.57599999999999996</v>
      </c>
      <c r="AD16" s="122" t="s">
        <v>3857</v>
      </c>
      <c r="AE16" s="122"/>
      <c r="AF16" s="122"/>
      <c r="AG16" s="253">
        <v>-9.4E-2</v>
      </c>
      <c r="AH16" s="194">
        <v>3.2000000000000001E-2</v>
      </c>
      <c r="AI16" s="194" t="s">
        <v>1066</v>
      </c>
      <c r="AJ16" s="194">
        <v>4.8000000000000001E-2</v>
      </c>
      <c r="AK16" s="122"/>
      <c r="AL16" s="201"/>
      <c r="AM16" s="259">
        <v>0.48899999999999999</v>
      </c>
      <c r="AN16" s="197" t="s">
        <v>1067</v>
      </c>
      <c r="AO16" s="256">
        <v>0.56999999999999995</v>
      </c>
      <c r="AP16" s="197" t="s">
        <v>1068</v>
      </c>
      <c r="AQ16" s="253">
        <v>0.501</v>
      </c>
      <c r="AR16" s="122" t="s">
        <v>1069</v>
      </c>
      <c r="AS16" s="122">
        <v>0.56399999999999995</v>
      </c>
      <c r="AT16" s="122" t="s">
        <v>1070</v>
      </c>
      <c r="AU16" s="122">
        <v>0.56000000000000005</v>
      </c>
      <c r="AV16" s="122" t="s">
        <v>3884</v>
      </c>
      <c r="AW16" s="122"/>
      <c r="AX16" s="122"/>
      <c r="AY16" s="253" t="s">
        <v>1071</v>
      </c>
      <c r="AZ16" s="122">
        <v>-6.9000000000000006E-2</v>
      </c>
      <c r="BA16" s="122">
        <v>6.3E-2</v>
      </c>
      <c r="BB16" s="122">
        <v>-4.0000000000000001E-3</v>
      </c>
      <c r="BC16" s="122"/>
    </row>
    <row r="17" spans="1:55" ht="20.25" customHeight="1" x14ac:dyDescent="0.25">
      <c r="A17" s="100" t="s">
        <v>774</v>
      </c>
      <c r="B17" s="100" t="s">
        <v>758</v>
      </c>
      <c r="C17" s="254">
        <v>0.504</v>
      </c>
      <c r="D17" s="121" t="s">
        <v>1072</v>
      </c>
      <c r="E17" s="254">
        <v>0.51200000000000001</v>
      </c>
      <c r="F17" s="121" t="s">
        <v>1073</v>
      </c>
      <c r="G17" s="254">
        <v>0.57399999999999995</v>
      </c>
      <c r="H17" s="121" t="s">
        <v>1074</v>
      </c>
      <c r="I17" s="121">
        <v>0.65300000000000002</v>
      </c>
      <c r="J17" s="121" t="s">
        <v>1075</v>
      </c>
      <c r="K17" s="121">
        <v>0.63400000000000001</v>
      </c>
      <c r="L17" s="121" t="s">
        <v>3825</v>
      </c>
      <c r="M17" s="121"/>
      <c r="N17" s="121"/>
      <c r="O17" s="254">
        <v>8.0000000000000002E-3</v>
      </c>
      <c r="P17" s="195">
        <v>6.2E-2</v>
      </c>
      <c r="Q17" s="195">
        <v>7.9000000000000001E-2</v>
      </c>
      <c r="R17" s="195">
        <v>-0.02</v>
      </c>
      <c r="S17" s="121"/>
      <c r="T17" s="201"/>
      <c r="U17" s="257">
        <v>0.64</v>
      </c>
      <c r="V17" s="198" t="s">
        <v>1076</v>
      </c>
      <c r="W17" s="254">
        <v>0.55300000000000005</v>
      </c>
      <c r="X17" s="121" t="s">
        <v>1077</v>
      </c>
      <c r="Y17" s="254">
        <v>0.52500000000000002</v>
      </c>
      <c r="Z17" s="121" t="s">
        <v>1078</v>
      </c>
      <c r="AA17" s="121">
        <v>0.54100000000000004</v>
      </c>
      <c r="AB17" s="121" t="s">
        <v>1079</v>
      </c>
      <c r="AC17" s="121">
        <v>0.505</v>
      </c>
      <c r="AD17" s="121" t="s">
        <v>3858</v>
      </c>
      <c r="AE17" s="121"/>
      <c r="AF17" s="121"/>
      <c r="AG17" s="254">
        <v>-8.5999999999999993E-2</v>
      </c>
      <c r="AH17" s="195">
        <v>-2.9000000000000001E-2</v>
      </c>
      <c r="AI17" s="195">
        <v>1.7000000000000001E-2</v>
      </c>
      <c r="AJ17" s="195">
        <v>-3.5999999999999997E-2</v>
      </c>
      <c r="AK17" s="121"/>
      <c r="AL17" s="201"/>
      <c r="AM17" s="260">
        <v>0.35699999999999998</v>
      </c>
      <c r="AN17" s="198" t="s">
        <v>1080</v>
      </c>
      <c r="AO17" s="257">
        <v>0.51600000000000001</v>
      </c>
      <c r="AP17" s="198" t="s">
        <v>1081</v>
      </c>
      <c r="AQ17" s="254">
        <v>0.47899999999999998</v>
      </c>
      <c r="AR17" s="121" t="s">
        <v>1082</v>
      </c>
      <c r="AS17" s="121">
        <v>0.49299999999999999</v>
      </c>
      <c r="AT17" s="121" t="s">
        <v>1083</v>
      </c>
      <c r="AU17" s="121">
        <v>0.46500000000000002</v>
      </c>
      <c r="AV17" s="121" t="s">
        <v>3885</v>
      </c>
      <c r="AW17" s="121"/>
      <c r="AX17" s="121"/>
      <c r="AY17" s="254">
        <v>0.159</v>
      </c>
      <c r="AZ17" s="121">
        <v>-3.6999999999999998E-2</v>
      </c>
      <c r="BA17" s="121">
        <v>1.2999999999999999E-2</v>
      </c>
      <c r="BB17" s="121">
        <v>-2.8000000000000001E-2</v>
      </c>
      <c r="BC17" s="121"/>
    </row>
    <row r="18" spans="1:55" ht="20.25" customHeight="1" x14ac:dyDescent="0.25">
      <c r="A18" s="99" t="s">
        <v>775</v>
      </c>
      <c r="B18" s="99" t="s">
        <v>766</v>
      </c>
      <c r="C18" s="253">
        <v>0.29799999999999999</v>
      </c>
      <c r="D18" s="122" t="s">
        <v>1084</v>
      </c>
      <c r="E18" s="253">
        <v>0.36599999999999999</v>
      </c>
      <c r="F18" s="122" t="s">
        <v>1085</v>
      </c>
      <c r="G18" s="253">
        <v>0.432</v>
      </c>
      <c r="H18" s="122" t="s">
        <v>1086</v>
      </c>
      <c r="I18" s="122">
        <v>0.39700000000000002</v>
      </c>
      <c r="J18" s="122" t="s">
        <v>1087</v>
      </c>
      <c r="K18" s="122">
        <v>0.434</v>
      </c>
      <c r="L18" s="122" t="s">
        <v>3826</v>
      </c>
      <c r="M18" s="122"/>
      <c r="N18" s="122"/>
      <c r="O18" s="253">
        <v>6.9000000000000006E-2</v>
      </c>
      <c r="P18" s="194" t="s">
        <v>1088</v>
      </c>
      <c r="Q18" s="194">
        <v>-3.5000000000000003E-2</v>
      </c>
      <c r="R18" s="194">
        <v>3.7999999999999999E-2</v>
      </c>
      <c r="S18" s="122"/>
      <c r="T18" s="201"/>
      <c r="U18" s="256">
        <v>0.54500000000000004</v>
      </c>
      <c r="V18" s="197" t="s">
        <v>1089</v>
      </c>
      <c r="W18" s="253">
        <v>0.505</v>
      </c>
      <c r="X18" s="122" t="s">
        <v>1090</v>
      </c>
      <c r="Y18" s="253">
        <v>0.58599999999999997</v>
      </c>
      <c r="Z18" s="122" t="s">
        <v>1091</v>
      </c>
      <c r="AA18" s="122">
        <v>0.59799999999999998</v>
      </c>
      <c r="AB18" s="122" t="s">
        <v>1092</v>
      </c>
      <c r="AC18" s="122">
        <v>0.53200000000000003</v>
      </c>
      <c r="AD18" s="122" t="s">
        <v>3859</v>
      </c>
      <c r="AE18" s="122"/>
      <c r="AF18" s="122"/>
      <c r="AG18" s="253">
        <v>-0.04</v>
      </c>
      <c r="AH18" s="194" t="s">
        <v>1093</v>
      </c>
      <c r="AI18" s="194">
        <v>1.2E-2</v>
      </c>
      <c r="AJ18" s="194" t="s">
        <v>1094</v>
      </c>
      <c r="AK18" s="122"/>
      <c r="AL18" s="201"/>
      <c r="AM18" s="259">
        <v>0.26300000000000001</v>
      </c>
      <c r="AN18" s="197" t="s">
        <v>1095</v>
      </c>
      <c r="AO18" s="256">
        <v>0.27500000000000002</v>
      </c>
      <c r="AP18" s="197" t="s">
        <v>1096</v>
      </c>
      <c r="AQ18" s="253">
        <v>0.42799999999999999</v>
      </c>
      <c r="AR18" s="122" t="s">
        <v>1097</v>
      </c>
      <c r="AS18" s="122">
        <v>0.45</v>
      </c>
      <c r="AT18" s="122" t="s">
        <v>1098</v>
      </c>
      <c r="AU18" s="122">
        <v>0.38300000000000001</v>
      </c>
      <c r="AV18" s="122" t="s">
        <v>3886</v>
      </c>
      <c r="AW18" s="122"/>
      <c r="AX18" s="122"/>
      <c r="AY18" s="253" t="s">
        <v>1099</v>
      </c>
      <c r="AZ18" s="122" t="s">
        <v>1100</v>
      </c>
      <c r="BA18" s="122">
        <v>2.3E-2</v>
      </c>
      <c r="BB18" s="122">
        <v>-6.7000000000000004E-2</v>
      </c>
      <c r="BC18" s="122"/>
    </row>
    <row r="19" spans="1:55" ht="20.25" customHeight="1" x14ac:dyDescent="0.25">
      <c r="A19" s="100" t="s">
        <v>1101</v>
      </c>
      <c r="B19" s="100" t="s">
        <v>761</v>
      </c>
      <c r="C19" s="254">
        <v>0.39400000000000002</v>
      </c>
      <c r="D19" s="121" t="s">
        <v>1102</v>
      </c>
      <c r="E19" s="254">
        <v>0.40600000000000003</v>
      </c>
      <c r="F19" s="121" t="s">
        <v>1103</v>
      </c>
      <c r="G19" s="254">
        <v>0.39600000000000002</v>
      </c>
      <c r="H19" s="121" t="s">
        <v>1104</v>
      </c>
      <c r="I19" s="121">
        <v>0.42199999999999999</v>
      </c>
      <c r="J19" s="121" t="s">
        <v>1105</v>
      </c>
      <c r="K19" s="121"/>
      <c r="L19" s="121"/>
      <c r="M19" s="121"/>
      <c r="N19" s="121"/>
      <c r="O19" s="254" t="s">
        <v>1106</v>
      </c>
      <c r="P19" s="195">
        <v>-0.01</v>
      </c>
      <c r="Q19" s="195">
        <v>2.7E-2</v>
      </c>
      <c r="R19" s="195"/>
      <c r="S19" s="121"/>
      <c r="T19" s="201"/>
      <c r="U19" s="257">
        <v>0.67800000000000005</v>
      </c>
      <c r="V19" s="198" t="s">
        <v>1107</v>
      </c>
      <c r="W19" s="254">
        <v>0.48499999999999999</v>
      </c>
      <c r="X19" s="121" t="s">
        <v>1108</v>
      </c>
      <c r="Y19" s="254">
        <v>0.496</v>
      </c>
      <c r="Z19" s="121" t="s">
        <v>1109</v>
      </c>
      <c r="AA19" s="121">
        <v>0.49099999999999999</v>
      </c>
      <c r="AB19" s="121" t="s">
        <v>1110</v>
      </c>
      <c r="AC19" s="121"/>
      <c r="AD19" s="121"/>
      <c r="AE19" s="121"/>
      <c r="AF19" s="121"/>
      <c r="AG19" s="254">
        <v>-0.19400000000000001</v>
      </c>
      <c r="AH19" s="195">
        <v>1.2E-2</v>
      </c>
      <c r="AI19" s="195">
        <v>-5.0000000000000001E-3</v>
      </c>
      <c r="AJ19" s="195"/>
      <c r="AK19" s="121"/>
      <c r="AL19" s="201"/>
      <c r="AM19" s="260">
        <v>0.43099999999999999</v>
      </c>
      <c r="AN19" s="198" t="s">
        <v>1111</v>
      </c>
      <c r="AO19" s="257">
        <v>0.54100000000000004</v>
      </c>
      <c r="AP19" s="198" t="s">
        <v>1112</v>
      </c>
      <c r="AQ19" s="254">
        <v>0.311</v>
      </c>
      <c r="AR19" s="121" t="s">
        <v>1113</v>
      </c>
      <c r="AS19" s="121">
        <v>0.38300000000000001</v>
      </c>
      <c r="AT19" s="121" t="s">
        <v>1114</v>
      </c>
      <c r="AU19" s="121"/>
      <c r="AV19" s="121"/>
      <c r="AW19" s="121"/>
      <c r="AX19" s="121"/>
      <c r="AY19" s="254">
        <v>0.111</v>
      </c>
      <c r="AZ19" s="121" t="s">
        <v>1115</v>
      </c>
      <c r="BA19" s="121">
        <v>7.0999999999999994E-2</v>
      </c>
      <c r="BB19" s="121"/>
      <c r="BC19" s="121"/>
    </row>
    <row r="20" spans="1:55" ht="20.25" customHeight="1" x14ac:dyDescent="0.25">
      <c r="A20" s="99" t="s">
        <v>1116</v>
      </c>
      <c r="B20" s="99" t="s">
        <v>777</v>
      </c>
      <c r="C20" s="253">
        <v>0.36799999999999999</v>
      </c>
      <c r="D20" s="122" t="s">
        <v>1117</v>
      </c>
      <c r="E20" s="253">
        <v>0.59899999999999998</v>
      </c>
      <c r="F20" s="122" t="s">
        <v>1118</v>
      </c>
      <c r="G20" s="253">
        <v>0.63400000000000001</v>
      </c>
      <c r="H20" s="122" t="s">
        <v>1119</v>
      </c>
      <c r="I20" s="122">
        <v>0.64300000000000002</v>
      </c>
      <c r="J20" s="122" t="s">
        <v>1120</v>
      </c>
      <c r="K20" s="122"/>
      <c r="L20" s="122"/>
      <c r="M20" s="122"/>
      <c r="N20" s="122"/>
      <c r="O20" s="253">
        <v>0.23100000000000001</v>
      </c>
      <c r="P20" s="194">
        <v>3.5000000000000003E-2</v>
      </c>
      <c r="Q20" s="194">
        <v>8.9999999999999993E-3</v>
      </c>
      <c r="R20" s="194"/>
      <c r="S20" s="122"/>
      <c r="T20" s="201"/>
      <c r="U20" s="256">
        <v>0.58599999999999997</v>
      </c>
      <c r="V20" s="197" t="s">
        <v>1121</v>
      </c>
      <c r="W20" s="253">
        <v>0.57299999999999995</v>
      </c>
      <c r="X20" s="122" t="s">
        <v>1122</v>
      </c>
      <c r="Y20" s="253">
        <v>0.54500000000000004</v>
      </c>
      <c r="Z20" s="122" t="s">
        <v>1123</v>
      </c>
      <c r="AA20" s="122">
        <v>0.66900000000000004</v>
      </c>
      <c r="AB20" s="122" t="s">
        <v>1124</v>
      </c>
      <c r="AC20" s="122"/>
      <c r="AD20" s="122"/>
      <c r="AE20" s="122"/>
      <c r="AF20" s="122"/>
      <c r="AG20" s="253" t="s">
        <v>1125</v>
      </c>
      <c r="AH20" s="194">
        <v>-2.9000000000000001E-2</v>
      </c>
      <c r="AI20" s="194" t="s">
        <v>1126</v>
      </c>
      <c r="AJ20" s="194"/>
      <c r="AK20" s="122"/>
      <c r="AL20" s="201"/>
      <c r="AM20" s="259">
        <v>0.219</v>
      </c>
      <c r="AN20" s="197" t="s">
        <v>1127</v>
      </c>
      <c r="AO20" s="256">
        <v>0.60799999999999998</v>
      </c>
      <c r="AP20" s="197" t="s">
        <v>1128</v>
      </c>
      <c r="AQ20" s="253">
        <v>0.626</v>
      </c>
      <c r="AR20" s="122" t="s">
        <v>1129</v>
      </c>
      <c r="AS20" s="122">
        <v>0.61599999999999999</v>
      </c>
      <c r="AT20" s="122" t="s">
        <v>1130</v>
      </c>
      <c r="AU20" s="122"/>
      <c r="AV20" s="122"/>
      <c r="AW20" s="122"/>
      <c r="AX20" s="122"/>
      <c r="AY20" s="253" t="s">
        <v>1131</v>
      </c>
      <c r="AZ20" s="122">
        <v>1.7999999999999999E-2</v>
      </c>
      <c r="BA20" s="122">
        <v>-0.01</v>
      </c>
      <c r="BB20" s="122"/>
      <c r="BC20" s="122"/>
    </row>
    <row r="21" spans="1:55" ht="20.25" customHeight="1" x14ac:dyDescent="0.25">
      <c r="A21" s="100" t="s">
        <v>776</v>
      </c>
      <c r="B21" s="100" t="s">
        <v>777</v>
      </c>
      <c r="C21" s="254">
        <v>0.51200000000000001</v>
      </c>
      <c r="D21" s="121" t="s">
        <v>1132</v>
      </c>
      <c r="E21" s="254">
        <v>0.63300000000000001</v>
      </c>
      <c r="F21" s="121" t="s">
        <v>1133</v>
      </c>
      <c r="G21" s="254">
        <v>0.61499999999999999</v>
      </c>
      <c r="H21" s="121" t="s">
        <v>1134</v>
      </c>
      <c r="I21" s="121">
        <v>0.61799999999999999</v>
      </c>
      <c r="J21" s="121" t="s">
        <v>1135</v>
      </c>
      <c r="K21" s="121">
        <v>0.60499999999999998</v>
      </c>
      <c r="L21" s="121" t="s">
        <v>3827</v>
      </c>
      <c r="M21" s="121"/>
      <c r="N21" s="121"/>
      <c r="O21" s="254">
        <v>0.121</v>
      </c>
      <c r="P21" s="195">
        <v>-1.7999999999999999E-2</v>
      </c>
      <c r="Q21" s="195">
        <v>3.0000000000000001E-3</v>
      </c>
      <c r="R21" s="195">
        <v>-1.2999999999999999E-2</v>
      </c>
      <c r="S21" s="121"/>
      <c r="T21" s="201"/>
      <c r="U21" s="257">
        <v>0.52500000000000002</v>
      </c>
      <c r="V21" s="198" t="s">
        <v>1136</v>
      </c>
      <c r="W21" s="254">
        <v>0.66</v>
      </c>
      <c r="X21" s="121" t="s">
        <v>1137</v>
      </c>
      <c r="Y21" s="254">
        <v>0.41599999999999998</v>
      </c>
      <c r="Z21" s="121" t="s">
        <v>1138</v>
      </c>
      <c r="AA21" s="121">
        <v>0.63300000000000001</v>
      </c>
      <c r="AB21" s="121" t="s">
        <v>1139</v>
      </c>
      <c r="AC21" s="121">
        <v>0.67900000000000005</v>
      </c>
      <c r="AD21" s="121" t="s">
        <v>3860</v>
      </c>
      <c r="AE21" s="121"/>
      <c r="AF21" s="121"/>
      <c r="AG21" s="254" t="s">
        <v>1140</v>
      </c>
      <c r="AH21" s="195" t="s">
        <v>1141</v>
      </c>
      <c r="AI21" s="195" t="s">
        <v>1142</v>
      </c>
      <c r="AJ21" s="195">
        <v>4.5999999999999999E-2</v>
      </c>
      <c r="AK21" s="121"/>
      <c r="AL21" s="201"/>
      <c r="AM21" s="260">
        <v>0.38200000000000001</v>
      </c>
      <c r="AN21" s="198" t="s">
        <v>1143</v>
      </c>
      <c r="AO21" s="257">
        <v>0.65700000000000003</v>
      </c>
      <c r="AP21" s="198" t="s">
        <v>1144</v>
      </c>
      <c r="AQ21" s="254">
        <v>0.7</v>
      </c>
      <c r="AR21" s="121" t="s">
        <v>1145</v>
      </c>
      <c r="AS21" s="121">
        <v>0.749</v>
      </c>
      <c r="AT21" s="121" t="s">
        <v>1146</v>
      </c>
      <c r="AU21" s="121">
        <v>0.72499999999999998</v>
      </c>
      <c r="AV21" s="121" t="s">
        <v>3887</v>
      </c>
      <c r="AW21" s="121"/>
      <c r="AX21" s="121"/>
      <c r="AY21" s="254" t="s">
        <v>1147</v>
      </c>
      <c r="AZ21" s="121">
        <v>4.2999999999999997E-2</v>
      </c>
      <c r="BA21" s="121">
        <v>0.05</v>
      </c>
      <c r="BB21" s="121">
        <v>-2.5000000000000001E-2</v>
      </c>
      <c r="BC21" s="121"/>
    </row>
    <row r="22" spans="1:55" ht="20.25" customHeight="1" x14ac:dyDescent="0.25">
      <c r="A22" s="99" t="s">
        <v>778</v>
      </c>
      <c r="B22" s="99" t="s">
        <v>766</v>
      </c>
      <c r="C22" s="253">
        <v>0.33200000000000002</v>
      </c>
      <c r="D22" s="122" t="s">
        <v>1148</v>
      </c>
      <c r="E22" s="253">
        <v>0.48</v>
      </c>
      <c r="F22" s="122" t="s">
        <v>1149</v>
      </c>
      <c r="G22" s="253">
        <v>0.49199999999999999</v>
      </c>
      <c r="H22" s="122" t="s">
        <v>1150</v>
      </c>
      <c r="I22" s="122">
        <v>0.48</v>
      </c>
      <c r="J22" s="122" t="s">
        <v>1151</v>
      </c>
      <c r="K22" s="122">
        <v>0.59299999999999997</v>
      </c>
      <c r="L22" s="122" t="s">
        <v>3828</v>
      </c>
      <c r="M22" s="122"/>
      <c r="N22" s="122"/>
      <c r="O22" s="253">
        <v>0.14799999999999999</v>
      </c>
      <c r="P22" s="194">
        <v>1.2E-2</v>
      </c>
      <c r="Q22" s="194">
        <v>-1.2E-2</v>
      </c>
      <c r="R22" s="194" t="s">
        <v>3843</v>
      </c>
      <c r="S22" s="122"/>
      <c r="T22" s="201"/>
      <c r="U22" s="256">
        <v>0.502</v>
      </c>
      <c r="V22" s="197" t="s">
        <v>1152</v>
      </c>
      <c r="W22" s="253">
        <v>0.497</v>
      </c>
      <c r="X22" s="122" t="s">
        <v>1153</v>
      </c>
      <c r="Y22" s="253">
        <v>0.5</v>
      </c>
      <c r="Z22" s="122" t="s">
        <v>1154</v>
      </c>
      <c r="AA22" s="122">
        <v>0.45100000000000001</v>
      </c>
      <c r="AB22" s="122" t="s">
        <v>1155</v>
      </c>
      <c r="AC22" s="122">
        <v>0.58599999999999997</v>
      </c>
      <c r="AD22" s="122" t="s">
        <v>3861</v>
      </c>
      <c r="AE22" s="122"/>
      <c r="AF22" s="122"/>
      <c r="AG22" s="253">
        <v>-6.0000000000000001E-3</v>
      </c>
      <c r="AH22" s="194">
        <v>3.0000000000000001E-3</v>
      </c>
      <c r="AI22" s="194">
        <v>-4.8000000000000001E-2</v>
      </c>
      <c r="AJ22" s="194" t="s">
        <v>1156</v>
      </c>
      <c r="AK22" s="122"/>
      <c r="AL22" s="201"/>
      <c r="AM22" s="259">
        <v>0.23699999999999999</v>
      </c>
      <c r="AN22" s="197" t="s">
        <v>1157</v>
      </c>
      <c r="AO22" s="256">
        <v>0.33</v>
      </c>
      <c r="AP22" s="197" t="s">
        <v>1158</v>
      </c>
      <c r="AQ22" s="253">
        <v>0.49299999999999999</v>
      </c>
      <c r="AR22" s="122" t="s">
        <v>1159</v>
      </c>
      <c r="AS22" s="122">
        <v>0.47799999999999998</v>
      </c>
      <c r="AT22" s="122" t="s">
        <v>1160</v>
      </c>
      <c r="AU22" s="122">
        <v>0.53600000000000003</v>
      </c>
      <c r="AV22" s="122" t="s">
        <v>3888</v>
      </c>
      <c r="AW22" s="122"/>
      <c r="AX22" s="122"/>
      <c r="AY22" s="253">
        <v>9.2999999999999999E-2</v>
      </c>
      <c r="AZ22" s="122" t="s">
        <v>1161</v>
      </c>
      <c r="BA22" s="122">
        <v>-1.4999999999999999E-2</v>
      </c>
      <c r="BB22" s="122">
        <v>5.8000000000000003E-2</v>
      </c>
      <c r="BC22" s="122"/>
    </row>
    <row r="23" spans="1:55" ht="20.25" customHeight="1" x14ac:dyDescent="0.25">
      <c r="A23" s="100" t="s">
        <v>1162</v>
      </c>
      <c r="B23" s="100" t="s">
        <v>777</v>
      </c>
      <c r="C23" s="254">
        <v>0.64700000000000002</v>
      </c>
      <c r="D23" s="121" t="s">
        <v>1163</v>
      </c>
      <c r="E23" s="254">
        <v>0.67600000000000005</v>
      </c>
      <c r="F23" s="121" t="s">
        <v>1164</v>
      </c>
      <c r="G23" s="254">
        <v>0.72199999999999998</v>
      </c>
      <c r="H23" s="121" t="s">
        <v>1165</v>
      </c>
      <c r="I23" s="121">
        <v>0.50800000000000001</v>
      </c>
      <c r="J23" s="121" t="s">
        <v>1166</v>
      </c>
      <c r="K23" s="121"/>
      <c r="L23" s="121"/>
      <c r="M23" s="121"/>
      <c r="N23" s="121"/>
      <c r="O23" s="254" t="s">
        <v>1167</v>
      </c>
      <c r="P23" s="195">
        <v>4.5999999999999999E-2</v>
      </c>
      <c r="Q23" s="195" t="s">
        <v>1168</v>
      </c>
      <c r="R23" s="195"/>
      <c r="S23" s="121"/>
      <c r="T23" s="201"/>
      <c r="U23" s="257">
        <v>0.54200000000000004</v>
      </c>
      <c r="V23" s="198" t="s">
        <v>1169</v>
      </c>
      <c r="W23" s="254">
        <v>0.59699999999999998</v>
      </c>
      <c r="X23" s="121" t="s">
        <v>1170</v>
      </c>
      <c r="Y23" s="254">
        <v>0.65400000000000003</v>
      </c>
      <c r="Z23" s="121" t="s">
        <v>1171</v>
      </c>
      <c r="AA23" s="121">
        <v>0.51800000000000002</v>
      </c>
      <c r="AB23" s="121" t="s">
        <v>1172</v>
      </c>
      <c r="AC23" s="121"/>
      <c r="AD23" s="121"/>
      <c r="AE23" s="121"/>
      <c r="AF23" s="121"/>
      <c r="AG23" s="254" t="s">
        <v>1173</v>
      </c>
      <c r="AH23" s="195">
        <v>5.6000000000000001E-2</v>
      </c>
      <c r="AI23" s="195" t="s">
        <v>1174</v>
      </c>
      <c r="AJ23" s="195"/>
      <c r="AK23" s="121"/>
      <c r="AL23" s="201"/>
      <c r="AM23" s="260">
        <v>0.48399999999999999</v>
      </c>
      <c r="AN23" s="198" t="s">
        <v>1175</v>
      </c>
      <c r="AO23" s="257">
        <v>0.67100000000000004</v>
      </c>
      <c r="AP23" s="198" t="s">
        <v>1176</v>
      </c>
      <c r="AQ23" s="254">
        <v>0.63600000000000001</v>
      </c>
      <c r="AR23" s="121" t="s">
        <v>1177</v>
      </c>
      <c r="AS23" s="121">
        <v>0.53600000000000003</v>
      </c>
      <c r="AT23" s="121" t="s">
        <v>1178</v>
      </c>
      <c r="AU23" s="121"/>
      <c r="AV23" s="121"/>
      <c r="AW23" s="121"/>
      <c r="AX23" s="121"/>
      <c r="AY23" s="254" t="s">
        <v>1179</v>
      </c>
      <c r="AZ23" s="121">
        <v>-3.5000000000000003E-2</v>
      </c>
      <c r="BA23" s="121">
        <v>-0.1</v>
      </c>
      <c r="BB23" s="121"/>
      <c r="BC23" s="121"/>
    </row>
    <row r="24" spans="1:55" ht="20.25" customHeight="1" x14ac:dyDescent="0.25">
      <c r="A24" s="99" t="s">
        <v>779</v>
      </c>
      <c r="B24" s="99" t="s">
        <v>780</v>
      </c>
      <c r="C24" s="253">
        <v>0.374</v>
      </c>
      <c r="D24" s="122" t="s">
        <v>1180</v>
      </c>
      <c r="E24" s="253">
        <v>0.57399999999999995</v>
      </c>
      <c r="F24" s="122" t="s">
        <v>1181</v>
      </c>
      <c r="G24" s="253">
        <v>0.47599999999999998</v>
      </c>
      <c r="H24" s="122" t="s">
        <v>1182</v>
      </c>
      <c r="I24" s="122">
        <v>0.63800000000000001</v>
      </c>
      <c r="J24" s="122" t="s">
        <v>1183</v>
      </c>
      <c r="K24" s="122">
        <v>0.56499999999999995</v>
      </c>
      <c r="L24" s="122" t="s">
        <v>3829</v>
      </c>
      <c r="M24" s="122"/>
      <c r="N24" s="122"/>
      <c r="O24" s="253" t="s">
        <v>1184</v>
      </c>
      <c r="P24" s="194" t="s">
        <v>1185</v>
      </c>
      <c r="Q24" s="194" t="s">
        <v>1186</v>
      </c>
      <c r="R24" s="194" t="s">
        <v>3844</v>
      </c>
      <c r="S24" s="122"/>
      <c r="T24" s="201"/>
      <c r="U24" s="256">
        <v>0.63800000000000001</v>
      </c>
      <c r="V24" s="197" t="s">
        <v>1187</v>
      </c>
      <c r="W24" s="253">
        <v>0.61499999999999999</v>
      </c>
      <c r="X24" s="122" t="s">
        <v>1188</v>
      </c>
      <c r="Y24" s="253">
        <v>0.51900000000000002</v>
      </c>
      <c r="Z24" s="122" t="s">
        <v>1189</v>
      </c>
      <c r="AA24" s="122">
        <v>0.64700000000000002</v>
      </c>
      <c r="AB24" s="122" t="s">
        <v>1190</v>
      </c>
      <c r="AC24" s="122">
        <v>0.65700000000000003</v>
      </c>
      <c r="AD24" s="122" t="s">
        <v>1191</v>
      </c>
      <c r="AE24" s="122"/>
      <c r="AF24" s="122"/>
      <c r="AG24" s="253">
        <v>-2.3E-2</v>
      </c>
      <c r="AH24" s="194" t="s">
        <v>1192</v>
      </c>
      <c r="AI24" s="194" t="s">
        <v>1193</v>
      </c>
      <c r="AJ24" s="194">
        <v>0.01</v>
      </c>
      <c r="AK24" s="122"/>
      <c r="AL24" s="201"/>
      <c r="AM24" s="259">
        <v>0.47299999999999998</v>
      </c>
      <c r="AN24" s="197" t="s">
        <v>1194</v>
      </c>
      <c r="AO24" s="256">
        <v>0.63300000000000001</v>
      </c>
      <c r="AP24" s="197" t="s">
        <v>1195</v>
      </c>
      <c r="AQ24" s="253">
        <v>0.435</v>
      </c>
      <c r="AR24" s="122" t="s">
        <v>1196</v>
      </c>
      <c r="AS24" s="122">
        <v>0.57299999999999995</v>
      </c>
      <c r="AT24" s="122" t="s">
        <v>1197</v>
      </c>
      <c r="AU24" s="122">
        <v>0.52200000000000002</v>
      </c>
      <c r="AV24" s="122" t="s">
        <v>3889</v>
      </c>
      <c r="AW24" s="122"/>
      <c r="AX24" s="122"/>
      <c r="AY24" s="253" t="s">
        <v>1198</v>
      </c>
      <c r="AZ24" s="122" t="s">
        <v>1199</v>
      </c>
      <c r="BA24" s="122" t="s">
        <v>1200</v>
      </c>
      <c r="BB24" s="122">
        <v>-5.0999999999999997E-2</v>
      </c>
      <c r="BC24" s="122"/>
    </row>
    <row r="25" spans="1:55" ht="20.25" customHeight="1" x14ac:dyDescent="0.25">
      <c r="A25" s="100" t="s">
        <v>1201</v>
      </c>
      <c r="B25" s="100" t="s">
        <v>766</v>
      </c>
      <c r="C25" s="254">
        <v>0.42099999999999999</v>
      </c>
      <c r="D25" s="121" t="s">
        <v>1202</v>
      </c>
      <c r="E25" s="254">
        <v>0.49</v>
      </c>
      <c r="F25" s="121" t="s">
        <v>1203</v>
      </c>
      <c r="G25" s="254">
        <v>0.41899999999999998</v>
      </c>
      <c r="H25" s="121" t="s">
        <v>1204</v>
      </c>
      <c r="I25" s="121">
        <v>0.39800000000000002</v>
      </c>
      <c r="J25" s="121" t="s">
        <v>1205</v>
      </c>
      <c r="K25" s="121"/>
      <c r="L25" s="121"/>
      <c r="M25" s="121"/>
      <c r="N25" s="121"/>
      <c r="O25" s="254">
        <v>6.9000000000000006E-2</v>
      </c>
      <c r="P25" s="195">
        <v>-7.0999999999999994E-2</v>
      </c>
      <c r="Q25" s="195">
        <v>-2.1000000000000001E-2</v>
      </c>
      <c r="R25" s="195"/>
      <c r="S25" s="121"/>
      <c r="T25" s="201"/>
      <c r="U25" s="257">
        <v>0.53</v>
      </c>
      <c r="V25" s="198" t="s">
        <v>1206</v>
      </c>
      <c r="W25" s="254">
        <v>0.55400000000000005</v>
      </c>
      <c r="X25" s="121" t="s">
        <v>1207</v>
      </c>
      <c r="Y25" s="254">
        <v>0.59099999999999997</v>
      </c>
      <c r="Z25" s="121" t="s">
        <v>1208</v>
      </c>
      <c r="AA25" s="121">
        <v>0.55100000000000005</v>
      </c>
      <c r="AB25" s="121" t="s">
        <v>1209</v>
      </c>
      <c r="AC25" s="121"/>
      <c r="AD25" s="121"/>
      <c r="AE25" s="121"/>
      <c r="AF25" s="121"/>
      <c r="AG25" s="254">
        <v>2.4E-2</v>
      </c>
      <c r="AH25" s="195">
        <v>3.6999999999999998E-2</v>
      </c>
      <c r="AI25" s="195">
        <v>-0.04</v>
      </c>
      <c r="AJ25" s="195"/>
      <c r="AK25" s="121"/>
      <c r="AL25" s="201"/>
      <c r="AM25" s="260">
        <v>0.27500000000000002</v>
      </c>
      <c r="AN25" s="198" t="s">
        <v>1210</v>
      </c>
      <c r="AO25" s="257">
        <v>0.3</v>
      </c>
      <c r="AP25" s="198" t="s">
        <v>1211</v>
      </c>
      <c r="AQ25" s="254">
        <v>0.23100000000000001</v>
      </c>
      <c r="AR25" s="121" t="s">
        <v>1212</v>
      </c>
      <c r="AS25" s="121">
        <v>0.35</v>
      </c>
      <c r="AT25" s="121" t="s">
        <v>1213</v>
      </c>
      <c r="AU25" s="121"/>
      <c r="AV25" s="121"/>
      <c r="AW25" s="121"/>
      <c r="AX25" s="121"/>
      <c r="AY25" s="254">
        <v>2.5000000000000001E-2</v>
      </c>
      <c r="AZ25" s="121">
        <v>-6.9000000000000006E-2</v>
      </c>
      <c r="BA25" s="121" t="s">
        <v>1214</v>
      </c>
      <c r="BB25" s="121"/>
      <c r="BC25" s="121"/>
    </row>
    <row r="26" spans="1:55" ht="20.25" customHeight="1" x14ac:dyDescent="0.25">
      <c r="A26" s="99" t="s">
        <v>781</v>
      </c>
      <c r="B26" s="99" t="s">
        <v>782</v>
      </c>
      <c r="C26" s="253">
        <v>0.378</v>
      </c>
      <c r="D26" s="122" t="s">
        <v>1215</v>
      </c>
      <c r="E26" s="253">
        <v>0.60699999999999998</v>
      </c>
      <c r="F26" s="122" t="s">
        <v>1216</v>
      </c>
      <c r="G26" s="253">
        <v>0.68300000000000005</v>
      </c>
      <c r="H26" s="122" t="s">
        <v>1217</v>
      </c>
      <c r="I26" s="122">
        <v>0.76600000000000001</v>
      </c>
      <c r="J26" s="122" t="s">
        <v>1218</v>
      </c>
      <c r="K26" s="122">
        <v>0.66</v>
      </c>
      <c r="L26" s="122" t="s">
        <v>1219</v>
      </c>
      <c r="M26" s="122"/>
      <c r="N26" s="122"/>
      <c r="O26" s="253">
        <v>0.22900000000000001</v>
      </c>
      <c r="P26" s="194">
        <v>7.5999999999999998E-2</v>
      </c>
      <c r="Q26" s="194">
        <v>8.3000000000000004E-2</v>
      </c>
      <c r="R26" s="194" t="s">
        <v>1220</v>
      </c>
      <c r="S26" s="122"/>
      <c r="T26" s="201"/>
      <c r="U26" s="256">
        <v>0.57799999999999996</v>
      </c>
      <c r="V26" s="197" t="s">
        <v>1221</v>
      </c>
      <c r="W26" s="253">
        <v>0.60799999999999998</v>
      </c>
      <c r="X26" s="122" t="s">
        <v>1222</v>
      </c>
      <c r="Y26" s="253">
        <v>0.63900000000000001</v>
      </c>
      <c r="Z26" s="122" t="s">
        <v>1223</v>
      </c>
      <c r="AA26" s="122">
        <v>0.51700000000000002</v>
      </c>
      <c r="AB26" s="122" t="s">
        <v>1224</v>
      </c>
      <c r="AC26" s="122">
        <v>0.59199999999999997</v>
      </c>
      <c r="AD26" s="122" t="s">
        <v>3862</v>
      </c>
      <c r="AE26" s="122"/>
      <c r="AF26" s="122"/>
      <c r="AG26" s="253">
        <v>2.9000000000000001E-2</v>
      </c>
      <c r="AH26" s="194">
        <v>3.2000000000000001E-2</v>
      </c>
      <c r="AI26" s="194" t="s">
        <v>1225</v>
      </c>
      <c r="AJ26" s="194">
        <v>7.5999999999999998E-2</v>
      </c>
      <c r="AK26" s="122"/>
      <c r="AL26" s="201"/>
      <c r="AM26" s="259">
        <v>0.22600000000000001</v>
      </c>
      <c r="AN26" s="197" t="s">
        <v>1226</v>
      </c>
      <c r="AO26" s="256">
        <v>0.56599999999999995</v>
      </c>
      <c r="AP26" s="197" t="s">
        <v>1227</v>
      </c>
      <c r="AQ26" s="253">
        <v>0.55900000000000005</v>
      </c>
      <c r="AR26" s="122" t="s">
        <v>1228</v>
      </c>
      <c r="AS26" s="122">
        <v>0.60499999999999998</v>
      </c>
      <c r="AT26" s="122" t="s">
        <v>1229</v>
      </c>
      <c r="AU26" s="122">
        <v>0.621</v>
      </c>
      <c r="AV26" s="122" t="s">
        <v>3890</v>
      </c>
      <c r="AW26" s="122"/>
      <c r="AX26" s="122"/>
      <c r="AY26" s="253">
        <v>0.34</v>
      </c>
      <c r="AZ26" s="122">
        <v>-7.0000000000000001E-3</v>
      </c>
      <c r="BA26" s="122">
        <v>4.4999999999999998E-2</v>
      </c>
      <c r="BB26" s="122">
        <v>1.7000000000000001E-2</v>
      </c>
      <c r="BC26" s="122"/>
    </row>
    <row r="27" spans="1:55" ht="20.25" customHeight="1" x14ac:dyDescent="0.25">
      <c r="A27" s="100" t="s">
        <v>783</v>
      </c>
      <c r="B27" s="100" t="s">
        <v>772</v>
      </c>
      <c r="C27" s="254">
        <v>0.54300000000000004</v>
      </c>
      <c r="D27" s="121" t="s">
        <v>1230</v>
      </c>
      <c r="E27" s="254">
        <v>0.28299999999999997</v>
      </c>
      <c r="F27" s="121" t="s">
        <v>1231</v>
      </c>
      <c r="G27" s="254">
        <v>0.45100000000000001</v>
      </c>
      <c r="H27" s="121" t="s">
        <v>1232</v>
      </c>
      <c r="I27" s="121">
        <v>0.74399999999999999</v>
      </c>
      <c r="J27" s="121" t="s">
        <v>1233</v>
      </c>
      <c r="K27" s="121">
        <v>0.63900000000000001</v>
      </c>
      <c r="L27" s="121" t="s">
        <v>1234</v>
      </c>
      <c r="M27" s="121"/>
      <c r="N27" s="121"/>
      <c r="O27" s="254" t="s">
        <v>1235</v>
      </c>
      <c r="P27" s="195" t="s">
        <v>1236</v>
      </c>
      <c r="Q27" s="195" t="s">
        <v>1237</v>
      </c>
      <c r="R27" s="195">
        <v>-0.105</v>
      </c>
      <c r="S27" s="121"/>
      <c r="T27" s="201"/>
      <c r="U27" s="257">
        <v>0.65900000000000003</v>
      </c>
      <c r="V27" s="198" t="s">
        <v>1238</v>
      </c>
      <c r="W27" s="254">
        <v>0.32800000000000001</v>
      </c>
      <c r="X27" s="121" t="s">
        <v>1239</v>
      </c>
      <c r="Y27" s="254">
        <v>0.57999999999999996</v>
      </c>
      <c r="Z27" s="121" t="s">
        <v>1240</v>
      </c>
      <c r="AA27" s="121">
        <v>0.63200000000000001</v>
      </c>
      <c r="AB27" s="121" t="s">
        <v>1241</v>
      </c>
      <c r="AC27" s="121">
        <v>0.623</v>
      </c>
      <c r="AD27" s="121" t="s">
        <v>3863</v>
      </c>
      <c r="AE27" s="121"/>
      <c r="AF27" s="121"/>
      <c r="AG27" s="254">
        <v>-0.33100000000000002</v>
      </c>
      <c r="AH27" s="195" t="s">
        <v>1242</v>
      </c>
      <c r="AI27" s="195">
        <v>5.1999999999999998E-2</v>
      </c>
      <c r="AJ27" s="195">
        <v>-8.9999999999999993E-3</v>
      </c>
      <c r="AK27" s="121"/>
      <c r="AL27" s="201"/>
      <c r="AM27" s="260">
        <v>0.30599999999999999</v>
      </c>
      <c r="AN27" s="198" t="s">
        <v>1243</v>
      </c>
      <c r="AO27" s="257">
        <v>0.23899999999999999</v>
      </c>
      <c r="AP27" s="198" t="s">
        <v>1244</v>
      </c>
      <c r="AQ27" s="254">
        <v>0.39900000000000002</v>
      </c>
      <c r="AR27" s="121" t="s">
        <v>1245</v>
      </c>
      <c r="AS27" s="121">
        <v>0.46899999999999997</v>
      </c>
      <c r="AT27" s="121" t="s">
        <v>1246</v>
      </c>
      <c r="AU27" s="121">
        <v>0.54200000000000004</v>
      </c>
      <c r="AV27" s="121" t="s">
        <v>3891</v>
      </c>
      <c r="AW27" s="121"/>
      <c r="AX27" s="121"/>
      <c r="AY27" s="254" t="s">
        <v>1247</v>
      </c>
      <c r="AZ27" s="121" t="s">
        <v>1248</v>
      </c>
      <c r="BA27" s="121">
        <v>7.0000000000000007E-2</v>
      </c>
      <c r="BB27" s="121">
        <v>7.3999999999999996E-2</v>
      </c>
      <c r="BC27" s="121"/>
    </row>
    <row r="28" spans="1:55" ht="20.25" customHeight="1" x14ac:dyDescent="0.25">
      <c r="A28" s="99" t="s">
        <v>784</v>
      </c>
      <c r="B28" s="99" t="s">
        <v>768</v>
      </c>
      <c r="C28" s="253">
        <v>0.38100000000000001</v>
      </c>
      <c r="D28" s="122" t="s">
        <v>1249</v>
      </c>
      <c r="E28" s="253">
        <v>0.48</v>
      </c>
      <c r="F28" s="122" t="s">
        <v>1250</v>
      </c>
      <c r="G28" s="253">
        <v>0.51400000000000001</v>
      </c>
      <c r="H28" s="122" t="s">
        <v>1251</v>
      </c>
      <c r="I28" s="122">
        <v>0.35899999999999999</v>
      </c>
      <c r="J28" s="122" t="s">
        <v>1252</v>
      </c>
      <c r="K28" s="122">
        <v>0.39200000000000002</v>
      </c>
      <c r="L28" s="122" t="s">
        <v>3830</v>
      </c>
      <c r="M28" s="122"/>
      <c r="N28" s="122"/>
      <c r="O28" s="253">
        <v>9.9000000000000005E-2</v>
      </c>
      <c r="P28" s="194">
        <v>3.3000000000000002E-2</v>
      </c>
      <c r="Q28" s="194" t="s">
        <v>1253</v>
      </c>
      <c r="R28" s="194">
        <v>3.3000000000000002E-2</v>
      </c>
      <c r="S28" s="122"/>
      <c r="T28" s="201"/>
      <c r="U28" s="256">
        <v>0.72299999999999998</v>
      </c>
      <c r="V28" s="197" t="s">
        <v>1254</v>
      </c>
      <c r="W28" s="253">
        <v>0.61599999999999999</v>
      </c>
      <c r="X28" s="122" t="s">
        <v>1255</v>
      </c>
      <c r="Y28" s="253">
        <v>0.61699999999999999</v>
      </c>
      <c r="Z28" s="122" t="s">
        <v>1256</v>
      </c>
      <c r="AA28" s="122">
        <v>0.433</v>
      </c>
      <c r="AB28" s="122" t="s">
        <v>1257</v>
      </c>
      <c r="AC28" s="122">
        <v>0.46400000000000002</v>
      </c>
      <c r="AD28" s="122" t="s">
        <v>3864</v>
      </c>
      <c r="AE28" s="122"/>
      <c r="AF28" s="122"/>
      <c r="AG28" s="253" t="s">
        <v>1258</v>
      </c>
      <c r="AH28" s="194">
        <v>1E-3</v>
      </c>
      <c r="AI28" s="194" t="s">
        <v>1259</v>
      </c>
      <c r="AJ28" s="194">
        <v>3.1E-2</v>
      </c>
      <c r="AK28" s="122"/>
      <c r="AL28" s="201"/>
      <c r="AM28" s="259">
        <v>0.251</v>
      </c>
      <c r="AN28" s="197" t="s">
        <v>1260</v>
      </c>
      <c r="AO28" s="256">
        <v>0.371</v>
      </c>
      <c r="AP28" s="197" t="s">
        <v>1261</v>
      </c>
      <c r="AQ28" s="253">
        <v>0.371</v>
      </c>
      <c r="AR28" s="122" t="s">
        <v>1262</v>
      </c>
      <c r="AS28" s="122">
        <v>0.39800000000000002</v>
      </c>
      <c r="AT28" s="122" t="s">
        <v>1263</v>
      </c>
      <c r="AU28" s="122">
        <v>0.34300000000000003</v>
      </c>
      <c r="AV28" s="122" t="s">
        <v>3892</v>
      </c>
      <c r="AW28" s="122"/>
      <c r="AX28" s="122"/>
      <c r="AY28" s="253">
        <v>0.11899999999999999</v>
      </c>
      <c r="AZ28" s="122">
        <v>0</v>
      </c>
      <c r="BA28" s="122">
        <v>2.7E-2</v>
      </c>
      <c r="BB28" s="122">
        <v>-5.5E-2</v>
      </c>
      <c r="BC28" s="122"/>
    </row>
    <row r="29" spans="1:55" ht="20.25" customHeight="1" x14ac:dyDescent="0.25">
      <c r="A29" s="100" t="s">
        <v>785</v>
      </c>
      <c r="B29" s="100" t="s">
        <v>772</v>
      </c>
      <c r="C29" s="254">
        <v>0.35699999999999998</v>
      </c>
      <c r="D29" s="121" t="s">
        <v>1264</v>
      </c>
      <c r="E29" s="254">
        <v>0.35299999999999998</v>
      </c>
      <c r="F29" s="121" t="s">
        <v>1265</v>
      </c>
      <c r="G29" s="254">
        <v>0.34699999999999998</v>
      </c>
      <c r="H29" s="121" t="s">
        <v>1266</v>
      </c>
      <c r="I29" s="121">
        <v>0.38500000000000001</v>
      </c>
      <c r="J29" s="121" t="s">
        <v>1267</v>
      </c>
      <c r="K29" s="121">
        <v>0.39300000000000002</v>
      </c>
      <c r="L29" s="121" t="s">
        <v>3831</v>
      </c>
      <c r="M29" s="121"/>
      <c r="N29" s="121"/>
      <c r="O29" s="254">
        <v>-4.0000000000000001E-3</v>
      </c>
      <c r="P29" s="195">
        <v>-6.0000000000000001E-3</v>
      </c>
      <c r="Q29" s="195">
        <v>3.7999999999999999E-2</v>
      </c>
      <c r="R29" s="195">
        <v>8.0000000000000002E-3</v>
      </c>
      <c r="S29" s="121"/>
      <c r="T29" s="201"/>
      <c r="U29" s="257">
        <v>0.69</v>
      </c>
      <c r="V29" s="198" t="s">
        <v>1268</v>
      </c>
      <c r="W29" s="254">
        <v>0.53</v>
      </c>
      <c r="X29" s="121" t="s">
        <v>1269</v>
      </c>
      <c r="Y29" s="254">
        <v>0.54100000000000004</v>
      </c>
      <c r="Z29" s="121" t="s">
        <v>1270</v>
      </c>
      <c r="AA29" s="121">
        <v>0.59199999999999997</v>
      </c>
      <c r="AB29" s="121" t="s">
        <v>1271</v>
      </c>
      <c r="AC29" s="121">
        <v>0.50800000000000001</v>
      </c>
      <c r="AD29" s="121" t="s">
        <v>3865</v>
      </c>
      <c r="AE29" s="121"/>
      <c r="AF29" s="121"/>
      <c r="AG29" s="254" t="s">
        <v>1272</v>
      </c>
      <c r="AH29" s="195">
        <v>1.2E-2</v>
      </c>
      <c r="AI29" s="195">
        <v>5.0999999999999997E-2</v>
      </c>
      <c r="AJ29" s="195">
        <v>-8.4000000000000005E-2</v>
      </c>
      <c r="AK29" s="121"/>
      <c r="AL29" s="201"/>
      <c r="AM29" s="260">
        <v>0.25600000000000001</v>
      </c>
      <c r="AN29" s="198" t="s">
        <v>1273</v>
      </c>
      <c r="AO29" s="257">
        <v>0.40300000000000002</v>
      </c>
      <c r="AP29" s="198" t="s">
        <v>1274</v>
      </c>
      <c r="AQ29" s="254">
        <v>0.48399999999999999</v>
      </c>
      <c r="AR29" s="121" t="s">
        <v>1275</v>
      </c>
      <c r="AS29" s="121">
        <v>0.51400000000000001</v>
      </c>
      <c r="AT29" s="121" t="s">
        <v>1276</v>
      </c>
      <c r="AU29" s="121">
        <v>0.41899999999999998</v>
      </c>
      <c r="AV29" s="121" t="s">
        <v>3893</v>
      </c>
      <c r="AW29" s="121"/>
      <c r="AX29" s="121"/>
      <c r="AY29" s="254">
        <v>0.14699999999999999</v>
      </c>
      <c r="AZ29" s="121">
        <v>8.1000000000000003E-2</v>
      </c>
      <c r="BA29" s="121">
        <v>0.03</v>
      </c>
      <c r="BB29" s="121" t="s">
        <v>1277</v>
      </c>
      <c r="BC29" s="121"/>
    </row>
    <row r="30" spans="1:55" ht="20.25" customHeight="1" x14ac:dyDescent="0.25">
      <c r="A30" s="99" t="s">
        <v>786</v>
      </c>
      <c r="B30" s="99" t="s">
        <v>787</v>
      </c>
      <c r="C30" s="253">
        <v>0.36599999999999999</v>
      </c>
      <c r="D30" s="122" t="s">
        <v>1278</v>
      </c>
      <c r="E30" s="253">
        <v>0.38800000000000001</v>
      </c>
      <c r="F30" s="122" t="s">
        <v>1279</v>
      </c>
      <c r="G30" s="253">
        <v>0.30099999999999999</v>
      </c>
      <c r="H30" s="122" t="s">
        <v>1280</v>
      </c>
      <c r="I30" s="122">
        <v>0.41799999999999998</v>
      </c>
      <c r="J30" s="122" t="s">
        <v>1281</v>
      </c>
      <c r="K30" s="122">
        <v>0.48899999999999999</v>
      </c>
      <c r="L30" s="122" t="s">
        <v>3832</v>
      </c>
      <c r="M30" s="122"/>
      <c r="N30" s="122"/>
      <c r="O30" s="253">
        <v>2.1999999999999999E-2</v>
      </c>
      <c r="P30" s="194" t="s">
        <v>1282</v>
      </c>
      <c r="Q30" s="194" t="s">
        <v>1283</v>
      </c>
      <c r="R30" s="194" t="s">
        <v>3845</v>
      </c>
      <c r="S30" s="122"/>
      <c r="T30" s="201"/>
      <c r="U30" s="256">
        <v>0.68600000000000005</v>
      </c>
      <c r="V30" s="197" t="s">
        <v>1284</v>
      </c>
      <c r="W30" s="253">
        <v>0.623</v>
      </c>
      <c r="X30" s="122" t="s">
        <v>1285</v>
      </c>
      <c r="Y30" s="253">
        <v>0.56399999999999995</v>
      </c>
      <c r="Z30" s="122" t="s">
        <v>1286</v>
      </c>
      <c r="AA30" s="122">
        <v>0.56200000000000006</v>
      </c>
      <c r="AB30" s="122" t="s">
        <v>1287</v>
      </c>
      <c r="AC30" s="122">
        <v>0.59399999999999997</v>
      </c>
      <c r="AD30" s="122" t="s">
        <v>3866</v>
      </c>
      <c r="AE30" s="122"/>
      <c r="AF30" s="122"/>
      <c r="AG30" s="253">
        <v>-6.3E-2</v>
      </c>
      <c r="AH30" s="194">
        <v>-5.8000000000000003E-2</v>
      </c>
      <c r="AI30" s="194">
        <v>-3.0000000000000001E-3</v>
      </c>
      <c r="AJ30" s="194">
        <v>3.3000000000000002E-2</v>
      </c>
      <c r="AK30" s="122"/>
      <c r="AL30" s="201"/>
      <c r="AM30" s="259">
        <v>0.28599999999999998</v>
      </c>
      <c r="AN30" s="197" t="s">
        <v>1288</v>
      </c>
      <c r="AO30" s="256">
        <v>0.38400000000000001</v>
      </c>
      <c r="AP30" s="197" t="s">
        <v>1289</v>
      </c>
      <c r="AQ30" s="253">
        <v>0.32600000000000001</v>
      </c>
      <c r="AR30" s="122" t="s">
        <v>1290</v>
      </c>
      <c r="AS30" s="122">
        <v>0.38</v>
      </c>
      <c r="AT30" s="122" t="s">
        <v>1291</v>
      </c>
      <c r="AU30" s="122">
        <v>0.49399999999999999</v>
      </c>
      <c r="AV30" s="122" t="s">
        <v>3894</v>
      </c>
      <c r="AW30" s="122"/>
      <c r="AX30" s="122"/>
      <c r="AY30" s="253" t="s">
        <v>1292</v>
      </c>
      <c r="AZ30" s="122">
        <v>-5.8000000000000003E-2</v>
      </c>
      <c r="BA30" s="122">
        <v>5.2999999999999999E-2</v>
      </c>
      <c r="BB30" s="122" t="s">
        <v>1293</v>
      </c>
      <c r="BC30" s="122"/>
    </row>
    <row r="31" spans="1:55" ht="20.25" customHeight="1" x14ac:dyDescent="0.25">
      <c r="A31" s="100" t="s">
        <v>788</v>
      </c>
      <c r="B31" s="100" t="s">
        <v>766</v>
      </c>
      <c r="C31" s="254">
        <v>0.315</v>
      </c>
      <c r="D31" s="121" t="s">
        <v>1294</v>
      </c>
      <c r="E31" s="254">
        <v>0.27500000000000002</v>
      </c>
      <c r="F31" s="121" t="s">
        <v>1295</v>
      </c>
      <c r="G31" s="254">
        <v>0.44500000000000001</v>
      </c>
      <c r="H31" s="121" t="s">
        <v>1296</v>
      </c>
      <c r="I31" s="121">
        <v>0.39800000000000002</v>
      </c>
      <c r="J31" s="121" t="s">
        <v>1297</v>
      </c>
      <c r="K31" s="121">
        <v>0.41099999999999998</v>
      </c>
      <c r="L31" s="121" t="s">
        <v>3833</v>
      </c>
      <c r="M31" s="121"/>
      <c r="N31" s="121"/>
      <c r="O31" s="254" t="s">
        <v>1298</v>
      </c>
      <c r="P31" s="195" t="s">
        <v>1299</v>
      </c>
      <c r="Q31" s="195">
        <v>-4.7E-2</v>
      </c>
      <c r="R31" s="195">
        <v>1.2E-2</v>
      </c>
      <c r="S31" s="121"/>
      <c r="T31" s="201"/>
      <c r="U31" s="257">
        <v>0.58199999999999996</v>
      </c>
      <c r="V31" s="198" t="s">
        <v>1300</v>
      </c>
      <c r="W31" s="254">
        <v>0.52800000000000002</v>
      </c>
      <c r="X31" s="121" t="s">
        <v>1301</v>
      </c>
      <c r="Y31" s="254">
        <v>0.52900000000000003</v>
      </c>
      <c r="Z31" s="121" t="s">
        <v>1302</v>
      </c>
      <c r="AA31" s="121">
        <v>0.59</v>
      </c>
      <c r="AB31" s="121" t="s">
        <v>1303</v>
      </c>
      <c r="AC31" s="121">
        <v>0.53600000000000003</v>
      </c>
      <c r="AD31" s="121" t="s">
        <v>3867</v>
      </c>
      <c r="AE31" s="121"/>
      <c r="AF31" s="121"/>
      <c r="AG31" s="254">
        <v>-5.3999999999999999E-2</v>
      </c>
      <c r="AH31" s="195">
        <v>1E-3</v>
      </c>
      <c r="AI31" s="195">
        <v>6.0999999999999999E-2</v>
      </c>
      <c r="AJ31" s="195">
        <v>-5.3999999999999999E-2</v>
      </c>
      <c r="AK31" s="121"/>
      <c r="AL31" s="201"/>
      <c r="AM31" s="260">
        <v>0.217</v>
      </c>
      <c r="AN31" s="198" t="s">
        <v>1304</v>
      </c>
      <c r="AO31" s="257">
        <v>0.25700000000000001</v>
      </c>
      <c r="AP31" s="198" t="s">
        <v>1305</v>
      </c>
      <c r="AQ31" s="254">
        <v>0.51100000000000001</v>
      </c>
      <c r="AR31" s="121" t="s">
        <v>1306</v>
      </c>
      <c r="AS31" s="121">
        <v>0.33800000000000002</v>
      </c>
      <c r="AT31" s="121" t="s">
        <v>1307</v>
      </c>
      <c r="AU31" s="121">
        <v>0.33200000000000002</v>
      </c>
      <c r="AV31" s="121" t="s">
        <v>3895</v>
      </c>
      <c r="AW31" s="121"/>
      <c r="AX31" s="121"/>
      <c r="AY31" s="254">
        <v>0.04</v>
      </c>
      <c r="AZ31" s="121" t="s">
        <v>1308</v>
      </c>
      <c r="BA31" s="121" t="s">
        <v>1309</v>
      </c>
      <c r="BB31" s="121">
        <v>-6.0000000000000001E-3</v>
      </c>
      <c r="BC31" s="121"/>
    </row>
    <row r="32" spans="1:55" ht="20.25" customHeight="1" x14ac:dyDescent="0.25">
      <c r="A32" s="99" t="s">
        <v>789</v>
      </c>
      <c r="B32" s="99" t="s">
        <v>790</v>
      </c>
      <c r="C32" s="253">
        <v>0.55700000000000005</v>
      </c>
      <c r="D32" s="122" t="s">
        <v>1310</v>
      </c>
      <c r="E32" s="253">
        <v>0.48</v>
      </c>
      <c r="F32" s="122" t="s">
        <v>1311</v>
      </c>
      <c r="G32" s="253">
        <v>0.56200000000000006</v>
      </c>
      <c r="H32" s="122" t="s">
        <v>1312</v>
      </c>
      <c r="I32" s="122">
        <v>0.57299999999999995</v>
      </c>
      <c r="J32" s="122" t="s">
        <v>1313</v>
      </c>
      <c r="K32" s="122">
        <v>0.58699999999999997</v>
      </c>
      <c r="L32" s="122" t="s">
        <v>3834</v>
      </c>
      <c r="M32" s="122"/>
      <c r="N32" s="122"/>
      <c r="O32" s="253" t="s">
        <v>1314</v>
      </c>
      <c r="P32" s="194" t="s">
        <v>1315</v>
      </c>
      <c r="Q32" s="194">
        <v>1.0999999999999999E-2</v>
      </c>
      <c r="R32" s="194">
        <v>1.4E-2</v>
      </c>
      <c r="S32" s="122"/>
      <c r="T32" s="201"/>
      <c r="U32" s="256">
        <v>0.64</v>
      </c>
      <c r="V32" s="197" t="s">
        <v>1316</v>
      </c>
      <c r="W32" s="253">
        <v>0.58899999999999997</v>
      </c>
      <c r="X32" s="122" t="s">
        <v>1317</v>
      </c>
      <c r="Y32" s="253">
        <v>0.55200000000000005</v>
      </c>
      <c r="Z32" s="122" t="s">
        <v>1318</v>
      </c>
      <c r="AA32" s="122">
        <v>0.54</v>
      </c>
      <c r="AB32" s="122" t="s">
        <v>1319</v>
      </c>
      <c r="AC32" s="122">
        <v>0.60899999999999999</v>
      </c>
      <c r="AD32" s="122" t="s">
        <v>3868</v>
      </c>
      <c r="AE32" s="122"/>
      <c r="AF32" s="122"/>
      <c r="AG32" s="253">
        <v>-5.0999999999999997E-2</v>
      </c>
      <c r="AH32" s="194">
        <v>-3.6999999999999998E-2</v>
      </c>
      <c r="AI32" s="194">
        <v>-1.2E-2</v>
      </c>
      <c r="AJ32" s="194" t="s">
        <v>3874</v>
      </c>
      <c r="AK32" s="122"/>
      <c r="AL32" s="201"/>
      <c r="AM32" s="259">
        <v>0.32900000000000001</v>
      </c>
      <c r="AN32" s="197" t="s">
        <v>1320</v>
      </c>
      <c r="AO32" s="256">
        <v>0.371</v>
      </c>
      <c r="AP32" s="197" t="s">
        <v>1321</v>
      </c>
      <c r="AQ32" s="253">
        <v>0.38100000000000001</v>
      </c>
      <c r="AR32" s="122" t="s">
        <v>1322</v>
      </c>
      <c r="AS32" s="122">
        <v>0.52200000000000002</v>
      </c>
      <c r="AT32" s="122" t="s">
        <v>1323</v>
      </c>
      <c r="AU32" s="122">
        <v>0.48099999999999998</v>
      </c>
      <c r="AV32" s="122" t="s">
        <v>3896</v>
      </c>
      <c r="AW32" s="122"/>
      <c r="AX32" s="122"/>
      <c r="AY32" s="253">
        <v>4.2000000000000003E-2</v>
      </c>
      <c r="AZ32" s="122">
        <v>0.01</v>
      </c>
      <c r="BA32" s="122" t="s">
        <v>1324</v>
      </c>
      <c r="BB32" s="122">
        <v>-4.2000000000000003E-2</v>
      </c>
      <c r="BC32" s="122"/>
    </row>
    <row r="33" spans="1:55" ht="19.5" customHeight="1" x14ac:dyDescent="0.25">
      <c r="A33" s="100" t="s">
        <v>791</v>
      </c>
      <c r="B33" s="100" t="s">
        <v>790</v>
      </c>
      <c r="C33" s="254">
        <v>0.34799999999999998</v>
      </c>
      <c r="D33" s="121" t="s">
        <v>1325</v>
      </c>
      <c r="E33" s="254">
        <v>0.434</v>
      </c>
      <c r="F33" s="121" t="s">
        <v>1326</v>
      </c>
      <c r="G33" s="254">
        <v>0.44400000000000001</v>
      </c>
      <c r="H33" s="121" t="s">
        <v>1327</v>
      </c>
      <c r="I33" s="121">
        <v>0.42399999999999999</v>
      </c>
      <c r="J33" s="121" t="s">
        <v>1328</v>
      </c>
      <c r="K33" s="121">
        <v>0.54600000000000004</v>
      </c>
      <c r="L33" s="121" t="s">
        <v>3835</v>
      </c>
      <c r="M33" s="121"/>
      <c r="N33" s="121"/>
      <c r="O33" s="254">
        <v>8.6999999999999994E-2</v>
      </c>
      <c r="P33" s="195">
        <v>8.9999999999999993E-3</v>
      </c>
      <c r="Q33" s="195">
        <v>-1.9E-2</v>
      </c>
      <c r="R33" s="195" t="s">
        <v>3846</v>
      </c>
      <c r="S33" s="121"/>
      <c r="T33" s="201"/>
      <c r="U33" s="257">
        <v>0.57899999999999996</v>
      </c>
      <c r="V33" s="198" t="s">
        <v>1329</v>
      </c>
      <c r="W33" s="254">
        <v>0.53500000000000003</v>
      </c>
      <c r="X33" s="121" t="s">
        <v>1330</v>
      </c>
      <c r="Y33" s="254">
        <v>0.56599999999999995</v>
      </c>
      <c r="Z33" s="121" t="s">
        <v>1331</v>
      </c>
      <c r="AA33" s="121">
        <v>0.504</v>
      </c>
      <c r="AB33" s="121" t="s">
        <v>1332</v>
      </c>
      <c r="AC33" s="121">
        <v>0.60199999999999998</v>
      </c>
      <c r="AD33" s="121" t="s">
        <v>3869</v>
      </c>
      <c r="AE33" s="121"/>
      <c r="AF33" s="121"/>
      <c r="AG33" s="254">
        <v>-4.3999999999999997E-2</v>
      </c>
      <c r="AH33" s="195">
        <v>3.1E-2</v>
      </c>
      <c r="AI33" s="195" t="s">
        <v>1333</v>
      </c>
      <c r="AJ33" s="195" t="s">
        <v>1334</v>
      </c>
      <c r="AK33" s="121"/>
      <c r="AL33" s="201"/>
      <c r="AM33" s="260">
        <v>0.17399999999999999</v>
      </c>
      <c r="AN33" s="198" t="s">
        <v>1335</v>
      </c>
      <c r="AO33" s="257">
        <v>0.37</v>
      </c>
      <c r="AP33" s="198" t="s">
        <v>1336</v>
      </c>
      <c r="AQ33" s="254">
        <v>0.34499999999999997</v>
      </c>
      <c r="AR33" s="121" t="s">
        <v>1337</v>
      </c>
      <c r="AS33" s="121">
        <v>0.25700000000000001</v>
      </c>
      <c r="AT33" s="121" t="s">
        <v>1338</v>
      </c>
      <c r="AU33" s="121">
        <v>0.33900000000000002</v>
      </c>
      <c r="AV33" s="121" t="s">
        <v>3897</v>
      </c>
      <c r="AW33" s="121"/>
      <c r="AX33" s="121"/>
      <c r="AY33" s="254">
        <v>0.19600000000000001</v>
      </c>
      <c r="AZ33" s="121">
        <v>-2.5000000000000001E-2</v>
      </c>
      <c r="BA33" s="121" t="s">
        <v>1339</v>
      </c>
      <c r="BB33" s="121">
        <v>8.2000000000000003E-2</v>
      </c>
      <c r="BC33" s="121"/>
    </row>
    <row r="34" spans="1:55" ht="20.25" customHeight="1" x14ac:dyDescent="0.25">
      <c r="A34" s="102" t="s">
        <v>792</v>
      </c>
      <c r="B34" s="99" t="s">
        <v>758</v>
      </c>
      <c r="C34" s="255">
        <v>0.375</v>
      </c>
      <c r="D34" s="123" t="s">
        <v>1340</v>
      </c>
      <c r="E34" s="255">
        <v>0.52800000000000002</v>
      </c>
      <c r="F34" s="123" t="s">
        <v>1341</v>
      </c>
      <c r="G34" s="255">
        <v>0.52200000000000002</v>
      </c>
      <c r="H34" s="123" t="s">
        <v>1342</v>
      </c>
      <c r="I34" s="123">
        <v>0.58699999999999997</v>
      </c>
      <c r="J34" s="123" t="s">
        <v>1343</v>
      </c>
      <c r="K34" s="123">
        <v>0.58199999999999996</v>
      </c>
      <c r="L34" s="123" t="s">
        <v>3836</v>
      </c>
      <c r="M34" s="123"/>
      <c r="N34" s="123"/>
      <c r="O34" s="255" t="s">
        <v>1344</v>
      </c>
      <c r="P34" s="196">
        <v>-7.0000000000000001E-3</v>
      </c>
      <c r="Q34" s="196">
        <v>6.5000000000000002E-2</v>
      </c>
      <c r="R34" s="196">
        <v>-5.0000000000000001E-3</v>
      </c>
      <c r="S34" s="123"/>
      <c r="T34" s="201"/>
      <c r="U34" s="258">
        <v>0.47899999999999998</v>
      </c>
      <c r="V34" s="199" t="s">
        <v>1345</v>
      </c>
      <c r="W34" s="255">
        <v>0.55000000000000004</v>
      </c>
      <c r="X34" s="123" t="s">
        <v>1346</v>
      </c>
      <c r="Y34" s="255">
        <v>0.57899999999999996</v>
      </c>
      <c r="Z34" s="123" t="s">
        <v>1347</v>
      </c>
      <c r="AA34" s="123">
        <v>0.58799999999999997</v>
      </c>
      <c r="AB34" s="123" t="s">
        <v>1348</v>
      </c>
      <c r="AC34" s="123">
        <v>0.64800000000000002</v>
      </c>
      <c r="AD34" s="123" t="s">
        <v>3870</v>
      </c>
      <c r="AE34" s="123"/>
      <c r="AF34" s="123"/>
      <c r="AG34" s="255">
        <v>7.0999999999999994E-2</v>
      </c>
      <c r="AH34" s="196">
        <v>2.9000000000000001E-2</v>
      </c>
      <c r="AI34" s="196">
        <v>8.9999999999999993E-3</v>
      </c>
      <c r="AJ34" s="196">
        <v>0.06</v>
      </c>
      <c r="AK34" s="123"/>
      <c r="AL34" s="201"/>
      <c r="AM34" s="261">
        <v>0.317</v>
      </c>
      <c r="AN34" s="199" t="s">
        <v>1349</v>
      </c>
      <c r="AO34" s="258">
        <v>0.56599999999999995</v>
      </c>
      <c r="AP34" s="199" t="s">
        <v>1350</v>
      </c>
      <c r="AQ34" s="255">
        <v>0.58499999999999996</v>
      </c>
      <c r="AR34" s="123" t="s">
        <v>1351</v>
      </c>
      <c r="AS34" s="123">
        <v>0.66300000000000003</v>
      </c>
      <c r="AT34" s="123" t="s">
        <v>1352</v>
      </c>
      <c r="AU34" s="123">
        <v>0.67300000000000004</v>
      </c>
      <c r="AV34" s="123" t="s">
        <v>3898</v>
      </c>
      <c r="AW34" s="123"/>
      <c r="AX34" s="123"/>
      <c r="AY34" s="255" t="s">
        <v>1353</v>
      </c>
      <c r="AZ34" s="123">
        <v>1.9E-2</v>
      </c>
      <c r="BA34" s="123">
        <v>7.6999999999999999E-2</v>
      </c>
      <c r="BB34" s="123">
        <v>0.01</v>
      </c>
      <c r="BC34" s="123"/>
    </row>
    <row r="35" spans="1:55" ht="19.5" customHeight="1" x14ac:dyDescent="0.25">
      <c r="A35" s="100" t="s">
        <v>793</v>
      </c>
      <c r="B35" s="100" t="s">
        <v>794</v>
      </c>
      <c r="C35" s="254">
        <v>0.30299999999999999</v>
      </c>
      <c r="D35" s="121" t="s">
        <v>1354</v>
      </c>
      <c r="E35" s="254">
        <v>0.39200000000000002</v>
      </c>
      <c r="F35" s="121" t="s">
        <v>1355</v>
      </c>
      <c r="G35" s="254">
        <v>0.32100000000000001</v>
      </c>
      <c r="H35" s="121" t="s">
        <v>1356</v>
      </c>
      <c r="I35" s="121">
        <v>0.61699999999999999</v>
      </c>
      <c r="J35" s="121" t="s">
        <v>1357</v>
      </c>
      <c r="K35" s="121">
        <v>0.58399999999999996</v>
      </c>
      <c r="L35" s="121" t="s">
        <v>3837</v>
      </c>
      <c r="M35" s="121"/>
      <c r="N35" s="121"/>
      <c r="O35" s="254" t="s">
        <v>1358</v>
      </c>
      <c r="P35" s="195">
        <v>-7.0999999999999994E-2</v>
      </c>
      <c r="Q35" s="195" t="s">
        <v>1359</v>
      </c>
      <c r="R35" s="195">
        <v>-3.3000000000000002E-2</v>
      </c>
      <c r="S35" s="121"/>
      <c r="T35" s="201"/>
      <c r="U35" s="257">
        <v>0.55200000000000005</v>
      </c>
      <c r="V35" s="198" t="s">
        <v>1360</v>
      </c>
      <c r="W35" s="254">
        <v>0.50800000000000001</v>
      </c>
      <c r="X35" s="121" t="s">
        <v>1361</v>
      </c>
      <c r="Y35" s="254">
        <v>0.51400000000000001</v>
      </c>
      <c r="Z35" s="121" t="s">
        <v>1362</v>
      </c>
      <c r="AA35" s="121">
        <v>0.67300000000000004</v>
      </c>
      <c r="AB35" s="121" t="s">
        <v>1363</v>
      </c>
      <c r="AC35" s="121">
        <v>0.69599999999999995</v>
      </c>
      <c r="AD35" s="121" t="s">
        <v>3871</v>
      </c>
      <c r="AE35" s="121"/>
      <c r="AF35" s="121"/>
      <c r="AG35" s="254">
        <v>-4.2999999999999997E-2</v>
      </c>
      <c r="AH35" s="195">
        <v>5.0000000000000001E-3</v>
      </c>
      <c r="AI35" s="195" t="s">
        <v>1364</v>
      </c>
      <c r="AJ35" s="195">
        <v>2.3E-2</v>
      </c>
      <c r="AK35" s="121"/>
      <c r="AL35" s="201"/>
      <c r="AM35" s="260">
        <v>0.33500000000000002</v>
      </c>
      <c r="AN35" s="198" t="s">
        <v>1365</v>
      </c>
      <c r="AO35" s="257">
        <v>0.45800000000000002</v>
      </c>
      <c r="AP35" s="198" t="s">
        <v>1366</v>
      </c>
      <c r="AQ35" s="254">
        <v>0.32500000000000001</v>
      </c>
      <c r="AR35" s="121" t="s">
        <v>1367</v>
      </c>
      <c r="AS35" s="121">
        <v>0.58399999999999996</v>
      </c>
      <c r="AT35" s="121" t="s">
        <v>1368</v>
      </c>
      <c r="AU35" s="121">
        <v>0.377</v>
      </c>
      <c r="AV35" s="121" t="s">
        <v>3899</v>
      </c>
      <c r="AW35" s="121"/>
      <c r="AX35" s="121"/>
      <c r="AY35" s="254">
        <v>0.123</v>
      </c>
      <c r="AZ35" s="121">
        <v>-0.13300000000000001</v>
      </c>
      <c r="BA35" s="121" t="s">
        <v>1369</v>
      </c>
      <c r="BB35" s="121" t="s">
        <v>1370</v>
      </c>
      <c r="BC35" s="121"/>
    </row>
    <row r="36" spans="1:55" ht="20.25" customHeight="1" x14ac:dyDescent="0.25">
      <c r="A36" s="102" t="s">
        <v>795</v>
      </c>
      <c r="B36" s="99" t="s">
        <v>761</v>
      </c>
      <c r="C36" s="255">
        <v>0.435</v>
      </c>
      <c r="D36" s="123" t="s">
        <v>1371</v>
      </c>
      <c r="E36" s="255">
        <v>0.42299999999999999</v>
      </c>
      <c r="F36" s="123" t="s">
        <v>1372</v>
      </c>
      <c r="G36" s="255">
        <v>0.39500000000000002</v>
      </c>
      <c r="H36" s="123" t="s">
        <v>1373</v>
      </c>
      <c r="I36" s="123">
        <v>0.53600000000000003</v>
      </c>
      <c r="J36" s="123" t="s">
        <v>1374</v>
      </c>
      <c r="K36" s="123">
        <v>0.45200000000000001</v>
      </c>
      <c r="L36" s="123" t="s">
        <v>3838</v>
      </c>
      <c r="M36" s="123"/>
      <c r="N36" s="123"/>
      <c r="O36" s="255">
        <v>-1.2E-2</v>
      </c>
      <c r="P36" s="196">
        <v>-2.8000000000000001E-2</v>
      </c>
      <c r="Q36" s="196" t="s">
        <v>1375</v>
      </c>
      <c r="R36" s="196" t="s">
        <v>3847</v>
      </c>
      <c r="S36" s="123"/>
      <c r="T36" s="201"/>
      <c r="U36" s="258">
        <v>0.67</v>
      </c>
      <c r="V36" s="199" t="s">
        <v>1376</v>
      </c>
      <c r="W36" s="255">
        <v>0.47399999999999998</v>
      </c>
      <c r="X36" s="123" t="s">
        <v>1377</v>
      </c>
      <c r="Y36" s="255">
        <v>0.497</v>
      </c>
      <c r="Z36" s="123" t="s">
        <v>1378</v>
      </c>
      <c r="AA36" s="123">
        <v>0.39600000000000002</v>
      </c>
      <c r="AB36" s="123" t="s">
        <v>1379</v>
      </c>
      <c r="AC36" s="123">
        <v>0.54</v>
      </c>
      <c r="AD36" s="123" t="s">
        <v>3872</v>
      </c>
      <c r="AE36" s="123"/>
      <c r="AF36" s="123"/>
      <c r="AG36" s="255">
        <v>-0.19600000000000001</v>
      </c>
      <c r="AH36" s="196">
        <v>2.3E-2</v>
      </c>
      <c r="AI36" s="196" t="s">
        <v>1380</v>
      </c>
      <c r="AJ36" s="196" t="s">
        <v>1381</v>
      </c>
      <c r="AK36" s="123"/>
      <c r="AL36" s="201"/>
      <c r="AM36" s="261">
        <v>0.39</v>
      </c>
      <c r="AN36" s="199" t="s">
        <v>1382</v>
      </c>
      <c r="AO36" s="258">
        <v>0.52400000000000002</v>
      </c>
      <c r="AP36" s="199" t="s">
        <v>1383</v>
      </c>
      <c r="AQ36" s="255">
        <v>0.495</v>
      </c>
      <c r="AR36" s="123" t="s">
        <v>1384</v>
      </c>
      <c r="AS36" s="123">
        <v>0.52</v>
      </c>
      <c r="AT36" s="123" t="s">
        <v>1385</v>
      </c>
      <c r="AU36" s="123">
        <v>0.50600000000000001</v>
      </c>
      <c r="AV36" s="123" t="s">
        <v>3900</v>
      </c>
      <c r="AW36" s="123"/>
      <c r="AX36" s="123"/>
      <c r="AY36" s="255">
        <v>0.13500000000000001</v>
      </c>
      <c r="AZ36" s="123">
        <v>-0.03</v>
      </c>
      <c r="BA36" s="123">
        <v>2.5000000000000001E-2</v>
      </c>
      <c r="BB36" s="123">
        <v>-1.4E-2</v>
      </c>
      <c r="BC36" s="123"/>
    </row>
    <row r="37" spans="1:55" ht="19.5" customHeight="1" x14ac:dyDescent="0.25">
      <c r="A37" s="100" t="s">
        <v>1386</v>
      </c>
      <c r="B37" s="100" t="s">
        <v>787</v>
      </c>
      <c r="C37" s="254">
        <v>0.182</v>
      </c>
      <c r="D37" s="121" t="s">
        <v>1387</v>
      </c>
      <c r="E37" s="254">
        <v>0.48499999999999999</v>
      </c>
      <c r="F37" s="121" t="s">
        <v>1388</v>
      </c>
      <c r="G37" s="254">
        <v>0.53600000000000003</v>
      </c>
      <c r="H37" s="121" t="s">
        <v>1389</v>
      </c>
      <c r="I37" s="121">
        <v>0.32</v>
      </c>
      <c r="J37" s="121" t="s">
        <v>1390</v>
      </c>
      <c r="K37" s="121"/>
      <c r="L37" s="121"/>
      <c r="M37" s="121"/>
      <c r="N37" s="121"/>
      <c r="O37" s="254" t="s">
        <v>1391</v>
      </c>
      <c r="P37" s="195">
        <v>0.05</v>
      </c>
      <c r="Q37" s="195" t="s">
        <v>1392</v>
      </c>
      <c r="R37" s="195"/>
      <c r="S37" s="121"/>
      <c r="T37" s="201"/>
      <c r="U37" s="257">
        <v>0.41399999999999998</v>
      </c>
      <c r="V37" s="198" t="s">
        <v>1393</v>
      </c>
      <c r="W37" s="254">
        <v>0.59299999999999997</v>
      </c>
      <c r="X37" s="121" t="s">
        <v>1394</v>
      </c>
      <c r="Y37" s="254">
        <v>0.75</v>
      </c>
      <c r="Z37" s="121" t="s">
        <v>1395</v>
      </c>
      <c r="AA37" s="121">
        <v>0.45400000000000001</v>
      </c>
      <c r="AB37" s="121" t="s">
        <v>1396</v>
      </c>
      <c r="AC37" s="121"/>
      <c r="AD37" s="121"/>
      <c r="AE37" s="121"/>
      <c r="AF37" s="121"/>
      <c r="AG37" s="254">
        <v>0.18</v>
      </c>
      <c r="AH37" s="195" t="s">
        <v>1397</v>
      </c>
      <c r="AI37" s="195" t="s">
        <v>1398</v>
      </c>
      <c r="AJ37" s="195"/>
      <c r="AK37" s="121"/>
      <c r="AL37" s="201"/>
      <c r="AM37" s="260">
        <v>0.107</v>
      </c>
      <c r="AN37" s="198" t="s">
        <v>1399</v>
      </c>
      <c r="AO37" s="257">
        <v>0.504</v>
      </c>
      <c r="AP37" s="198" t="s">
        <v>1400</v>
      </c>
      <c r="AQ37" s="254">
        <v>0.71899999999999997</v>
      </c>
      <c r="AR37" s="121" t="s">
        <v>1401</v>
      </c>
      <c r="AS37" s="121">
        <v>0.26300000000000001</v>
      </c>
      <c r="AT37" s="121" t="s">
        <v>1402</v>
      </c>
      <c r="AU37" s="121"/>
      <c r="AV37" s="121"/>
      <c r="AW37" s="121"/>
      <c r="AX37" s="121"/>
      <c r="AY37" s="254" t="s">
        <v>1403</v>
      </c>
      <c r="AZ37" s="121" t="s">
        <v>1404</v>
      </c>
      <c r="BA37" s="121" t="s">
        <v>1405</v>
      </c>
      <c r="BB37" s="121"/>
      <c r="BC37" s="121"/>
    </row>
    <row r="38" spans="1:55" ht="19.5" customHeight="1" x14ac:dyDescent="0.25">
      <c r="A38" s="100" t="s">
        <v>832</v>
      </c>
      <c r="B38" s="100"/>
      <c r="C38" s="254">
        <v>0.40200000000000002</v>
      </c>
      <c r="D38" s="121" t="s">
        <v>1406</v>
      </c>
      <c r="E38" s="254">
        <v>0.46400000000000002</v>
      </c>
      <c r="F38" s="121" t="s">
        <v>1407</v>
      </c>
      <c r="G38" s="254">
        <v>0.47099999999999997</v>
      </c>
      <c r="H38" s="121" t="s">
        <v>1408</v>
      </c>
      <c r="I38" s="121">
        <v>0.49199999999999999</v>
      </c>
      <c r="J38" s="121" t="s">
        <v>1409</v>
      </c>
      <c r="K38" s="121">
        <v>0.51800000000000002</v>
      </c>
      <c r="L38" s="121" t="s">
        <v>3839</v>
      </c>
      <c r="M38" s="121"/>
      <c r="N38" s="121"/>
      <c r="O38" s="254" t="s">
        <v>1410</v>
      </c>
      <c r="P38" s="195">
        <v>7.0000000000000001E-3</v>
      </c>
      <c r="Q38" s="195">
        <v>2.1000000000000001E-2</v>
      </c>
      <c r="R38" s="195">
        <v>2.5999999999999999E-2</v>
      </c>
      <c r="S38" s="121"/>
      <c r="T38" s="201"/>
      <c r="U38" s="257">
        <v>0.60599999999999998</v>
      </c>
      <c r="V38" s="198" t="s">
        <v>1411</v>
      </c>
      <c r="W38" s="254">
        <v>0.56000000000000005</v>
      </c>
      <c r="X38" s="121" t="s">
        <v>1412</v>
      </c>
      <c r="Y38" s="254">
        <v>0.56100000000000005</v>
      </c>
      <c r="Z38" s="121" t="s">
        <v>1413</v>
      </c>
      <c r="AA38" s="121">
        <v>0.56399999999999995</v>
      </c>
      <c r="AB38" s="121" t="s">
        <v>1414</v>
      </c>
      <c r="AC38" s="121">
        <v>0.57799999999999996</v>
      </c>
      <c r="AD38" s="121" t="s">
        <v>3873</v>
      </c>
      <c r="AE38" s="121"/>
      <c r="AF38" s="121"/>
      <c r="AG38" s="254" t="s">
        <v>1415</v>
      </c>
      <c r="AH38" s="195">
        <v>1E-3</v>
      </c>
      <c r="AI38" s="195">
        <v>3.0000000000000001E-3</v>
      </c>
      <c r="AJ38" s="195">
        <v>1.4E-2</v>
      </c>
      <c r="AK38" s="121"/>
      <c r="AL38" s="201"/>
      <c r="AM38" s="260">
        <v>0.314</v>
      </c>
      <c r="AN38" s="198" t="s">
        <v>1416</v>
      </c>
      <c r="AO38" s="257">
        <v>0.44800000000000001</v>
      </c>
      <c r="AP38" s="198" t="s">
        <v>1417</v>
      </c>
      <c r="AQ38" s="254">
        <v>0.443</v>
      </c>
      <c r="AR38" s="121" t="s">
        <v>1418</v>
      </c>
      <c r="AS38" s="121">
        <v>0.47899999999999998</v>
      </c>
      <c r="AT38" s="121" t="s">
        <v>1419</v>
      </c>
      <c r="AU38" s="121">
        <v>0.499</v>
      </c>
      <c r="AV38" s="121" t="s">
        <v>3901</v>
      </c>
      <c r="AW38" s="121"/>
      <c r="AX38" s="121"/>
      <c r="AY38" s="254" t="s">
        <v>1420</v>
      </c>
      <c r="AZ38" s="121">
        <v>-5.0000000000000001E-3</v>
      </c>
      <c r="BA38" s="121" t="s">
        <v>1421</v>
      </c>
      <c r="BB38" s="121">
        <v>0.02</v>
      </c>
      <c r="BC38" s="121"/>
    </row>
    <row r="39" spans="1:55" ht="20.25" customHeight="1" x14ac:dyDescent="0.25">
      <c r="A39" s="103" t="s">
        <v>1422</v>
      </c>
      <c r="E39" s="170"/>
      <c r="F39" s="170"/>
      <c r="G39" s="170"/>
      <c r="H39" s="170"/>
      <c r="I39" s="170"/>
      <c r="J39" s="170"/>
      <c r="K39" s="170"/>
      <c r="L39" s="170"/>
      <c r="M39" s="170"/>
      <c r="N39" s="170"/>
      <c r="O39" s="170"/>
      <c r="P39" s="170"/>
      <c r="Q39" s="170"/>
      <c r="R39" s="170"/>
      <c r="S39" s="170"/>
      <c r="T39" s="193"/>
      <c r="W39" s="170"/>
      <c r="X39" s="170"/>
      <c r="Y39" s="170"/>
      <c r="Z39" s="170"/>
      <c r="AA39" s="170"/>
      <c r="AB39" s="170"/>
      <c r="AC39" s="170"/>
      <c r="AD39" s="170"/>
      <c r="AE39" s="170"/>
      <c r="AF39" s="170"/>
      <c r="AG39" s="170"/>
      <c r="AH39" s="170"/>
      <c r="AI39" s="170"/>
      <c r="AJ39" s="170"/>
      <c r="AK39" s="170"/>
      <c r="AL39" s="193"/>
      <c r="AM39" s="170"/>
      <c r="AN39" s="170"/>
      <c r="AO39" s="170"/>
      <c r="AP39" s="170"/>
      <c r="AQ39" s="170"/>
      <c r="AR39" s="170"/>
      <c r="AS39" s="170"/>
      <c r="AT39" s="170"/>
      <c r="AU39" s="170"/>
      <c r="AV39" s="170"/>
      <c r="AW39" s="170"/>
      <c r="AX39" s="170"/>
      <c r="AY39" s="170"/>
      <c r="AZ39" s="170"/>
      <c r="BA39" s="170"/>
      <c r="BB39" s="170"/>
      <c r="BC39" s="170"/>
    </row>
    <row r="40" spans="1:55" ht="20.25" customHeight="1" x14ac:dyDescent="0.25">
      <c r="A40" s="103" t="s">
        <v>1423</v>
      </c>
      <c r="E40" s="170"/>
      <c r="F40" s="170"/>
      <c r="G40" s="170"/>
      <c r="H40" s="170"/>
      <c r="I40" s="170"/>
      <c r="J40" s="170"/>
      <c r="K40" s="170"/>
      <c r="L40" s="170"/>
      <c r="M40" s="170"/>
      <c r="N40" s="170"/>
      <c r="O40" s="170"/>
      <c r="P40" s="170"/>
      <c r="Q40" s="170"/>
      <c r="R40" s="170"/>
      <c r="S40" s="170"/>
      <c r="T40" s="193"/>
      <c r="W40" s="170"/>
      <c r="X40" s="170"/>
      <c r="Y40" s="170"/>
      <c r="Z40" s="170"/>
      <c r="AA40" s="170"/>
      <c r="AB40" s="170"/>
      <c r="AC40" s="170"/>
      <c r="AD40" s="170"/>
      <c r="AE40" s="170"/>
      <c r="AF40" s="170"/>
      <c r="AG40" s="170"/>
      <c r="AH40" s="170"/>
      <c r="AI40" s="170"/>
      <c r="AJ40" s="170"/>
      <c r="AK40" s="170"/>
      <c r="AL40" s="193"/>
      <c r="AM40" s="170"/>
      <c r="AN40" s="170"/>
      <c r="AO40" s="170"/>
      <c r="AP40" s="170"/>
      <c r="AQ40" s="170"/>
      <c r="AR40" s="170"/>
      <c r="AS40" s="170"/>
      <c r="AT40" s="170"/>
      <c r="AU40" s="170"/>
      <c r="AV40" s="170"/>
      <c r="AW40" s="170"/>
      <c r="AX40" s="170"/>
      <c r="AY40" s="170"/>
      <c r="AZ40" s="170"/>
      <c r="BA40" s="170"/>
      <c r="BB40" s="170"/>
      <c r="BC40" s="170"/>
    </row>
    <row r="41" spans="1:55" ht="20.25" customHeight="1" x14ac:dyDescent="0.25">
      <c r="A41" s="103" t="s">
        <v>1424</v>
      </c>
    </row>
    <row r="42" spans="1:55" ht="20.25" customHeight="1" x14ac:dyDescent="0.25">
      <c r="A42" s="103" t="s">
        <v>1425</v>
      </c>
    </row>
  </sheetData>
  <autoFilter ref="A2:BB42" xr:uid="{00000000-0001-0000-0500-000000000000}">
    <filterColumn colId="2" showButton="0"/>
    <filterColumn colId="4" showButton="0"/>
    <filterColumn colId="6" showButton="0"/>
    <filterColumn colId="8" showButton="0"/>
    <filterColumn colId="20" showButton="0"/>
    <filterColumn colId="22" showButton="0"/>
    <filterColumn colId="24" showButton="0"/>
    <filterColumn colId="26" showButton="0"/>
    <filterColumn colId="38" showButton="0"/>
    <filterColumn colId="40" showButton="0"/>
    <filterColumn colId="42" showButton="0"/>
  </autoFilter>
  <mergeCells count="23">
    <mergeCell ref="M2:N2"/>
    <mergeCell ref="AA2:AB2"/>
    <mergeCell ref="AM2:AN2"/>
    <mergeCell ref="K2:L2"/>
    <mergeCell ref="AS2:AT2"/>
    <mergeCell ref="AC2:AD2"/>
    <mergeCell ref="AE2:AF2"/>
    <mergeCell ref="AW2:AX2"/>
    <mergeCell ref="AU2:AV2"/>
    <mergeCell ref="AQ2:AR2"/>
    <mergeCell ref="AO2:AP2"/>
    <mergeCell ref="A1:A2"/>
    <mergeCell ref="B1:B2"/>
    <mergeCell ref="U1:AJ1"/>
    <mergeCell ref="C1:R1"/>
    <mergeCell ref="AM1:BB1"/>
    <mergeCell ref="C2:D2"/>
    <mergeCell ref="E2:F2"/>
    <mergeCell ref="G2:H2"/>
    <mergeCell ref="I2:J2"/>
    <mergeCell ref="U2:V2"/>
    <mergeCell ref="W2:X2"/>
    <mergeCell ref="Y2:Z2"/>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AG120"/>
  <sheetViews>
    <sheetView zoomScale="55" zoomScaleNormal="55" workbookViewId="0">
      <pane xSplit="6" topLeftCell="G1" activePane="topRight" state="frozen"/>
      <selection pane="topRight" activeCell="K29" sqref="K29"/>
    </sheetView>
  </sheetViews>
  <sheetFormatPr defaultColWidth="11" defaultRowHeight="20.25" customHeight="1" x14ac:dyDescent="0.25"/>
  <cols>
    <col min="1" max="1" width="7.25" customWidth="1"/>
    <col min="2" max="2" width="61.75" style="21" customWidth="1"/>
    <col min="3" max="6" width="20.375" style="179" customWidth="1"/>
    <col min="7" max="7" width="20.375" style="70" customWidth="1"/>
    <col min="8" max="32" width="20.875" style="70" customWidth="1"/>
  </cols>
  <sheetData>
    <row r="1" spans="1:33" s="315" customFormat="1" ht="34.5" customHeight="1" x14ac:dyDescent="0.25">
      <c r="A1" s="529" t="s">
        <v>1426</v>
      </c>
      <c r="B1" s="532"/>
      <c r="C1" s="533" t="s">
        <v>832</v>
      </c>
      <c r="D1" s="533"/>
      <c r="E1" s="533"/>
      <c r="F1" s="533"/>
      <c r="G1" s="281" t="s">
        <v>757</v>
      </c>
      <c r="H1" s="281" t="s">
        <v>759</v>
      </c>
      <c r="I1" s="281" t="s">
        <v>760</v>
      </c>
      <c r="J1" s="281" t="s">
        <v>762</v>
      </c>
      <c r="K1" s="281" t="s">
        <v>763</v>
      </c>
      <c r="L1" s="281" t="s">
        <v>765</v>
      </c>
      <c r="M1" s="281" t="s">
        <v>767</v>
      </c>
      <c r="N1" s="281" t="s">
        <v>769</v>
      </c>
      <c r="O1" s="281" t="s">
        <v>771</v>
      </c>
      <c r="P1" s="281" t="s">
        <v>773</v>
      </c>
      <c r="Q1" s="281" t="s">
        <v>774</v>
      </c>
      <c r="R1" s="281" t="s">
        <v>775</v>
      </c>
      <c r="S1" s="281" t="s">
        <v>776</v>
      </c>
      <c r="T1" s="281" t="s">
        <v>778</v>
      </c>
      <c r="U1" s="281" t="s">
        <v>779</v>
      </c>
      <c r="V1" s="281" t="s">
        <v>781</v>
      </c>
      <c r="W1" s="281" t="s">
        <v>783</v>
      </c>
      <c r="X1" s="281" t="s">
        <v>784</v>
      </c>
      <c r="Y1" s="281" t="s">
        <v>785</v>
      </c>
      <c r="Z1" s="281" t="s">
        <v>786</v>
      </c>
      <c r="AA1" s="281" t="s">
        <v>788</v>
      </c>
      <c r="AB1" s="281" t="s">
        <v>789</v>
      </c>
      <c r="AC1" s="281" t="s">
        <v>1427</v>
      </c>
      <c r="AD1" s="281" t="s">
        <v>792</v>
      </c>
      <c r="AE1" s="281" t="s">
        <v>793</v>
      </c>
      <c r="AF1" s="281" t="s">
        <v>795</v>
      </c>
    </row>
    <row r="2" spans="1:33" s="318" customFormat="1" ht="20.25" customHeight="1" x14ac:dyDescent="0.25">
      <c r="A2" s="535" t="s">
        <v>796</v>
      </c>
      <c r="B2" s="535"/>
      <c r="C2" s="533" t="s">
        <v>1428</v>
      </c>
      <c r="D2" s="533" t="s">
        <v>1429</v>
      </c>
      <c r="E2" s="533" t="s">
        <v>1430</v>
      </c>
      <c r="F2" s="533" t="s">
        <v>1431</v>
      </c>
      <c r="G2" s="317" t="s">
        <v>758</v>
      </c>
      <c r="H2" s="317" t="s">
        <v>758</v>
      </c>
      <c r="I2" s="317" t="s">
        <v>761</v>
      </c>
      <c r="J2" s="317" t="s">
        <v>758</v>
      </c>
      <c r="K2" s="317" t="s">
        <v>764</v>
      </c>
      <c r="L2" s="317" t="s">
        <v>766</v>
      </c>
      <c r="M2" s="317" t="s">
        <v>768</v>
      </c>
      <c r="N2" s="317" t="s">
        <v>770</v>
      </c>
      <c r="O2" s="317" t="s">
        <v>772</v>
      </c>
      <c r="P2" s="317" t="s">
        <v>764</v>
      </c>
      <c r="Q2" s="317" t="s">
        <v>758</v>
      </c>
      <c r="R2" s="317" t="s">
        <v>766</v>
      </c>
      <c r="S2" s="317" t="s">
        <v>777</v>
      </c>
      <c r="T2" s="317" t="s">
        <v>766</v>
      </c>
      <c r="U2" s="317" t="s">
        <v>780</v>
      </c>
      <c r="V2" s="317" t="s">
        <v>782</v>
      </c>
      <c r="W2" s="317" t="s">
        <v>772</v>
      </c>
      <c r="X2" s="317" t="s">
        <v>768</v>
      </c>
      <c r="Y2" s="317" t="s">
        <v>772</v>
      </c>
      <c r="Z2" s="317" t="s">
        <v>787</v>
      </c>
      <c r="AA2" s="317" t="s">
        <v>766</v>
      </c>
      <c r="AB2" s="317" t="s">
        <v>790</v>
      </c>
      <c r="AC2" s="317" t="s">
        <v>790</v>
      </c>
      <c r="AD2" s="317" t="s">
        <v>758</v>
      </c>
      <c r="AE2" s="317" t="s">
        <v>794</v>
      </c>
      <c r="AF2" s="317" t="s">
        <v>761</v>
      </c>
    </row>
    <row r="3" spans="1:33" s="318" customFormat="1" ht="19.5" customHeight="1" x14ac:dyDescent="0.25">
      <c r="A3" s="535" t="s">
        <v>1432</v>
      </c>
      <c r="B3" s="535"/>
      <c r="C3" s="533"/>
      <c r="D3" s="533"/>
      <c r="E3" s="533"/>
      <c r="F3" s="533"/>
      <c r="G3" s="317"/>
      <c r="H3" s="317"/>
      <c r="I3" s="317"/>
      <c r="J3" s="317"/>
      <c r="K3" s="317"/>
      <c r="L3" s="317"/>
      <c r="M3" s="317"/>
      <c r="N3" s="317"/>
      <c r="O3" s="317"/>
      <c r="P3" s="317"/>
      <c r="Q3" s="317"/>
      <c r="R3" s="317"/>
      <c r="S3" s="317"/>
      <c r="T3" s="317"/>
      <c r="U3" s="317"/>
      <c r="V3" s="317"/>
      <c r="W3" s="317"/>
      <c r="X3" s="317"/>
      <c r="Y3" s="317"/>
      <c r="Z3" s="317"/>
      <c r="AA3" s="317"/>
      <c r="AB3" s="317"/>
      <c r="AC3" s="317"/>
      <c r="AD3" s="317"/>
      <c r="AE3" s="317"/>
      <c r="AF3" s="317"/>
    </row>
    <row r="4" spans="1:33" s="62" customFormat="1" ht="20.25" customHeight="1" x14ac:dyDescent="0.25">
      <c r="A4" s="536" t="s">
        <v>1433</v>
      </c>
      <c r="B4" s="536"/>
      <c r="C4" s="313"/>
      <c r="D4" s="313"/>
      <c r="E4" s="313"/>
      <c r="F4" s="313"/>
      <c r="G4" s="314">
        <v>4</v>
      </c>
      <c r="H4" s="314">
        <v>3</v>
      </c>
      <c r="I4" s="314">
        <v>6</v>
      </c>
      <c r="J4" s="314">
        <v>3</v>
      </c>
      <c r="K4" s="314">
        <v>3</v>
      </c>
      <c r="L4" s="314">
        <v>5</v>
      </c>
      <c r="M4" s="314">
        <v>3</v>
      </c>
      <c r="N4" s="314">
        <v>6</v>
      </c>
      <c r="O4" s="314">
        <v>5</v>
      </c>
      <c r="P4" s="314">
        <v>4</v>
      </c>
      <c r="Q4" s="314">
        <v>6</v>
      </c>
      <c r="R4" s="314">
        <v>4</v>
      </c>
      <c r="S4" s="314">
        <v>3</v>
      </c>
      <c r="T4" s="314">
        <v>4</v>
      </c>
      <c r="U4" s="314">
        <v>5</v>
      </c>
      <c r="V4" s="314">
        <v>4</v>
      </c>
      <c r="W4" s="314">
        <v>2</v>
      </c>
      <c r="X4" s="314">
        <v>3</v>
      </c>
      <c r="Y4" s="314">
        <v>4</v>
      </c>
      <c r="Z4" s="314">
        <v>3</v>
      </c>
      <c r="AA4" s="314">
        <v>4</v>
      </c>
      <c r="AB4" s="314">
        <v>4</v>
      </c>
      <c r="AC4" s="314">
        <v>3</v>
      </c>
      <c r="AD4" s="314">
        <v>4</v>
      </c>
      <c r="AE4" s="314">
        <v>3</v>
      </c>
      <c r="AF4" s="314">
        <v>4</v>
      </c>
      <c r="AG4" s="263"/>
    </row>
    <row r="5" spans="1:33" s="62" customFormat="1" ht="20.25" customHeight="1" x14ac:dyDescent="0.25">
      <c r="A5" s="537" t="s">
        <v>1434</v>
      </c>
      <c r="B5" s="537"/>
      <c r="C5" s="94"/>
      <c r="D5" s="94"/>
      <c r="E5" s="94"/>
      <c r="F5" s="94"/>
      <c r="G5" s="94">
        <v>2</v>
      </c>
      <c r="H5" s="94">
        <v>2</v>
      </c>
      <c r="I5" s="94">
        <v>2</v>
      </c>
      <c r="J5" s="94">
        <v>1</v>
      </c>
      <c r="K5" s="94">
        <v>3</v>
      </c>
      <c r="L5" s="94">
        <v>4</v>
      </c>
      <c r="M5" s="94">
        <v>1</v>
      </c>
      <c r="N5" s="94">
        <v>2</v>
      </c>
      <c r="O5" s="94">
        <v>4</v>
      </c>
      <c r="P5" s="94">
        <v>1</v>
      </c>
      <c r="Q5" s="94">
        <v>2</v>
      </c>
      <c r="R5" s="94">
        <v>3</v>
      </c>
      <c r="S5" s="94">
        <v>1</v>
      </c>
      <c r="T5" s="94">
        <v>2</v>
      </c>
      <c r="U5" s="94">
        <v>2</v>
      </c>
      <c r="V5" s="94">
        <v>2</v>
      </c>
      <c r="W5" s="94">
        <v>1</v>
      </c>
      <c r="X5" s="94">
        <v>2</v>
      </c>
      <c r="Y5" s="94">
        <v>2</v>
      </c>
      <c r="Z5" s="94">
        <v>1</v>
      </c>
      <c r="AA5" s="94">
        <v>1</v>
      </c>
      <c r="AB5" s="94">
        <v>1</v>
      </c>
      <c r="AC5" s="94">
        <v>1</v>
      </c>
      <c r="AD5" s="94">
        <v>2</v>
      </c>
      <c r="AE5" s="94">
        <v>1</v>
      </c>
      <c r="AF5" s="94">
        <v>1</v>
      </c>
      <c r="AG5" s="263"/>
    </row>
    <row r="6" spans="1:33" s="62" customFormat="1" ht="15.75" x14ac:dyDescent="0.25">
      <c r="A6" s="538" t="s">
        <v>1435</v>
      </c>
      <c r="B6" s="539"/>
      <c r="C6" s="178"/>
      <c r="D6" s="223"/>
      <c r="E6" s="223"/>
      <c r="F6" s="223"/>
      <c r="G6" s="157">
        <v>0</v>
      </c>
      <c r="H6" s="157">
        <v>1</v>
      </c>
      <c r="I6" s="157">
        <v>1</v>
      </c>
      <c r="J6" s="157">
        <v>1</v>
      </c>
      <c r="K6" s="157">
        <v>1</v>
      </c>
      <c r="L6" s="157">
        <v>1</v>
      </c>
      <c r="M6" s="157">
        <v>1</v>
      </c>
      <c r="N6" s="157">
        <v>1</v>
      </c>
      <c r="O6" s="157">
        <v>1</v>
      </c>
      <c r="P6" s="157">
        <v>1</v>
      </c>
      <c r="Q6" s="157">
        <v>1</v>
      </c>
      <c r="R6" s="157">
        <v>1</v>
      </c>
      <c r="S6" s="157">
        <v>1</v>
      </c>
      <c r="T6" s="157">
        <v>1</v>
      </c>
      <c r="U6" s="157">
        <v>1</v>
      </c>
      <c r="V6" s="157">
        <v>0</v>
      </c>
      <c r="W6" s="157">
        <v>1</v>
      </c>
      <c r="X6" s="157">
        <v>1</v>
      </c>
      <c r="Y6" s="157">
        <v>1</v>
      </c>
      <c r="Z6" s="157">
        <v>1</v>
      </c>
      <c r="AA6" s="157">
        <v>0</v>
      </c>
      <c r="AB6" s="157">
        <v>1</v>
      </c>
      <c r="AC6" s="157">
        <v>1</v>
      </c>
      <c r="AD6" s="157">
        <v>1</v>
      </c>
      <c r="AE6" s="157">
        <v>1</v>
      </c>
      <c r="AF6" s="157">
        <v>1</v>
      </c>
      <c r="AG6" s="263"/>
    </row>
    <row r="7" spans="1:33" s="62" customFormat="1" ht="15.75" hidden="1" x14ac:dyDescent="0.25">
      <c r="A7" s="398"/>
      <c r="B7" s="399"/>
      <c r="C7" s="178" t="s">
        <v>1436</v>
      </c>
      <c r="D7" s="223" t="s">
        <v>1437</v>
      </c>
      <c r="E7" s="223" t="s">
        <v>1438</v>
      </c>
      <c r="F7" s="223" t="s">
        <v>1439</v>
      </c>
      <c r="G7" s="157" t="s">
        <v>757</v>
      </c>
      <c r="H7" s="157" t="s">
        <v>759</v>
      </c>
      <c r="I7" s="157" t="s">
        <v>760</v>
      </c>
      <c r="J7" s="157" t="s">
        <v>762</v>
      </c>
      <c r="K7" s="157" t="s">
        <v>763</v>
      </c>
      <c r="L7" s="157" t="s">
        <v>765</v>
      </c>
      <c r="M7" s="157" t="s">
        <v>767</v>
      </c>
      <c r="N7" s="157" t="s">
        <v>769</v>
      </c>
      <c r="O7" s="157" t="s">
        <v>771</v>
      </c>
      <c r="P7" s="157" t="s">
        <v>773</v>
      </c>
      <c r="Q7" s="157" t="s">
        <v>774</v>
      </c>
      <c r="R7" s="157" t="s">
        <v>775</v>
      </c>
      <c r="S7" s="157" t="s">
        <v>776</v>
      </c>
      <c r="T7" s="157" t="s">
        <v>778</v>
      </c>
      <c r="U7" s="157" t="s">
        <v>779</v>
      </c>
      <c r="V7" s="157" t="s">
        <v>781</v>
      </c>
      <c r="W7" s="157" t="s">
        <v>783</v>
      </c>
      <c r="X7" s="157" t="s">
        <v>784</v>
      </c>
      <c r="Y7" s="157" t="s">
        <v>785</v>
      </c>
      <c r="Z7" s="157" t="s">
        <v>786</v>
      </c>
      <c r="AA7" s="157" t="s">
        <v>788</v>
      </c>
      <c r="AB7" s="157" t="s">
        <v>789</v>
      </c>
      <c r="AC7" s="157" t="s">
        <v>1427</v>
      </c>
      <c r="AD7" s="157" t="s">
        <v>792</v>
      </c>
      <c r="AE7" s="157" t="s">
        <v>793</v>
      </c>
      <c r="AF7" s="157" t="s">
        <v>795</v>
      </c>
      <c r="AG7" s="263"/>
    </row>
    <row r="8" spans="1:33" s="119" customFormat="1" ht="20.25" customHeight="1" x14ac:dyDescent="0.25">
      <c r="A8" s="534" t="s">
        <v>801</v>
      </c>
      <c r="B8" s="534"/>
      <c r="C8" s="175">
        <v>0.72321749999999996</v>
      </c>
      <c r="D8" s="175">
        <v>0.75446429999999998</v>
      </c>
      <c r="E8" s="175">
        <v>0.35119050000000002</v>
      </c>
      <c r="F8" s="175">
        <v>0.87142850000000005</v>
      </c>
      <c r="G8" s="89">
        <v>0.85714287</v>
      </c>
      <c r="H8" s="89">
        <v>0.79761903999999995</v>
      </c>
      <c r="I8" s="89">
        <v>0.70634918999999996</v>
      </c>
      <c r="J8" s="89">
        <v>0.60000001999999997</v>
      </c>
      <c r="K8" s="89">
        <v>0.67346936000000002</v>
      </c>
      <c r="L8" s="89">
        <v>0.66071427000000005</v>
      </c>
      <c r="M8" s="89">
        <v>0.60000001999999997</v>
      </c>
      <c r="N8" s="89">
        <v>0.42460315999999998</v>
      </c>
      <c r="O8" s="89">
        <v>0.69999999000000002</v>
      </c>
      <c r="P8" s="89">
        <v>0.73214287</v>
      </c>
      <c r="Q8" s="89">
        <v>0.86904764000000001</v>
      </c>
      <c r="R8" s="89">
        <v>0.625</v>
      </c>
      <c r="S8" s="89">
        <v>0.85714287</v>
      </c>
      <c r="T8" s="89">
        <v>0.68367343999999997</v>
      </c>
      <c r="U8" s="89">
        <v>0.75892859999999995</v>
      </c>
      <c r="V8" s="89">
        <v>0.77976190999999995</v>
      </c>
      <c r="W8" s="89">
        <v>0.85714287</v>
      </c>
      <c r="X8" s="89">
        <v>0.35119048000000003</v>
      </c>
      <c r="Y8" s="89">
        <v>0.61734694000000001</v>
      </c>
      <c r="Z8" s="89">
        <v>0.87142854999999997</v>
      </c>
      <c r="AA8" s="89">
        <v>0.75</v>
      </c>
      <c r="AB8" s="89">
        <v>0.79761903999999995</v>
      </c>
      <c r="AC8" s="89">
        <v>0.77857142999999995</v>
      </c>
      <c r="AD8" s="89">
        <v>0.82142859999999995</v>
      </c>
      <c r="AE8" s="89">
        <v>0.83571428000000003</v>
      </c>
      <c r="AF8" s="89">
        <v>0.79761903999999995</v>
      </c>
    </row>
    <row r="9" spans="1:33" s="153" customFormat="1" ht="20.25" customHeight="1" x14ac:dyDescent="0.25">
      <c r="A9" s="95">
        <v>1</v>
      </c>
      <c r="B9" s="151" t="s">
        <v>37</v>
      </c>
      <c r="C9" s="176">
        <v>0.57678569999999996</v>
      </c>
      <c r="D9" s="176">
        <v>0.6</v>
      </c>
      <c r="E9" s="176">
        <v>0</v>
      </c>
      <c r="F9" s="176">
        <v>1</v>
      </c>
      <c r="G9" s="91">
        <v>0.83333330999999999</v>
      </c>
      <c r="H9" s="91">
        <v>0.33333333999999998</v>
      </c>
      <c r="I9" s="91">
        <v>0.55555558000000005</v>
      </c>
      <c r="J9" s="91">
        <v>0.80000000999999998</v>
      </c>
      <c r="K9" s="91">
        <v>0.28571429999999998</v>
      </c>
      <c r="L9" s="91">
        <v>0.60000001999999997</v>
      </c>
      <c r="M9" s="91">
        <v>0.2</v>
      </c>
      <c r="N9" s="91">
        <v>0</v>
      </c>
      <c r="O9" s="91">
        <v>0.2</v>
      </c>
      <c r="P9" s="91">
        <v>1</v>
      </c>
      <c r="Q9" s="91">
        <v>0.77777779000000002</v>
      </c>
      <c r="R9" s="91">
        <v>0.125</v>
      </c>
      <c r="S9" s="91">
        <v>1</v>
      </c>
      <c r="T9" s="91">
        <v>0.85714287</v>
      </c>
      <c r="U9" s="91">
        <v>0.5</v>
      </c>
      <c r="V9" s="91">
        <v>0.5</v>
      </c>
      <c r="W9" s="91">
        <v>0.5</v>
      </c>
      <c r="X9" s="91">
        <v>0</v>
      </c>
      <c r="Y9" s="91">
        <v>1</v>
      </c>
      <c r="Z9" s="91">
        <v>0.80000000999999998</v>
      </c>
      <c r="AA9" s="91">
        <v>0.60000001999999997</v>
      </c>
      <c r="AB9" s="91">
        <v>0.66666669000000001</v>
      </c>
      <c r="AC9" s="91">
        <v>0.80000000999999998</v>
      </c>
      <c r="AD9" s="91">
        <v>0.42857142999999998</v>
      </c>
      <c r="AE9" s="91">
        <v>0.80000000999999998</v>
      </c>
      <c r="AF9" s="91">
        <v>0.83333330999999999</v>
      </c>
    </row>
    <row r="10" spans="1:33" s="153" customFormat="1" ht="20.25" customHeight="1" x14ac:dyDescent="0.25">
      <c r="A10" s="96">
        <v>2</v>
      </c>
      <c r="B10" s="152" t="s">
        <v>41</v>
      </c>
      <c r="C10" s="177">
        <v>0.84891030000000001</v>
      </c>
      <c r="D10" s="177">
        <v>0.86</v>
      </c>
      <c r="E10" s="177">
        <v>0.55555560000000004</v>
      </c>
      <c r="F10" s="177">
        <v>1</v>
      </c>
      <c r="G10" s="97">
        <v>0.83333330999999999</v>
      </c>
      <c r="H10" s="97">
        <v>0.93333334000000001</v>
      </c>
      <c r="I10" s="97">
        <v>0.55555558000000005</v>
      </c>
      <c r="J10" s="97">
        <v>0.95999997999999997</v>
      </c>
      <c r="K10" s="97">
        <v>0.91428571999999997</v>
      </c>
      <c r="L10" s="97">
        <v>0.69999999000000002</v>
      </c>
      <c r="M10" s="97">
        <v>0.83999997000000004</v>
      </c>
      <c r="N10" s="97">
        <v>0.60000001999999997</v>
      </c>
      <c r="O10" s="97">
        <v>0.75999998999999996</v>
      </c>
      <c r="P10" s="97">
        <v>0.76666665000000001</v>
      </c>
      <c r="Q10" s="97">
        <v>0.97777778000000004</v>
      </c>
      <c r="R10" s="97">
        <v>0.82499999000000002</v>
      </c>
      <c r="S10" s="97">
        <v>0.92000002000000003</v>
      </c>
      <c r="T10" s="97">
        <v>0.97142857000000005</v>
      </c>
      <c r="U10" s="97">
        <v>1</v>
      </c>
      <c r="V10" s="97">
        <v>1</v>
      </c>
      <c r="W10" s="97">
        <v>1</v>
      </c>
      <c r="X10" s="97">
        <v>0.63333333000000003</v>
      </c>
      <c r="Y10" s="97">
        <v>0.80000000999999998</v>
      </c>
      <c r="Z10" s="97">
        <v>0.88</v>
      </c>
      <c r="AA10" s="97">
        <v>0.88</v>
      </c>
      <c r="AB10" s="97">
        <v>0.80000000999999998</v>
      </c>
      <c r="AC10" s="97">
        <v>1</v>
      </c>
      <c r="AD10" s="97">
        <v>0.91428571999999997</v>
      </c>
      <c r="AE10" s="97">
        <v>0.83999997000000004</v>
      </c>
      <c r="AF10" s="97">
        <v>0.76666665000000001</v>
      </c>
    </row>
    <row r="11" spans="1:33" s="153" customFormat="1" ht="20.25" customHeight="1" x14ac:dyDescent="0.25">
      <c r="A11" s="95">
        <v>3</v>
      </c>
      <c r="B11" s="151" t="s">
        <v>48</v>
      </c>
      <c r="C11" s="176">
        <v>0.84511599999999998</v>
      </c>
      <c r="D11" s="176">
        <v>0.95</v>
      </c>
      <c r="E11" s="176">
        <v>0.3333333</v>
      </c>
      <c r="F11" s="176">
        <v>1</v>
      </c>
      <c r="G11" s="91">
        <v>0.83333330999999999</v>
      </c>
      <c r="H11" s="91">
        <v>0.83333330999999999</v>
      </c>
      <c r="I11" s="91">
        <v>1</v>
      </c>
      <c r="J11" s="91">
        <v>0.80000000999999998</v>
      </c>
      <c r="K11" s="91">
        <v>1</v>
      </c>
      <c r="L11" s="91">
        <v>0.89999998000000003</v>
      </c>
      <c r="M11" s="91">
        <v>0.80000000999999998</v>
      </c>
      <c r="N11" s="91">
        <v>0.44444444999999999</v>
      </c>
      <c r="O11" s="91">
        <v>0.69999999000000002</v>
      </c>
      <c r="P11" s="91">
        <v>0.66666669000000001</v>
      </c>
      <c r="Q11" s="91">
        <v>1</v>
      </c>
      <c r="R11" s="91">
        <v>1</v>
      </c>
      <c r="S11" s="91">
        <v>1</v>
      </c>
      <c r="T11" s="91">
        <v>0.85714287</v>
      </c>
      <c r="U11" s="91">
        <v>1</v>
      </c>
      <c r="V11" s="91">
        <v>1</v>
      </c>
      <c r="W11" s="91">
        <v>1</v>
      </c>
      <c r="X11" s="91">
        <v>0.33333333999999998</v>
      </c>
      <c r="Y11" s="91">
        <v>0.57142859999999995</v>
      </c>
      <c r="Z11" s="91">
        <v>1</v>
      </c>
      <c r="AA11" s="91">
        <v>1</v>
      </c>
      <c r="AB11" s="91">
        <v>1</v>
      </c>
      <c r="AC11" s="91">
        <v>0.40000001000000002</v>
      </c>
      <c r="AD11" s="91">
        <v>1</v>
      </c>
      <c r="AE11" s="91">
        <v>1</v>
      </c>
      <c r="AF11" s="91">
        <v>0.83333330999999999</v>
      </c>
    </row>
    <row r="12" spans="1:33" s="153" customFormat="1" ht="20.25" customHeight="1" x14ac:dyDescent="0.25">
      <c r="A12" s="96">
        <v>4</v>
      </c>
      <c r="B12" s="152" t="s">
        <v>51</v>
      </c>
      <c r="C12" s="177">
        <v>0.61137059999999999</v>
      </c>
      <c r="D12" s="177">
        <v>0.66145830000000005</v>
      </c>
      <c r="E12" s="177">
        <v>0.1666667</v>
      </c>
      <c r="F12" s="177">
        <v>0.91666669999999995</v>
      </c>
      <c r="G12" s="97">
        <v>0.91666669000000001</v>
      </c>
      <c r="H12" s="97">
        <v>0.66666669000000001</v>
      </c>
      <c r="I12" s="97">
        <v>0.69444441999999995</v>
      </c>
      <c r="J12" s="97">
        <v>0.2</v>
      </c>
      <c r="K12" s="97">
        <v>0.32142857000000002</v>
      </c>
      <c r="L12" s="97">
        <v>0.57499999000000002</v>
      </c>
      <c r="M12" s="97">
        <v>0.40000001000000002</v>
      </c>
      <c r="N12" s="97">
        <v>0.41666666000000002</v>
      </c>
      <c r="O12" s="97">
        <v>0.69999999000000002</v>
      </c>
      <c r="P12" s="97">
        <v>0.54166669000000001</v>
      </c>
      <c r="Q12" s="97">
        <v>0.83333330999999999</v>
      </c>
      <c r="R12" s="97">
        <v>0.53125</v>
      </c>
      <c r="S12" s="97">
        <v>0.64999998000000003</v>
      </c>
      <c r="T12" s="97">
        <v>0.42857142999999998</v>
      </c>
      <c r="U12" s="97">
        <v>0.65625</v>
      </c>
      <c r="V12" s="97">
        <v>0.625</v>
      </c>
      <c r="W12" s="97">
        <v>0.6875</v>
      </c>
      <c r="X12" s="97">
        <v>0.16666666999999999</v>
      </c>
      <c r="Y12" s="97">
        <v>0.39285713</v>
      </c>
      <c r="Z12" s="97">
        <v>0.75</v>
      </c>
      <c r="AA12" s="97">
        <v>0.80000000999999998</v>
      </c>
      <c r="AB12" s="97">
        <v>0.83333330999999999</v>
      </c>
      <c r="AC12" s="97">
        <v>0.80000000999999998</v>
      </c>
      <c r="AD12" s="97">
        <v>0.75</v>
      </c>
      <c r="AE12" s="97">
        <v>0.85000001999999997</v>
      </c>
      <c r="AF12" s="97">
        <v>0.70833330999999999</v>
      </c>
    </row>
    <row r="13" spans="1:33" s="153" customFormat="1" ht="20.25" customHeight="1" x14ac:dyDescent="0.25">
      <c r="A13" s="95">
        <v>5</v>
      </c>
      <c r="B13" s="151" t="s">
        <v>54</v>
      </c>
      <c r="C13" s="176">
        <v>0.98376070000000004</v>
      </c>
      <c r="D13" s="176">
        <v>1</v>
      </c>
      <c r="E13" s="176">
        <v>0.77777779999999996</v>
      </c>
      <c r="F13" s="176">
        <v>1</v>
      </c>
      <c r="G13" s="91">
        <v>1</v>
      </c>
      <c r="H13" s="91">
        <v>1</v>
      </c>
      <c r="I13" s="91">
        <v>1</v>
      </c>
      <c r="J13" s="91">
        <v>1</v>
      </c>
      <c r="K13" s="91">
        <v>1</v>
      </c>
      <c r="L13" s="91">
        <v>0.89999998000000003</v>
      </c>
      <c r="M13" s="91">
        <v>1</v>
      </c>
      <c r="N13" s="91">
        <v>0.77777779000000002</v>
      </c>
      <c r="O13" s="91">
        <v>0.89999998000000003</v>
      </c>
      <c r="P13" s="91">
        <v>1</v>
      </c>
      <c r="Q13" s="91">
        <v>1</v>
      </c>
      <c r="R13" s="91">
        <v>1</v>
      </c>
      <c r="S13" s="91">
        <v>1</v>
      </c>
      <c r="T13" s="91">
        <v>1</v>
      </c>
      <c r="U13" s="91">
        <v>1</v>
      </c>
      <c r="V13" s="91">
        <v>1</v>
      </c>
      <c r="W13" s="91">
        <v>1</v>
      </c>
      <c r="X13" s="91">
        <v>1</v>
      </c>
      <c r="Y13" s="91">
        <v>1</v>
      </c>
      <c r="Z13" s="91">
        <v>1</v>
      </c>
      <c r="AA13" s="91">
        <v>1</v>
      </c>
      <c r="AB13" s="91">
        <v>1</v>
      </c>
      <c r="AC13" s="91">
        <v>1</v>
      </c>
      <c r="AD13" s="91">
        <v>1</v>
      </c>
      <c r="AE13" s="91">
        <v>1</v>
      </c>
      <c r="AF13" s="91">
        <v>1</v>
      </c>
    </row>
    <row r="14" spans="1:33" s="153" customFormat="1" ht="45" customHeight="1" x14ac:dyDescent="0.25">
      <c r="A14" s="96">
        <v>6</v>
      </c>
      <c r="B14" s="152" t="s">
        <v>57</v>
      </c>
      <c r="C14" s="177">
        <v>0.25882169999999999</v>
      </c>
      <c r="D14" s="177">
        <v>0.1833333</v>
      </c>
      <c r="E14" s="177">
        <v>0</v>
      </c>
      <c r="F14" s="177">
        <v>0.88888889999999998</v>
      </c>
      <c r="G14" s="97">
        <v>0.33333333999999998</v>
      </c>
      <c r="H14" s="97">
        <v>0.33333333999999998</v>
      </c>
      <c r="I14" s="97">
        <v>0.33333333999999998</v>
      </c>
      <c r="J14" s="97">
        <v>0.40000001000000002</v>
      </c>
      <c r="K14" s="97">
        <v>0</v>
      </c>
      <c r="L14" s="97">
        <v>0</v>
      </c>
      <c r="M14" s="97">
        <v>0</v>
      </c>
      <c r="N14" s="97">
        <v>0</v>
      </c>
      <c r="O14" s="97">
        <v>0.2</v>
      </c>
      <c r="P14" s="97">
        <v>0</v>
      </c>
      <c r="Q14" s="97">
        <v>0.88888889999999998</v>
      </c>
      <c r="R14" s="97">
        <v>0</v>
      </c>
      <c r="S14" s="97">
        <v>0.80000000999999998</v>
      </c>
      <c r="T14" s="97">
        <v>0.14285714999999999</v>
      </c>
      <c r="U14" s="97">
        <v>0.25</v>
      </c>
      <c r="V14" s="97">
        <v>0.66666669000000001</v>
      </c>
      <c r="W14" s="97">
        <v>0.5</v>
      </c>
      <c r="X14" s="97">
        <v>0</v>
      </c>
      <c r="Y14" s="97">
        <v>0</v>
      </c>
      <c r="Z14" s="97">
        <v>0.60000001999999997</v>
      </c>
      <c r="AA14" s="97">
        <v>0</v>
      </c>
      <c r="AB14" s="97">
        <v>0</v>
      </c>
      <c r="AC14" s="97">
        <v>0</v>
      </c>
      <c r="AD14" s="97">
        <v>0.71428572999999995</v>
      </c>
      <c r="AE14" s="97">
        <v>0.40000001000000002</v>
      </c>
      <c r="AF14" s="97">
        <v>0.16666666999999999</v>
      </c>
    </row>
    <row r="15" spans="1:33" s="153" customFormat="1" ht="20.25" customHeight="1" x14ac:dyDescent="0.25">
      <c r="A15" s="95">
        <v>7</v>
      </c>
      <c r="B15" s="151" t="s">
        <v>60</v>
      </c>
      <c r="C15" s="176">
        <v>0.87851040000000002</v>
      </c>
      <c r="D15" s="176">
        <v>1</v>
      </c>
      <c r="E15" s="176">
        <v>0</v>
      </c>
      <c r="F15" s="176">
        <v>1</v>
      </c>
      <c r="G15" s="91">
        <v>0.83333330999999999</v>
      </c>
      <c r="H15" s="91">
        <v>1</v>
      </c>
      <c r="I15" s="91">
        <v>0.55555558000000005</v>
      </c>
      <c r="J15" s="91">
        <v>1</v>
      </c>
      <c r="K15" s="91">
        <v>1</v>
      </c>
      <c r="L15" s="91">
        <v>1</v>
      </c>
      <c r="M15" s="91">
        <v>0.60000001999999997</v>
      </c>
      <c r="N15" s="91">
        <v>0</v>
      </c>
      <c r="O15" s="91">
        <v>0.89999998000000003</v>
      </c>
      <c r="P15" s="91">
        <v>1</v>
      </c>
      <c r="Q15" s="91">
        <v>1</v>
      </c>
      <c r="R15" s="91">
        <v>1</v>
      </c>
      <c r="S15" s="91">
        <v>1</v>
      </c>
      <c r="T15" s="91">
        <v>1</v>
      </c>
      <c r="U15" s="91">
        <v>1</v>
      </c>
      <c r="V15" s="91">
        <v>1</v>
      </c>
      <c r="W15" s="91">
        <v>1</v>
      </c>
      <c r="X15" s="91">
        <v>0.83333330999999999</v>
      </c>
      <c r="Y15" s="91">
        <v>0.42857142999999998</v>
      </c>
      <c r="Z15" s="91">
        <v>1</v>
      </c>
      <c r="AA15" s="91">
        <v>1</v>
      </c>
      <c r="AB15" s="91">
        <v>0.83333330999999999</v>
      </c>
      <c r="AC15" s="91">
        <v>1</v>
      </c>
      <c r="AD15" s="91">
        <v>0.85714287</v>
      </c>
      <c r="AE15" s="91">
        <v>1</v>
      </c>
      <c r="AF15" s="91">
        <v>1</v>
      </c>
    </row>
    <row r="16" spans="1:33" s="153" customFormat="1" ht="20.25" customHeight="1" x14ac:dyDescent="0.25">
      <c r="A16" s="96">
        <v>8</v>
      </c>
      <c r="B16" s="152" t="s">
        <v>63</v>
      </c>
      <c r="C16" s="177">
        <v>0.66370580000000001</v>
      </c>
      <c r="D16" s="177">
        <v>0.8</v>
      </c>
      <c r="E16" s="177">
        <v>0</v>
      </c>
      <c r="F16" s="177">
        <v>1</v>
      </c>
      <c r="G16" s="97">
        <v>0.83333330999999999</v>
      </c>
      <c r="H16" s="97">
        <v>0.83333330999999999</v>
      </c>
      <c r="I16" s="97">
        <v>1</v>
      </c>
      <c r="J16" s="97">
        <v>0.80000000999999998</v>
      </c>
      <c r="K16" s="97">
        <v>1</v>
      </c>
      <c r="L16" s="97">
        <v>0.1</v>
      </c>
      <c r="M16" s="97">
        <v>0.2</v>
      </c>
      <c r="N16" s="97">
        <v>0</v>
      </c>
      <c r="O16" s="97">
        <v>0.5</v>
      </c>
      <c r="P16" s="97">
        <v>1</v>
      </c>
      <c r="Q16" s="97">
        <v>0.77777779000000002</v>
      </c>
      <c r="R16" s="97">
        <v>0</v>
      </c>
      <c r="S16" s="97">
        <v>0.80000000999999998</v>
      </c>
      <c r="T16" s="97">
        <v>0.57142859999999995</v>
      </c>
      <c r="U16" s="97">
        <v>0.75</v>
      </c>
      <c r="V16" s="97">
        <v>1</v>
      </c>
      <c r="W16" s="97">
        <v>1</v>
      </c>
      <c r="X16" s="97">
        <v>0.16666666999999999</v>
      </c>
      <c r="Y16" s="97">
        <v>0.85714287</v>
      </c>
      <c r="Z16" s="97">
        <v>1</v>
      </c>
      <c r="AA16" s="97">
        <v>0.2</v>
      </c>
      <c r="AB16" s="97">
        <v>0.66666669000000001</v>
      </c>
      <c r="AC16" s="97">
        <v>0.40000001000000002</v>
      </c>
      <c r="AD16" s="97">
        <v>1</v>
      </c>
      <c r="AE16" s="97">
        <v>0.80000000999999998</v>
      </c>
      <c r="AF16" s="97">
        <v>1</v>
      </c>
    </row>
    <row r="17" spans="1:32" s="153" customFormat="1" ht="20.25" customHeight="1" x14ac:dyDescent="0.25">
      <c r="A17" s="95">
        <v>9</v>
      </c>
      <c r="B17" s="151" t="s">
        <v>66</v>
      </c>
      <c r="C17" s="176">
        <v>0.8194903</v>
      </c>
      <c r="D17" s="176">
        <v>0.85714290000000004</v>
      </c>
      <c r="E17" s="176">
        <v>0.1666667</v>
      </c>
      <c r="F17" s="176">
        <v>1</v>
      </c>
      <c r="G17" s="91">
        <v>1</v>
      </c>
      <c r="H17" s="91">
        <v>1</v>
      </c>
      <c r="I17" s="91">
        <v>0.77777779000000002</v>
      </c>
      <c r="J17" s="91">
        <v>0.40000001000000002</v>
      </c>
      <c r="K17" s="91">
        <v>0.85714287</v>
      </c>
      <c r="L17" s="91">
        <v>1</v>
      </c>
      <c r="M17" s="91">
        <v>1</v>
      </c>
      <c r="N17" s="91">
        <v>0.77777779000000002</v>
      </c>
      <c r="O17" s="91">
        <v>0.89999998000000003</v>
      </c>
      <c r="P17" s="91">
        <v>1</v>
      </c>
      <c r="Q17" s="91">
        <v>0.66666669000000001</v>
      </c>
      <c r="R17" s="91">
        <v>0.75</v>
      </c>
      <c r="S17" s="91">
        <v>1</v>
      </c>
      <c r="T17" s="91">
        <v>0.71428572999999995</v>
      </c>
      <c r="U17" s="91">
        <v>0.625</v>
      </c>
      <c r="V17" s="91">
        <v>0.5</v>
      </c>
      <c r="W17" s="91">
        <v>1</v>
      </c>
      <c r="X17" s="91">
        <v>0.16666666999999999</v>
      </c>
      <c r="Y17" s="91">
        <v>0.85714287</v>
      </c>
      <c r="Z17" s="91">
        <v>1</v>
      </c>
      <c r="AA17" s="91">
        <v>0.80000000999999998</v>
      </c>
      <c r="AB17" s="91">
        <v>1</v>
      </c>
      <c r="AC17" s="91">
        <v>1</v>
      </c>
      <c r="AD17" s="91">
        <v>0.71428572999999995</v>
      </c>
      <c r="AE17" s="91">
        <v>0.80000000999999998</v>
      </c>
      <c r="AF17" s="91">
        <v>1</v>
      </c>
    </row>
    <row r="18" spans="1:32" s="119" customFormat="1" ht="20.25" customHeight="1" x14ac:dyDescent="0.25">
      <c r="A18" s="534" t="s">
        <v>802</v>
      </c>
      <c r="B18" s="534"/>
      <c r="C18" s="175">
        <v>0.62382159999999998</v>
      </c>
      <c r="D18" s="175">
        <v>0.65</v>
      </c>
      <c r="E18" s="175">
        <v>0.1593137</v>
      </c>
      <c r="F18" s="175">
        <v>0.91013069999999996</v>
      </c>
      <c r="G18" s="89">
        <v>0.67401962999999998</v>
      </c>
      <c r="H18" s="89">
        <v>0.59313726</v>
      </c>
      <c r="I18" s="89">
        <v>0.55228758</v>
      </c>
      <c r="J18" s="89">
        <v>0.56176472</v>
      </c>
      <c r="K18" s="89">
        <v>0.53361343999999999</v>
      </c>
      <c r="L18" s="89">
        <v>0.5</v>
      </c>
      <c r="M18" s="89">
        <v>0.57941175</v>
      </c>
      <c r="N18" s="89">
        <v>0.34640524</v>
      </c>
      <c r="O18" s="89">
        <v>0.72058820999999995</v>
      </c>
      <c r="P18" s="89">
        <v>0.80882352999999996</v>
      </c>
      <c r="Q18" s="89">
        <v>0.91013074000000005</v>
      </c>
      <c r="R18" s="89">
        <v>0.51838236999999998</v>
      </c>
      <c r="S18" s="89">
        <v>0.87647056999999995</v>
      </c>
      <c r="T18" s="89">
        <v>0.67857140000000005</v>
      </c>
      <c r="U18" s="89">
        <v>0.72794115999999998</v>
      </c>
      <c r="V18" s="89">
        <v>0.77450978999999998</v>
      </c>
      <c r="W18" s="89">
        <v>0.72794115999999998</v>
      </c>
      <c r="X18" s="89">
        <v>0.15931371999999999</v>
      </c>
      <c r="Y18" s="89">
        <v>0.43907562</v>
      </c>
      <c r="Z18" s="89">
        <v>0.63235295000000002</v>
      </c>
      <c r="AA18" s="89">
        <v>0.41470586999999998</v>
      </c>
      <c r="AB18" s="89">
        <v>0.67401962999999998</v>
      </c>
      <c r="AC18" s="89">
        <v>0.66764705999999996</v>
      </c>
      <c r="AD18" s="89">
        <v>0.78991597999999996</v>
      </c>
      <c r="AE18" s="89">
        <v>0.73823528999999999</v>
      </c>
      <c r="AF18" s="89">
        <v>0.62009804999999996</v>
      </c>
    </row>
    <row r="19" spans="1:32" s="150" customFormat="1" ht="20.25" customHeight="1" x14ac:dyDescent="0.25">
      <c r="A19" s="95">
        <v>1</v>
      </c>
      <c r="B19" s="151" t="s">
        <v>70</v>
      </c>
      <c r="C19" s="176">
        <v>0.8084249</v>
      </c>
      <c r="D19" s="176">
        <v>0.8</v>
      </c>
      <c r="E19" s="176">
        <v>0.4</v>
      </c>
      <c r="F19" s="176">
        <v>1</v>
      </c>
      <c r="G19" s="91">
        <v>0.66666669000000001</v>
      </c>
      <c r="H19" s="91">
        <v>0.66666669000000001</v>
      </c>
      <c r="I19" s="91">
        <v>0.66666669000000001</v>
      </c>
      <c r="J19" s="91">
        <v>0.40000001000000002</v>
      </c>
      <c r="K19" s="91">
        <v>0.85714287</v>
      </c>
      <c r="L19" s="91">
        <v>0.69999999000000002</v>
      </c>
      <c r="M19" s="91">
        <v>0.40000001000000002</v>
      </c>
      <c r="N19" s="91">
        <v>1</v>
      </c>
      <c r="O19" s="91">
        <v>0.80000000999999998</v>
      </c>
      <c r="P19" s="91">
        <v>0.66666669000000001</v>
      </c>
      <c r="Q19" s="91">
        <v>1</v>
      </c>
      <c r="R19" s="91">
        <v>1</v>
      </c>
      <c r="S19" s="91">
        <v>1</v>
      </c>
      <c r="T19" s="91">
        <v>0.71428572999999995</v>
      </c>
      <c r="U19" s="91">
        <v>0.75</v>
      </c>
      <c r="V19" s="91">
        <v>1</v>
      </c>
      <c r="W19" s="91">
        <v>0.75</v>
      </c>
      <c r="X19" s="91">
        <v>0.83333330999999999</v>
      </c>
      <c r="Y19" s="91">
        <v>1</v>
      </c>
      <c r="Z19" s="91">
        <v>1</v>
      </c>
      <c r="AA19" s="91">
        <v>0.80000000999999998</v>
      </c>
      <c r="AB19" s="91">
        <v>1</v>
      </c>
      <c r="AC19" s="91">
        <v>0.80000000999999998</v>
      </c>
      <c r="AD19" s="91">
        <v>0.71428572999999995</v>
      </c>
      <c r="AE19" s="91">
        <v>1</v>
      </c>
      <c r="AF19" s="91">
        <v>0.83333330999999999</v>
      </c>
    </row>
    <row r="20" spans="1:32" s="150" customFormat="1" ht="20.25" customHeight="1" x14ac:dyDescent="0.25">
      <c r="A20" s="96">
        <v>2</v>
      </c>
      <c r="B20" s="152" t="s">
        <v>73</v>
      </c>
      <c r="C20" s="177">
        <v>0.81579670000000004</v>
      </c>
      <c r="D20" s="177">
        <v>0.9375</v>
      </c>
      <c r="E20" s="177">
        <v>0</v>
      </c>
      <c r="F20" s="177">
        <v>1</v>
      </c>
      <c r="G20" s="97">
        <v>0.83333330999999999</v>
      </c>
      <c r="H20" s="97">
        <v>0.33333333999999998</v>
      </c>
      <c r="I20" s="97">
        <v>0.33333333999999998</v>
      </c>
      <c r="J20" s="97">
        <v>0.80000000999999998</v>
      </c>
      <c r="K20" s="97">
        <v>0.71428572999999995</v>
      </c>
      <c r="L20" s="97">
        <v>0.40000001000000002</v>
      </c>
      <c r="M20" s="97">
        <v>1</v>
      </c>
      <c r="N20" s="97">
        <v>1</v>
      </c>
      <c r="O20" s="97">
        <v>0.80000000999999998</v>
      </c>
      <c r="P20" s="97">
        <v>1</v>
      </c>
      <c r="Q20" s="97">
        <v>1</v>
      </c>
      <c r="R20" s="97">
        <v>0.875</v>
      </c>
      <c r="S20" s="97">
        <v>1</v>
      </c>
      <c r="T20" s="97">
        <v>0.71428572999999995</v>
      </c>
      <c r="U20" s="97">
        <v>1</v>
      </c>
      <c r="V20" s="97">
        <v>1</v>
      </c>
      <c r="W20" s="97">
        <v>0.75</v>
      </c>
      <c r="X20" s="97">
        <v>0</v>
      </c>
      <c r="Y20" s="97">
        <v>0.85714287</v>
      </c>
      <c r="Z20" s="97">
        <v>1</v>
      </c>
      <c r="AA20" s="97">
        <v>0.80000000999999998</v>
      </c>
      <c r="AB20" s="97">
        <v>1</v>
      </c>
      <c r="AC20" s="97">
        <v>1</v>
      </c>
      <c r="AD20" s="97">
        <v>1</v>
      </c>
      <c r="AE20" s="97">
        <v>1</v>
      </c>
      <c r="AF20" s="97">
        <v>1</v>
      </c>
    </row>
    <row r="21" spans="1:32" s="150" customFormat="1" ht="20.25" customHeight="1" x14ac:dyDescent="0.25">
      <c r="A21" s="95">
        <v>3</v>
      </c>
      <c r="B21" s="151" t="s">
        <v>76</v>
      </c>
      <c r="C21" s="176">
        <v>0.45288460000000003</v>
      </c>
      <c r="D21" s="176">
        <v>0.40714280000000003</v>
      </c>
      <c r="E21" s="176">
        <v>2.3809500000000001E-2</v>
      </c>
      <c r="F21" s="176">
        <v>0.86111110000000002</v>
      </c>
      <c r="G21" s="91">
        <v>0.22222222</v>
      </c>
      <c r="H21" s="91">
        <v>0.16666666999999999</v>
      </c>
      <c r="I21" s="91">
        <v>0.53703701999999998</v>
      </c>
      <c r="J21" s="91">
        <v>0.23333333000000001</v>
      </c>
      <c r="K21" s="91">
        <v>0.23809524000000001</v>
      </c>
      <c r="L21" s="91">
        <v>0.43333334000000001</v>
      </c>
      <c r="M21" s="91">
        <v>0.23333333000000001</v>
      </c>
      <c r="N21" s="91">
        <v>0.25925925</v>
      </c>
      <c r="O21" s="91">
        <v>0.68333334000000001</v>
      </c>
      <c r="P21" s="91">
        <v>0.36111110000000002</v>
      </c>
      <c r="Q21" s="91">
        <v>0.75925927999999998</v>
      </c>
      <c r="R21" s="91">
        <v>0.70833330999999999</v>
      </c>
      <c r="S21" s="91">
        <v>0.80000000999999998</v>
      </c>
      <c r="T21" s="91">
        <v>0.38095238999999997</v>
      </c>
      <c r="U21" s="91">
        <v>0.5</v>
      </c>
      <c r="V21" s="91">
        <v>0.86111110000000002</v>
      </c>
      <c r="W21" s="91">
        <v>0.66666669000000001</v>
      </c>
      <c r="X21" s="91">
        <v>0.13888890000000001</v>
      </c>
      <c r="Y21" s="91">
        <v>2.3809520000000001E-2</v>
      </c>
      <c r="Z21" s="91">
        <v>0.30000000999999998</v>
      </c>
      <c r="AA21" s="91">
        <v>0.33333333999999998</v>
      </c>
      <c r="AB21" s="91">
        <v>0.5</v>
      </c>
      <c r="AC21" s="91">
        <v>0.36666666999999997</v>
      </c>
      <c r="AD21" s="91">
        <v>0.85714287</v>
      </c>
      <c r="AE21" s="91">
        <v>0.76666665000000001</v>
      </c>
      <c r="AF21" s="91">
        <v>0.44444444999999999</v>
      </c>
    </row>
    <row r="22" spans="1:32" s="150" customFormat="1" ht="20.25" customHeight="1" x14ac:dyDescent="0.25">
      <c r="A22" s="96">
        <v>4</v>
      </c>
      <c r="B22" s="152" t="s">
        <v>83</v>
      </c>
      <c r="C22" s="177">
        <v>0.54725279999999998</v>
      </c>
      <c r="D22" s="177">
        <v>0.52083330000000005</v>
      </c>
      <c r="E22" s="177">
        <v>0.1666667</v>
      </c>
      <c r="F22" s="177">
        <v>0.96428570000000002</v>
      </c>
      <c r="G22" s="97">
        <v>0.375</v>
      </c>
      <c r="H22" s="97">
        <v>0.5</v>
      </c>
      <c r="I22" s="97">
        <v>0.47222220999999998</v>
      </c>
      <c r="J22" s="97">
        <v>0.5</v>
      </c>
      <c r="K22" s="97">
        <v>0.28571429999999998</v>
      </c>
      <c r="L22" s="97">
        <v>0.64999998000000003</v>
      </c>
      <c r="M22" s="97">
        <v>0.2</v>
      </c>
      <c r="N22" s="97">
        <v>0.22222222</v>
      </c>
      <c r="O22" s="97">
        <v>0.72500001999999997</v>
      </c>
      <c r="P22" s="97">
        <v>0.54166669000000001</v>
      </c>
      <c r="Q22" s="97">
        <v>0.88888889999999998</v>
      </c>
      <c r="R22" s="97">
        <v>0.8125</v>
      </c>
      <c r="S22" s="97">
        <v>0.69999999000000002</v>
      </c>
      <c r="T22" s="97">
        <v>0.96428572999999995</v>
      </c>
      <c r="U22" s="97">
        <v>0.4375</v>
      </c>
      <c r="V22" s="97">
        <v>0.875</v>
      </c>
      <c r="W22" s="97">
        <v>0.75</v>
      </c>
      <c r="X22" s="97">
        <v>0.16666666999999999</v>
      </c>
      <c r="Y22" s="97">
        <v>0.21428572000000001</v>
      </c>
      <c r="Z22" s="97">
        <v>0.69999999000000002</v>
      </c>
      <c r="AA22" s="97">
        <v>0.44999999000000002</v>
      </c>
      <c r="AB22" s="97">
        <v>0.79166669000000001</v>
      </c>
      <c r="AC22" s="97">
        <v>0.2</v>
      </c>
      <c r="AD22" s="97">
        <v>0.71428572999999995</v>
      </c>
      <c r="AE22" s="97">
        <v>0.80000000999999998</v>
      </c>
      <c r="AF22" s="97">
        <v>0.29166666000000002</v>
      </c>
    </row>
    <row r="23" spans="1:32" s="150" customFormat="1" ht="20.25" customHeight="1" x14ac:dyDescent="0.25">
      <c r="A23" s="95">
        <v>5</v>
      </c>
      <c r="B23" s="151" t="s">
        <v>88</v>
      </c>
      <c r="C23" s="176">
        <v>0.70792509999999997</v>
      </c>
      <c r="D23" s="176">
        <v>0.75</v>
      </c>
      <c r="E23" s="176">
        <v>0.25</v>
      </c>
      <c r="F23" s="176">
        <v>1</v>
      </c>
      <c r="G23" s="91">
        <v>0.75</v>
      </c>
      <c r="H23" s="91">
        <v>0.95833330999999999</v>
      </c>
      <c r="I23" s="91">
        <v>0.75</v>
      </c>
      <c r="J23" s="91">
        <v>0.55000000999999998</v>
      </c>
      <c r="K23" s="91">
        <v>0.78571427000000005</v>
      </c>
      <c r="L23" s="91">
        <v>0.42500000999999998</v>
      </c>
      <c r="M23" s="91">
        <v>0.75</v>
      </c>
      <c r="N23" s="91">
        <v>0.52777779000000002</v>
      </c>
      <c r="O23" s="91">
        <v>0.77499998000000003</v>
      </c>
      <c r="P23" s="91">
        <v>1</v>
      </c>
      <c r="Q23" s="91">
        <v>0.91666669000000001</v>
      </c>
      <c r="R23" s="91">
        <v>0.625</v>
      </c>
      <c r="S23" s="91">
        <v>0.80000000999999998</v>
      </c>
      <c r="T23" s="91">
        <v>0.60714287</v>
      </c>
      <c r="U23" s="91">
        <v>0.96875</v>
      </c>
      <c r="V23" s="91">
        <v>0.5</v>
      </c>
      <c r="W23" s="91">
        <v>0.75</v>
      </c>
      <c r="X23" s="91">
        <v>0.25</v>
      </c>
      <c r="Y23" s="91">
        <v>0.60714287</v>
      </c>
      <c r="Z23" s="91">
        <v>0.69999999000000002</v>
      </c>
      <c r="AA23" s="91">
        <v>0.40000001000000002</v>
      </c>
      <c r="AB23" s="91">
        <v>0.79166669000000001</v>
      </c>
      <c r="AC23" s="91">
        <v>0.94999999000000002</v>
      </c>
      <c r="AD23" s="91">
        <v>0.89285713</v>
      </c>
      <c r="AE23" s="91">
        <v>0.75</v>
      </c>
      <c r="AF23" s="91">
        <v>0.625</v>
      </c>
    </row>
    <row r="24" spans="1:32" s="150" customFormat="1" ht="20.25" customHeight="1" x14ac:dyDescent="0.25">
      <c r="A24" s="96">
        <v>6</v>
      </c>
      <c r="B24" s="152" t="s">
        <v>94</v>
      </c>
      <c r="C24" s="177">
        <v>0.93199019999999999</v>
      </c>
      <c r="D24" s="177">
        <v>1</v>
      </c>
      <c r="E24" s="177">
        <v>0.42857139999999999</v>
      </c>
      <c r="F24" s="177">
        <v>1</v>
      </c>
      <c r="G24" s="97">
        <v>0.83333330999999999</v>
      </c>
      <c r="H24" s="97">
        <v>0.83333330999999999</v>
      </c>
      <c r="I24" s="97">
        <v>0.88888889999999998</v>
      </c>
      <c r="J24" s="97">
        <v>1</v>
      </c>
      <c r="K24" s="97">
        <v>0.71428572999999995</v>
      </c>
      <c r="L24" s="97">
        <v>0.89999998000000003</v>
      </c>
      <c r="M24" s="97">
        <v>1</v>
      </c>
      <c r="N24" s="97">
        <v>1</v>
      </c>
      <c r="O24" s="97">
        <v>1</v>
      </c>
      <c r="P24" s="97">
        <v>1</v>
      </c>
      <c r="Q24" s="97">
        <v>1</v>
      </c>
      <c r="R24" s="97">
        <v>1</v>
      </c>
      <c r="S24" s="97">
        <v>1</v>
      </c>
      <c r="T24" s="97">
        <v>1</v>
      </c>
      <c r="U24" s="97">
        <v>1</v>
      </c>
      <c r="V24" s="97">
        <v>1</v>
      </c>
      <c r="W24" s="97">
        <v>1</v>
      </c>
      <c r="X24" s="97">
        <v>0.83333330999999999</v>
      </c>
      <c r="Y24" s="97">
        <v>0.42857142999999998</v>
      </c>
      <c r="Z24" s="97">
        <v>1</v>
      </c>
      <c r="AA24" s="97">
        <v>0.80000000999999998</v>
      </c>
      <c r="AB24" s="97">
        <v>1</v>
      </c>
      <c r="AC24" s="97">
        <v>1</v>
      </c>
      <c r="AD24" s="97">
        <v>1</v>
      </c>
      <c r="AE24" s="97">
        <v>1</v>
      </c>
      <c r="AF24" s="97">
        <v>1</v>
      </c>
    </row>
    <row r="25" spans="1:32" s="150" customFormat="1" ht="20.25" customHeight="1" x14ac:dyDescent="0.25">
      <c r="A25" s="95">
        <v>7</v>
      </c>
      <c r="B25" s="151" t="s">
        <v>96</v>
      </c>
      <c r="C25" s="176">
        <v>0.65079370000000003</v>
      </c>
      <c r="D25" s="176">
        <v>0.75</v>
      </c>
      <c r="E25" s="176">
        <v>0</v>
      </c>
      <c r="F25" s="176">
        <v>1</v>
      </c>
      <c r="G25" s="91">
        <v>0.83333330999999999</v>
      </c>
      <c r="H25" s="91">
        <v>0.83333330999999999</v>
      </c>
      <c r="I25" s="91">
        <v>0.55555558000000005</v>
      </c>
      <c r="J25" s="91">
        <v>0.40000001000000002</v>
      </c>
      <c r="K25" s="91">
        <v>0.42857142999999998</v>
      </c>
      <c r="L25" s="91">
        <v>0.60000001999999997</v>
      </c>
      <c r="M25" s="91">
        <v>0.80000000999999998</v>
      </c>
      <c r="N25" s="91">
        <v>0.11111111</v>
      </c>
      <c r="O25" s="91">
        <v>0.60000001999999997</v>
      </c>
      <c r="P25" s="91">
        <v>1</v>
      </c>
      <c r="Q25" s="91">
        <v>0.77777779000000002</v>
      </c>
      <c r="R25" s="91">
        <v>0.75</v>
      </c>
      <c r="S25" s="91">
        <v>0.80000000999999998</v>
      </c>
      <c r="T25" s="91">
        <v>0.85714287</v>
      </c>
      <c r="U25" s="91">
        <v>0.75</v>
      </c>
      <c r="V25" s="91">
        <v>1</v>
      </c>
      <c r="W25" s="91">
        <v>1</v>
      </c>
      <c r="X25" s="91">
        <v>0</v>
      </c>
      <c r="Y25" s="91">
        <v>0.57142859999999995</v>
      </c>
      <c r="Z25" s="91">
        <v>0.80000000999999998</v>
      </c>
      <c r="AA25" s="91">
        <v>0.80000000999999998</v>
      </c>
      <c r="AB25" s="91">
        <v>0.66666669000000001</v>
      </c>
      <c r="AC25" s="91">
        <v>0.80000000999999998</v>
      </c>
      <c r="AD25" s="91">
        <v>0.28571429999999998</v>
      </c>
      <c r="AE25" s="91">
        <v>0.40000001000000002</v>
      </c>
      <c r="AF25" s="91">
        <v>0.5</v>
      </c>
    </row>
    <row r="26" spans="1:32" s="150" customFormat="1" ht="30" x14ac:dyDescent="0.25">
      <c r="A26" s="96">
        <v>8</v>
      </c>
      <c r="B26" s="152" t="s">
        <v>1440</v>
      </c>
      <c r="C26" s="177">
        <v>0.48130339999999999</v>
      </c>
      <c r="D26" s="177">
        <v>0.46428570000000002</v>
      </c>
      <c r="E26" s="177">
        <v>0</v>
      </c>
      <c r="F26" s="177">
        <v>1</v>
      </c>
      <c r="G26" s="97">
        <v>0.83333330999999999</v>
      </c>
      <c r="H26" s="97">
        <v>0.66666669000000001</v>
      </c>
      <c r="I26" s="97">
        <v>0.33333333999999998</v>
      </c>
      <c r="J26" s="97">
        <v>1</v>
      </c>
      <c r="K26" s="97">
        <v>0</v>
      </c>
      <c r="L26" s="97">
        <v>0.2</v>
      </c>
      <c r="M26" s="97">
        <v>0</v>
      </c>
      <c r="N26" s="97">
        <v>0.11111111</v>
      </c>
      <c r="O26" s="97">
        <v>0.80000000999999998</v>
      </c>
      <c r="P26" s="97">
        <v>0.33333333999999998</v>
      </c>
      <c r="Q26" s="97">
        <v>0.77777779000000002</v>
      </c>
      <c r="R26" s="97">
        <v>0.25</v>
      </c>
      <c r="S26" s="97">
        <v>1</v>
      </c>
      <c r="T26" s="97">
        <v>0.42857142999999998</v>
      </c>
      <c r="U26" s="97">
        <v>0.625</v>
      </c>
      <c r="V26" s="97">
        <v>0.5</v>
      </c>
      <c r="W26" s="97">
        <v>0.75</v>
      </c>
      <c r="X26" s="97">
        <v>0</v>
      </c>
      <c r="Y26" s="97">
        <v>0.71428572999999995</v>
      </c>
      <c r="Z26" s="97">
        <v>0</v>
      </c>
      <c r="AA26" s="97">
        <v>0.40000001000000002</v>
      </c>
      <c r="AB26" s="97">
        <v>0.66666669000000001</v>
      </c>
      <c r="AC26" s="97">
        <v>0.2</v>
      </c>
      <c r="AD26" s="97">
        <v>0.85714287</v>
      </c>
      <c r="AE26" s="97">
        <v>0.40000001000000002</v>
      </c>
      <c r="AF26" s="97">
        <v>0.66666669000000001</v>
      </c>
    </row>
    <row r="27" spans="1:32" s="150" customFormat="1" ht="20.25" customHeight="1" x14ac:dyDescent="0.25">
      <c r="A27" s="95">
        <v>9</v>
      </c>
      <c r="B27" s="151" t="s">
        <v>106</v>
      </c>
      <c r="C27" s="176">
        <v>0.55943229999999999</v>
      </c>
      <c r="D27" s="176">
        <v>0.6</v>
      </c>
      <c r="E27" s="176">
        <v>0</v>
      </c>
      <c r="F27" s="176">
        <v>1</v>
      </c>
      <c r="G27" s="91">
        <v>0.66666669000000001</v>
      </c>
      <c r="H27" s="91">
        <v>0.16666666999999999</v>
      </c>
      <c r="I27" s="91">
        <v>0.33333333999999998</v>
      </c>
      <c r="J27" s="91">
        <v>0.40000001000000002</v>
      </c>
      <c r="K27" s="91">
        <v>0.57142859999999995</v>
      </c>
      <c r="L27" s="91">
        <v>0.5</v>
      </c>
      <c r="M27" s="91">
        <v>0.60000001999999997</v>
      </c>
      <c r="N27" s="91">
        <v>0</v>
      </c>
      <c r="O27" s="91">
        <v>0.60000001999999997</v>
      </c>
      <c r="P27" s="91">
        <v>0.66666669000000001</v>
      </c>
      <c r="Q27" s="91">
        <v>1</v>
      </c>
      <c r="R27" s="91">
        <v>0.125</v>
      </c>
      <c r="S27" s="91">
        <v>1</v>
      </c>
      <c r="T27" s="91">
        <v>0.85714287</v>
      </c>
      <c r="U27" s="91">
        <v>0.625</v>
      </c>
      <c r="V27" s="91">
        <v>1</v>
      </c>
      <c r="W27" s="91">
        <v>0.5</v>
      </c>
      <c r="X27" s="91">
        <v>0</v>
      </c>
      <c r="Y27" s="91">
        <v>0</v>
      </c>
      <c r="Z27" s="91">
        <v>0.80000000999999998</v>
      </c>
      <c r="AA27" s="91">
        <v>0.2</v>
      </c>
      <c r="AB27" s="91">
        <v>0.5</v>
      </c>
      <c r="AC27" s="91">
        <v>0.60000001999999997</v>
      </c>
      <c r="AD27" s="91">
        <v>1</v>
      </c>
      <c r="AE27" s="91">
        <v>1</v>
      </c>
      <c r="AF27" s="91">
        <v>0.83333330999999999</v>
      </c>
    </row>
    <row r="28" spans="1:32" s="150" customFormat="1" ht="20.25" customHeight="1" x14ac:dyDescent="0.25">
      <c r="A28" s="96">
        <v>10</v>
      </c>
      <c r="B28" s="152" t="s">
        <v>108</v>
      </c>
      <c r="C28" s="177">
        <v>0.47796090000000002</v>
      </c>
      <c r="D28" s="177">
        <v>0.36666670000000001</v>
      </c>
      <c r="E28" s="177">
        <v>0</v>
      </c>
      <c r="F28" s="177">
        <v>1</v>
      </c>
      <c r="G28" s="97">
        <v>0.66666669000000001</v>
      </c>
      <c r="H28" s="97">
        <v>0.16666666999999999</v>
      </c>
      <c r="I28" s="97">
        <v>0.33333333999999998</v>
      </c>
      <c r="J28" s="97">
        <v>1</v>
      </c>
      <c r="K28" s="97">
        <v>0.14285714999999999</v>
      </c>
      <c r="L28" s="97">
        <v>0.69999999000000002</v>
      </c>
      <c r="M28" s="97">
        <v>0.40000001000000002</v>
      </c>
      <c r="N28" s="97">
        <v>0.22222222</v>
      </c>
      <c r="O28" s="97">
        <v>0.69999999000000002</v>
      </c>
      <c r="P28" s="97">
        <v>1</v>
      </c>
      <c r="Q28" s="97">
        <v>1</v>
      </c>
      <c r="R28" s="97">
        <v>0</v>
      </c>
      <c r="S28" s="97">
        <v>1</v>
      </c>
      <c r="T28" s="97">
        <v>0.57142859999999995</v>
      </c>
      <c r="U28" s="97">
        <v>0.25</v>
      </c>
      <c r="V28" s="97">
        <v>1</v>
      </c>
      <c r="W28" s="97">
        <v>0.75</v>
      </c>
      <c r="X28" s="97">
        <v>0</v>
      </c>
      <c r="Y28" s="97">
        <v>0.57142859999999995</v>
      </c>
      <c r="Z28" s="97">
        <v>0.2</v>
      </c>
      <c r="AA28" s="97">
        <v>0.2</v>
      </c>
      <c r="AB28" s="97">
        <v>0.33333333999999998</v>
      </c>
      <c r="AC28" s="97">
        <v>0.2</v>
      </c>
      <c r="AD28" s="97">
        <v>0.28571429999999998</v>
      </c>
      <c r="AE28" s="97">
        <v>0.40000001000000002</v>
      </c>
      <c r="AF28" s="97">
        <v>0.33333333999999998</v>
      </c>
    </row>
    <row r="29" spans="1:32" s="119" customFormat="1" ht="20.25" customHeight="1" x14ac:dyDescent="0.25">
      <c r="A29" s="534" t="s">
        <v>803</v>
      </c>
      <c r="B29" s="534"/>
      <c r="C29" s="175">
        <v>0.60821780000000003</v>
      </c>
      <c r="D29" s="175">
        <v>0.60568180000000005</v>
      </c>
      <c r="E29" s="175">
        <v>0.34595959999999998</v>
      </c>
      <c r="F29" s="175">
        <v>0.86363639999999997</v>
      </c>
      <c r="G29" s="89">
        <v>0.73295456000000003</v>
      </c>
      <c r="H29" s="89">
        <v>0.52462118999999996</v>
      </c>
      <c r="I29" s="89">
        <v>0.61868685000000001</v>
      </c>
      <c r="J29" s="89">
        <v>0.49545454999999999</v>
      </c>
      <c r="K29" s="89">
        <v>0.55519479999999999</v>
      </c>
      <c r="L29" s="89">
        <v>0.70795452999999997</v>
      </c>
      <c r="M29" s="89">
        <v>0.58636361000000004</v>
      </c>
      <c r="N29" s="89">
        <v>0.34595959999999998</v>
      </c>
      <c r="O29" s="89">
        <v>0.60681819999999997</v>
      </c>
      <c r="P29" s="89">
        <v>0.54166669000000001</v>
      </c>
      <c r="Q29" s="89">
        <v>0.57702023000000002</v>
      </c>
      <c r="R29" s="89">
        <v>0.484375</v>
      </c>
      <c r="S29" s="89">
        <v>0.73181819999999997</v>
      </c>
      <c r="T29" s="89">
        <v>0.66720778000000003</v>
      </c>
      <c r="U29" s="89">
        <v>0.65198862999999996</v>
      </c>
      <c r="V29" s="89">
        <v>0.86363637000000004</v>
      </c>
      <c r="W29" s="89">
        <v>0.66761362999999996</v>
      </c>
      <c r="X29" s="89">
        <v>0.59090905999999999</v>
      </c>
      <c r="Y29" s="89">
        <v>0.49350649000000002</v>
      </c>
      <c r="Z29" s="89">
        <v>0.60454547000000003</v>
      </c>
      <c r="AA29" s="89">
        <v>0.47045453999999998</v>
      </c>
      <c r="AB29" s="89">
        <v>0.67424244</v>
      </c>
      <c r="AC29" s="89">
        <v>0.65681820999999996</v>
      </c>
      <c r="AD29" s="89">
        <v>0.67370129000000001</v>
      </c>
      <c r="AE29" s="89">
        <v>0.71818179000000004</v>
      </c>
      <c r="AF29" s="89">
        <v>0.57196968999999998</v>
      </c>
    </row>
    <row r="30" spans="1:32" s="150" customFormat="1" ht="20.25" customHeight="1" x14ac:dyDescent="0.25">
      <c r="A30" s="95">
        <v>1</v>
      </c>
      <c r="B30" s="151" t="s">
        <v>112</v>
      </c>
      <c r="C30" s="176">
        <v>0.6957875</v>
      </c>
      <c r="D30" s="176">
        <v>0.8</v>
      </c>
      <c r="E30" s="176">
        <v>0.14285709999999999</v>
      </c>
      <c r="F30" s="176">
        <v>1</v>
      </c>
      <c r="G30" s="91">
        <v>1</v>
      </c>
      <c r="H30" s="91">
        <v>0.83333330999999999</v>
      </c>
      <c r="I30" s="91">
        <v>0.44444444999999999</v>
      </c>
      <c r="J30" s="91">
        <v>0.80000000999999998</v>
      </c>
      <c r="K30" s="91">
        <v>0.85714287</v>
      </c>
      <c r="L30" s="91">
        <v>0.89999998000000003</v>
      </c>
      <c r="M30" s="91">
        <v>0.80000000999999998</v>
      </c>
      <c r="N30" s="91">
        <v>0.66666669000000001</v>
      </c>
      <c r="O30" s="91">
        <v>0.80000000999999998</v>
      </c>
      <c r="P30" s="91">
        <v>0.66666669000000001</v>
      </c>
      <c r="Q30" s="91">
        <v>0.88888889999999998</v>
      </c>
      <c r="R30" s="91">
        <v>0.375</v>
      </c>
      <c r="S30" s="91">
        <v>0.80000000999999998</v>
      </c>
      <c r="T30" s="91">
        <v>0.85714287</v>
      </c>
      <c r="U30" s="91">
        <v>0.375</v>
      </c>
      <c r="V30" s="91">
        <v>0.66666669000000001</v>
      </c>
      <c r="W30" s="91">
        <v>0.75</v>
      </c>
      <c r="X30" s="91">
        <v>0.16666666999999999</v>
      </c>
      <c r="Y30" s="91">
        <v>0.14285714999999999</v>
      </c>
      <c r="Z30" s="91">
        <v>0.80000000999999998</v>
      </c>
      <c r="AA30" s="91">
        <v>0.2</v>
      </c>
      <c r="AB30" s="91">
        <v>1</v>
      </c>
      <c r="AC30" s="91">
        <v>0.80000000999999998</v>
      </c>
      <c r="AD30" s="91">
        <v>1</v>
      </c>
      <c r="AE30" s="91">
        <v>1</v>
      </c>
      <c r="AF30" s="91">
        <v>0.5</v>
      </c>
    </row>
    <row r="31" spans="1:32" s="150" customFormat="1" ht="30" x14ac:dyDescent="0.25">
      <c r="A31" s="96">
        <v>2</v>
      </c>
      <c r="B31" s="152" t="s">
        <v>115</v>
      </c>
      <c r="C31" s="177">
        <v>0.53772900000000001</v>
      </c>
      <c r="D31" s="177">
        <v>0.56349210000000005</v>
      </c>
      <c r="E31" s="177">
        <v>0</v>
      </c>
      <c r="F31" s="177">
        <v>1</v>
      </c>
      <c r="G31" s="97">
        <v>0.83333330999999999</v>
      </c>
      <c r="H31" s="97">
        <v>0.5</v>
      </c>
      <c r="I31" s="97">
        <v>0.55555558000000005</v>
      </c>
      <c r="J31" s="97">
        <v>1</v>
      </c>
      <c r="K31" s="97">
        <v>0.57142859999999995</v>
      </c>
      <c r="L31" s="97">
        <v>0.89999998000000003</v>
      </c>
      <c r="M31" s="97">
        <v>0.2</v>
      </c>
      <c r="N31" s="97">
        <v>0</v>
      </c>
      <c r="O31" s="97">
        <v>0</v>
      </c>
      <c r="P31" s="97">
        <v>0.66666669000000001</v>
      </c>
      <c r="Q31" s="97">
        <v>0.44444444999999999</v>
      </c>
      <c r="R31" s="97">
        <v>0</v>
      </c>
      <c r="S31" s="97">
        <v>0.80000000999999998</v>
      </c>
      <c r="T31" s="97">
        <v>0.85714287</v>
      </c>
      <c r="U31" s="97">
        <v>0</v>
      </c>
      <c r="V31" s="97">
        <v>0.83333330999999999</v>
      </c>
      <c r="W31" s="97">
        <v>1</v>
      </c>
      <c r="X31" s="97">
        <v>0</v>
      </c>
      <c r="Y31" s="97">
        <v>0.28571429999999998</v>
      </c>
      <c r="Z31" s="97">
        <v>0.80000000999999998</v>
      </c>
      <c r="AA31" s="97">
        <v>0</v>
      </c>
      <c r="AB31" s="97">
        <v>0.83333330999999999</v>
      </c>
      <c r="AC31" s="97">
        <v>0.40000001000000002</v>
      </c>
      <c r="AD31" s="97">
        <v>1</v>
      </c>
      <c r="AE31" s="97">
        <v>1</v>
      </c>
      <c r="AF31" s="97">
        <v>0.5</v>
      </c>
    </row>
    <row r="32" spans="1:32" s="150" customFormat="1" ht="20.25" customHeight="1" x14ac:dyDescent="0.25">
      <c r="A32" s="95">
        <v>3</v>
      </c>
      <c r="B32" s="151" t="s">
        <v>118</v>
      </c>
      <c r="C32" s="176">
        <v>0.81630040000000004</v>
      </c>
      <c r="D32" s="176">
        <v>0.86607149999999999</v>
      </c>
      <c r="E32" s="176">
        <v>0.28571429999999998</v>
      </c>
      <c r="F32" s="176">
        <v>1</v>
      </c>
      <c r="G32" s="91">
        <v>1</v>
      </c>
      <c r="H32" s="91">
        <v>1</v>
      </c>
      <c r="I32" s="91">
        <v>0.88888889999999998</v>
      </c>
      <c r="J32" s="91">
        <v>1</v>
      </c>
      <c r="K32" s="91">
        <v>0.71428572999999995</v>
      </c>
      <c r="L32" s="91">
        <v>0.60000001999999997</v>
      </c>
      <c r="M32" s="91">
        <v>0.80000000999999998</v>
      </c>
      <c r="N32" s="91">
        <v>0.55555558000000005</v>
      </c>
      <c r="O32" s="91">
        <v>0.5</v>
      </c>
      <c r="P32" s="91">
        <v>0.83333330999999999</v>
      </c>
      <c r="Q32" s="91">
        <v>0.88888889999999998</v>
      </c>
      <c r="R32" s="91">
        <v>0.875</v>
      </c>
      <c r="S32" s="91">
        <v>1</v>
      </c>
      <c r="T32" s="91">
        <v>0.85714287</v>
      </c>
      <c r="U32" s="91">
        <v>0.875</v>
      </c>
      <c r="V32" s="91">
        <v>1</v>
      </c>
      <c r="W32" s="91">
        <v>0.75</v>
      </c>
      <c r="X32" s="91">
        <v>0.5</v>
      </c>
      <c r="Y32" s="91">
        <v>0.28571429999999998</v>
      </c>
      <c r="Z32" s="91">
        <v>1</v>
      </c>
      <c r="AA32" s="91">
        <v>1</v>
      </c>
      <c r="AB32" s="91">
        <v>0.83333330999999999</v>
      </c>
      <c r="AC32" s="91">
        <v>0.80000000999999998</v>
      </c>
      <c r="AD32" s="91">
        <v>1</v>
      </c>
      <c r="AE32" s="91">
        <v>1</v>
      </c>
      <c r="AF32" s="91">
        <v>0.66666669000000001</v>
      </c>
    </row>
    <row r="33" spans="1:32" s="150" customFormat="1" ht="20.25" customHeight="1" x14ac:dyDescent="0.25">
      <c r="A33" s="96">
        <v>4</v>
      </c>
      <c r="B33" s="152" t="s">
        <v>121</v>
      </c>
      <c r="C33" s="177">
        <v>0.51205990000000001</v>
      </c>
      <c r="D33" s="177">
        <v>0.52777779999999996</v>
      </c>
      <c r="E33" s="177">
        <v>2.3809500000000001E-2</v>
      </c>
      <c r="F33" s="177">
        <v>1</v>
      </c>
      <c r="G33" s="97">
        <v>0.69444441999999995</v>
      </c>
      <c r="H33" s="97">
        <v>0.38888889999999998</v>
      </c>
      <c r="I33" s="97">
        <v>0.64814811999999999</v>
      </c>
      <c r="J33" s="97">
        <v>0.66666669000000001</v>
      </c>
      <c r="K33" s="97">
        <v>0.45238096</v>
      </c>
      <c r="L33" s="97">
        <v>0.86666666999999997</v>
      </c>
      <c r="M33" s="97">
        <v>0.40000001000000002</v>
      </c>
      <c r="N33" s="97">
        <v>0.25925925</v>
      </c>
      <c r="O33" s="97">
        <v>0.31666665999999999</v>
      </c>
      <c r="P33" s="97">
        <v>0.58333330999999999</v>
      </c>
      <c r="Q33" s="97">
        <v>0.66666669000000001</v>
      </c>
      <c r="R33" s="97">
        <v>8.3333340000000006E-2</v>
      </c>
      <c r="S33" s="97">
        <v>0.80000000999999998</v>
      </c>
      <c r="T33" s="97">
        <v>0.35714287</v>
      </c>
      <c r="U33" s="97">
        <v>0.89583330999999999</v>
      </c>
      <c r="V33" s="97">
        <v>0.94444441999999995</v>
      </c>
      <c r="W33" s="97">
        <v>0.33333333999999998</v>
      </c>
      <c r="X33" s="97">
        <v>5.5555559999999997E-2</v>
      </c>
      <c r="Y33" s="97">
        <v>2.3809520000000001E-2</v>
      </c>
      <c r="Z33" s="97">
        <v>3.3333340000000003E-2</v>
      </c>
      <c r="AA33" s="97">
        <v>0.16666666999999999</v>
      </c>
      <c r="AB33" s="97">
        <v>1</v>
      </c>
      <c r="AC33" s="97">
        <v>0.63333333000000003</v>
      </c>
      <c r="AD33" s="97">
        <v>0.73809522000000005</v>
      </c>
      <c r="AE33" s="97">
        <v>0.83333330999999999</v>
      </c>
      <c r="AF33" s="97">
        <v>0.47222220999999998</v>
      </c>
    </row>
    <row r="34" spans="1:32" s="150" customFormat="1" ht="20.25" customHeight="1" x14ac:dyDescent="0.25">
      <c r="A34" s="95">
        <v>5</v>
      </c>
      <c r="B34" s="151" t="s">
        <v>126</v>
      </c>
      <c r="C34" s="176">
        <v>0.85175520000000005</v>
      </c>
      <c r="D34" s="176">
        <v>0.84523809999999999</v>
      </c>
      <c r="E34" s="176">
        <v>0.57142859999999995</v>
      </c>
      <c r="F34" s="176">
        <v>1</v>
      </c>
      <c r="G34" s="91">
        <v>0.83333330999999999</v>
      </c>
      <c r="H34" s="91">
        <v>0.83333330999999999</v>
      </c>
      <c r="I34" s="91">
        <v>0.66666669000000001</v>
      </c>
      <c r="J34" s="91">
        <v>1</v>
      </c>
      <c r="K34" s="91">
        <v>0.57142859999999995</v>
      </c>
      <c r="L34" s="91">
        <v>0.89999998000000003</v>
      </c>
      <c r="M34" s="91">
        <v>1</v>
      </c>
      <c r="N34" s="91">
        <v>0.66666669000000001</v>
      </c>
      <c r="O34" s="91">
        <v>1</v>
      </c>
      <c r="P34" s="91">
        <v>1</v>
      </c>
      <c r="Q34" s="91">
        <v>0.77777779000000002</v>
      </c>
      <c r="R34" s="91">
        <v>0.875</v>
      </c>
      <c r="S34" s="91">
        <v>0.80000000999999998</v>
      </c>
      <c r="T34" s="91">
        <v>0.85714287</v>
      </c>
      <c r="U34" s="91">
        <v>0.75</v>
      </c>
      <c r="V34" s="91">
        <v>1</v>
      </c>
      <c r="W34" s="91">
        <v>1</v>
      </c>
      <c r="X34" s="91">
        <v>0.83333330999999999</v>
      </c>
      <c r="Y34" s="91">
        <v>0.71428572999999995</v>
      </c>
      <c r="Z34" s="91">
        <v>1</v>
      </c>
      <c r="AA34" s="91">
        <v>0.60000001999999997</v>
      </c>
      <c r="AB34" s="91">
        <v>1</v>
      </c>
      <c r="AC34" s="91">
        <v>0.80000000999999998</v>
      </c>
      <c r="AD34" s="91">
        <v>1</v>
      </c>
      <c r="AE34" s="91">
        <v>1</v>
      </c>
      <c r="AF34" s="91">
        <v>0.66666669000000001</v>
      </c>
    </row>
    <row r="35" spans="1:32" s="150" customFormat="1" ht="20.25" customHeight="1" x14ac:dyDescent="0.25">
      <c r="A35" s="96">
        <v>6</v>
      </c>
      <c r="B35" s="152" t="s">
        <v>129</v>
      </c>
      <c r="C35" s="177">
        <v>0.67536629999999997</v>
      </c>
      <c r="D35" s="177">
        <v>0.66666669999999995</v>
      </c>
      <c r="E35" s="177">
        <v>0.2</v>
      </c>
      <c r="F35" s="177">
        <v>1</v>
      </c>
      <c r="G35" s="97">
        <v>1</v>
      </c>
      <c r="H35" s="97">
        <v>0.83333330999999999</v>
      </c>
      <c r="I35" s="97">
        <v>0.77777779000000002</v>
      </c>
      <c r="J35" s="97">
        <v>0.2</v>
      </c>
      <c r="K35" s="97">
        <v>0.71428572999999995</v>
      </c>
      <c r="L35" s="97">
        <v>0.40000001000000002</v>
      </c>
      <c r="M35" s="97">
        <v>0.80000000999999998</v>
      </c>
      <c r="N35" s="97">
        <v>0.33333333999999998</v>
      </c>
      <c r="O35" s="97">
        <v>0.5</v>
      </c>
      <c r="P35" s="97">
        <v>0.66666669000000001</v>
      </c>
      <c r="Q35" s="97">
        <v>0.55555558000000005</v>
      </c>
      <c r="R35" s="97">
        <v>0.25</v>
      </c>
      <c r="S35" s="97">
        <v>0.80000000999999998</v>
      </c>
      <c r="T35" s="97">
        <v>0.85714287</v>
      </c>
      <c r="U35" s="97">
        <v>0.5</v>
      </c>
      <c r="V35" s="97">
        <v>0.66666669000000001</v>
      </c>
      <c r="W35" s="97">
        <v>1</v>
      </c>
      <c r="X35" s="97">
        <v>1</v>
      </c>
      <c r="Y35" s="97">
        <v>0.57142859999999995</v>
      </c>
      <c r="Z35" s="97">
        <v>1</v>
      </c>
      <c r="AA35" s="97">
        <v>0.60000001999999997</v>
      </c>
      <c r="AB35" s="97">
        <v>0.5</v>
      </c>
      <c r="AC35" s="97">
        <v>0.60000001999999997</v>
      </c>
      <c r="AD35" s="97">
        <v>1</v>
      </c>
      <c r="AE35" s="97">
        <v>0.60000001999999997</v>
      </c>
      <c r="AF35" s="97">
        <v>0.83333330999999999</v>
      </c>
    </row>
    <row r="36" spans="1:32" s="150" customFormat="1" ht="20.25" customHeight="1" x14ac:dyDescent="0.25">
      <c r="A36" s="95">
        <v>7</v>
      </c>
      <c r="B36" s="151" t="s">
        <v>132</v>
      </c>
      <c r="C36" s="176">
        <v>0.48846149999999999</v>
      </c>
      <c r="D36" s="176">
        <v>0.5</v>
      </c>
      <c r="E36" s="176">
        <v>0.3333333</v>
      </c>
      <c r="F36" s="176">
        <v>0.5</v>
      </c>
      <c r="G36" s="91">
        <v>0.5</v>
      </c>
      <c r="H36" s="91">
        <v>0.5</v>
      </c>
      <c r="I36" s="91">
        <v>0.5</v>
      </c>
      <c r="J36" s="91">
        <v>0.5</v>
      </c>
      <c r="K36" s="91">
        <v>0.5</v>
      </c>
      <c r="L36" s="91">
        <v>0.44999999000000002</v>
      </c>
      <c r="M36" s="91">
        <v>0.5</v>
      </c>
      <c r="N36" s="91">
        <v>0.33333333999999998</v>
      </c>
      <c r="O36" s="91">
        <v>0.5</v>
      </c>
      <c r="P36" s="91">
        <v>0.41666666000000002</v>
      </c>
      <c r="Q36" s="91">
        <v>0.5</v>
      </c>
      <c r="R36" s="91">
        <v>0.5</v>
      </c>
      <c r="S36" s="91">
        <v>0.5</v>
      </c>
      <c r="T36" s="91">
        <v>0.5</v>
      </c>
      <c r="U36" s="91">
        <v>0.5</v>
      </c>
      <c r="V36" s="91">
        <v>0.5</v>
      </c>
      <c r="W36" s="91">
        <v>0.5</v>
      </c>
      <c r="X36" s="91">
        <v>0.5</v>
      </c>
      <c r="Y36" s="91">
        <v>0.5</v>
      </c>
      <c r="Z36" s="91">
        <v>0.5</v>
      </c>
      <c r="AA36" s="91">
        <v>0.5</v>
      </c>
      <c r="AB36" s="91">
        <v>0.5</v>
      </c>
      <c r="AC36" s="91">
        <v>0.5</v>
      </c>
      <c r="AD36" s="91">
        <v>0.5</v>
      </c>
      <c r="AE36" s="91">
        <v>0.5</v>
      </c>
      <c r="AF36" s="91">
        <v>0.5</v>
      </c>
    </row>
    <row r="37" spans="1:32" s="150" customFormat="1" ht="20.25" customHeight="1" x14ac:dyDescent="0.25">
      <c r="A37" s="96">
        <v>8</v>
      </c>
      <c r="B37" s="152" t="s">
        <v>136</v>
      </c>
      <c r="C37" s="177">
        <v>0.89342180000000004</v>
      </c>
      <c r="D37" s="177">
        <v>0.95</v>
      </c>
      <c r="E37" s="177">
        <v>0.6</v>
      </c>
      <c r="F37" s="177">
        <v>1</v>
      </c>
      <c r="G37" s="97">
        <v>0.66666669000000001</v>
      </c>
      <c r="H37" s="97">
        <v>0.83333330999999999</v>
      </c>
      <c r="I37" s="97">
        <v>0.88888889999999998</v>
      </c>
      <c r="J37" s="97">
        <v>0.80000000999999998</v>
      </c>
      <c r="K37" s="97">
        <v>0.71428572999999995</v>
      </c>
      <c r="L37" s="97">
        <v>0.60000001999999997</v>
      </c>
      <c r="M37" s="97">
        <v>1</v>
      </c>
      <c r="N37" s="97">
        <v>0.88888889999999998</v>
      </c>
      <c r="O37" s="97">
        <v>0.89999998000000003</v>
      </c>
      <c r="P37" s="97">
        <v>1</v>
      </c>
      <c r="Q37" s="97">
        <v>1</v>
      </c>
      <c r="R37" s="97">
        <v>0.875</v>
      </c>
      <c r="S37" s="97">
        <v>1</v>
      </c>
      <c r="T37" s="97">
        <v>1</v>
      </c>
      <c r="U37" s="97">
        <v>1</v>
      </c>
      <c r="V37" s="97">
        <v>1</v>
      </c>
      <c r="W37" s="97">
        <v>1</v>
      </c>
      <c r="X37" s="97">
        <v>1</v>
      </c>
      <c r="Y37" s="97">
        <v>0.71428572999999995</v>
      </c>
      <c r="Z37" s="97">
        <v>0.80000000999999998</v>
      </c>
      <c r="AA37" s="97">
        <v>1</v>
      </c>
      <c r="AB37" s="97">
        <v>0.83333330999999999</v>
      </c>
      <c r="AC37" s="97">
        <v>1</v>
      </c>
      <c r="AD37" s="97">
        <v>0.71428572999999995</v>
      </c>
      <c r="AE37" s="97">
        <v>1</v>
      </c>
      <c r="AF37" s="97">
        <v>1</v>
      </c>
    </row>
    <row r="38" spans="1:32" s="150" customFormat="1" ht="20.25" customHeight="1" x14ac:dyDescent="0.25">
      <c r="A38" s="95">
        <v>9</v>
      </c>
      <c r="B38" s="151" t="s">
        <v>139</v>
      </c>
      <c r="C38" s="176">
        <v>0.60613550000000005</v>
      </c>
      <c r="D38" s="176">
        <v>0.6</v>
      </c>
      <c r="E38" s="176">
        <v>0.1666667</v>
      </c>
      <c r="F38" s="176">
        <v>1</v>
      </c>
      <c r="G38" s="91">
        <v>0.66666669000000001</v>
      </c>
      <c r="H38" s="91">
        <v>0.66666669000000001</v>
      </c>
      <c r="I38" s="91">
        <v>0.77777779000000002</v>
      </c>
      <c r="J38" s="91">
        <v>0.40000001000000002</v>
      </c>
      <c r="K38" s="91">
        <v>0.42857142999999998</v>
      </c>
      <c r="L38" s="91">
        <v>0.89999998000000003</v>
      </c>
      <c r="M38" s="91">
        <v>1</v>
      </c>
      <c r="N38" s="91">
        <v>0.33333333999999998</v>
      </c>
      <c r="O38" s="91">
        <v>0.69999999000000002</v>
      </c>
      <c r="P38" s="91">
        <v>0.33333333999999998</v>
      </c>
      <c r="Q38" s="91">
        <v>0.88888889999999998</v>
      </c>
      <c r="R38" s="91">
        <v>0.5</v>
      </c>
      <c r="S38" s="91">
        <v>0.60000001999999997</v>
      </c>
      <c r="T38" s="91">
        <v>0.42857142999999998</v>
      </c>
      <c r="U38" s="91">
        <v>0.75</v>
      </c>
      <c r="V38" s="91">
        <v>0.66666669000000001</v>
      </c>
      <c r="W38" s="91">
        <v>1</v>
      </c>
      <c r="X38" s="91">
        <v>0.16666666999999999</v>
      </c>
      <c r="Y38" s="91">
        <v>0.42857142999999998</v>
      </c>
      <c r="Z38" s="91">
        <v>0.60000001999999997</v>
      </c>
      <c r="AA38" s="91">
        <v>0.40000001000000002</v>
      </c>
      <c r="AB38" s="91">
        <v>0.33333333999999998</v>
      </c>
      <c r="AC38" s="91">
        <v>1</v>
      </c>
      <c r="AD38" s="91">
        <v>0.85714287</v>
      </c>
      <c r="AE38" s="91">
        <v>0.60000001999999997</v>
      </c>
      <c r="AF38" s="91">
        <v>0.33333333999999998</v>
      </c>
    </row>
    <row r="39" spans="1:32" s="150" customFormat="1" ht="20.25" customHeight="1" x14ac:dyDescent="0.25">
      <c r="A39" s="96">
        <v>10</v>
      </c>
      <c r="B39" s="152" t="s">
        <v>142</v>
      </c>
      <c r="C39" s="177">
        <v>0.62909040000000005</v>
      </c>
      <c r="D39" s="177">
        <v>0.63333329999999999</v>
      </c>
      <c r="E39" s="177">
        <v>0</v>
      </c>
      <c r="F39" s="177">
        <v>1</v>
      </c>
      <c r="G39" s="97">
        <v>0.66666669000000001</v>
      </c>
      <c r="H39" s="97">
        <v>0.5</v>
      </c>
      <c r="I39" s="97">
        <v>0.66666669000000001</v>
      </c>
      <c r="J39" s="97">
        <v>0.2</v>
      </c>
      <c r="K39" s="97">
        <v>0.57142859999999995</v>
      </c>
      <c r="L39" s="97">
        <v>0.69999999000000002</v>
      </c>
      <c r="M39" s="97">
        <v>0.40000001000000002</v>
      </c>
      <c r="N39" s="97">
        <v>0</v>
      </c>
      <c r="O39" s="97">
        <v>0.5</v>
      </c>
      <c r="P39" s="97">
        <v>0.5</v>
      </c>
      <c r="Q39" s="97">
        <v>0.77777779000000002</v>
      </c>
      <c r="R39" s="97">
        <v>0.375</v>
      </c>
      <c r="S39" s="97">
        <v>0.80000000999999998</v>
      </c>
      <c r="T39" s="97">
        <v>0.85714287</v>
      </c>
      <c r="U39" s="97">
        <v>0.875</v>
      </c>
      <c r="V39" s="97">
        <v>1</v>
      </c>
      <c r="W39" s="97">
        <v>1</v>
      </c>
      <c r="X39" s="97">
        <v>1</v>
      </c>
      <c r="Y39" s="97">
        <v>0.71428572999999995</v>
      </c>
      <c r="Z39" s="97">
        <v>0.60000001999999997</v>
      </c>
      <c r="AA39" s="97">
        <v>0.60000001999999997</v>
      </c>
      <c r="AB39" s="97">
        <v>0.5</v>
      </c>
      <c r="AC39" s="97">
        <v>1</v>
      </c>
      <c r="AD39" s="97">
        <v>0.28571429999999998</v>
      </c>
      <c r="AE39" s="97">
        <v>0.60000001999999997</v>
      </c>
      <c r="AF39" s="97">
        <v>0.66666669000000001</v>
      </c>
    </row>
    <row r="40" spans="1:32" s="150" customFormat="1" ht="20.25" customHeight="1" x14ac:dyDescent="0.25">
      <c r="A40" s="95">
        <v>11</v>
      </c>
      <c r="B40" s="151" t="s">
        <v>145</v>
      </c>
      <c r="C40" s="176">
        <v>0.486508</v>
      </c>
      <c r="D40" s="176">
        <v>0.55000000000000004</v>
      </c>
      <c r="E40" s="176">
        <v>0</v>
      </c>
      <c r="F40" s="176">
        <v>1</v>
      </c>
      <c r="G40" s="91">
        <v>0.66666669000000001</v>
      </c>
      <c r="H40" s="91">
        <v>0.5</v>
      </c>
      <c r="I40" s="91">
        <v>0.66666669000000001</v>
      </c>
      <c r="J40" s="91">
        <v>0</v>
      </c>
      <c r="K40" s="91">
        <v>0.71428572999999995</v>
      </c>
      <c r="L40" s="91">
        <v>0.40000001000000002</v>
      </c>
      <c r="M40" s="91">
        <v>0.60000001999999997</v>
      </c>
      <c r="N40" s="91">
        <v>0.11111111</v>
      </c>
      <c r="O40" s="91">
        <v>0.40000001000000002</v>
      </c>
      <c r="P40" s="91">
        <v>0.33333333999999998</v>
      </c>
      <c r="Q40" s="91">
        <v>0.66666669000000001</v>
      </c>
      <c r="R40" s="91">
        <v>0.75</v>
      </c>
      <c r="S40" s="91">
        <v>0.60000001999999997</v>
      </c>
      <c r="T40" s="91">
        <v>0.14285714999999999</v>
      </c>
      <c r="U40" s="91">
        <v>0.25</v>
      </c>
      <c r="V40" s="91">
        <v>0.66666669000000001</v>
      </c>
      <c r="W40" s="91">
        <v>1</v>
      </c>
      <c r="X40" s="91">
        <v>0.83333330999999999</v>
      </c>
      <c r="Y40" s="91">
        <v>0.71428572999999995</v>
      </c>
      <c r="Z40" s="91">
        <v>0.2</v>
      </c>
      <c r="AA40" s="91">
        <v>0.2</v>
      </c>
      <c r="AB40" s="91">
        <v>0.33333333999999998</v>
      </c>
      <c r="AC40" s="91">
        <v>0.80000000999999998</v>
      </c>
      <c r="AD40" s="91">
        <v>0</v>
      </c>
      <c r="AE40" s="91">
        <v>0.60000001999999997</v>
      </c>
      <c r="AF40" s="91">
        <v>0.5</v>
      </c>
    </row>
    <row r="41" spans="1:32" s="150" customFormat="1" ht="20.25" customHeight="1" x14ac:dyDescent="0.25">
      <c r="A41" s="96">
        <v>12</v>
      </c>
      <c r="B41" s="152" t="s">
        <v>148</v>
      </c>
      <c r="C41" s="177">
        <v>0.3561203</v>
      </c>
      <c r="D41" s="177">
        <v>0.31666670000000002</v>
      </c>
      <c r="E41" s="177">
        <v>0</v>
      </c>
      <c r="F41" s="177">
        <v>1</v>
      </c>
      <c r="G41" s="97">
        <v>0.5</v>
      </c>
      <c r="H41" s="97">
        <v>1</v>
      </c>
      <c r="I41" s="97">
        <v>0.11111111</v>
      </c>
      <c r="J41" s="97">
        <v>0</v>
      </c>
      <c r="K41" s="97">
        <v>0.14285714999999999</v>
      </c>
      <c r="L41" s="97">
        <v>0.30000000999999998</v>
      </c>
      <c r="M41" s="97">
        <v>0.2</v>
      </c>
      <c r="N41" s="97">
        <v>0.11111111</v>
      </c>
      <c r="O41" s="97">
        <v>0.5</v>
      </c>
      <c r="P41" s="97">
        <v>0.33333333999999998</v>
      </c>
      <c r="Q41" s="97">
        <v>0</v>
      </c>
      <c r="R41" s="97">
        <v>0.125</v>
      </c>
      <c r="S41" s="97">
        <v>0</v>
      </c>
      <c r="T41" s="97">
        <v>1</v>
      </c>
      <c r="U41" s="97">
        <v>0.25</v>
      </c>
      <c r="V41" s="97">
        <v>0.33333333999999998</v>
      </c>
      <c r="W41" s="97">
        <v>0.5</v>
      </c>
      <c r="X41" s="97">
        <v>0.66666669000000001</v>
      </c>
      <c r="Y41" s="97">
        <v>0.28571429999999998</v>
      </c>
      <c r="Z41" s="97">
        <v>0.40000001000000002</v>
      </c>
      <c r="AA41" s="97">
        <v>0.80000000999999998</v>
      </c>
      <c r="AB41" s="97">
        <v>0.33333333999999998</v>
      </c>
      <c r="AC41" s="97">
        <v>0.60000001999999997</v>
      </c>
      <c r="AD41" s="97">
        <v>0</v>
      </c>
      <c r="AE41" s="97">
        <v>0.60000001999999997</v>
      </c>
      <c r="AF41" s="97">
        <v>0.16666666999999999</v>
      </c>
    </row>
    <row r="42" spans="1:32" s="150" customFormat="1" ht="20.25" customHeight="1" x14ac:dyDescent="0.25">
      <c r="A42" s="95">
        <v>13</v>
      </c>
      <c r="B42" s="151" t="s">
        <v>151</v>
      </c>
      <c r="C42" s="176">
        <v>0.67880030000000002</v>
      </c>
      <c r="D42" s="176">
        <v>0.71428570000000002</v>
      </c>
      <c r="E42" s="176">
        <v>0</v>
      </c>
      <c r="F42" s="176">
        <v>1</v>
      </c>
      <c r="G42" s="91">
        <v>1</v>
      </c>
      <c r="H42" s="91">
        <v>0.33333333999999998</v>
      </c>
      <c r="I42" s="91">
        <v>0.66666669000000001</v>
      </c>
      <c r="J42" s="91">
        <v>0.2</v>
      </c>
      <c r="K42" s="91">
        <v>0.57142859999999995</v>
      </c>
      <c r="L42" s="91">
        <v>0.60000001999999997</v>
      </c>
      <c r="M42" s="91">
        <v>0.80000000999999998</v>
      </c>
      <c r="N42" s="91">
        <v>0</v>
      </c>
      <c r="O42" s="91">
        <v>0.80000000999999998</v>
      </c>
      <c r="P42" s="91">
        <v>0.5</v>
      </c>
      <c r="Q42" s="91">
        <v>0.66666669000000001</v>
      </c>
      <c r="R42" s="91">
        <v>0.75</v>
      </c>
      <c r="S42" s="91">
        <v>1</v>
      </c>
      <c r="T42" s="91">
        <v>0.71428572999999995</v>
      </c>
      <c r="U42" s="91">
        <v>0.875</v>
      </c>
      <c r="V42" s="91">
        <v>1</v>
      </c>
      <c r="W42" s="91">
        <v>1</v>
      </c>
      <c r="X42" s="91">
        <v>1</v>
      </c>
      <c r="Y42" s="91">
        <v>0.85714287</v>
      </c>
      <c r="Z42" s="91">
        <v>0.60000001999999997</v>
      </c>
      <c r="AA42" s="91">
        <v>0</v>
      </c>
      <c r="AB42" s="91">
        <v>0.5</v>
      </c>
      <c r="AC42" s="91">
        <v>1</v>
      </c>
      <c r="AD42" s="91">
        <v>0.71428572999999995</v>
      </c>
      <c r="AE42" s="91">
        <v>1</v>
      </c>
      <c r="AF42" s="91">
        <v>0.5</v>
      </c>
    </row>
    <row r="43" spans="1:32" s="150" customFormat="1" ht="20.25" customHeight="1" x14ac:dyDescent="0.25">
      <c r="A43" s="96">
        <v>14</v>
      </c>
      <c r="B43" s="152" t="s">
        <v>154</v>
      </c>
      <c r="C43" s="177">
        <v>0.39213979999999998</v>
      </c>
      <c r="D43" s="177">
        <v>0.4166667</v>
      </c>
      <c r="E43" s="177">
        <v>0</v>
      </c>
      <c r="F43" s="177">
        <v>1</v>
      </c>
      <c r="G43" s="97">
        <v>0.5</v>
      </c>
      <c r="H43" s="97">
        <v>1</v>
      </c>
      <c r="I43" s="97">
        <v>0.11111111</v>
      </c>
      <c r="J43" s="97">
        <v>0</v>
      </c>
      <c r="K43" s="97">
        <v>0.14285714999999999</v>
      </c>
      <c r="L43" s="97">
        <v>0.60000001999999997</v>
      </c>
      <c r="M43" s="97">
        <v>0.2</v>
      </c>
      <c r="N43" s="97">
        <v>0</v>
      </c>
      <c r="O43" s="97">
        <v>0.5</v>
      </c>
      <c r="P43" s="97">
        <v>0.33333333999999998</v>
      </c>
      <c r="Q43" s="97">
        <v>0</v>
      </c>
      <c r="R43" s="97">
        <v>0</v>
      </c>
      <c r="S43" s="97">
        <v>0</v>
      </c>
      <c r="T43" s="97">
        <v>0.85714287</v>
      </c>
      <c r="U43" s="97">
        <v>0.875</v>
      </c>
      <c r="V43" s="97">
        <v>0.5</v>
      </c>
      <c r="W43" s="97">
        <v>0.5</v>
      </c>
      <c r="X43" s="97">
        <v>0.66666669000000001</v>
      </c>
      <c r="Y43" s="97">
        <v>0.14285714999999999</v>
      </c>
      <c r="Z43" s="97">
        <v>0.2</v>
      </c>
      <c r="AA43" s="97">
        <v>0.80000000999999998</v>
      </c>
      <c r="AB43" s="97">
        <v>0.5</v>
      </c>
      <c r="AC43" s="97">
        <v>1</v>
      </c>
      <c r="AD43" s="97">
        <v>0</v>
      </c>
      <c r="AE43" s="97">
        <v>0.60000001999999997</v>
      </c>
      <c r="AF43" s="97">
        <v>0.16666666999999999</v>
      </c>
    </row>
    <row r="44" spans="1:32" s="150" customFormat="1" ht="20.25" customHeight="1" x14ac:dyDescent="0.25">
      <c r="A44" s="95">
        <v>15</v>
      </c>
      <c r="B44" s="151" t="s">
        <v>1441</v>
      </c>
      <c r="C44" s="176">
        <v>0.20070209999999999</v>
      </c>
      <c r="D44" s="176">
        <v>0.15476190000000001</v>
      </c>
      <c r="E44" s="176">
        <v>0</v>
      </c>
      <c r="F44" s="176">
        <v>0.83333330000000005</v>
      </c>
      <c r="G44" s="91">
        <v>0.5</v>
      </c>
      <c r="H44" s="91">
        <v>0</v>
      </c>
      <c r="I44" s="91">
        <v>0</v>
      </c>
      <c r="J44" s="91">
        <v>0</v>
      </c>
      <c r="K44" s="91">
        <v>0.14285714999999999</v>
      </c>
      <c r="L44" s="91">
        <v>0.5</v>
      </c>
      <c r="M44" s="91">
        <v>0</v>
      </c>
      <c r="N44" s="91">
        <v>0.11111111</v>
      </c>
      <c r="O44" s="91">
        <v>0.2</v>
      </c>
      <c r="P44" s="91">
        <v>0.16666666999999999</v>
      </c>
      <c r="Q44" s="91">
        <v>0.33333333999999998</v>
      </c>
      <c r="R44" s="91">
        <v>0.625</v>
      </c>
      <c r="S44" s="91">
        <v>0.40000001000000002</v>
      </c>
      <c r="T44" s="91">
        <v>0.28571429999999998</v>
      </c>
      <c r="U44" s="91">
        <v>0.125</v>
      </c>
      <c r="V44" s="91">
        <v>0.83333330999999999</v>
      </c>
      <c r="W44" s="91">
        <v>0</v>
      </c>
      <c r="X44" s="91">
        <v>0</v>
      </c>
      <c r="Y44" s="91">
        <v>0.28571429999999998</v>
      </c>
      <c r="Z44" s="91">
        <v>0.2</v>
      </c>
      <c r="AA44" s="91">
        <v>0</v>
      </c>
      <c r="AB44" s="91">
        <v>0.16666666999999999</v>
      </c>
      <c r="AC44" s="91">
        <v>0</v>
      </c>
      <c r="AD44" s="91">
        <v>0.14285714999999999</v>
      </c>
      <c r="AE44" s="91">
        <v>0.2</v>
      </c>
      <c r="AF44" s="91">
        <v>0</v>
      </c>
    </row>
    <row r="45" spans="1:32" s="150" customFormat="1" ht="30" x14ac:dyDescent="0.25">
      <c r="A45" s="96">
        <v>16</v>
      </c>
      <c r="B45" s="152" t="s">
        <v>160</v>
      </c>
      <c r="C45" s="177">
        <v>0.79993899999999996</v>
      </c>
      <c r="D45" s="177">
        <v>0.8</v>
      </c>
      <c r="E45" s="177">
        <v>0.4</v>
      </c>
      <c r="F45" s="177">
        <v>1</v>
      </c>
      <c r="G45" s="97">
        <v>0.66666669000000001</v>
      </c>
      <c r="H45" s="97">
        <v>1</v>
      </c>
      <c r="I45" s="97">
        <v>0.77777779000000002</v>
      </c>
      <c r="J45" s="97">
        <v>0.80000000999999998</v>
      </c>
      <c r="K45" s="97">
        <v>0.85714287</v>
      </c>
      <c r="L45" s="97">
        <v>0.69999999000000002</v>
      </c>
      <c r="M45" s="97">
        <v>0.80000000999999998</v>
      </c>
      <c r="N45" s="97">
        <v>0.44444444999999999</v>
      </c>
      <c r="O45" s="97">
        <v>0.80000000999999998</v>
      </c>
      <c r="P45" s="97">
        <v>1</v>
      </c>
      <c r="Q45" s="97">
        <v>1</v>
      </c>
      <c r="R45" s="97">
        <v>0.875</v>
      </c>
      <c r="S45" s="97">
        <v>1</v>
      </c>
      <c r="T45" s="97">
        <v>0.71428572999999995</v>
      </c>
      <c r="U45" s="97">
        <v>0.625</v>
      </c>
      <c r="V45" s="97">
        <v>1</v>
      </c>
      <c r="W45" s="97">
        <v>0.5</v>
      </c>
      <c r="X45" s="97">
        <v>0.83333330999999999</v>
      </c>
      <c r="Y45" s="97">
        <v>0.71428572999999995</v>
      </c>
      <c r="Z45" s="97">
        <v>0.80000000999999998</v>
      </c>
      <c r="AA45" s="97">
        <v>0.40000001000000002</v>
      </c>
      <c r="AB45" s="97">
        <v>0.83333330999999999</v>
      </c>
      <c r="AC45" s="97">
        <v>0.80000000999999998</v>
      </c>
      <c r="AD45" s="97">
        <v>0.85714287</v>
      </c>
      <c r="AE45" s="97">
        <v>1</v>
      </c>
      <c r="AF45" s="97">
        <v>1</v>
      </c>
    </row>
    <row r="46" spans="1:32" s="150" customFormat="1" ht="20.25" customHeight="1" x14ac:dyDescent="0.25">
      <c r="A46" s="95">
        <v>17</v>
      </c>
      <c r="B46" s="151" t="s">
        <v>163</v>
      </c>
      <c r="C46" s="176">
        <v>0.7724512</v>
      </c>
      <c r="D46" s="176">
        <v>0.84523809999999999</v>
      </c>
      <c r="E46" s="176">
        <v>0</v>
      </c>
      <c r="F46" s="176">
        <v>1</v>
      </c>
      <c r="G46" s="91">
        <v>0.66666669000000001</v>
      </c>
      <c r="H46" s="91">
        <v>0</v>
      </c>
      <c r="I46" s="91">
        <v>0.88888889999999998</v>
      </c>
      <c r="J46" s="91">
        <v>0.60000001999999997</v>
      </c>
      <c r="K46" s="91">
        <v>0.85714287</v>
      </c>
      <c r="L46" s="91">
        <v>0.5</v>
      </c>
      <c r="M46" s="91">
        <v>0.60000001999999997</v>
      </c>
      <c r="N46" s="91">
        <v>0.44444444999999999</v>
      </c>
      <c r="O46" s="91">
        <v>0.80000000999999998</v>
      </c>
      <c r="P46" s="91">
        <v>1</v>
      </c>
      <c r="Q46" s="91">
        <v>0.11111111</v>
      </c>
      <c r="R46" s="91">
        <v>0.625</v>
      </c>
      <c r="S46" s="91">
        <v>1</v>
      </c>
      <c r="T46" s="91">
        <v>0.85714287</v>
      </c>
      <c r="U46" s="91">
        <v>1</v>
      </c>
      <c r="V46" s="91">
        <v>0.83333330999999999</v>
      </c>
      <c r="W46" s="91">
        <v>1</v>
      </c>
      <c r="X46" s="91">
        <v>0.83333330999999999</v>
      </c>
      <c r="Y46" s="91">
        <v>1</v>
      </c>
      <c r="Z46" s="91">
        <v>1</v>
      </c>
      <c r="AA46" s="91">
        <v>0.80000000999999998</v>
      </c>
      <c r="AB46" s="91">
        <v>0.66666669000000001</v>
      </c>
      <c r="AC46" s="91">
        <v>1</v>
      </c>
      <c r="AD46" s="91">
        <v>1</v>
      </c>
      <c r="AE46" s="91">
        <v>1</v>
      </c>
      <c r="AF46" s="91">
        <v>1</v>
      </c>
    </row>
    <row r="47" spans="1:32" s="150" customFormat="1" ht="20.25" customHeight="1" x14ac:dyDescent="0.25">
      <c r="A47" s="96">
        <v>18</v>
      </c>
      <c r="B47" s="152" t="s">
        <v>166</v>
      </c>
      <c r="C47" s="177">
        <v>0.990232</v>
      </c>
      <c r="D47" s="177">
        <v>1</v>
      </c>
      <c r="E47" s="177">
        <v>0.85714290000000004</v>
      </c>
      <c r="F47" s="177">
        <v>1</v>
      </c>
      <c r="G47" s="97">
        <v>1</v>
      </c>
      <c r="H47" s="97">
        <v>1</v>
      </c>
      <c r="I47" s="97">
        <v>1</v>
      </c>
      <c r="J47" s="97">
        <v>1</v>
      </c>
      <c r="K47" s="97">
        <v>1</v>
      </c>
      <c r="L47" s="97">
        <v>1</v>
      </c>
      <c r="M47" s="97">
        <v>1</v>
      </c>
      <c r="N47" s="97">
        <v>0.88888889999999998</v>
      </c>
      <c r="O47" s="97">
        <v>1</v>
      </c>
      <c r="P47" s="97">
        <v>1</v>
      </c>
      <c r="Q47" s="97">
        <v>1</v>
      </c>
      <c r="R47" s="97">
        <v>1</v>
      </c>
      <c r="S47" s="97">
        <v>1</v>
      </c>
      <c r="T47" s="97">
        <v>1</v>
      </c>
      <c r="U47" s="97">
        <v>1</v>
      </c>
      <c r="V47" s="97">
        <v>1</v>
      </c>
      <c r="W47" s="97">
        <v>1</v>
      </c>
      <c r="X47" s="97">
        <v>1</v>
      </c>
      <c r="Y47" s="97">
        <v>0.85714287</v>
      </c>
      <c r="Z47" s="97">
        <v>1</v>
      </c>
      <c r="AA47" s="97">
        <v>1</v>
      </c>
      <c r="AB47" s="97">
        <v>1</v>
      </c>
      <c r="AC47" s="97">
        <v>1</v>
      </c>
      <c r="AD47" s="97">
        <v>1</v>
      </c>
      <c r="AE47" s="97">
        <v>1</v>
      </c>
      <c r="AF47" s="97">
        <v>1</v>
      </c>
    </row>
    <row r="48" spans="1:32" s="150" customFormat="1" ht="20.25" customHeight="1" x14ac:dyDescent="0.25">
      <c r="A48" s="95">
        <v>19</v>
      </c>
      <c r="B48" s="151" t="s">
        <v>169</v>
      </c>
      <c r="C48" s="176">
        <v>0.97826619999999997</v>
      </c>
      <c r="D48" s="176">
        <v>1</v>
      </c>
      <c r="E48" s="176">
        <v>0.77777779999999996</v>
      </c>
      <c r="F48" s="176">
        <v>1</v>
      </c>
      <c r="G48" s="91">
        <v>1</v>
      </c>
      <c r="H48" s="91">
        <v>1</v>
      </c>
      <c r="I48" s="91">
        <v>1</v>
      </c>
      <c r="J48" s="91">
        <v>1</v>
      </c>
      <c r="K48" s="91">
        <v>0.85714287</v>
      </c>
      <c r="L48" s="91">
        <v>0.89999998000000003</v>
      </c>
      <c r="M48" s="91">
        <v>1</v>
      </c>
      <c r="N48" s="91">
        <v>0.77777779000000002</v>
      </c>
      <c r="O48" s="91">
        <v>0.89999998000000003</v>
      </c>
      <c r="P48" s="91">
        <v>1</v>
      </c>
      <c r="Q48" s="91">
        <v>1</v>
      </c>
      <c r="R48" s="91">
        <v>1</v>
      </c>
      <c r="S48" s="91">
        <v>1</v>
      </c>
      <c r="T48" s="91">
        <v>1</v>
      </c>
      <c r="U48" s="91">
        <v>1</v>
      </c>
      <c r="V48" s="91">
        <v>1</v>
      </c>
      <c r="W48" s="91">
        <v>1</v>
      </c>
      <c r="X48" s="91">
        <v>1</v>
      </c>
      <c r="Y48" s="91">
        <v>1</v>
      </c>
      <c r="Z48" s="91">
        <v>1</v>
      </c>
      <c r="AA48" s="91">
        <v>1</v>
      </c>
      <c r="AB48" s="91">
        <v>1</v>
      </c>
      <c r="AC48" s="91">
        <v>1</v>
      </c>
      <c r="AD48" s="91">
        <v>1</v>
      </c>
      <c r="AE48" s="91">
        <v>1</v>
      </c>
      <c r="AF48" s="91">
        <v>1</v>
      </c>
    </row>
    <row r="49" spans="1:32" s="150" customFormat="1" ht="20.25" customHeight="1" x14ac:dyDescent="0.25">
      <c r="A49" s="96">
        <v>20</v>
      </c>
      <c r="B49" s="152" t="s">
        <v>172</v>
      </c>
      <c r="C49" s="177">
        <v>0.93110499999999996</v>
      </c>
      <c r="D49" s="177">
        <v>1</v>
      </c>
      <c r="E49" s="177">
        <v>0.6</v>
      </c>
      <c r="F49" s="177">
        <v>1</v>
      </c>
      <c r="G49" s="97">
        <v>0.83333330999999999</v>
      </c>
      <c r="H49" s="97">
        <v>0.83333330999999999</v>
      </c>
      <c r="I49" s="97">
        <v>1</v>
      </c>
      <c r="J49" s="97">
        <v>1</v>
      </c>
      <c r="K49" s="97">
        <v>1</v>
      </c>
      <c r="L49" s="97">
        <v>0.89999998000000003</v>
      </c>
      <c r="M49" s="97">
        <v>0.60000001999999997</v>
      </c>
      <c r="N49" s="97">
        <v>0.77777779000000002</v>
      </c>
      <c r="O49" s="97">
        <v>1</v>
      </c>
      <c r="P49" s="97">
        <v>1</v>
      </c>
      <c r="Q49" s="97">
        <v>1</v>
      </c>
      <c r="R49" s="97">
        <v>0.75</v>
      </c>
      <c r="S49" s="97">
        <v>1</v>
      </c>
      <c r="T49" s="97">
        <v>0.85714287</v>
      </c>
      <c r="U49" s="97">
        <v>1</v>
      </c>
      <c r="V49" s="97">
        <v>1</v>
      </c>
      <c r="W49" s="97">
        <v>1</v>
      </c>
      <c r="X49" s="97">
        <v>1</v>
      </c>
      <c r="Y49" s="97">
        <v>0.85714287</v>
      </c>
      <c r="Z49" s="97">
        <v>1</v>
      </c>
      <c r="AA49" s="97">
        <v>0.80000000999999998</v>
      </c>
      <c r="AB49" s="97">
        <v>1</v>
      </c>
      <c r="AC49" s="97">
        <v>1</v>
      </c>
      <c r="AD49" s="97">
        <v>1</v>
      </c>
      <c r="AE49" s="97">
        <v>1</v>
      </c>
      <c r="AF49" s="97">
        <v>1</v>
      </c>
    </row>
    <row r="50" spans="1:32" s="150" customFormat="1" ht="20.25" customHeight="1" x14ac:dyDescent="0.25">
      <c r="A50" s="95">
        <v>21</v>
      </c>
      <c r="B50" s="151" t="s">
        <v>175</v>
      </c>
      <c r="C50" s="176">
        <v>0.88580579999999998</v>
      </c>
      <c r="D50" s="176">
        <v>1</v>
      </c>
      <c r="E50" s="176">
        <v>0.3333333</v>
      </c>
      <c r="F50" s="176">
        <v>1</v>
      </c>
      <c r="G50" s="91">
        <v>0.33333333999999998</v>
      </c>
      <c r="H50" s="91">
        <v>1</v>
      </c>
      <c r="I50" s="91">
        <v>1</v>
      </c>
      <c r="J50" s="91">
        <v>0.80000000999999998</v>
      </c>
      <c r="K50" s="91">
        <v>0.85714287</v>
      </c>
      <c r="L50" s="91">
        <v>0.80000000999999998</v>
      </c>
      <c r="M50" s="91">
        <v>0.60000001999999997</v>
      </c>
      <c r="N50" s="91">
        <v>1</v>
      </c>
      <c r="O50" s="91">
        <v>1</v>
      </c>
      <c r="P50" s="91">
        <v>1</v>
      </c>
      <c r="Q50" s="91">
        <v>1</v>
      </c>
      <c r="R50" s="91">
        <v>0.875</v>
      </c>
      <c r="S50" s="91">
        <v>1</v>
      </c>
      <c r="T50" s="91">
        <v>1</v>
      </c>
      <c r="U50" s="91">
        <v>0.875</v>
      </c>
      <c r="V50" s="91">
        <v>1</v>
      </c>
      <c r="W50" s="91">
        <v>1</v>
      </c>
      <c r="X50" s="91">
        <v>1</v>
      </c>
      <c r="Y50" s="91">
        <v>0.85714287</v>
      </c>
      <c r="Z50" s="91">
        <v>1</v>
      </c>
      <c r="AA50" s="91">
        <v>0.80000000999999998</v>
      </c>
      <c r="AB50" s="91">
        <v>1</v>
      </c>
      <c r="AC50" s="91">
        <v>0.40000001000000002</v>
      </c>
      <c r="AD50" s="91">
        <v>1</v>
      </c>
      <c r="AE50" s="91">
        <v>1</v>
      </c>
      <c r="AF50" s="91">
        <v>0.83333330999999999</v>
      </c>
    </row>
    <row r="51" spans="1:32" s="150" customFormat="1" ht="20.25" customHeight="1" x14ac:dyDescent="0.25">
      <c r="A51" s="96">
        <v>22</v>
      </c>
      <c r="B51" s="152" t="s">
        <v>178</v>
      </c>
      <c r="C51" s="177">
        <v>0.8077839</v>
      </c>
      <c r="D51" s="177">
        <v>0.86607149999999999</v>
      </c>
      <c r="E51" s="177">
        <v>0.42857139999999999</v>
      </c>
      <c r="F51" s="177">
        <v>1</v>
      </c>
      <c r="G51" s="97">
        <v>0.66666669000000001</v>
      </c>
      <c r="H51" s="97">
        <v>0.66666669000000001</v>
      </c>
      <c r="I51" s="97">
        <v>0.77777779000000002</v>
      </c>
      <c r="J51" s="97">
        <v>1</v>
      </c>
      <c r="K51" s="97">
        <v>0.57142859999999995</v>
      </c>
      <c r="L51" s="97">
        <v>0.89999998000000003</v>
      </c>
      <c r="M51" s="97">
        <v>0.60000001999999997</v>
      </c>
      <c r="N51" s="97">
        <v>0.66666669000000001</v>
      </c>
      <c r="O51" s="97">
        <v>0.5</v>
      </c>
      <c r="P51" s="97">
        <v>1</v>
      </c>
      <c r="Q51" s="97">
        <v>0.88888889999999998</v>
      </c>
      <c r="R51" s="97">
        <v>0.625</v>
      </c>
      <c r="S51" s="97">
        <v>1</v>
      </c>
      <c r="T51" s="97">
        <v>0.42857142999999998</v>
      </c>
      <c r="U51" s="97">
        <v>0.875</v>
      </c>
      <c r="V51" s="97">
        <v>1</v>
      </c>
      <c r="W51" s="97">
        <v>0.75</v>
      </c>
      <c r="X51" s="97">
        <v>1</v>
      </c>
      <c r="Y51" s="97">
        <v>0.42857142999999998</v>
      </c>
      <c r="Z51" s="97">
        <v>1</v>
      </c>
      <c r="AA51" s="97">
        <v>1</v>
      </c>
      <c r="AB51" s="97">
        <v>1</v>
      </c>
      <c r="AC51" s="97">
        <v>0.80000000999999998</v>
      </c>
      <c r="AD51" s="97">
        <v>0.85714287</v>
      </c>
      <c r="AE51" s="97">
        <v>1</v>
      </c>
      <c r="AF51" s="97">
        <v>1</v>
      </c>
    </row>
    <row r="52" spans="1:32" s="150" customFormat="1" ht="30" x14ac:dyDescent="0.25">
      <c r="A52" s="95">
        <v>23</v>
      </c>
      <c r="B52" s="151" t="s">
        <v>181</v>
      </c>
      <c r="C52" s="176">
        <v>0.37155070000000001</v>
      </c>
      <c r="D52" s="176">
        <v>0.3333333</v>
      </c>
      <c r="E52" s="176">
        <v>0</v>
      </c>
      <c r="F52" s="176">
        <v>1</v>
      </c>
      <c r="G52" s="91">
        <v>0.33333333999999998</v>
      </c>
      <c r="H52" s="91">
        <v>0.66666669000000001</v>
      </c>
      <c r="I52" s="91">
        <v>0.33333333999999998</v>
      </c>
      <c r="J52" s="91">
        <v>0.2</v>
      </c>
      <c r="K52" s="91">
        <v>0.14285714999999999</v>
      </c>
      <c r="L52" s="91">
        <v>0.30000000999999998</v>
      </c>
      <c r="M52" s="91">
        <v>0.40000001000000002</v>
      </c>
      <c r="N52" s="91">
        <v>0.22222222</v>
      </c>
      <c r="O52" s="91">
        <v>0.69999999000000002</v>
      </c>
      <c r="P52" s="91">
        <v>0.33333333999999998</v>
      </c>
      <c r="Q52" s="91">
        <v>0</v>
      </c>
      <c r="R52" s="91">
        <v>0</v>
      </c>
      <c r="S52" s="91">
        <v>0.40000001000000002</v>
      </c>
      <c r="T52" s="91">
        <v>0.85714287</v>
      </c>
      <c r="U52" s="91">
        <v>0.5</v>
      </c>
      <c r="V52" s="91">
        <v>1</v>
      </c>
      <c r="W52" s="91">
        <v>0.5</v>
      </c>
      <c r="X52" s="91">
        <v>0.66666669000000001</v>
      </c>
      <c r="Y52" s="91">
        <v>0.28571429999999998</v>
      </c>
      <c r="Z52" s="91">
        <v>0.60000001999999997</v>
      </c>
      <c r="AA52" s="91">
        <v>0</v>
      </c>
      <c r="AB52" s="91">
        <v>0.16666666999999999</v>
      </c>
      <c r="AC52" s="91">
        <v>0.40000001000000002</v>
      </c>
      <c r="AD52" s="91">
        <v>0.28571429999999998</v>
      </c>
      <c r="AE52" s="91">
        <v>0.2</v>
      </c>
      <c r="AF52" s="91">
        <v>0.16666666999999999</v>
      </c>
    </row>
    <row r="53" spans="1:32" s="150" customFormat="1" ht="30" x14ac:dyDescent="0.25">
      <c r="A53" s="96">
        <v>24</v>
      </c>
      <c r="B53" s="152" t="s">
        <v>184</v>
      </c>
      <c r="C53" s="177">
        <v>0.71981839999999997</v>
      </c>
      <c r="D53" s="177">
        <v>0.73611110000000002</v>
      </c>
      <c r="E53" s="177">
        <v>0.375</v>
      </c>
      <c r="F53" s="177">
        <v>1</v>
      </c>
      <c r="G53" s="97">
        <v>0.91666669000000001</v>
      </c>
      <c r="H53" s="97">
        <v>0.45833333999999998</v>
      </c>
      <c r="I53" s="97">
        <v>0.72222220999999998</v>
      </c>
      <c r="J53" s="97">
        <v>0.64999998000000003</v>
      </c>
      <c r="K53" s="97">
        <v>0.64285713</v>
      </c>
      <c r="L53" s="97">
        <v>0.94999999000000002</v>
      </c>
      <c r="M53" s="97">
        <v>0.80000000999999998</v>
      </c>
      <c r="N53" s="97">
        <v>0.5</v>
      </c>
      <c r="O53" s="97">
        <v>0.89999998000000003</v>
      </c>
      <c r="P53" s="97">
        <v>0.375</v>
      </c>
      <c r="Q53" s="97">
        <v>0.47222220999999998</v>
      </c>
      <c r="R53" s="97">
        <v>0.53125</v>
      </c>
      <c r="S53" s="97">
        <v>0.80000000999999998</v>
      </c>
      <c r="T53" s="97">
        <v>0.85714287</v>
      </c>
      <c r="U53" s="97">
        <v>0.65625</v>
      </c>
      <c r="V53" s="97">
        <v>1</v>
      </c>
      <c r="W53" s="97">
        <v>0.625</v>
      </c>
      <c r="X53" s="97">
        <v>0.83333330999999999</v>
      </c>
      <c r="Y53" s="97">
        <v>0.60714287</v>
      </c>
      <c r="Z53" s="97">
        <v>0.89999998000000003</v>
      </c>
      <c r="AA53" s="97">
        <v>0.75</v>
      </c>
      <c r="AB53" s="97">
        <v>0.875</v>
      </c>
      <c r="AC53" s="97">
        <v>0.55000000999999998</v>
      </c>
      <c r="AD53" s="97">
        <v>0.89285713</v>
      </c>
      <c r="AE53" s="97">
        <v>0.69999999000000002</v>
      </c>
      <c r="AF53" s="97">
        <v>0.75</v>
      </c>
    </row>
    <row r="54" spans="1:32" s="119" customFormat="1" ht="20.25" customHeight="1" x14ac:dyDescent="0.25">
      <c r="A54" s="534" t="s">
        <v>804</v>
      </c>
      <c r="B54" s="534"/>
      <c r="C54" s="175">
        <v>0.56567860000000003</v>
      </c>
      <c r="D54" s="175">
        <v>0.58478260000000004</v>
      </c>
      <c r="E54" s="175">
        <v>0.21739130000000001</v>
      </c>
      <c r="F54" s="175">
        <v>0.91304350000000001</v>
      </c>
      <c r="G54" s="89">
        <v>0.56521737999999999</v>
      </c>
      <c r="H54" s="89">
        <v>0.58695649999999999</v>
      </c>
      <c r="I54" s="89">
        <v>0.56521737999999999</v>
      </c>
      <c r="J54" s="89">
        <v>0.73043477999999995</v>
      </c>
      <c r="K54" s="89">
        <v>0.57142859999999995</v>
      </c>
      <c r="L54" s="89">
        <v>0.64782607999999997</v>
      </c>
      <c r="M54" s="89">
        <v>0.60000001999999997</v>
      </c>
      <c r="N54" s="89">
        <v>0.28019324000000001</v>
      </c>
      <c r="O54" s="89">
        <v>0.58260869999999998</v>
      </c>
      <c r="P54" s="89">
        <v>0.47826087</v>
      </c>
      <c r="Q54" s="89">
        <v>0.70048308000000004</v>
      </c>
      <c r="R54" s="89">
        <v>0.43478259000000002</v>
      </c>
      <c r="S54" s="89">
        <v>0.67826085999999997</v>
      </c>
      <c r="T54" s="89">
        <v>0.60869563000000004</v>
      </c>
      <c r="U54" s="89">
        <v>0.71195649999999999</v>
      </c>
      <c r="V54" s="89">
        <v>0.91304350000000001</v>
      </c>
      <c r="W54" s="89">
        <v>0.31521740999999998</v>
      </c>
      <c r="X54" s="89">
        <v>0.21739130000000001</v>
      </c>
      <c r="Y54" s="89">
        <v>0.24223602</v>
      </c>
      <c r="Z54" s="89">
        <v>0.62608695000000003</v>
      </c>
      <c r="AA54" s="89">
        <v>0.48695651000000001</v>
      </c>
      <c r="AB54" s="89">
        <v>0.71014493999999995</v>
      </c>
      <c r="AC54" s="89">
        <v>0.77391303</v>
      </c>
      <c r="AD54" s="89">
        <v>0.46583851999999998</v>
      </c>
      <c r="AE54" s="89">
        <v>0.63478261000000002</v>
      </c>
      <c r="AF54" s="89">
        <v>0.57971013000000005</v>
      </c>
    </row>
    <row r="55" spans="1:32" s="150" customFormat="1" ht="20.25" customHeight="1" x14ac:dyDescent="0.25">
      <c r="A55" s="95">
        <v>1</v>
      </c>
      <c r="B55" s="151" t="s">
        <v>190</v>
      </c>
      <c r="C55" s="176">
        <v>0.62739619999999996</v>
      </c>
      <c r="D55" s="176">
        <v>0.66666669999999995</v>
      </c>
      <c r="E55" s="176">
        <v>0</v>
      </c>
      <c r="F55" s="176">
        <v>1</v>
      </c>
      <c r="G55" s="91">
        <v>1</v>
      </c>
      <c r="H55" s="91">
        <v>0.5</v>
      </c>
      <c r="I55" s="91">
        <v>0.77777779000000002</v>
      </c>
      <c r="J55" s="91">
        <v>0.2</v>
      </c>
      <c r="K55" s="91">
        <v>0.85714287</v>
      </c>
      <c r="L55" s="91">
        <v>0.60000001999999997</v>
      </c>
      <c r="M55" s="91">
        <v>0.80000000999999998</v>
      </c>
      <c r="N55" s="91">
        <v>0.33333333999999998</v>
      </c>
      <c r="O55" s="91">
        <v>0.89999998000000003</v>
      </c>
      <c r="P55" s="91">
        <v>0.66666669000000001</v>
      </c>
      <c r="Q55" s="91">
        <v>0.66666669000000001</v>
      </c>
      <c r="R55" s="91">
        <v>0.5</v>
      </c>
      <c r="S55" s="91">
        <v>1</v>
      </c>
      <c r="T55" s="91">
        <v>0.85714287</v>
      </c>
      <c r="U55" s="91">
        <v>0.625</v>
      </c>
      <c r="V55" s="91">
        <v>1</v>
      </c>
      <c r="W55" s="91">
        <v>0.5</v>
      </c>
      <c r="X55" s="91">
        <v>0.16666666999999999</v>
      </c>
      <c r="Y55" s="91">
        <v>0</v>
      </c>
      <c r="Z55" s="91">
        <v>1</v>
      </c>
      <c r="AA55" s="91">
        <v>0.80000000999999998</v>
      </c>
      <c r="AB55" s="91">
        <v>0.66666669000000001</v>
      </c>
      <c r="AC55" s="91">
        <v>0.2</v>
      </c>
      <c r="AD55" s="91">
        <v>0.42857142999999998</v>
      </c>
      <c r="AE55" s="91">
        <v>0.60000001999999997</v>
      </c>
      <c r="AF55" s="91">
        <v>0.66666669000000001</v>
      </c>
    </row>
    <row r="56" spans="1:32" s="150" customFormat="1" ht="20.25" customHeight="1" x14ac:dyDescent="0.25">
      <c r="A56" s="96">
        <v>2</v>
      </c>
      <c r="B56" s="152" t="s">
        <v>193</v>
      </c>
      <c r="C56" s="177">
        <v>0.79192609999999997</v>
      </c>
      <c r="D56" s="177">
        <v>0.86607149999999999</v>
      </c>
      <c r="E56" s="177">
        <v>0.2</v>
      </c>
      <c r="F56" s="177">
        <v>1</v>
      </c>
      <c r="G56" s="97">
        <v>0.66666669000000001</v>
      </c>
      <c r="H56" s="97">
        <v>1</v>
      </c>
      <c r="I56" s="97">
        <v>1</v>
      </c>
      <c r="J56" s="97">
        <v>1</v>
      </c>
      <c r="K56" s="97">
        <v>1</v>
      </c>
      <c r="L56" s="97">
        <v>1</v>
      </c>
      <c r="M56" s="97">
        <v>0.2</v>
      </c>
      <c r="N56" s="97">
        <v>0.44444444999999999</v>
      </c>
      <c r="O56" s="97">
        <v>0.69999999000000002</v>
      </c>
      <c r="P56" s="97">
        <v>1</v>
      </c>
      <c r="Q56" s="97">
        <v>0.77777779000000002</v>
      </c>
      <c r="R56" s="97">
        <v>0.875</v>
      </c>
      <c r="S56" s="97">
        <v>1</v>
      </c>
      <c r="T56" s="97">
        <v>1</v>
      </c>
      <c r="U56" s="97">
        <v>1</v>
      </c>
      <c r="V56" s="97">
        <v>1</v>
      </c>
      <c r="W56" s="97">
        <v>0.25</v>
      </c>
      <c r="X56" s="97">
        <v>0.5</v>
      </c>
      <c r="Y56" s="97">
        <v>0.28571429999999998</v>
      </c>
      <c r="Z56" s="97">
        <v>0.80000000999999998</v>
      </c>
      <c r="AA56" s="97">
        <v>0.80000000999999998</v>
      </c>
      <c r="AB56" s="97">
        <v>1</v>
      </c>
      <c r="AC56" s="97">
        <v>1</v>
      </c>
      <c r="AD56" s="97">
        <v>0.85714287</v>
      </c>
      <c r="AE56" s="97">
        <v>0.60000001999999997</v>
      </c>
      <c r="AF56" s="97">
        <v>0.83333330999999999</v>
      </c>
    </row>
    <row r="57" spans="1:32" s="150" customFormat="1" ht="20.25" customHeight="1" x14ac:dyDescent="0.25">
      <c r="A57" s="95">
        <v>3</v>
      </c>
      <c r="B57" s="151" t="s">
        <v>196</v>
      </c>
      <c r="C57" s="176">
        <v>0.68577529999999998</v>
      </c>
      <c r="D57" s="176">
        <v>0.71428570000000002</v>
      </c>
      <c r="E57" s="176">
        <v>0.22222220000000001</v>
      </c>
      <c r="F57" s="176">
        <v>1</v>
      </c>
      <c r="G57" s="91">
        <v>0.83333330999999999</v>
      </c>
      <c r="H57" s="91">
        <v>0.66666669000000001</v>
      </c>
      <c r="I57" s="91">
        <v>0.88888889999999998</v>
      </c>
      <c r="J57" s="91">
        <v>1</v>
      </c>
      <c r="K57" s="91">
        <v>0.71428572999999995</v>
      </c>
      <c r="L57" s="91">
        <v>0.5</v>
      </c>
      <c r="M57" s="91">
        <v>0.60000001999999997</v>
      </c>
      <c r="N57" s="91">
        <v>0.22222222</v>
      </c>
      <c r="O57" s="91">
        <v>0.80000000999999998</v>
      </c>
      <c r="P57" s="91">
        <v>0.5</v>
      </c>
      <c r="Q57" s="91">
        <v>1</v>
      </c>
      <c r="R57" s="91">
        <v>0.375</v>
      </c>
      <c r="S57" s="91">
        <v>0.80000000999999998</v>
      </c>
      <c r="T57" s="91">
        <v>0.71428572999999995</v>
      </c>
      <c r="U57" s="91">
        <v>0.875</v>
      </c>
      <c r="V57" s="91">
        <v>1</v>
      </c>
      <c r="W57" s="91">
        <v>0.25</v>
      </c>
      <c r="X57" s="91">
        <v>0.33333333999999998</v>
      </c>
      <c r="Y57" s="91">
        <v>0.28571429999999998</v>
      </c>
      <c r="Z57" s="91">
        <v>1</v>
      </c>
      <c r="AA57" s="91">
        <v>0.60000001999999997</v>
      </c>
      <c r="AB57" s="91">
        <v>1</v>
      </c>
      <c r="AC57" s="91">
        <v>0.80000000999999998</v>
      </c>
      <c r="AD57" s="91">
        <v>0.57142859999999995</v>
      </c>
      <c r="AE57" s="91">
        <v>1</v>
      </c>
      <c r="AF57" s="91">
        <v>0.5</v>
      </c>
    </row>
    <row r="58" spans="1:32" s="150" customFormat="1" ht="20.25" customHeight="1" x14ac:dyDescent="0.25">
      <c r="A58" s="96">
        <v>4</v>
      </c>
      <c r="B58" s="152" t="s">
        <v>199</v>
      </c>
      <c r="C58" s="177">
        <v>0.4062424</v>
      </c>
      <c r="D58" s="177">
        <v>0.4</v>
      </c>
      <c r="E58" s="177">
        <v>0</v>
      </c>
      <c r="F58" s="177">
        <v>1</v>
      </c>
      <c r="G58" s="97">
        <v>0.16666666999999999</v>
      </c>
      <c r="H58" s="97">
        <v>0.5</v>
      </c>
      <c r="I58" s="97">
        <v>0</v>
      </c>
      <c r="J58" s="97">
        <v>0.40000001000000002</v>
      </c>
      <c r="K58" s="97">
        <v>0.14285714999999999</v>
      </c>
      <c r="L58" s="97">
        <v>0.60000001999999997</v>
      </c>
      <c r="M58" s="97">
        <v>0.80000000999999998</v>
      </c>
      <c r="N58" s="97">
        <v>0.11111111</v>
      </c>
      <c r="O58" s="97">
        <v>0.40000001000000002</v>
      </c>
      <c r="P58" s="97">
        <v>0.16666666999999999</v>
      </c>
      <c r="Q58" s="97">
        <v>0.33333333999999998</v>
      </c>
      <c r="R58" s="97">
        <v>0.25</v>
      </c>
      <c r="S58" s="97">
        <v>0.80000000999999998</v>
      </c>
      <c r="T58" s="97">
        <v>0.28571429999999998</v>
      </c>
      <c r="U58" s="97">
        <v>0.625</v>
      </c>
      <c r="V58" s="97">
        <v>1</v>
      </c>
      <c r="W58" s="97">
        <v>0.5</v>
      </c>
      <c r="X58" s="97">
        <v>0.16666666999999999</v>
      </c>
      <c r="Y58" s="97">
        <v>0.42857142999999998</v>
      </c>
      <c r="Z58" s="97">
        <v>0</v>
      </c>
      <c r="AA58" s="97">
        <v>0</v>
      </c>
      <c r="AB58" s="97">
        <v>0.5</v>
      </c>
      <c r="AC58" s="97">
        <v>1</v>
      </c>
      <c r="AD58" s="97">
        <v>0.28571429999999998</v>
      </c>
      <c r="AE58" s="97">
        <v>0.60000001999999997</v>
      </c>
      <c r="AF58" s="97">
        <v>0.5</v>
      </c>
    </row>
    <row r="59" spans="1:32" s="150" customFormat="1" ht="20.25" customHeight="1" x14ac:dyDescent="0.25">
      <c r="A59" s="95">
        <v>5</v>
      </c>
      <c r="B59" s="151" t="s">
        <v>202</v>
      </c>
      <c r="C59" s="176">
        <v>0.32786939999999998</v>
      </c>
      <c r="D59" s="176">
        <v>0.29285709999999998</v>
      </c>
      <c r="E59" s="176">
        <v>0</v>
      </c>
      <c r="F59" s="176">
        <v>1</v>
      </c>
      <c r="G59" s="91">
        <v>0.16666666999999999</v>
      </c>
      <c r="H59" s="91">
        <v>0.5</v>
      </c>
      <c r="I59" s="91">
        <v>0</v>
      </c>
      <c r="J59" s="91">
        <v>0.40000001000000002</v>
      </c>
      <c r="K59" s="91">
        <v>0</v>
      </c>
      <c r="L59" s="91">
        <v>0.40000001000000002</v>
      </c>
      <c r="M59" s="91">
        <v>1</v>
      </c>
      <c r="N59" s="91">
        <v>0</v>
      </c>
      <c r="O59" s="91">
        <v>0.30000000999999998</v>
      </c>
      <c r="P59" s="91">
        <v>0.16666666999999999</v>
      </c>
      <c r="Q59" s="91">
        <v>0.55555558000000005</v>
      </c>
      <c r="R59" s="91">
        <v>0.25</v>
      </c>
      <c r="S59" s="91">
        <v>0.60000001999999997</v>
      </c>
      <c r="T59" s="91">
        <v>0.28571429999999998</v>
      </c>
      <c r="U59" s="91">
        <v>0.5</v>
      </c>
      <c r="V59" s="91">
        <v>1</v>
      </c>
      <c r="W59" s="91">
        <v>0</v>
      </c>
      <c r="X59" s="91">
        <v>0</v>
      </c>
      <c r="Y59" s="91">
        <v>0</v>
      </c>
      <c r="Z59" s="91">
        <v>0</v>
      </c>
      <c r="AA59" s="91">
        <v>0</v>
      </c>
      <c r="AB59" s="91">
        <v>0.33333333999999998</v>
      </c>
      <c r="AC59" s="91">
        <v>1</v>
      </c>
      <c r="AD59" s="91">
        <v>0</v>
      </c>
      <c r="AE59" s="91">
        <v>0.40000001000000002</v>
      </c>
      <c r="AF59" s="91">
        <v>0.66666669000000001</v>
      </c>
    </row>
    <row r="60" spans="1:32" s="150" customFormat="1" ht="30" x14ac:dyDescent="0.25">
      <c r="A60" s="96">
        <v>6</v>
      </c>
      <c r="B60" s="152" t="s">
        <v>205</v>
      </c>
      <c r="C60" s="177">
        <v>0.27907510000000002</v>
      </c>
      <c r="D60" s="177">
        <v>0.28571429999999998</v>
      </c>
      <c r="E60" s="177">
        <v>0</v>
      </c>
      <c r="F60" s="177">
        <v>0.75</v>
      </c>
      <c r="G60" s="97">
        <v>0.16666666999999999</v>
      </c>
      <c r="H60" s="97">
        <v>0.33333333999999998</v>
      </c>
      <c r="I60" s="97">
        <v>0</v>
      </c>
      <c r="J60" s="97">
        <v>0.40000001000000002</v>
      </c>
      <c r="K60" s="97">
        <v>0.28571429999999998</v>
      </c>
      <c r="L60" s="97">
        <v>0.60000001999999997</v>
      </c>
      <c r="M60" s="97">
        <v>0.2</v>
      </c>
      <c r="N60" s="97">
        <v>0.44444444999999999</v>
      </c>
      <c r="O60" s="97">
        <v>0.40000001000000002</v>
      </c>
      <c r="P60" s="97">
        <v>0.16666666999999999</v>
      </c>
      <c r="Q60" s="97">
        <v>0.22222222</v>
      </c>
      <c r="R60" s="97">
        <v>0.125</v>
      </c>
      <c r="S60" s="97">
        <v>0</v>
      </c>
      <c r="T60" s="97">
        <v>0.14285714999999999</v>
      </c>
      <c r="U60" s="97">
        <v>0.75</v>
      </c>
      <c r="V60" s="97">
        <v>0.33333333999999998</v>
      </c>
      <c r="W60" s="97">
        <v>0.5</v>
      </c>
      <c r="X60" s="97">
        <v>0</v>
      </c>
      <c r="Y60" s="97">
        <v>0</v>
      </c>
      <c r="Z60" s="97">
        <v>0.40000001000000002</v>
      </c>
      <c r="AA60" s="97">
        <v>0.60000001999999997</v>
      </c>
      <c r="AB60" s="97">
        <v>0.16666666999999999</v>
      </c>
      <c r="AC60" s="97">
        <v>0</v>
      </c>
      <c r="AD60" s="97">
        <v>0.28571429999999998</v>
      </c>
      <c r="AE60" s="97">
        <v>0.40000001000000002</v>
      </c>
      <c r="AF60" s="97">
        <v>0.33333333999999998</v>
      </c>
    </row>
    <row r="61" spans="1:32" s="150" customFormat="1" ht="20.25" customHeight="1" x14ac:dyDescent="0.25">
      <c r="A61" s="95">
        <v>7</v>
      </c>
      <c r="B61" s="151" t="s">
        <v>208</v>
      </c>
      <c r="C61" s="176">
        <v>0.68775949999999997</v>
      </c>
      <c r="D61" s="176">
        <v>0.70833330000000005</v>
      </c>
      <c r="E61" s="176">
        <v>0</v>
      </c>
      <c r="F61" s="176">
        <v>1</v>
      </c>
      <c r="G61" s="91">
        <v>1</v>
      </c>
      <c r="H61" s="91">
        <v>0.16666666999999999</v>
      </c>
      <c r="I61" s="91">
        <v>1</v>
      </c>
      <c r="J61" s="91">
        <v>1</v>
      </c>
      <c r="K61" s="91">
        <v>1</v>
      </c>
      <c r="L61" s="91">
        <v>1</v>
      </c>
      <c r="M61" s="91">
        <v>1</v>
      </c>
      <c r="N61" s="91">
        <v>0.55555558000000005</v>
      </c>
      <c r="O61" s="91">
        <v>0.40000001000000002</v>
      </c>
      <c r="P61" s="91">
        <v>0.66666669000000001</v>
      </c>
      <c r="Q61" s="91">
        <v>1</v>
      </c>
      <c r="R61" s="91">
        <v>0.75</v>
      </c>
      <c r="S61" s="91">
        <v>0.40000001000000002</v>
      </c>
      <c r="T61" s="91">
        <v>1</v>
      </c>
      <c r="U61" s="91">
        <v>0</v>
      </c>
      <c r="V61" s="91">
        <v>1</v>
      </c>
      <c r="W61" s="91">
        <v>0.5</v>
      </c>
      <c r="X61" s="91">
        <v>0</v>
      </c>
      <c r="Y61" s="91">
        <v>0.57142859999999995</v>
      </c>
      <c r="Z61" s="91">
        <v>1</v>
      </c>
      <c r="AA61" s="91">
        <v>0.60000001999999997</v>
      </c>
      <c r="AB61" s="91">
        <v>0.83333330999999999</v>
      </c>
      <c r="AC61" s="91">
        <v>1</v>
      </c>
      <c r="AD61" s="91">
        <v>0.57142859999999995</v>
      </c>
      <c r="AE61" s="91">
        <v>0.2</v>
      </c>
      <c r="AF61" s="91">
        <v>0.66666669000000001</v>
      </c>
    </row>
    <row r="62" spans="1:32" s="119" customFormat="1" ht="20.25" customHeight="1" x14ac:dyDescent="0.25">
      <c r="A62" s="534" t="s">
        <v>805</v>
      </c>
      <c r="B62" s="534"/>
      <c r="C62" s="175">
        <v>0.81040699999999999</v>
      </c>
      <c r="D62" s="175">
        <v>0.8</v>
      </c>
      <c r="E62" s="175">
        <v>0.26666669999999998</v>
      </c>
      <c r="F62" s="175">
        <v>1</v>
      </c>
      <c r="G62" s="89">
        <v>0.97777778000000004</v>
      </c>
      <c r="H62" s="89">
        <v>0.78888886999999996</v>
      </c>
      <c r="I62" s="89">
        <v>0.80000000999999998</v>
      </c>
      <c r="J62" s="89">
        <v>0.78333335999999998</v>
      </c>
      <c r="K62" s="89">
        <v>0.77333331000000005</v>
      </c>
      <c r="L62" s="89">
        <v>0.78666669</v>
      </c>
      <c r="M62" s="89">
        <v>0.86666666999999997</v>
      </c>
      <c r="N62" s="89">
        <v>0.61666666999999997</v>
      </c>
      <c r="O62" s="89">
        <v>0.80740738000000001</v>
      </c>
      <c r="P62" s="89">
        <v>0.80000000999999998</v>
      </c>
      <c r="Q62" s="89">
        <v>0.97777778000000004</v>
      </c>
      <c r="R62" s="89">
        <v>0.98333334999999999</v>
      </c>
      <c r="S62" s="89">
        <v>0.95555555999999997</v>
      </c>
      <c r="T62" s="89">
        <v>0.75555556999999995</v>
      </c>
      <c r="U62" s="89">
        <v>0.84444445000000001</v>
      </c>
      <c r="V62" s="89">
        <v>1</v>
      </c>
      <c r="W62" s="89">
        <v>0.89999998000000003</v>
      </c>
      <c r="X62" s="89">
        <v>0.55555558000000005</v>
      </c>
      <c r="Y62" s="89">
        <v>0.71428572999999995</v>
      </c>
      <c r="Z62" s="89">
        <v>0.71666664000000002</v>
      </c>
      <c r="AA62" s="89">
        <v>0.26666667999999999</v>
      </c>
      <c r="AB62" s="89">
        <v>1</v>
      </c>
      <c r="AC62" s="89">
        <v>1</v>
      </c>
      <c r="AD62" s="89">
        <v>0.94999999000000002</v>
      </c>
      <c r="AE62" s="89">
        <v>0.76666665000000001</v>
      </c>
      <c r="AF62" s="89">
        <v>0.68333334000000001</v>
      </c>
    </row>
    <row r="63" spans="1:32" s="150" customFormat="1" ht="20.25" customHeight="1" x14ac:dyDescent="0.25">
      <c r="A63" s="95">
        <v>1</v>
      </c>
      <c r="B63" s="151" t="s">
        <v>212</v>
      </c>
      <c r="C63" s="176">
        <v>0.99358979999999997</v>
      </c>
      <c r="D63" s="176">
        <v>1</v>
      </c>
      <c r="E63" s="176">
        <v>0.83333330000000005</v>
      </c>
      <c r="F63" s="176">
        <v>1</v>
      </c>
      <c r="G63" s="91">
        <v>1</v>
      </c>
      <c r="H63" s="91">
        <v>1</v>
      </c>
      <c r="I63" s="91">
        <v>1</v>
      </c>
      <c r="J63" s="91">
        <v>1</v>
      </c>
      <c r="K63" s="91">
        <v>1</v>
      </c>
      <c r="L63" s="91">
        <v>1</v>
      </c>
      <c r="M63" s="91">
        <v>1</v>
      </c>
      <c r="N63" s="91">
        <v>1</v>
      </c>
      <c r="O63" s="91">
        <v>1</v>
      </c>
      <c r="P63" s="91">
        <v>1</v>
      </c>
      <c r="Q63" s="91">
        <v>1</v>
      </c>
      <c r="R63" s="91">
        <v>1</v>
      </c>
      <c r="S63" s="91">
        <v>1</v>
      </c>
      <c r="T63" s="91">
        <v>1</v>
      </c>
      <c r="U63" s="91">
        <v>1</v>
      </c>
      <c r="V63" s="91">
        <v>1</v>
      </c>
      <c r="W63" s="91">
        <v>1</v>
      </c>
      <c r="X63" s="91">
        <v>0.83333330999999999</v>
      </c>
      <c r="Y63" s="91">
        <v>1</v>
      </c>
      <c r="Z63" s="91">
        <v>1</v>
      </c>
      <c r="AA63" s="91">
        <v>1</v>
      </c>
      <c r="AB63" s="91">
        <v>1</v>
      </c>
      <c r="AC63" s="91">
        <v>1</v>
      </c>
      <c r="AD63" s="91">
        <v>1</v>
      </c>
      <c r="AE63" s="91">
        <v>1</v>
      </c>
      <c r="AF63" s="91">
        <v>1</v>
      </c>
    </row>
    <row r="64" spans="1:32" s="150" customFormat="1" ht="20.25" customHeight="1" x14ac:dyDescent="0.25">
      <c r="A64" s="96">
        <v>2</v>
      </c>
      <c r="B64" s="152" t="s">
        <v>215</v>
      </c>
      <c r="C64" s="177">
        <v>0.68058609999999997</v>
      </c>
      <c r="D64" s="177">
        <v>0.70833330000000005</v>
      </c>
      <c r="E64" s="177">
        <v>0</v>
      </c>
      <c r="F64" s="177">
        <v>1</v>
      </c>
      <c r="G64" s="97">
        <v>0.66666669000000001</v>
      </c>
      <c r="H64" s="97">
        <v>0.83333330999999999</v>
      </c>
      <c r="I64" s="97">
        <v>1</v>
      </c>
      <c r="J64" s="97">
        <v>0.5</v>
      </c>
      <c r="K64" s="97">
        <v>0.60000001999999997</v>
      </c>
      <c r="L64" s="97">
        <v>1</v>
      </c>
      <c r="M64" s="97">
        <v>1</v>
      </c>
      <c r="N64" s="97">
        <v>0.5</v>
      </c>
      <c r="O64" s="97">
        <v>0.66666669000000001</v>
      </c>
      <c r="P64" s="97">
        <v>0.5</v>
      </c>
      <c r="Q64" s="97">
        <v>1</v>
      </c>
      <c r="R64" s="97">
        <v>0.75</v>
      </c>
      <c r="S64" s="97">
        <v>0.33333333999999998</v>
      </c>
      <c r="T64" s="97">
        <v>0.33333333999999998</v>
      </c>
      <c r="U64" s="97">
        <v>0.66666669000000001</v>
      </c>
      <c r="V64" s="97">
        <v>1</v>
      </c>
      <c r="W64" s="97">
        <v>1</v>
      </c>
      <c r="X64" s="97">
        <v>0.16666666999999999</v>
      </c>
      <c r="Y64" s="97">
        <v>0.42857142999999998</v>
      </c>
      <c r="Z64" s="97">
        <v>0.75</v>
      </c>
      <c r="AA64" s="97">
        <v>0</v>
      </c>
      <c r="AB64" s="97">
        <v>1</v>
      </c>
      <c r="AC64" s="97">
        <v>1</v>
      </c>
      <c r="AD64" s="97">
        <v>0.75</v>
      </c>
      <c r="AE64" s="97">
        <v>1</v>
      </c>
      <c r="AF64" s="97">
        <v>0.25</v>
      </c>
    </row>
    <row r="65" spans="1:32" s="150" customFormat="1" ht="20.25" customHeight="1" x14ac:dyDescent="0.25">
      <c r="A65" s="95">
        <v>3</v>
      </c>
      <c r="B65" s="151" t="s">
        <v>218</v>
      </c>
      <c r="C65" s="176">
        <v>0.90598290000000004</v>
      </c>
      <c r="D65" s="176">
        <v>1</v>
      </c>
      <c r="E65" s="176">
        <v>0.1666667</v>
      </c>
      <c r="F65" s="176">
        <v>1</v>
      </c>
      <c r="G65" s="91">
        <v>1</v>
      </c>
      <c r="H65" s="91">
        <v>1</v>
      </c>
      <c r="I65" s="91">
        <v>1</v>
      </c>
      <c r="J65" s="91">
        <v>1</v>
      </c>
      <c r="K65" s="91">
        <v>1</v>
      </c>
      <c r="L65" s="91">
        <v>1</v>
      </c>
      <c r="M65" s="91">
        <v>1</v>
      </c>
      <c r="N65" s="91">
        <v>0.5</v>
      </c>
      <c r="O65" s="91">
        <v>0.88888889999999998</v>
      </c>
      <c r="P65" s="91">
        <v>0.5</v>
      </c>
      <c r="Q65" s="91">
        <v>1</v>
      </c>
      <c r="R65" s="91">
        <v>1</v>
      </c>
      <c r="S65" s="91">
        <v>1</v>
      </c>
      <c r="T65" s="91">
        <v>1</v>
      </c>
      <c r="U65" s="91">
        <v>1</v>
      </c>
      <c r="V65" s="91">
        <v>1</v>
      </c>
      <c r="W65" s="91">
        <v>1</v>
      </c>
      <c r="X65" s="91">
        <v>0.16666666999999999</v>
      </c>
      <c r="Y65" s="91">
        <v>1</v>
      </c>
      <c r="Z65" s="91">
        <v>1</v>
      </c>
      <c r="AA65" s="91">
        <v>0.5</v>
      </c>
      <c r="AB65" s="91">
        <v>1</v>
      </c>
      <c r="AC65" s="91">
        <v>1</v>
      </c>
      <c r="AD65" s="91">
        <v>1</v>
      </c>
      <c r="AE65" s="91">
        <v>1</v>
      </c>
      <c r="AF65" s="91">
        <v>1</v>
      </c>
    </row>
    <row r="66" spans="1:32" s="150" customFormat="1" ht="45" customHeight="1" x14ac:dyDescent="0.25">
      <c r="A66" s="96">
        <v>4</v>
      </c>
      <c r="B66" s="152" t="s">
        <v>221</v>
      </c>
      <c r="C66" s="177">
        <v>0.909188</v>
      </c>
      <c r="D66" s="177">
        <v>1</v>
      </c>
      <c r="E66" s="177">
        <v>0.5</v>
      </c>
      <c r="F66" s="177">
        <v>1</v>
      </c>
      <c r="G66" s="97">
        <v>1</v>
      </c>
      <c r="H66" s="97">
        <v>1</v>
      </c>
      <c r="I66" s="97">
        <v>0.66666669000000001</v>
      </c>
      <c r="J66" s="97">
        <v>1</v>
      </c>
      <c r="K66" s="97">
        <v>1</v>
      </c>
      <c r="L66" s="97">
        <v>1</v>
      </c>
      <c r="M66" s="97">
        <v>1</v>
      </c>
      <c r="N66" s="97">
        <v>0.75</v>
      </c>
      <c r="O66" s="97">
        <v>0.88888889999999998</v>
      </c>
      <c r="P66" s="97">
        <v>0.5</v>
      </c>
      <c r="Q66" s="97">
        <v>1</v>
      </c>
      <c r="R66" s="97">
        <v>1</v>
      </c>
      <c r="S66" s="97">
        <v>1</v>
      </c>
      <c r="T66" s="97">
        <v>1</v>
      </c>
      <c r="U66" s="97">
        <v>1</v>
      </c>
      <c r="V66" s="97">
        <v>1</v>
      </c>
      <c r="W66" s="97">
        <v>1</v>
      </c>
      <c r="X66" s="97">
        <v>0.83333330999999999</v>
      </c>
      <c r="Y66" s="97">
        <v>1</v>
      </c>
      <c r="Z66" s="97">
        <v>0.75</v>
      </c>
      <c r="AA66" s="97">
        <v>0.5</v>
      </c>
      <c r="AB66" s="97">
        <v>1</v>
      </c>
      <c r="AC66" s="97">
        <v>1</v>
      </c>
      <c r="AD66" s="97">
        <v>1</v>
      </c>
      <c r="AE66" s="97">
        <v>1</v>
      </c>
      <c r="AF66" s="97">
        <v>0.75</v>
      </c>
    </row>
    <row r="67" spans="1:32" s="150" customFormat="1" ht="20.25" customHeight="1" x14ac:dyDescent="0.25">
      <c r="A67" s="95">
        <v>5</v>
      </c>
      <c r="B67" s="151" t="s">
        <v>224</v>
      </c>
      <c r="C67" s="176">
        <v>0.73101340000000004</v>
      </c>
      <c r="D67" s="176">
        <v>0.9</v>
      </c>
      <c r="E67" s="176">
        <v>0</v>
      </c>
      <c r="F67" s="176">
        <v>1</v>
      </c>
      <c r="G67" s="91">
        <v>1</v>
      </c>
      <c r="H67" s="91">
        <v>1</v>
      </c>
      <c r="I67" s="91">
        <v>0.66666669000000001</v>
      </c>
      <c r="J67" s="91">
        <v>0.25</v>
      </c>
      <c r="K67" s="91">
        <v>0</v>
      </c>
      <c r="L67" s="91">
        <v>0.80000000999999998</v>
      </c>
      <c r="M67" s="91">
        <v>1</v>
      </c>
      <c r="N67" s="91">
        <v>0.25</v>
      </c>
      <c r="O67" s="91">
        <v>0.77777779000000002</v>
      </c>
      <c r="P67" s="91">
        <v>1</v>
      </c>
      <c r="Q67" s="91">
        <v>0.66666669000000001</v>
      </c>
      <c r="R67" s="91">
        <v>1</v>
      </c>
      <c r="S67" s="91">
        <v>1</v>
      </c>
      <c r="T67" s="91">
        <v>1</v>
      </c>
      <c r="U67" s="91">
        <v>1</v>
      </c>
      <c r="V67" s="91">
        <v>1</v>
      </c>
      <c r="W67" s="91">
        <v>1</v>
      </c>
      <c r="X67" s="91">
        <v>0.16666666999999999</v>
      </c>
      <c r="Y67" s="91">
        <v>0.42857142999999998</v>
      </c>
      <c r="Z67" s="91">
        <v>0.5</v>
      </c>
      <c r="AA67" s="91">
        <v>0.5</v>
      </c>
      <c r="AB67" s="91">
        <v>1</v>
      </c>
      <c r="AC67" s="91">
        <v>1</v>
      </c>
      <c r="AD67" s="91">
        <v>1</v>
      </c>
      <c r="AE67" s="91">
        <v>0.5</v>
      </c>
      <c r="AF67" s="91">
        <v>0.5</v>
      </c>
    </row>
    <row r="68" spans="1:32" s="150" customFormat="1" ht="20.25" customHeight="1" x14ac:dyDescent="0.25">
      <c r="A68" s="96">
        <v>6</v>
      </c>
      <c r="B68" s="152" t="s">
        <v>227</v>
      </c>
      <c r="C68" s="177">
        <v>0.90247259999999996</v>
      </c>
      <c r="D68" s="177">
        <v>1</v>
      </c>
      <c r="E68" s="177">
        <v>0</v>
      </c>
      <c r="F68" s="177">
        <v>1</v>
      </c>
      <c r="G68" s="97">
        <v>1</v>
      </c>
      <c r="H68" s="97">
        <v>1</v>
      </c>
      <c r="I68" s="97">
        <v>1</v>
      </c>
      <c r="J68" s="97">
        <v>1</v>
      </c>
      <c r="K68" s="97">
        <v>1</v>
      </c>
      <c r="L68" s="97">
        <v>1</v>
      </c>
      <c r="M68" s="97">
        <v>1</v>
      </c>
      <c r="N68" s="97">
        <v>1</v>
      </c>
      <c r="O68" s="97">
        <v>0.66666669000000001</v>
      </c>
      <c r="P68" s="97">
        <v>0.5</v>
      </c>
      <c r="Q68" s="97">
        <v>1</v>
      </c>
      <c r="R68" s="97">
        <v>1</v>
      </c>
      <c r="S68" s="97">
        <v>1</v>
      </c>
      <c r="T68" s="97">
        <v>1</v>
      </c>
      <c r="U68" s="97">
        <v>1</v>
      </c>
      <c r="V68" s="97">
        <v>1</v>
      </c>
      <c r="W68" s="97">
        <v>1</v>
      </c>
      <c r="X68" s="97">
        <v>0.83333330999999999</v>
      </c>
      <c r="Y68" s="97">
        <v>0.71428572999999995</v>
      </c>
      <c r="Z68" s="97">
        <v>0.75</v>
      </c>
      <c r="AA68" s="97">
        <v>0</v>
      </c>
      <c r="AB68" s="97">
        <v>1</v>
      </c>
      <c r="AC68" s="97">
        <v>1</v>
      </c>
      <c r="AD68" s="97">
        <v>1</v>
      </c>
      <c r="AE68" s="97">
        <v>1</v>
      </c>
      <c r="AF68" s="97">
        <v>1</v>
      </c>
    </row>
    <row r="69" spans="1:32" s="150" customFormat="1" ht="20.25" customHeight="1" x14ac:dyDescent="0.25">
      <c r="A69" s="95">
        <v>7</v>
      </c>
      <c r="B69" s="151" t="s">
        <v>230</v>
      </c>
      <c r="C69" s="176">
        <v>0.92606840000000001</v>
      </c>
      <c r="D69" s="176">
        <v>1</v>
      </c>
      <c r="E69" s="176">
        <v>0.5</v>
      </c>
      <c r="F69" s="176">
        <v>1</v>
      </c>
      <c r="G69" s="91">
        <v>1</v>
      </c>
      <c r="H69" s="91">
        <v>1</v>
      </c>
      <c r="I69" s="91">
        <v>1</v>
      </c>
      <c r="J69" s="91">
        <v>0.5</v>
      </c>
      <c r="K69" s="91">
        <v>0.80000000999999998</v>
      </c>
      <c r="L69" s="91">
        <v>1</v>
      </c>
      <c r="M69" s="91">
        <v>1</v>
      </c>
      <c r="N69" s="91">
        <v>1</v>
      </c>
      <c r="O69" s="91">
        <v>0.77777779000000002</v>
      </c>
      <c r="P69" s="91">
        <v>1</v>
      </c>
      <c r="Q69" s="91">
        <v>1</v>
      </c>
      <c r="R69" s="91">
        <v>1</v>
      </c>
      <c r="S69" s="91">
        <v>1</v>
      </c>
      <c r="T69" s="91">
        <v>1</v>
      </c>
      <c r="U69" s="91">
        <v>1</v>
      </c>
      <c r="V69" s="91">
        <v>1</v>
      </c>
      <c r="W69" s="91">
        <v>1</v>
      </c>
      <c r="X69" s="91">
        <v>0.5</v>
      </c>
      <c r="Y69" s="91">
        <v>1</v>
      </c>
      <c r="Z69" s="91">
        <v>1</v>
      </c>
      <c r="AA69" s="91">
        <v>0.5</v>
      </c>
      <c r="AB69" s="91">
        <v>1</v>
      </c>
      <c r="AC69" s="91">
        <v>1</v>
      </c>
      <c r="AD69" s="91">
        <v>1</v>
      </c>
      <c r="AE69" s="91">
        <v>1</v>
      </c>
      <c r="AF69" s="91">
        <v>1</v>
      </c>
    </row>
    <row r="70" spans="1:32" s="150" customFormat="1" ht="20.25" customHeight="1" x14ac:dyDescent="0.25">
      <c r="A70" s="96">
        <v>8</v>
      </c>
      <c r="B70" s="152" t="s">
        <v>233</v>
      </c>
      <c r="C70" s="177">
        <v>0.89679489999999995</v>
      </c>
      <c r="D70" s="177">
        <v>1</v>
      </c>
      <c r="E70" s="177">
        <v>0</v>
      </c>
      <c r="F70" s="177">
        <v>1</v>
      </c>
      <c r="G70" s="97">
        <v>1</v>
      </c>
      <c r="H70" s="97">
        <v>1</v>
      </c>
      <c r="I70" s="97">
        <v>1</v>
      </c>
      <c r="J70" s="97">
        <v>0.75</v>
      </c>
      <c r="K70" s="97">
        <v>0.40000001000000002</v>
      </c>
      <c r="L70" s="97">
        <v>1</v>
      </c>
      <c r="M70" s="97">
        <v>1</v>
      </c>
      <c r="N70" s="97">
        <v>0.75</v>
      </c>
      <c r="O70" s="97">
        <v>1</v>
      </c>
      <c r="P70" s="97">
        <v>1</v>
      </c>
      <c r="Q70" s="97">
        <v>1</v>
      </c>
      <c r="R70" s="97">
        <v>1</v>
      </c>
      <c r="S70" s="97">
        <v>1</v>
      </c>
      <c r="T70" s="97">
        <v>1</v>
      </c>
      <c r="U70" s="97">
        <v>1</v>
      </c>
      <c r="V70" s="97">
        <v>1</v>
      </c>
      <c r="W70" s="97">
        <v>1</v>
      </c>
      <c r="X70" s="97">
        <v>0.66666669000000001</v>
      </c>
      <c r="Y70" s="97">
        <v>1</v>
      </c>
      <c r="Z70" s="97">
        <v>1</v>
      </c>
      <c r="AA70" s="97">
        <v>0</v>
      </c>
      <c r="AB70" s="97">
        <v>1</v>
      </c>
      <c r="AC70" s="97">
        <v>1</v>
      </c>
      <c r="AD70" s="97">
        <v>0.75</v>
      </c>
      <c r="AE70" s="97">
        <v>1</v>
      </c>
      <c r="AF70" s="97">
        <v>1</v>
      </c>
    </row>
    <row r="71" spans="1:32" s="150" customFormat="1" ht="30" x14ac:dyDescent="0.25">
      <c r="A71" s="95">
        <v>9</v>
      </c>
      <c r="B71" s="151" t="s">
        <v>236</v>
      </c>
      <c r="C71" s="176">
        <v>0.90854699999999999</v>
      </c>
      <c r="D71" s="176">
        <v>1</v>
      </c>
      <c r="E71" s="176">
        <v>0.4</v>
      </c>
      <c r="F71" s="176">
        <v>1</v>
      </c>
      <c r="G71" s="91">
        <v>1</v>
      </c>
      <c r="H71" s="91">
        <v>1</v>
      </c>
      <c r="I71" s="91">
        <v>1</v>
      </c>
      <c r="J71" s="91">
        <v>0.75</v>
      </c>
      <c r="K71" s="91">
        <v>1</v>
      </c>
      <c r="L71" s="91">
        <v>0.40000001000000002</v>
      </c>
      <c r="M71" s="91">
        <v>0.5</v>
      </c>
      <c r="N71" s="91">
        <v>1</v>
      </c>
      <c r="O71" s="91">
        <v>0.88888889999999998</v>
      </c>
      <c r="P71" s="91">
        <v>1</v>
      </c>
      <c r="Q71" s="91">
        <v>1</v>
      </c>
      <c r="R71" s="91">
        <v>1</v>
      </c>
      <c r="S71" s="91">
        <v>1</v>
      </c>
      <c r="T71" s="91">
        <v>1</v>
      </c>
      <c r="U71" s="91">
        <v>1</v>
      </c>
      <c r="V71" s="91">
        <v>1</v>
      </c>
      <c r="W71" s="91">
        <v>1</v>
      </c>
      <c r="X71" s="91">
        <v>0.83333330999999999</v>
      </c>
      <c r="Y71" s="91">
        <v>1</v>
      </c>
      <c r="Z71" s="91">
        <v>0.75</v>
      </c>
      <c r="AA71" s="91">
        <v>0.5</v>
      </c>
      <c r="AB71" s="91">
        <v>1</v>
      </c>
      <c r="AC71" s="91">
        <v>1</v>
      </c>
      <c r="AD71" s="91">
        <v>1</v>
      </c>
      <c r="AE71" s="91">
        <v>1</v>
      </c>
      <c r="AF71" s="91">
        <v>1</v>
      </c>
    </row>
    <row r="72" spans="1:32" s="150" customFormat="1" ht="20.25" customHeight="1" x14ac:dyDescent="0.25">
      <c r="A72" s="96">
        <v>10</v>
      </c>
      <c r="B72" s="152" t="s">
        <v>238</v>
      </c>
      <c r="C72" s="177">
        <v>0.53113560000000004</v>
      </c>
      <c r="D72" s="177">
        <v>0.5</v>
      </c>
      <c r="E72" s="177">
        <v>0</v>
      </c>
      <c r="F72" s="177">
        <v>1</v>
      </c>
      <c r="G72" s="97">
        <v>1</v>
      </c>
      <c r="H72" s="97">
        <v>0</v>
      </c>
      <c r="I72" s="97">
        <v>0.33333333999999998</v>
      </c>
      <c r="J72" s="97">
        <v>0.75</v>
      </c>
      <c r="K72" s="97">
        <v>0.80000000999999998</v>
      </c>
      <c r="L72" s="97">
        <v>0.2</v>
      </c>
      <c r="M72" s="97">
        <v>0.5</v>
      </c>
      <c r="N72" s="97">
        <v>0</v>
      </c>
      <c r="O72" s="97">
        <v>0.66666669000000001</v>
      </c>
      <c r="P72" s="97">
        <v>1</v>
      </c>
      <c r="Q72" s="97">
        <v>1</v>
      </c>
      <c r="R72" s="97">
        <v>1</v>
      </c>
      <c r="S72" s="97">
        <v>1</v>
      </c>
      <c r="T72" s="97">
        <v>0</v>
      </c>
      <c r="U72" s="97">
        <v>0.33333333999999998</v>
      </c>
      <c r="V72" s="97">
        <v>1</v>
      </c>
      <c r="W72" s="97">
        <v>0.5</v>
      </c>
      <c r="X72" s="97">
        <v>0.33333333999999998</v>
      </c>
      <c r="Y72" s="97">
        <v>0.14285714999999999</v>
      </c>
      <c r="Z72" s="97">
        <v>0.25</v>
      </c>
      <c r="AA72" s="97">
        <v>0</v>
      </c>
      <c r="AB72" s="97">
        <v>1</v>
      </c>
      <c r="AC72" s="97">
        <v>1</v>
      </c>
      <c r="AD72" s="97">
        <v>1</v>
      </c>
      <c r="AE72" s="97">
        <v>0</v>
      </c>
      <c r="AF72" s="97">
        <v>0</v>
      </c>
    </row>
    <row r="73" spans="1:32" s="119" customFormat="1" ht="20.25" customHeight="1" x14ac:dyDescent="0.25">
      <c r="A73" s="534" t="s">
        <v>806</v>
      </c>
      <c r="B73" s="534"/>
      <c r="C73" s="175">
        <v>0.62464430000000004</v>
      </c>
      <c r="D73" s="175">
        <v>0.63653839999999995</v>
      </c>
      <c r="E73" s="175">
        <v>0.34188039999999997</v>
      </c>
      <c r="F73" s="175">
        <v>0.89230770000000004</v>
      </c>
      <c r="G73" s="89">
        <v>0.57051282999999997</v>
      </c>
      <c r="H73" s="89">
        <v>0.62179488000000005</v>
      </c>
      <c r="I73" s="89">
        <v>0.60256410000000005</v>
      </c>
      <c r="J73" s="89">
        <v>0.71538460000000004</v>
      </c>
      <c r="K73" s="89">
        <v>0.45604396000000003</v>
      </c>
      <c r="L73" s="89">
        <v>0.73846155000000002</v>
      </c>
      <c r="M73" s="89">
        <v>0.53076922999999998</v>
      </c>
      <c r="N73" s="89">
        <v>0.34188035</v>
      </c>
      <c r="O73" s="89">
        <v>0.60384612999999998</v>
      </c>
      <c r="P73" s="89">
        <v>0.48717948999999999</v>
      </c>
      <c r="Q73" s="89">
        <v>0.72222220999999998</v>
      </c>
      <c r="R73" s="89">
        <v>0.50480771000000002</v>
      </c>
      <c r="S73" s="89">
        <v>0.89230770000000004</v>
      </c>
      <c r="T73" s="89">
        <v>0.80769228999999998</v>
      </c>
      <c r="U73" s="89">
        <v>0.71634613999999996</v>
      </c>
      <c r="V73" s="89">
        <v>0.80128204999999997</v>
      </c>
      <c r="W73" s="89">
        <v>0.75</v>
      </c>
      <c r="X73" s="89">
        <v>0.63461535999999996</v>
      </c>
      <c r="Y73" s="89">
        <v>0.43406593999999998</v>
      </c>
      <c r="Z73" s="89">
        <v>0.5</v>
      </c>
      <c r="AA73" s="89">
        <v>0.63846153000000005</v>
      </c>
      <c r="AB73" s="89">
        <v>0.69871795000000003</v>
      </c>
      <c r="AC73" s="89">
        <v>0.66923076000000004</v>
      </c>
      <c r="AD73" s="89">
        <v>0.73076922</v>
      </c>
      <c r="AE73" s="89">
        <v>0.69999999000000002</v>
      </c>
      <c r="AF73" s="89">
        <v>0.37179487999999999</v>
      </c>
    </row>
    <row r="74" spans="1:32" s="150" customFormat="1" ht="30" x14ac:dyDescent="0.25">
      <c r="A74" s="95">
        <v>1</v>
      </c>
      <c r="B74" s="151" t="s">
        <v>242</v>
      </c>
      <c r="C74" s="176">
        <v>0.78367290000000001</v>
      </c>
      <c r="D74" s="176">
        <v>0.72916669999999995</v>
      </c>
      <c r="E74" s="176">
        <v>0.45</v>
      </c>
      <c r="F74" s="176">
        <v>1</v>
      </c>
      <c r="G74" s="91">
        <v>0.70833330999999999</v>
      </c>
      <c r="H74" s="91">
        <v>0.54166669000000001</v>
      </c>
      <c r="I74" s="91">
        <v>0.69444441999999995</v>
      </c>
      <c r="J74" s="91">
        <v>1</v>
      </c>
      <c r="K74" s="91">
        <v>0.5</v>
      </c>
      <c r="L74" s="91">
        <v>0.75</v>
      </c>
      <c r="M74" s="91">
        <v>0.64999998000000003</v>
      </c>
      <c r="N74" s="91">
        <v>0.63888889999999998</v>
      </c>
      <c r="O74" s="91">
        <v>0.57499999000000002</v>
      </c>
      <c r="P74" s="91">
        <v>0.58333330999999999</v>
      </c>
      <c r="Q74" s="91">
        <v>0.97222220999999998</v>
      </c>
      <c r="R74" s="91">
        <v>0.53125</v>
      </c>
      <c r="S74" s="91">
        <v>1</v>
      </c>
      <c r="T74" s="91">
        <v>1</v>
      </c>
      <c r="U74" s="91">
        <v>0.6875</v>
      </c>
      <c r="V74" s="91">
        <v>1</v>
      </c>
      <c r="W74" s="91">
        <v>1</v>
      </c>
      <c r="X74" s="91">
        <v>0.66666669000000001</v>
      </c>
      <c r="Y74" s="91">
        <v>0.64285713</v>
      </c>
      <c r="Z74" s="91">
        <v>1</v>
      </c>
      <c r="AA74" s="91">
        <v>0.94999999000000002</v>
      </c>
      <c r="AB74" s="91">
        <v>1</v>
      </c>
      <c r="AC74" s="91">
        <v>0.44999999000000002</v>
      </c>
      <c r="AD74" s="91">
        <v>1</v>
      </c>
      <c r="AE74" s="91">
        <v>1</v>
      </c>
      <c r="AF74" s="91">
        <v>0.83333330999999999</v>
      </c>
    </row>
    <row r="75" spans="1:32" s="150" customFormat="1" ht="30" x14ac:dyDescent="0.25">
      <c r="A75" s="96">
        <v>2</v>
      </c>
      <c r="B75" s="152" t="s">
        <v>245</v>
      </c>
      <c r="C75" s="177">
        <v>0.12780830000000001</v>
      </c>
      <c r="D75" s="177">
        <v>0</v>
      </c>
      <c r="E75" s="177">
        <v>0</v>
      </c>
      <c r="F75" s="177">
        <v>0.6</v>
      </c>
      <c r="G75" s="97">
        <v>0.16666666999999999</v>
      </c>
      <c r="H75" s="97">
        <v>0</v>
      </c>
      <c r="I75" s="97">
        <v>0</v>
      </c>
      <c r="J75" s="97">
        <v>0.2</v>
      </c>
      <c r="K75" s="97">
        <v>0</v>
      </c>
      <c r="L75" s="97">
        <v>0.40000001000000002</v>
      </c>
      <c r="M75" s="97">
        <v>0.40000001000000002</v>
      </c>
      <c r="N75" s="97">
        <v>0</v>
      </c>
      <c r="O75" s="97">
        <v>0.1</v>
      </c>
      <c r="P75" s="97">
        <v>0</v>
      </c>
      <c r="Q75" s="97">
        <v>0.11111111</v>
      </c>
      <c r="R75" s="97">
        <v>0</v>
      </c>
      <c r="S75" s="97">
        <v>0.60000001999999997</v>
      </c>
      <c r="T75" s="97">
        <v>0.42857142999999998</v>
      </c>
      <c r="U75" s="97">
        <v>0.25</v>
      </c>
      <c r="V75" s="97">
        <v>0.16666666999999999</v>
      </c>
      <c r="W75" s="97">
        <v>0</v>
      </c>
      <c r="X75" s="97">
        <v>0.33333333999999998</v>
      </c>
      <c r="Y75" s="97">
        <v>0</v>
      </c>
      <c r="Z75" s="97">
        <v>0</v>
      </c>
      <c r="AA75" s="97">
        <v>0</v>
      </c>
      <c r="AB75" s="97">
        <v>0.16666666999999999</v>
      </c>
      <c r="AC75" s="97">
        <v>0</v>
      </c>
      <c r="AD75" s="97">
        <v>0</v>
      </c>
      <c r="AE75" s="97">
        <v>0</v>
      </c>
      <c r="AF75" s="97">
        <v>0</v>
      </c>
    </row>
    <row r="76" spans="1:32" s="150" customFormat="1" ht="20.25" customHeight="1" x14ac:dyDescent="0.25">
      <c r="A76" s="95">
        <v>3</v>
      </c>
      <c r="B76" s="151" t="s">
        <v>248</v>
      </c>
      <c r="C76" s="176">
        <v>0.55830029999999997</v>
      </c>
      <c r="D76" s="176">
        <v>0.61111110000000002</v>
      </c>
      <c r="E76" s="176">
        <v>2.7777799999999998E-2</v>
      </c>
      <c r="F76" s="176">
        <v>0.9</v>
      </c>
      <c r="G76" s="91">
        <v>0.44444444999999999</v>
      </c>
      <c r="H76" s="91">
        <v>0.61111110000000002</v>
      </c>
      <c r="I76" s="91">
        <v>0.61111110000000002</v>
      </c>
      <c r="J76" s="91">
        <v>0.63333333000000003</v>
      </c>
      <c r="K76" s="91">
        <v>0.33333333999999998</v>
      </c>
      <c r="L76" s="91">
        <v>0.73333334999999999</v>
      </c>
      <c r="M76" s="91">
        <v>0.40000001000000002</v>
      </c>
      <c r="N76" s="91">
        <v>0.11111111</v>
      </c>
      <c r="O76" s="91">
        <v>0.63333333000000003</v>
      </c>
      <c r="P76" s="91">
        <v>0.36111110000000002</v>
      </c>
      <c r="Q76" s="91">
        <v>0.64814811999999999</v>
      </c>
      <c r="R76" s="91">
        <v>0.41666666000000002</v>
      </c>
      <c r="S76" s="91">
        <v>0.89999998000000003</v>
      </c>
      <c r="T76" s="91">
        <v>0.76190477999999995</v>
      </c>
      <c r="U76" s="91">
        <v>0.72916669000000001</v>
      </c>
      <c r="V76" s="91">
        <v>0.80555558000000005</v>
      </c>
      <c r="W76" s="91">
        <v>0.70833330999999999</v>
      </c>
      <c r="X76" s="91">
        <v>0.61111110000000002</v>
      </c>
      <c r="Y76" s="91">
        <v>0.42857142999999998</v>
      </c>
      <c r="Z76" s="91">
        <v>0.23333333000000001</v>
      </c>
      <c r="AA76" s="91">
        <v>0.53333335999999998</v>
      </c>
      <c r="AB76" s="91">
        <v>0.61111110000000002</v>
      </c>
      <c r="AC76" s="91">
        <v>0.83333330999999999</v>
      </c>
      <c r="AD76" s="91">
        <v>0.76190477999999995</v>
      </c>
      <c r="AE76" s="91">
        <v>0.63333333000000003</v>
      </c>
      <c r="AF76" s="91">
        <v>2.7777779999999998E-2</v>
      </c>
    </row>
    <row r="77" spans="1:32" s="150" customFormat="1" ht="20.25" customHeight="1" x14ac:dyDescent="0.25">
      <c r="A77" s="96">
        <v>4</v>
      </c>
      <c r="B77" s="152" t="s">
        <v>256</v>
      </c>
      <c r="C77" s="177">
        <v>0.83450849999999999</v>
      </c>
      <c r="D77" s="177">
        <v>0.89444449999999998</v>
      </c>
      <c r="E77" s="177">
        <v>0.3333333</v>
      </c>
      <c r="F77" s="177">
        <v>1</v>
      </c>
      <c r="G77" s="97">
        <v>0.83333330999999999</v>
      </c>
      <c r="H77" s="97">
        <v>1</v>
      </c>
      <c r="I77" s="97">
        <v>0.66666669000000001</v>
      </c>
      <c r="J77" s="97">
        <v>0.80000000999999998</v>
      </c>
      <c r="K77" s="97">
        <v>0.85714287</v>
      </c>
      <c r="L77" s="97">
        <v>0.89999998000000003</v>
      </c>
      <c r="M77" s="97">
        <v>0.40000001000000002</v>
      </c>
      <c r="N77" s="97">
        <v>0.33333333999999998</v>
      </c>
      <c r="O77" s="97">
        <v>0.89999998000000003</v>
      </c>
      <c r="P77" s="97">
        <v>0.83333330999999999</v>
      </c>
      <c r="Q77" s="97">
        <v>0.88888889999999998</v>
      </c>
      <c r="R77" s="97">
        <v>1</v>
      </c>
      <c r="S77" s="97">
        <v>1</v>
      </c>
      <c r="T77" s="97">
        <v>1</v>
      </c>
      <c r="U77" s="97">
        <v>0.875</v>
      </c>
      <c r="V77" s="97">
        <v>1</v>
      </c>
      <c r="W77" s="97">
        <v>1</v>
      </c>
      <c r="X77" s="97">
        <v>0.66666669000000001</v>
      </c>
      <c r="Y77" s="97">
        <v>0.42857142999999998</v>
      </c>
      <c r="Z77" s="97">
        <v>1</v>
      </c>
      <c r="AA77" s="97">
        <v>1</v>
      </c>
      <c r="AB77" s="97">
        <v>1</v>
      </c>
      <c r="AC77" s="97">
        <v>0.60000001999999997</v>
      </c>
      <c r="AD77" s="97">
        <v>0.71428572999999995</v>
      </c>
      <c r="AE77" s="97">
        <v>1</v>
      </c>
      <c r="AF77" s="97">
        <v>1</v>
      </c>
    </row>
    <row r="78" spans="1:32" s="150" customFormat="1" ht="30" x14ac:dyDescent="0.25">
      <c r="A78" s="95">
        <v>5</v>
      </c>
      <c r="B78" s="151" t="s">
        <v>258</v>
      </c>
      <c r="C78" s="176">
        <v>0.52644990000000003</v>
      </c>
      <c r="D78" s="176">
        <v>0.46428570000000002</v>
      </c>
      <c r="E78" s="176">
        <v>0.14285709999999999</v>
      </c>
      <c r="F78" s="176">
        <v>1</v>
      </c>
      <c r="G78" s="91">
        <v>0.5</v>
      </c>
      <c r="H78" s="91">
        <v>0.66666669000000001</v>
      </c>
      <c r="I78" s="91">
        <v>0.22222222</v>
      </c>
      <c r="J78" s="91">
        <v>0.80000000999999998</v>
      </c>
      <c r="K78" s="91">
        <v>0.71428572999999995</v>
      </c>
      <c r="L78" s="91">
        <v>0.40000001000000002</v>
      </c>
      <c r="M78" s="91">
        <v>0.40000001000000002</v>
      </c>
      <c r="N78" s="91">
        <v>0.33333333999999998</v>
      </c>
      <c r="O78" s="91">
        <v>0.69999999000000002</v>
      </c>
      <c r="P78" s="91">
        <v>0.33333333999999998</v>
      </c>
      <c r="Q78" s="91">
        <v>1</v>
      </c>
      <c r="R78" s="91">
        <v>0.75</v>
      </c>
      <c r="S78" s="91">
        <v>1</v>
      </c>
      <c r="T78" s="91">
        <v>0.57142859999999995</v>
      </c>
      <c r="U78" s="91">
        <v>0.625</v>
      </c>
      <c r="V78" s="91">
        <v>0.66666669000000001</v>
      </c>
      <c r="W78" s="91">
        <v>1</v>
      </c>
      <c r="X78" s="91">
        <v>0.16666666999999999</v>
      </c>
      <c r="Y78" s="91">
        <v>0.14285714999999999</v>
      </c>
      <c r="Z78" s="91">
        <v>0.2</v>
      </c>
      <c r="AA78" s="91">
        <v>0.40000001000000002</v>
      </c>
      <c r="AB78" s="91">
        <v>0.33333333999999998</v>
      </c>
      <c r="AC78" s="91">
        <v>0.40000001000000002</v>
      </c>
      <c r="AD78" s="91">
        <v>0.42857142999999998</v>
      </c>
      <c r="AE78" s="91">
        <v>0.60000001999999997</v>
      </c>
      <c r="AF78" s="91">
        <v>0.33333333999999998</v>
      </c>
    </row>
    <row r="79" spans="1:32" s="150" customFormat="1" ht="20.25" customHeight="1" x14ac:dyDescent="0.25">
      <c r="A79" s="96">
        <v>6</v>
      </c>
      <c r="B79" s="152" t="s">
        <v>260</v>
      </c>
      <c r="C79" s="177">
        <v>0.95689100000000005</v>
      </c>
      <c r="D79" s="177">
        <v>1</v>
      </c>
      <c r="E79" s="177">
        <v>0.64285709999999996</v>
      </c>
      <c r="F79" s="177">
        <v>1</v>
      </c>
      <c r="G79" s="97">
        <v>1</v>
      </c>
      <c r="H79" s="97">
        <v>1</v>
      </c>
      <c r="I79" s="97">
        <v>1</v>
      </c>
      <c r="J79" s="97">
        <v>1</v>
      </c>
      <c r="K79" s="97">
        <v>0.85714287</v>
      </c>
      <c r="L79" s="97">
        <v>1</v>
      </c>
      <c r="M79" s="97">
        <v>1</v>
      </c>
      <c r="N79" s="97">
        <v>1</v>
      </c>
      <c r="O79" s="97">
        <v>0.75</v>
      </c>
      <c r="P79" s="97">
        <v>1</v>
      </c>
      <c r="Q79" s="97">
        <v>1</v>
      </c>
      <c r="R79" s="97">
        <v>0.8125</v>
      </c>
      <c r="S79" s="97">
        <v>0.89999998000000003</v>
      </c>
      <c r="T79" s="97">
        <v>1</v>
      </c>
      <c r="U79" s="97">
        <v>1</v>
      </c>
      <c r="V79" s="97">
        <v>1</v>
      </c>
      <c r="W79" s="97">
        <v>1</v>
      </c>
      <c r="X79" s="97">
        <v>1</v>
      </c>
      <c r="Y79" s="97">
        <v>0.64285713</v>
      </c>
      <c r="Z79" s="97">
        <v>1</v>
      </c>
      <c r="AA79" s="97">
        <v>1</v>
      </c>
      <c r="AB79" s="97">
        <v>1</v>
      </c>
      <c r="AC79" s="97">
        <v>1</v>
      </c>
      <c r="AD79" s="97">
        <v>1</v>
      </c>
      <c r="AE79" s="97">
        <v>1</v>
      </c>
      <c r="AF79" s="97">
        <v>0.91666669000000001</v>
      </c>
    </row>
    <row r="80" spans="1:32" s="119" customFormat="1" ht="20.25" customHeight="1" x14ac:dyDescent="0.25">
      <c r="A80" s="534" t="s">
        <v>807</v>
      </c>
      <c r="B80" s="534"/>
      <c r="C80" s="175">
        <v>0.13376370000000001</v>
      </c>
      <c r="D80" s="175">
        <v>7.7499999999999999E-2</v>
      </c>
      <c r="E80" s="175">
        <v>0</v>
      </c>
      <c r="F80" s="175">
        <v>0.5</v>
      </c>
      <c r="G80" s="89">
        <v>0.30000000999999998</v>
      </c>
      <c r="H80" s="89">
        <v>6.6666669999999997E-2</v>
      </c>
      <c r="I80" s="89">
        <v>0.17777778</v>
      </c>
      <c r="J80" s="89">
        <v>0.05</v>
      </c>
      <c r="K80" s="89">
        <v>0</v>
      </c>
      <c r="L80" s="89">
        <v>0.06</v>
      </c>
      <c r="M80" s="89">
        <v>0.23999999</v>
      </c>
      <c r="N80" s="89">
        <v>0</v>
      </c>
      <c r="O80" s="89">
        <v>0.04</v>
      </c>
      <c r="P80" s="89">
        <v>0</v>
      </c>
      <c r="Q80" s="89">
        <v>0.38888889999999998</v>
      </c>
      <c r="R80" s="89">
        <v>7.4999999999999997E-2</v>
      </c>
      <c r="S80" s="89">
        <v>0.08</v>
      </c>
      <c r="T80" s="89">
        <v>0.38571429000000002</v>
      </c>
      <c r="U80" s="89">
        <v>0.125</v>
      </c>
      <c r="V80" s="89">
        <v>0.13333333999999999</v>
      </c>
      <c r="W80" s="89">
        <v>0.5</v>
      </c>
      <c r="X80" s="89">
        <v>0.13333333999999999</v>
      </c>
      <c r="Y80" s="89">
        <v>2.8571429999999998E-2</v>
      </c>
      <c r="Z80" s="89">
        <v>0</v>
      </c>
      <c r="AA80" s="89">
        <v>0.04</v>
      </c>
      <c r="AB80" s="89">
        <v>0.22499999000000001</v>
      </c>
      <c r="AC80" s="89">
        <v>0.04</v>
      </c>
      <c r="AD80" s="89">
        <v>0.22857142999999999</v>
      </c>
      <c r="AE80" s="89">
        <v>0.16</v>
      </c>
      <c r="AF80" s="89">
        <v>0</v>
      </c>
    </row>
    <row r="81" spans="1:32" s="150" customFormat="1" ht="20.25" customHeight="1" x14ac:dyDescent="0.25">
      <c r="A81" s="158" t="s">
        <v>1442</v>
      </c>
      <c r="B81" s="151" t="s">
        <v>265</v>
      </c>
      <c r="C81" s="176">
        <v>0.38347550000000002</v>
      </c>
      <c r="D81" s="176">
        <v>0.3869841</v>
      </c>
      <c r="E81" s="176">
        <v>0</v>
      </c>
      <c r="F81" s="176">
        <v>0.74222220000000005</v>
      </c>
      <c r="G81" s="91">
        <v>0.37407406999999998</v>
      </c>
      <c r="H81" s="91">
        <v>0.39259258000000002</v>
      </c>
      <c r="I81" s="91">
        <v>0.59753084000000001</v>
      </c>
      <c r="J81" s="91">
        <v>0.40444446000000001</v>
      </c>
      <c r="K81" s="91">
        <v>4.7619050000000003E-2</v>
      </c>
      <c r="L81" s="91">
        <v>0.67333335000000005</v>
      </c>
      <c r="M81" s="91">
        <v>0.32444444</v>
      </c>
      <c r="N81" s="91">
        <v>0</v>
      </c>
      <c r="O81" s="91">
        <v>0.52666663999999996</v>
      </c>
      <c r="P81" s="91">
        <v>4.4444450000000003E-2</v>
      </c>
      <c r="Q81" s="91">
        <v>0.60740738999999999</v>
      </c>
      <c r="R81" s="91">
        <v>0.32222223</v>
      </c>
      <c r="S81" s="91">
        <v>0.74222224999999997</v>
      </c>
      <c r="T81" s="91">
        <v>0.38730158999999997</v>
      </c>
      <c r="U81" s="91">
        <v>0.47499998999999998</v>
      </c>
      <c r="V81" s="91">
        <v>0.64444447000000005</v>
      </c>
      <c r="W81" s="91">
        <v>0.68333334000000001</v>
      </c>
      <c r="X81" s="91">
        <v>0.33703703000000002</v>
      </c>
      <c r="Y81" s="91">
        <v>0.33333333999999998</v>
      </c>
      <c r="Z81" s="91">
        <v>7.5555559999999994E-2</v>
      </c>
      <c r="AA81" s="91">
        <v>0.38666666</v>
      </c>
      <c r="AB81" s="91">
        <v>0.50370371000000003</v>
      </c>
      <c r="AC81" s="91">
        <v>0.28000000000000003</v>
      </c>
      <c r="AD81" s="91">
        <v>0.48253968000000003</v>
      </c>
      <c r="AE81" s="91">
        <v>0.32444444</v>
      </c>
      <c r="AF81" s="91">
        <v>0</v>
      </c>
    </row>
    <row r="82" spans="1:32" s="150" customFormat="1" ht="20.25" customHeight="1" x14ac:dyDescent="0.25">
      <c r="A82" s="186" t="s">
        <v>1443</v>
      </c>
      <c r="B82" s="151" t="s">
        <v>268</v>
      </c>
      <c r="C82" s="176">
        <v>8.9760300000000001E-2</v>
      </c>
      <c r="D82" s="176">
        <v>5.2499999999999998E-2</v>
      </c>
      <c r="E82" s="176">
        <v>0</v>
      </c>
      <c r="F82" s="176">
        <v>0.3777778</v>
      </c>
      <c r="G82" s="91">
        <v>0.20370369999999999</v>
      </c>
      <c r="H82" s="91">
        <v>2.9629630000000001E-2</v>
      </c>
      <c r="I82" s="91">
        <v>0.12987654000000001</v>
      </c>
      <c r="J82" s="91">
        <v>3.8888890000000002E-2</v>
      </c>
      <c r="K82" s="91">
        <v>0</v>
      </c>
      <c r="L82" s="91">
        <v>4.2222219999999998E-2</v>
      </c>
      <c r="M82" s="91">
        <v>0.21422221999999999</v>
      </c>
      <c r="N82" s="91">
        <v>0</v>
      </c>
      <c r="O82" s="91">
        <v>1.7333330000000001E-2</v>
      </c>
      <c r="P82" s="91">
        <v>0</v>
      </c>
      <c r="Q82" s="91">
        <v>0.26098767</v>
      </c>
      <c r="R82" s="91">
        <v>4.7222220000000002E-2</v>
      </c>
      <c r="S82" s="91">
        <v>5.7777780000000001E-2</v>
      </c>
      <c r="T82" s="91">
        <v>0.15619047999999999</v>
      </c>
      <c r="U82" s="91">
        <v>7.7222219999999994E-2</v>
      </c>
      <c r="V82" s="91">
        <v>0.1037037</v>
      </c>
      <c r="W82" s="91">
        <v>0.37777779</v>
      </c>
      <c r="X82" s="91">
        <v>7.5555559999999994E-2</v>
      </c>
      <c r="Y82" s="91">
        <v>1.0158729999999999E-2</v>
      </c>
      <c r="Z82" s="91">
        <v>0</v>
      </c>
      <c r="AA82" s="91">
        <v>1.3333329999999999E-2</v>
      </c>
      <c r="AB82" s="91">
        <v>0.15351851</v>
      </c>
      <c r="AC82" s="91">
        <v>1.688889E-2</v>
      </c>
      <c r="AD82" s="91">
        <v>0.18666667000000001</v>
      </c>
      <c r="AE82" s="91">
        <v>0.12088889</v>
      </c>
      <c r="AF82" s="91">
        <v>0</v>
      </c>
    </row>
    <row r="83" spans="1:32" s="119" customFormat="1" ht="20.25" customHeight="1" x14ac:dyDescent="0.25">
      <c r="A83" s="534" t="s">
        <v>808</v>
      </c>
      <c r="B83" s="534"/>
      <c r="C83" s="175">
        <v>0.75525129999999996</v>
      </c>
      <c r="D83" s="175">
        <v>0.77413790000000005</v>
      </c>
      <c r="E83" s="175">
        <v>0.54406129999999997</v>
      </c>
      <c r="F83" s="175">
        <v>0.92528739999999998</v>
      </c>
      <c r="G83" s="89">
        <v>0.72988503999999998</v>
      </c>
      <c r="H83" s="89">
        <v>0.76436782000000003</v>
      </c>
      <c r="I83" s="89">
        <v>0.80459767999999998</v>
      </c>
      <c r="J83" s="89">
        <v>0.80689657000000004</v>
      </c>
      <c r="K83" s="89">
        <v>0.55172414000000003</v>
      </c>
      <c r="L83" s="89">
        <v>0.77241378999999999</v>
      </c>
      <c r="M83" s="89">
        <v>0.65517241000000004</v>
      </c>
      <c r="N83" s="89">
        <v>0.54406129999999997</v>
      </c>
      <c r="O83" s="89">
        <v>0.78275859000000003</v>
      </c>
      <c r="P83" s="89">
        <v>0.7758621</v>
      </c>
      <c r="Q83" s="89">
        <v>0.84674329000000004</v>
      </c>
      <c r="R83" s="89">
        <v>0.73706894999999994</v>
      </c>
      <c r="S83" s="89">
        <v>0.71724140999999997</v>
      </c>
      <c r="T83" s="89">
        <v>0.89162564</v>
      </c>
      <c r="U83" s="89">
        <v>0.78017241000000004</v>
      </c>
      <c r="V83" s="89">
        <v>0.92528737000000005</v>
      </c>
      <c r="W83" s="89">
        <v>0.85344827000000001</v>
      </c>
      <c r="X83" s="89">
        <v>0.66666669000000001</v>
      </c>
      <c r="Y83" s="89">
        <v>0.67980295000000002</v>
      </c>
      <c r="Z83" s="89">
        <v>0.80689657000000004</v>
      </c>
      <c r="AA83" s="89">
        <v>0.55862069000000003</v>
      </c>
      <c r="AB83" s="89">
        <v>0.83333330999999999</v>
      </c>
      <c r="AC83" s="89">
        <v>0.76551723000000005</v>
      </c>
      <c r="AD83" s="89">
        <v>0.74384236000000004</v>
      </c>
      <c r="AE83" s="89">
        <v>0.85517240000000005</v>
      </c>
      <c r="AF83" s="89">
        <v>0.78735632</v>
      </c>
    </row>
    <row r="84" spans="1:32" s="150" customFormat="1" ht="30" x14ac:dyDescent="0.25">
      <c r="A84" s="95">
        <v>1</v>
      </c>
      <c r="B84" s="151" t="s">
        <v>272</v>
      </c>
      <c r="C84" s="176">
        <v>0.83012819999999998</v>
      </c>
      <c r="D84" s="176">
        <v>0.85714290000000004</v>
      </c>
      <c r="E84" s="176">
        <v>0.28571429999999998</v>
      </c>
      <c r="F84" s="176">
        <v>1</v>
      </c>
      <c r="G84" s="91">
        <v>1</v>
      </c>
      <c r="H84" s="91">
        <v>1</v>
      </c>
      <c r="I84" s="91">
        <v>1</v>
      </c>
      <c r="J84" s="91">
        <v>1</v>
      </c>
      <c r="K84" s="91">
        <v>0.85714287</v>
      </c>
      <c r="L84" s="91">
        <v>0.80000000999999998</v>
      </c>
      <c r="M84" s="91">
        <v>0.40000001000000002</v>
      </c>
      <c r="N84" s="91">
        <v>0.66666669000000001</v>
      </c>
      <c r="O84" s="91">
        <v>1</v>
      </c>
      <c r="P84" s="91">
        <v>0.83333330999999999</v>
      </c>
      <c r="Q84" s="91">
        <v>1</v>
      </c>
      <c r="R84" s="91">
        <v>1</v>
      </c>
      <c r="S84" s="91">
        <v>0.80000000999999998</v>
      </c>
      <c r="T84" s="91">
        <v>0.85714287</v>
      </c>
      <c r="U84" s="91">
        <v>0.75</v>
      </c>
      <c r="V84" s="91">
        <v>1</v>
      </c>
      <c r="W84" s="91">
        <v>1</v>
      </c>
      <c r="X84" s="91">
        <v>0.5</v>
      </c>
      <c r="Y84" s="91">
        <v>0.28571429999999998</v>
      </c>
      <c r="Z84" s="91">
        <v>1</v>
      </c>
      <c r="AA84" s="91">
        <v>0.40000001000000002</v>
      </c>
      <c r="AB84" s="91">
        <v>0.83333330999999999</v>
      </c>
      <c r="AC84" s="91">
        <v>0.80000000999999998</v>
      </c>
      <c r="AD84" s="91">
        <v>1</v>
      </c>
      <c r="AE84" s="91">
        <v>0.80000000999999998</v>
      </c>
      <c r="AF84" s="91">
        <v>1</v>
      </c>
    </row>
    <row r="85" spans="1:32" s="150" customFormat="1" ht="20.25" customHeight="1" x14ac:dyDescent="0.25">
      <c r="A85" s="96">
        <v>2</v>
      </c>
      <c r="B85" s="152" t="s">
        <v>275</v>
      </c>
      <c r="C85" s="177">
        <v>0.90270150000000005</v>
      </c>
      <c r="D85" s="177">
        <v>1</v>
      </c>
      <c r="E85" s="177">
        <v>0.5</v>
      </c>
      <c r="F85" s="177">
        <v>1</v>
      </c>
      <c r="G85" s="97">
        <v>1</v>
      </c>
      <c r="H85" s="97">
        <v>0.66666669000000001</v>
      </c>
      <c r="I85" s="97">
        <v>0.88888889999999998</v>
      </c>
      <c r="J85" s="97">
        <v>1</v>
      </c>
      <c r="K85" s="97">
        <v>0.57142859999999995</v>
      </c>
      <c r="L85" s="97">
        <v>0.89999998000000003</v>
      </c>
      <c r="M85" s="97">
        <v>0.60000001999999997</v>
      </c>
      <c r="N85" s="97">
        <v>0.77777779000000002</v>
      </c>
      <c r="O85" s="97">
        <v>1</v>
      </c>
      <c r="P85" s="97">
        <v>1</v>
      </c>
      <c r="Q85" s="97">
        <v>1</v>
      </c>
      <c r="R85" s="97">
        <v>0.875</v>
      </c>
      <c r="S85" s="97">
        <v>1</v>
      </c>
      <c r="T85" s="97">
        <v>1</v>
      </c>
      <c r="U85" s="97">
        <v>0.5</v>
      </c>
      <c r="V85" s="97">
        <v>1</v>
      </c>
      <c r="W85" s="97">
        <v>1</v>
      </c>
      <c r="X85" s="97">
        <v>0.83333330999999999</v>
      </c>
      <c r="Y85" s="97">
        <v>0.85714287</v>
      </c>
      <c r="Z85" s="97">
        <v>1</v>
      </c>
      <c r="AA85" s="97">
        <v>1</v>
      </c>
      <c r="AB85" s="97">
        <v>1</v>
      </c>
      <c r="AC85" s="97">
        <v>1</v>
      </c>
      <c r="AD85" s="97">
        <v>1</v>
      </c>
      <c r="AE85" s="97">
        <v>1</v>
      </c>
      <c r="AF85" s="97">
        <v>1</v>
      </c>
    </row>
    <row r="86" spans="1:32" s="150" customFormat="1" ht="20.25" customHeight="1" x14ac:dyDescent="0.25">
      <c r="A86" s="95">
        <v>3</v>
      </c>
      <c r="B86" s="151" t="s">
        <v>278</v>
      </c>
      <c r="C86" s="176">
        <v>0.45093100000000003</v>
      </c>
      <c r="D86" s="176">
        <v>0.41428569999999998</v>
      </c>
      <c r="E86" s="176">
        <v>0</v>
      </c>
      <c r="F86" s="176">
        <v>1</v>
      </c>
      <c r="G86" s="91">
        <v>0.33333333999999998</v>
      </c>
      <c r="H86" s="91">
        <v>0.66666669000000001</v>
      </c>
      <c r="I86" s="91">
        <v>0.22222222</v>
      </c>
      <c r="J86" s="91">
        <v>0.2</v>
      </c>
      <c r="K86" s="91">
        <v>0.14285714999999999</v>
      </c>
      <c r="L86" s="91">
        <v>0.2</v>
      </c>
      <c r="M86" s="91">
        <v>0</v>
      </c>
      <c r="N86" s="91">
        <v>0</v>
      </c>
      <c r="O86" s="91">
        <v>0.2</v>
      </c>
      <c r="P86" s="91">
        <v>0.33333333999999998</v>
      </c>
      <c r="Q86" s="91">
        <v>0.22222222</v>
      </c>
      <c r="R86" s="91">
        <v>0.125</v>
      </c>
      <c r="S86" s="91">
        <v>0.80000000999999998</v>
      </c>
      <c r="T86" s="91">
        <v>0.85714287</v>
      </c>
      <c r="U86" s="91">
        <v>0.5</v>
      </c>
      <c r="V86" s="91">
        <v>1</v>
      </c>
      <c r="W86" s="91">
        <v>0.75</v>
      </c>
      <c r="X86" s="91">
        <v>0.66666669000000001</v>
      </c>
      <c r="Y86" s="91">
        <v>0.14285714999999999</v>
      </c>
      <c r="Z86" s="91">
        <v>0.60000001999999997</v>
      </c>
      <c r="AA86" s="91">
        <v>0.40000001000000002</v>
      </c>
      <c r="AB86" s="91">
        <v>0.66666669000000001</v>
      </c>
      <c r="AC86" s="91">
        <v>0.80000000999999998</v>
      </c>
      <c r="AD86" s="91">
        <v>0.42857142999999998</v>
      </c>
      <c r="AE86" s="91">
        <v>0.80000000999999998</v>
      </c>
      <c r="AF86" s="91">
        <v>0.66666669000000001</v>
      </c>
    </row>
    <row r="87" spans="1:32" s="150" customFormat="1" ht="20.25" customHeight="1" x14ac:dyDescent="0.25">
      <c r="A87" s="96">
        <v>4</v>
      </c>
      <c r="B87" s="152" t="s">
        <v>281</v>
      </c>
      <c r="C87" s="177">
        <v>0.70601340000000001</v>
      </c>
      <c r="D87" s="177">
        <v>0.69047619999999998</v>
      </c>
      <c r="E87" s="177">
        <v>0.42857139999999999</v>
      </c>
      <c r="F87" s="177">
        <v>0.93877549999999998</v>
      </c>
      <c r="G87" s="97">
        <v>0.69047617999999999</v>
      </c>
      <c r="H87" s="97">
        <v>0.69047617999999999</v>
      </c>
      <c r="I87" s="97">
        <v>0.71428572999999995</v>
      </c>
      <c r="J87" s="97">
        <v>0.71428572999999995</v>
      </c>
      <c r="K87" s="97">
        <v>0.48979592</v>
      </c>
      <c r="L87" s="97">
        <v>0.77142858999999997</v>
      </c>
      <c r="M87" s="97">
        <v>0.65714287999999998</v>
      </c>
      <c r="N87" s="97">
        <v>0.60317463000000004</v>
      </c>
      <c r="O87" s="97">
        <v>0.6857143</v>
      </c>
      <c r="P87" s="97">
        <v>0.64285713</v>
      </c>
      <c r="Q87" s="97">
        <v>0.74603176000000004</v>
      </c>
      <c r="R87" s="97">
        <v>0.75</v>
      </c>
      <c r="S87" s="97">
        <v>0.6857143</v>
      </c>
      <c r="T87" s="97">
        <v>0.93877553999999996</v>
      </c>
      <c r="U87" s="97">
        <v>0.75</v>
      </c>
      <c r="V87" s="97">
        <v>0.92857140000000005</v>
      </c>
      <c r="W87" s="97">
        <v>0.67857140000000005</v>
      </c>
      <c r="X87" s="97">
        <v>0.42857142999999998</v>
      </c>
      <c r="Y87" s="97">
        <v>0.67346936000000002</v>
      </c>
      <c r="Z87" s="97">
        <v>0.82857144000000005</v>
      </c>
      <c r="AA87" s="97">
        <v>0.60000001999999997</v>
      </c>
      <c r="AB87" s="97">
        <v>0.80952382000000001</v>
      </c>
      <c r="AC87" s="97">
        <v>0.62857145000000003</v>
      </c>
      <c r="AD87" s="97">
        <v>0.75510204000000003</v>
      </c>
      <c r="AE87" s="97">
        <v>0.82857144000000005</v>
      </c>
      <c r="AF87" s="97">
        <v>0.66666669000000001</v>
      </c>
    </row>
    <row r="88" spans="1:32" s="150" customFormat="1" ht="20.25" customHeight="1" x14ac:dyDescent="0.25">
      <c r="A88" s="95">
        <v>5</v>
      </c>
      <c r="B88" s="151" t="s">
        <v>289</v>
      </c>
      <c r="C88" s="176">
        <v>0.99145300000000003</v>
      </c>
      <c r="D88" s="176">
        <v>1</v>
      </c>
      <c r="E88" s="176">
        <v>0.77777779999999996</v>
      </c>
      <c r="F88" s="176">
        <v>1</v>
      </c>
      <c r="G88" s="91">
        <v>1</v>
      </c>
      <c r="H88" s="91">
        <v>1</v>
      </c>
      <c r="I88" s="91">
        <v>1</v>
      </c>
      <c r="J88" s="91">
        <v>1</v>
      </c>
      <c r="K88" s="91">
        <v>1</v>
      </c>
      <c r="L88" s="91">
        <v>1</v>
      </c>
      <c r="M88" s="91">
        <v>1</v>
      </c>
      <c r="N88" s="91">
        <v>0.77777779000000002</v>
      </c>
      <c r="O88" s="91">
        <v>1</v>
      </c>
      <c r="P88" s="91">
        <v>1</v>
      </c>
      <c r="Q88" s="91">
        <v>1</v>
      </c>
      <c r="R88" s="91">
        <v>1</v>
      </c>
      <c r="S88" s="91">
        <v>1</v>
      </c>
      <c r="T88" s="91">
        <v>1</v>
      </c>
      <c r="U88" s="91">
        <v>1</v>
      </c>
      <c r="V88" s="91">
        <v>1</v>
      </c>
      <c r="W88" s="91">
        <v>1</v>
      </c>
      <c r="X88" s="91">
        <v>1</v>
      </c>
      <c r="Y88" s="91">
        <v>1</v>
      </c>
      <c r="Z88" s="91">
        <v>1</v>
      </c>
      <c r="AA88" s="91">
        <v>1</v>
      </c>
      <c r="AB88" s="91">
        <v>1</v>
      </c>
      <c r="AC88" s="91">
        <v>1</v>
      </c>
      <c r="AD88" s="91">
        <v>1</v>
      </c>
      <c r="AE88" s="91">
        <v>1</v>
      </c>
      <c r="AF88" s="91">
        <v>1</v>
      </c>
    </row>
    <row r="89" spans="1:32" s="150" customFormat="1" ht="20.25" customHeight="1" x14ac:dyDescent="0.25">
      <c r="A89" s="96">
        <v>6</v>
      </c>
      <c r="B89" s="152" t="s">
        <v>291</v>
      </c>
      <c r="C89" s="177">
        <v>0.96499789999999996</v>
      </c>
      <c r="D89" s="177">
        <v>1</v>
      </c>
      <c r="E89" s="177">
        <v>0.62962960000000001</v>
      </c>
      <c r="F89" s="177">
        <v>1</v>
      </c>
      <c r="G89" s="97">
        <v>1</v>
      </c>
      <c r="H89" s="97">
        <v>0.94444441999999995</v>
      </c>
      <c r="I89" s="97">
        <v>1</v>
      </c>
      <c r="J89" s="97">
        <v>1</v>
      </c>
      <c r="K89" s="97">
        <v>0.90476190999999995</v>
      </c>
      <c r="L89" s="97">
        <v>0.96666664000000002</v>
      </c>
      <c r="M89" s="97">
        <v>1</v>
      </c>
      <c r="N89" s="97">
        <v>0.62962960999999995</v>
      </c>
      <c r="O89" s="97">
        <v>1</v>
      </c>
      <c r="P89" s="97">
        <v>1</v>
      </c>
      <c r="Q89" s="97">
        <v>1</v>
      </c>
      <c r="R89" s="97">
        <v>1</v>
      </c>
      <c r="S89" s="97">
        <v>0.86666666999999997</v>
      </c>
      <c r="T89" s="97">
        <v>1</v>
      </c>
      <c r="U89" s="97">
        <v>1</v>
      </c>
      <c r="V89" s="97">
        <v>1</v>
      </c>
      <c r="W89" s="97">
        <v>1</v>
      </c>
      <c r="X89" s="97">
        <v>0.88888889999999998</v>
      </c>
      <c r="Y89" s="97">
        <v>1</v>
      </c>
      <c r="Z89" s="97">
        <v>1</v>
      </c>
      <c r="AA89" s="97">
        <v>1</v>
      </c>
      <c r="AB89" s="97">
        <v>1</v>
      </c>
      <c r="AC89" s="97">
        <v>1</v>
      </c>
      <c r="AD89" s="97">
        <v>1</v>
      </c>
      <c r="AE89" s="97">
        <v>1</v>
      </c>
      <c r="AF89" s="97">
        <v>0.88888889999999998</v>
      </c>
    </row>
    <row r="90" spans="1:32" s="150" customFormat="1" ht="30" x14ac:dyDescent="0.25">
      <c r="A90" s="95">
        <v>7</v>
      </c>
      <c r="B90" s="151" t="s">
        <v>295</v>
      </c>
      <c r="C90" s="176">
        <v>0.83001380000000002</v>
      </c>
      <c r="D90" s="176">
        <v>0.8383929</v>
      </c>
      <c r="E90" s="176">
        <v>0.47499999999999998</v>
      </c>
      <c r="F90" s="176">
        <v>1</v>
      </c>
      <c r="G90" s="91">
        <v>0.72916669000000001</v>
      </c>
      <c r="H90" s="91">
        <v>0.89583330999999999</v>
      </c>
      <c r="I90" s="91">
        <v>0.95833330999999999</v>
      </c>
      <c r="J90" s="91">
        <v>0.94999999000000002</v>
      </c>
      <c r="K90" s="91">
        <v>0.51785713</v>
      </c>
      <c r="L90" s="91">
        <v>0.83749998000000003</v>
      </c>
      <c r="M90" s="91">
        <v>0.82499999000000002</v>
      </c>
      <c r="N90" s="91">
        <v>0.54166669000000001</v>
      </c>
      <c r="O90" s="91">
        <v>0.89999998000000003</v>
      </c>
      <c r="P90" s="91">
        <v>0.89583330999999999</v>
      </c>
      <c r="Q90" s="91">
        <v>0.95833330999999999</v>
      </c>
      <c r="R90" s="91">
        <v>0.78125</v>
      </c>
      <c r="S90" s="91">
        <v>0.82499999000000002</v>
      </c>
      <c r="T90" s="91">
        <v>0.92857140000000005</v>
      </c>
      <c r="U90" s="91">
        <v>0.90625</v>
      </c>
      <c r="V90" s="91">
        <v>0.97916669000000001</v>
      </c>
      <c r="W90" s="91">
        <v>0.9375</v>
      </c>
      <c r="X90" s="91">
        <v>0.79166669000000001</v>
      </c>
      <c r="Y90" s="91">
        <v>0.83928572999999995</v>
      </c>
      <c r="Z90" s="91">
        <v>0.80000000999999998</v>
      </c>
      <c r="AA90" s="91">
        <v>0.47499998999999998</v>
      </c>
      <c r="AB90" s="91">
        <v>0.9375</v>
      </c>
      <c r="AC90" s="91">
        <v>0.82499999000000002</v>
      </c>
      <c r="AD90" s="91">
        <v>0.73214287</v>
      </c>
      <c r="AE90" s="91">
        <v>1</v>
      </c>
      <c r="AF90" s="91">
        <v>0.8125</v>
      </c>
    </row>
    <row r="91" spans="1:32" s="150" customFormat="1" ht="20.25" customHeight="1" x14ac:dyDescent="0.25">
      <c r="A91" s="96">
        <v>8</v>
      </c>
      <c r="B91" s="152" t="s">
        <v>304</v>
      </c>
      <c r="C91" s="177">
        <v>0.72310750000000001</v>
      </c>
      <c r="D91" s="177">
        <v>0.7888889</v>
      </c>
      <c r="E91" s="177">
        <v>0</v>
      </c>
      <c r="F91" s="177">
        <v>1</v>
      </c>
      <c r="G91" s="97">
        <v>0.83333330999999999</v>
      </c>
      <c r="H91" s="97">
        <v>0.66666669000000001</v>
      </c>
      <c r="I91" s="97">
        <v>0.88888889999999998</v>
      </c>
      <c r="J91" s="97">
        <v>0.80000000999999998</v>
      </c>
      <c r="K91" s="97">
        <v>0.28571429999999998</v>
      </c>
      <c r="L91" s="97">
        <v>0.89999998000000003</v>
      </c>
      <c r="M91" s="97">
        <v>0.60000001999999997</v>
      </c>
      <c r="N91" s="97">
        <v>0.77777779000000002</v>
      </c>
      <c r="O91" s="97">
        <v>1</v>
      </c>
      <c r="P91" s="97">
        <v>1</v>
      </c>
      <c r="Q91" s="97">
        <v>0.88888889999999998</v>
      </c>
      <c r="R91" s="97">
        <v>0.75</v>
      </c>
      <c r="S91" s="97">
        <v>0</v>
      </c>
      <c r="T91" s="97">
        <v>0.71428572999999995</v>
      </c>
      <c r="U91" s="97">
        <v>1</v>
      </c>
      <c r="V91" s="97">
        <v>0.83333330999999999</v>
      </c>
      <c r="W91" s="97">
        <v>1</v>
      </c>
      <c r="X91" s="97">
        <v>0.5</v>
      </c>
      <c r="Y91" s="97">
        <v>1</v>
      </c>
      <c r="Z91" s="97">
        <v>0.60000001999999997</v>
      </c>
      <c r="AA91" s="97">
        <v>0</v>
      </c>
      <c r="AB91" s="97">
        <v>0.66666669000000001</v>
      </c>
      <c r="AC91" s="97">
        <v>1</v>
      </c>
      <c r="AD91" s="97">
        <v>0.42857142999999998</v>
      </c>
      <c r="AE91" s="97">
        <v>1</v>
      </c>
      <c r="AF91" s="97">
        <v>0.66666669000000001</v>
      </c>
    </row>
    <row r="92" spans="1:32" s="150" customFormat="1" ht="20.25" customHeight="1" x14ac:dyDescent="0.25">
      <c r="A92" s="95">
        <v>9</v>
      </c>
      <c r="B92" s="151" t="s">
        <v>307</v>
      </c>
      <c r="C92" s="176">
        <v>0.8232448</v>
      </c>
      <c r="D92" s="176">
        <v>0.84523809999999999</v>
      </c>
      <c r="E92" s="176">
        <v>0.2</v>
      </c>
      <c r="F92" s="176">
        <v>1</v>
      </c>
      <c r="G92" s="91">
        <v>0.83333330999999999</v>
      </c>
      <c r="H92" s="91">
        <v>0.83333330999999999</v>
      </c>
      <c r="I92" s="91">
        <v>1</v>
      </c>
      <c r="J92" s="91">
        <v>1</v>
      </c>
      <c r="K92" s="91">
        <v>0.57142859999999995</v>
      </c>
      <c r="L92" s="91">
        <v>0.80000000999999998</v>
      </c>
      <c r="M92" s="91">
        <v>0.2</v>
      </c>
      <c r="N92" s="91">
        <v>0.88888889999999998</v>
      </c>
      <c r="O92" s="91">
        <v>0.60000001999999997</v>
      </c>
      <c r="P92" s="91">
        <v>0.66666669000000001</v>
      </c>
      <c r="Q92" s="91">
        <v>1</v>
      </c>
      <c r="R92" s="91">
        <v>0.875</v>
      </c>
      <c r="S92" s="91">
        <v>0.80000000999999998</v>
      </c>
      <c r="T92" s="91">
        <v>1</v>
      </c>
      <c r="U92" s="91">
        <v>0.75</v>
      </c>
      <c r="V92" s="91">
        <v>1</v>
      </c>
      <c r="W92" s="91">
        <v>1</v>
      </c>
      <c r="X92" s="91">
        <v>0.66666669000000001</v>
      </c>
      <c r="Y92" s="91">
        <v>0.42857142999999998</v>
      </c>
      <c r="Z92" s="91">
        <v>0.80000000999999998</v>
      </c>
      <c r="AA92" s="91">
        <v>1</v>
      </c>
      <c r="AB92" s="91">
        <v>1</v>
      </c>
      <c r="AC92" s="91">
        <v>1</v>
      </c>
      <c r="AD92" s="91">
        <v>0.85714287</v>
      </c>
      <c r="AE92" s="91">
        <v>1</v>
      </c>
      <c r="AF92" s="91">
        <v>0.83333330999999999</v>
      </c>
    </row>
    <row r="93" spans="1:32" s="150" customFormat="1" ht="20.25" customHeight="1" x14ac:dyDescent="0.25">
      <c r="A93" s="96">
        <v>10</v>
      </c>
      <c r="B93" s="152" t="s">
        <v>310</v>
      </c>
      <c r="C93" s="177">
        <v>0.23507330000000001</v>
      </c>
      <c r="D93" s="177">
        <v>0.2</v>
      </c>
      <c r="E93" s="177">
        <v>0</v>
      </c>
      <c r="F93" s="177">
        <v>0.66666669999999995</v>
      </c>
      <c r="G93" s="97">
        <v>0.16666666999999999</v>
      </c>
      <c r="H93" s="97">
        <v>0.16666666999999999</v>
      </c>
      <c r="I93" s="97">
        <v>0.11111111</v>
      </c>
      <c r="J93" s="97">
        <v>0.40000001000000002</v>
      </c>
      <c r="K93" s="97">
        <v>0</v>
      </c>
      <c r="L93" s="97">
        <v>0.30000000999999998</v>
      </c>
      <c r="M93" s="97">
        <v>0.2</v>
      </c>
      <c r="N93" s="97">
        <v>0</v>
      </c>
      <c r="O93" s="97">
        <v>0.30000000999999998</v>
      </c>
      <c r="P93" s="97">
        <v>0.33333333999999998</v>
      </c>
      <c r="Q93" s="97">
        <v>0.55555558000000005</v>
      </c>
      <c r="R93" s="97">
        <v>0.125</v>
      </c>
      <c r="S93" s="97">
        <v>0.2</v>
      </c>
      <c r="T93" s="97">
        <v>0.28571429999999998</v>
      </c>
      <c r="U93" s="97">
        <v>0.125</v>
      </c>
      <c r="V93" s="97">
        <v>0.66666669000000001</v>
      </c>
      <c r="W93" s="97">
        <v>0.5</v>
      </c>
      <c r="X93" s="97">
        <v>0.5</v>
      </c>
      <c r="Y93" s="97">
        <v>0</v>
      </c>
      <c r="Z93" s="97">
        <v>0.2</v>
      </c>
      <c r="AA93" s="97">
        <v>0</v>
      </c>
      <c r="AB93" s="97">
        <v>0.33333333999999998</v>
      </c>
      <c r="AC93" s="97">
        <v>0</v>
      </c>
      <c r="AD93" s="97">
        <v>0.14285714999999999</v>
      </c>
      <c r="AE93" s="97">
        <v>0</v>
      </c>
      <c r="AF93" s="97">
        <v>0.5</v>
      </c>
    </row>
    <row r="94" spans="1:32" s="150" customFormat="1" ht="20.25" customHeight="1" x14ac:dyDescent="0.25">
      <c r="A94" s="95">
        <v>11</v>
      </c>
      <c r="B94" s="151" t="s">
        <v>313</v>
      </c>
      <c r="C94" s="176">
        <v>0.41179789999999999</v>
      </c>
      <c r="D94" s="176">
        <v>0.41428569999999998</v>
      </c>
      <c r="E94" s="176">
        <v>0</v>
      </c>
      <c r="F94" s="176">
        <v>1</v>
      </c>
      <c r="G94" s="91">
        <v>0.16666666999999999</v>
      </c>
      <c r="H94" s="91">
        <v>0.16666666999999999</v>
      </c>
      <c r="I94" s="91">
        <v>0.44444444999999999</v>
      </c>
      <c r="J94" s="91">
        <v>0</v>
      </c>
      <c r="K94" s="91">
        <v>0.42857142999999998</v>
      </c>
      <c r="L94" s="91">
        <v>0.40000001000000002</v>
      </c>
      <c r="M94" s="91">
        <v>0.2</v>
      </c>
      <c r="N94" s="91">
        <v>0</v>
      </c>
      <c r="O94" s="91">
        <v>0.30000000999999998</v>
      </c>
      <c r="P94" s="91">
        <v>0.5</v>
      </c>
      <c r="Q94" s="91">
        <v>0.44444444999999999</v>
      </c>
      <c r="R94" s="91">
        <v>0</v>
      </c>
      <c r="S94" s="91">
        <v>0.2</v>
      </c>
      <c r="T94" s="91">
        <v>1</v>
      </c>
      <c r="U94" s="91">
        <v>0.625</v>
      </c>
      <c r="V94" s="91">
        <v>0.33333333999999998</v>
      </c>
      <c r="W94" s="91">
        <v>0.75</v>
      </c>
      <c r="X94" s="91">
        <v>0.66666669000000001</v>
      </c>
      <c r="Y94" s="91">
        <v>0.28571429999999998</v>
      </c>
      <c r="Z94" s="91">
        <v>0.80000000999999998</v>
      </c>
      <c r="AA94" s="91">
        <v>0</v>
      </c>
      <c r="AB94" s="91">
        <v>0.33333333999999998</v>
      </c>
      <c r="AC94" s="91">
        <v>0.80000000999999998</v>
      </c>
      <c r="AD94" s="91">
        <v>0.42857142999999998</v>
      </c>
      <c r="AE94" s="91">
        <v>0.60000001999999997</v>
      </c>
      <c r="AF94" s="91">
        <v>0.83333330999999999</v>
      </c>
    </row>
    <row r="95" spans="1:32" s="119" customFormat="1" ht="20.25" customHeight="1" x14ac:dyDescent="0.25">
      <c r="A95" s="534" t="s">
        <v>809</v>
      </c>
      <c r="B95" s="534"/>
      <c r="C95" s="175">
        <v>0.88422820000000002</v>
      </c>
      <c r="D95" s="175">
        <v>0.89462079999999999</v>
      </c>
      <c r="E95" s="175">
        <v>0.78395060000000005</v>
      </c>
      <c r="F95" s="175">
        <v>0.98148150000000001</v>
      </c>
      <c r="G95" s="89">
        <v>0.97530866000000005</v>
      </c>
      <c r="H95" s="89">
        <v>0.85185188000000001</v>
      </c>
      <c r="I95" s="89">
        <v>0.90534979000000004</v>
      </c>
      <c r="J95" s="89">
        <v>0.88148146999999999</v>
      </c>
      <c r="K95" s="89">
        <v>0.89417988000000004</v>
      </c>
      <c r="L95" s="89">
        <v>0.79629629999999996</v>
      </c>
      <c r="M95" s="89">
        <v>0.82962959999999997</v>
      </c>
      <c r="N95" s="89">
        <v>0.82716047999999998</v>
      </c>
      <c r="O95" s="89">
        <v>0.89999998000000003</v>
      </c>
      <c r="P95" s="89">
        <v>0.93209874999999998</v>
      </c>
      <c r="Q95" s="89">
        <v>0.94238681000000002</v>
      </c>
      <c r="R95" s="89">
        <v>0.80092591000000002</v>
      </c>
      <c r="S95" s="89">
        <v>0.82962959999999997</v>
      </c>
      <c r="T95" s="89">
        <v>0.88888889999999998</v>
      </c>
      <c r="U95" s="89">
        <v>0.92592591000000002</v>
      </c>
      <c r="V95" s="89">
        <v>0.98148148999999996</v>
      </c>
      <c r="W95" s="89">
        <v>0.92592591000000002</v>
      </c>
      <c r="X95" s="89">
        <v>0.78395062999999998</v>
      </c>
      <c r="Y95" s="89">
        <v>0.84656083999999998</v>
      </c>
      <c r="Z95" s="89">
        <v>0.96296298000000002</v>
      </c>
      <c r="AA95" s="89">
        <v>0.80740738000000001</v>
      </c>
      <c r="AB95" s="89">
        <v>0.91975306999999995</v>
      </c>
      <c r="AC95" s="89">
        <v>0.94814812999999998</v>
      </c>
      <c r="AD95" s="89">
        <v>0.84126984999999999</v>
      </c>
      <c r="AE95" s="89">
        <v>0.89629632000000004</v>
      </c>
      <c r="AF95" s="89">
        <v>0.89506173</v>
      </c>
    </row>
    <row r="96" spans="1:32" s="150" customFormat="1" ht="30" x14ac:dyDescent="0.25">
      <c r="A96" s="95">
        <v>1</v>
      </c>
      <c r="B96" s="151" t="s">
        <v>317</v>
      </c>
      <c r="C96" s="176">
        <v>0.78301279999999995</v>
      </c>
      <c r="D96" s="176">
        <v>0.83333330000000005</v>
      </c>
      <c r="E96" s="176">
        <v>0.2</v>
      </c>
      <c r="F96" s="176">
        <v>1</v>
      </c>
      <c r="G96" s="91">
        <v>1</v>
      </c>
      <c r="H96" s="91">
        <v>0.66666669000000001</v>
      </c>
      <c r="I96" s="91">
        <v>0.66666669000000001</v>
      </c>
      <c r="J96" s="91">
        <v>1</v>
      </c>
      <c r="K96" s="91">
        <v>0.85714287</v>
      </c>
      <c r="L96" s="91">
        <v>0.60000001999999997</v>
      </c>
      <c r="M96" s="91">
        <v>0.60000001999999997</v>
      </c>
      <c r="N96" s="91">
        <v>0.77777779000000002</v>
      </c>
      <c r="O96" s="91">
        <v>0.2</v>
      </c>
      <c r="P96" s="91">
        <v>0.83333330999999999</v>
      </c>
      <c r="Q96" s="91">
        <v>0.88888889999999998</v>
      </c>
      <c r="R96" s="91">
        <v>0.625</v>
      </c>
      <c r="S96" s="91">
        <v>0.80000000999999998</v>
      </c>
      <c r="T96" s="91">
        <v>1</v>
      </c>
      <c r="U96" s="91">
        <v>1</v>
      </c>
      <c r="V96" s="91">
        <v>1</v>
      </c>
      <c r="W96" s="91">
        <v>1</v>
      </c>
      <c r="X96" s="91">
        <v>0.83333330999999999</v>
      </c>
      <c r="Y96" s="91">
        <v>0.85714287</v>
      </c>
      <c r="Z96" s="91">
        <v>1</v>
      </c>
      <c r="AA96" s="91">
        <v>0.40000001000000002</v>
      </c>
      <c r="AB96" s="91">
        <v>0.66666669000000001</v>
      </c>
      <c r="AC96" s="91">
        <v>1</v>
      </c>
      <c r="AD96" s="91">
        <v>0.28571429999999998</v>
      </c>
      <c r="AE96" s="91">
        <v>0.80000000999999998</v>
      </c>
      <c r="AF96" s="91">
        <v>1</v>
      </c>
    </row>
    <row r="97" spans="1:32" s="150" customFormat="1" ht="20.25" customHeight="1" x14ac:dyDescent="0.25">
      <c r="A97" s="96">
        <v>2</v>
      </c>
      <c r="B97" s="152" t="s">
        <v>320</v>
      </c>
      <c r="C97" s="177">
        <v>0.93574480000000004</v>
      </c>
      <c r="D97" s="177">
        <v>1</v>
      </c>
      <c r="E97" s="177">
        <v>0.6</v>
      </c>
      <c r="F97" s="177">
        <v>1</v>
      </c>
      <c r="G97" s="97">
        <v>1</v>
      </c>
      <c r="H97" s="97">
        <v>1</v>
      </c>
      <c r="I97" s="97">
        <v>1</v>
      </c>
      <c r="J97" s="97">
        <v>0.80000000999999998</v>
      </c>
      <c r="K97" s="97">
        <v>1</v>
      </c>
      <c r="L97" s="97">
        <v>0.80000000999999998</v>
      </c>
      <c r="M97" s="97">
        <v>0.80000000999999998</v>
      </c>
      <c r="N97" s="97">
        <v>1</v>
      </c>
      <c r="O97" s="97">
        <v>1</v>
      </c>
      <c r="P97" s="97">
        <v>1</v>
      </c>
      <c r="Q97" s="97">
        <v>0.88888889999999998</v>
      </c>
      <c r="R97" s="97">
        <v>0.75</v>
      </c>
      <c r="S97" s="97">
        <v>0.60000001999999997</v>
      </c>
      <c r="T97" s="97">
        <v>1</v>
      </c>
      <c r="U97" s="97">
        <v>1</v>
      </c>
      <c r="V97" s="97">
        <v>1</v>
      </c>
      <c r="W97" s="97">
        <v>1</v>
      </c>
      <c r="X97" s="97">
        <v>0.83333330999999999</v>
      </c>
      <c r="Y97" s="97">
        <v>1</v>
      </c>
      <c r="Z97" s="97">
        <v>1</v>
      </c>
      <c r="AA97" s="97">
        <v>1</v>
      </c>
      <c r="AB97" s="97">
        <v>1</v>
      </c>
      <c r="AC97" s="97">
        <v>1</v>
      </c>
      <c r="AD97" s="97">
        <v>0.85714287</v>
      </c>
      <c r="AE97" s="97">
        <v>1</v>
      </c>
      <c r="AF97" s="97">
        <v>1</v>
      </c>
    </row>
    <row r="98" spans="1:32" s="150" customFormat="1" ht="20.25" customHeight="1" x14ac:dyDescent="0.25">
      <c r="A98" s="95">
        <v>3</v>
      </c>
      <c r="B98" s="151" t="s">
        <v>323</v>
      </c>
      <c r="C98" s="176">
        <v>0.9484127</v>
      </c>
      <c r="D98" s="176">
        <v>1</v>
      </c>
      <c r="E98" s="176">
        <v>0.3333333</v>
      </c>
      <c r="F98" s="176">
        <v>1</v>
      </c>
      <c r="G98" s="91">
        <v>1</v>
      </c>
      <c r="H98" s="91">
        <v>1</v>
      </c>
      <c r="I98" s="91">
        <v>1</v>
      </c>
      <c r="J98" s="91">
        <v>1</v>
      </c>
      <c r="K98" s="91">
        <v>1</v>
      </c>
      <c r="L98" s="91">
        <v>1</v>
      </c>
      <c r="M98" s="91">
        <v>1</v>
      </c>
      <c r="N98" s="91">
        <v>0.88888889999999998</v>
      </c>
      <c r="O98" s="91">
        <v>1</v>
      </c>
      <c r="P98" s="91">
        <v>1</v>
      </c>
      <c r="Q98" s="91">
        <v>0.88888889999999998</v>
      </c>
      <c r="R98" s="91">
        <v>1</v>
      </c>
      <c r="S98" s="91">
        <v>1</v>
      </c>
      <c r="T98" s="91">
        <v>1</v>
      </c>
      <c r="U98" s="91">
        <v>1</v>
      </c>
      <c r="V98" s="91">
        <v>1</v>
      </c>
      <c r="W98" s="91">
        <v>1</v>
      </c>
      <c r="X98" s="91">
        <v>0.33333333999999998</v>
      </c>
      <c r="Y98" s="91">
        <v>0.71428572999999995</v>
      </c>
      <c r="Z98" s="91">
        <v>1</v>
      </c>
      <c r="AA98" s="91">
        <v>1</v>
      </c>
      <c r="AB98" s="91">
        <v>1</v>
      </c>
      <c r="AC98" s="91">
        <v>1</v>
      </c>
      <c r="AD98" s="91">
        <v>1</v>
      </c>
      <c r="AE98" s="91">
        <v>1</v>
      </c>
      <c r="AF98" s="91">
        <v>0.83333330999999999</v>
      </c>
    </row>
    <row r="99" spans="1:32" s="150" customFormat="1" ht="20.25" customHeight="1" x14ac:dyDescent="0.25">
      <c r="A99" s="96">
        <v>4</v>
      </c>
      <c r="B99" s="152" t="s">
        <v>326</v>
      </c>
      <c r="C99" s="177">
        <v>0.95251830000000004</v>
      </c>
      <c r="D99" s="177">
        <v>1</v>
      </c>
      <c r="E99" s="177">
        <v>0.66666669999999995</v>
      </c>
      <c r="F99" s="177">
        <v>1</v>
      </c>
      <c r="G99" s="97">
        <v>1</v>
      </c>
      <c r="H99" s="97">
        <v>0.83333330999999999</v>
      </c>
      <c r="I99" s="97">
        <v>1</v>
      </c>
      <c r="J99" s="97">
        <v>0.80000000999999998</v>
      </c>
      <c r="K99" s="97">
        <v>1</v>
      </c>
      <c r="L99" s="97">
        <v>0.89999998000000003</v>
      </c>
      <c r="M99" s="97">
        <v>1</v>
      </c>
      <c r="N99" s="97">
        <v>0.66666669000000001</v>
      </c>
      <c r="O99" s="97">
        <v>1</v>
      </c>
      <c r="P99" s="97">
        <v>1</v>
      </c>
      <c r="Q99" s="97">
        <v>1</v>
      </c>
      <c r="R99" s="97">
        <v>0.875</v>
      </c>
      <c r="S99" s="97">
        <v>1</v>
      </c>
      <c r="T99" s="97">
        <v>1</v>
      </c>
      <c r="U99" s="97">
        <v>1</v>
      </c>
      <c r="V99" s="97">
        <v>1</v>
      </c>
      <c r="W99" s="97">
        <v>1</v>
      </c>
      <c r="X99" s="97">
        <v>0.83333330999999999</v>
      </c>
      <c r="Y99" s="97">
        <v>0.85714287</v>
      </c>
      <c r="Z99" s="97">
        <v>1</v>
      </c>
      <c r="AA99" s="97">
        <v>1</v>
      </c>
      <c r="AB99" s="97">
        <v>1</v>
      </c>
      <c r="AC99" s="97">
        <v>1</v>
      </c>
      <c r="AD99" s="97">
        <v>1</v>
      </c>
      <c r="AE99" s="97">
        <v>1</v>
      </c>
      <c r="AF99" s="97">
        <v>1</v>
      </c>
    </row>
    <row r="100" spans="1:32" s="150" customFormat="1" ht="20.25" customHeight="1" x14ac:dyDescent="0.25">
      <c r="A100" s="95">
        <v>5</v>
      </c>
      <c r="B100" s="151" t="s">
        <v>329</v>
      </c>
      <c r="C100" s="176">
        <v>0.86456040000000001</v>
      </c>
      <c r="D100" s="176">
        <v>1</v>
      </c>
      <c r="E100" s="176">
        <v>0</v>
      </c>
      <c r="F100" s="176">
        <v>1</v>
      </c>
      <c r="G100" s="91">
        <v>1</v>
      </c>
      <c r="H100" s="91">
        <v>0.5</v>
      </c>
      <c r="I100" s="91">
        <v>0.88888889999999998</v>
      </c>
      <c r="J100" s="91">
        <v>1</v>
      </c>
      <c r="K100" s="91">
        <v>1</v>
      </c>
      <c r="L100" s="91">
        <v>1</v>
      </c>
      <c r="M100" s="91">
        <v>1</v>
      </c>
      <c r="N100" s="91">
        <v>0.88888889999999998</v>
      </c>
      <c r="O100" s="91">
        <v>0.89999998000000003</v>
      </c>
      <c r="P100" s="91">
        <v>0.83333330999999999</v>
      </c>
      <c r="Q100" s="91">
        <v>0.88888889999999998</v>
      </c>
      <c r="R100" s="91">
        <v>0.75</v>
      </c>
      <c r="S100" s="91">
        <v>1</v>
      </c>
      <c r="T100" s="91">
        <v>1</v>
      </c>
      <c r="U100" s="91">
        <v>1</v>
      </c>
      <c r="V100" s="91">
        <v>1</v>
      </c>
      <c r="W100" s="91">
        <v>1</v>
      </c>
      <c r="X100" s="91">
        <v>1</v>
      </c>
      <c r="Y100" s="91">
        <v>0.71428572999999995</v>
      </c>
      <c r="Z100" s="91">
        <v>1</v>
      </c>
      <c r="AA100" s="91">
        <v>0</v>
      </c>
      <c r="AB100" s="91">
        <v>1</v>
      </c>
      <c r="AC100" s="91">
        <v>0.80000000999999998</v>
      </c>
      <c r="AD100" s="91">
        <v>0.71428572999999995</v>
      </c>
      <c r="AE100" s="91">
        <v>0.60000001999999997</v>
      </c>
      <c r="AF100" s="91">
        <v>1</v>
      </c>
    </row>
    <row r="101" spans="1:32" s="150" customFormat="1" ht="20.25" customHeight="1" x14ac:dyDescent="0.25">
      <c r="A101" s="96">
        <v>6</v>
      </c>
      <c r="B101" s="152" t="s">
        <v>332</v>
      </c>
      <c r="C101" s="177">
        <v>0.98931619999999998</v>
      </c>
      <c r="D101" s="177">
        <v>1</v>
      </c>
      <c r="E101" s="177">
        <v>0.83333330000000005</v>
      </c>
      <c r="F101" s="177">
        <v>1</v>
      </c>
      <c r="G101" s="97">
        <v>1</v>
      </c>
      <c r="H101" s="97">
        <v>1</v>
      </c>
      <c r="I101" s="97">
        <v>1</v>
      </c>
      <c r="J101" s="97">
        <v>1</v>
      </c>
      <c r="K101" s="97">
        <v>1</v>
      </c>
      <c r="L101" s="97">
        <v>1</v>
      </c>
      <c r="M101" s="97">
        <v>1</v>
      </c>
      <c r="N101" s="97">
        <v>1</v>
      </c>
      <c r="O101" s="97">
        <v>1</v>
      </c>
      <c r="P101" s="97">
        <v>1</v>
      </c>
      <c r="Q101" s="97">
        <v>0.88888889999999998</v>
      </c>
      <c r="R101" s="97">
        <v>1</v>
      </c>
      <c r="S101" s="97">
        <v>1</v>
      </c>
      <c r="T101" s="97">
        <v>1</v>
      </c>
      <c r="U101" s="97">
        <v>1</v>
      </c>
      <c r="V101" s="97">
        <v>1</v>
      </c>
      <c r="W101" s="97">
        <v>1</v>
      </c>
      <c r="X101" s="97">
        <v>0.83333330999999999</v>
      </c>
      <c r="Y101" s="97">
        <v>1</v>
      </c>
      <c r="Z101" s="97">
        <v>1</v>
      </c>
      <c r="AA101" s="97">
        <v>1</v>
      </c>
      <c r="AB101" s="97">
        <v>1</v>
      </c>
      <c r="AC101" s="97">
        <v>1</v>
      </c>
      <c r="AD101" s="97">
        <v>1</v>
      </c>
      <c r="AE101" s="97">
        <v>1</v>
      </c>
      <c r="AF101" s="97">
        <v>1</v>
      </c>
    </row>
    <row r="102" spans="1:32" s="150" customFormat="1" ht="20.25" customHeight="1" x14ac:dyDescent="0.25">
      <c r="A102" s="95">
        <v>7</v>
      </c>
      <c r="B102" s="151" t="s">
        <v>335</v>
      </c>
      <c r="C102" s="176">
        <v>0.37203910000000001</v>
      </c>
      <c r="D102" s="176">
        <v>0.27500000000000002</v>
      </c>
      <c r="E102" s="176">
        <v>0</v>
      </c>
      <c r="F102" s="176">
        <v>1</v>
      </c>
      <c r="G102" s="91">
        <v>1</v>
      </c>
      <c r="H102" s="91">
        <v>0.16666666999999999</v>
      </c>
      <c r="I102" s="91">
        <v>0.33333333999999998</v>
      </c>
      <c r="J102" s="91">
        <v>0.60000001999999997</v>
      </c>
      <c r="K102" s="91">
        <v>0</v>
      </c>
      <c r="L102" s="91">
        <v>0.30000000999999998</v>
      </c>
      <c r="M102" s="91">
        <v>0</v>
      </c>
      <c r="N102" s="91">
        <v>0.11111111</v>
      </c>
      <c r="O102" s="91">
        <v>0.40000001000000002</v>
      </c>
      <c r="P102" s="91">
        <v>0.33333333999999998</v>
      </c>
      <c r="Q102" s="91">
        <v>1</v>
      </c>
      <c r="R102" s="91">
        <v>0.125</v>
      </c>
      <c r="S102" s="91">
        <v>0.80000000999999998</v>
      </c>
      <c r="T102" s="91">
        <v>0.42857142999999998</v>
      </c>
      <c r="U102" s="91">
        <v>0.125</v>
      </c>
      <c r="V102" s="91">
        <v>0.83333330999999999</v>
      </c>
      <c r="W102" s="91">
        <v>0.25</v>
      </c>
      <c r="X102" s="91">
        <v>0.16666666999999999</v>
      </c>
      <c r="Y102" s="91">
        <v>0</v>
      </c>
      <c r="Z102" s="91">
        <v>1</v>
      </c>
      <c r="AA102" s="91">
        <v>0</v>
      </c>
      <c r="AB102" s="91">
        <v>0.16666666999999999</v>
      </c>
      <c r="AC102" s="91">
        <v>1</v>
      </c>
      <c r="AD102" s="91">
        <v>0</v>
      </c>
      <c r="AE102" s="91">
        <v>0.2</v>
      </c>
      <c r="AF102" s="91">
        <v>0.33333333999999998</v>
      </c>
    </row>
    <row r="103" spans="1:32" s="150" customFormat="1" ht="20.25" customHeight="1" x14ac:dyDescent="0.25">
      <c r="A103" s="96">
        <v>8</v>
      </c>
      <c r="B103" s="152" t="s">
        <v>338</v>
      </c>
      <c r="C103" s="177">
        <v>1</v>
      </c>
      <c r="D103" s="177">
        <v>1</v>
      </c>
      <c r="E103" s="177">
        <v>1</v>
      </c>
      <c r="F103" s="177">
        <v>1</v>
      </c>
      <c r="G103" s="97">
        <v>1</v>
      </c>
      <c r="H103" s="97">
        <v>1</v>
      </c>
      <c r="I103" s="97">
        <v>1</v>
      </c>
      <c r="J103" s="97">
        <v>1</v>
      </c>
      <c r="K103" s="97">
        <v>1</v>
      </c>
      <c r="L103" s="97">
        <v>1</v>
      </c>
      <c r="M103" s="97">
        <v>1</v>
      </c>
      <c r="N103" s="97">
        <v>1</v>
      </c>
      <c r="O103" s="97">
        <v>1</v>
      </c>
      <c r="P103" s="97">
        <v>1</v>
      </c>
      <c r="Q103" s="97">
        <v>1</v>
      </c>
      <c r="R103" s="97">
        <v>1</v>
      </c>
      <c r="S103" s="97">
        <v>1</v>
      </c>
      <c r="T103" s="97">
        <v>1</v>
      </c>
      <c r="U103" s="97">
        <v>1</v>
      </c>
      <c r="V103" s="97">
        <v>1</v>
      </c>
      <c r="W103" s="97">
        <v>1</v>
      </c>
      <c r="X103" s="97">
        <v>1</v>
      </c>
      <c r="Y103" s="97">
        <v>1</v>
      </c>
      <c r="Z103" s="97">
        <v>1</v>
      </c>
      <c r="AA103" s="97">
        <v>1</v>
      </c>
      <c r="AB103" s="97">
        <v>1</v>
      </c>
      <c r="AC103" s="97">
        <v>1</v>
      </c>
      <c r="AD103" s="97">
        <v>1</v>
      </c>
      <c r="AE103" s="97">
        <v>1</v>
      </c>
      <c r="AF103" s="97">
        <v>1</v>
      </c>
    </row>
    <row r="104" spans="1:32" s="150" customFormat="1" ht="20.25" customHeight="1" x14ac:dyDescent="0.25">
      <c r="A104" s="95">
        <v>9</v>
      </c>
      <c r="B104" s="151" t="s">
        <v>339</v>
      </c>
      <c r="C104" s="176">
        <v>0.99615379999999998</v>
      </c>
      <c r="D104" s="176">
        <v>1</v>
      </c>
      <c r="E104" s="176">
        <v>0.9</v>
      </c>
      <c r="F104" s="176">
        <v>1</v>
      </c>
      <c r="G104" s="91">
        <v>1</v>
      </c>
      <c r="H104" s="91">
        <v>1</v>
      </c>
      <c r="I104" s="91">
        <v>1</v>
      </c>
      <c r="J104" s="91">
        <v>1</v>
      </c>
      <c r="K104" s="91">
        <v>1</v>
      </c>
      <c r="L104" s="91">
        <v>0.89999998000000003</v>
      </c>
      <c r="M104" s="91">
        <v>1</v>
      </c>
      <c r="N104" s="91">
        <v>1</v>
      </c>
      <c r="O104" s="91">
        <v>1</v>
      </c>
      <c r="P104" s="91">
        <v>1</v>
      </c>
      <c r="Q104" s="91">
        <v>1</v>
      </c>
      <c r="R104" s="91">
        <v>1</v>
      </c>
      <c r="S104" s="91">
        <v>1</v>
      </c>
      <c r="T104" s="91">
        <v>1</v>
      </c>
      <c r="U104" s="91">
        <v>1</v>
      </c>
      <c r="V104" s="91">
        <v>1</v>
      </c>
      <c r="W104" s="91">
        <v>1</v>
      </c>
      <c r="X104" s="91">
        <v>1</v>
      </c>
      <c r="Y104" s="91">
        <v>1</v>
      </c>
      <c r="Z104" s="91">
        <v>1</v>
      </c>
      <c r="AA104" s="91">
        <v>1</v>
      </c>
      <c r="AB104" s="91">
        <v>1</v>
      </c>
      <c r="AC104" s="91">
        <v>1</v>
      </c>
      <c r="AD104" s="91">
        <v>1</v>
      </c>
      <c r="AE104" s="91">
        <v>1</v>
      </c>
      <c r="AF104" s="91">
        <v>1</v>
      </c>
    </row>
    <row r="105" spans="1:32" s="150" customFormat="1" ht="15.75" x14ac:dyDescent="0.25">
      <c r="A105" s="96">
        <v>10</v>
      </c>
      <c r="B105" s="152" t="s">
        <v>343</v>
      </c>
      <c r="C105" s="177">
        <v>0.93479849999999998</v>
      </c>
      <c r="D105" s="177">
        <v>1</v>
      </c>
      <c r="E105" s="177">
        <v>0.6</v>
      </c>
      <c r="F105" s="177">
        <v>1</v>
      </c>
      <c r="G105" s="97">
        <v>1</v>
      </c>
      <c r="H105" s="97">
        <v>1</v>
      </c>
      <c r="I105" s="97">
        <v>1</v>
      </c>
      <c r="J105" s="97">
        <v>1</v>
      </c>
      <c r="K105" s="97">
        <v>0.85714287</v>
      </c>
      <c r="L105" s="97">
        <v>1</v>
      </c>
      <c r="M105" s="97">
        <v>1</v>
      </c>
      <c r="N105" s="97">
        <v>0.66666669000000001</v>
      </c>
      <c r="O105" s="97">
        <v>0.60000001999999997</v>
      </c>
      <c r="P105" s="97">
        <v>1</v>
      </c>
      <c r="Q105" s="97">
        <v>1</v>
      </c>
      <c r="R105" s="97">
        <v>1</v>
      </c>
      <c r="S105" s="97">
        <v>1</v>
      </c>
      <c r="T105" s="97">
        <v>0.85714287</v>
      </c>
      <c r="U105" s="97">
        <v>1</v>
      </c>
      <c r="V105" s="97">
        <v>1</v>
      </c>
      <c r="W105" s="97">
        <v>1</v>
      </c>
      <c r="X105" s="97">
        <v>0.83333330999999999</v>
      </c>
      <c r="Y105" s="97">
        <v>1</v>
      </c>
      <c r="Z105" s="97">
        <v>1</v>
      </c>
      <c r="AA105" s="97">
        <v>1</v>
      </c>
      <c r="AB105" s="97">
        <v>0.83333330999999999</v>
      </c>
      <c r="AC105" s="97">
        <v>1</v>
      </c>
      <c r="AD105" s="97">
        <v>0.85714287</v>
      </c>
      <c r="AE105" s="97">
        <v>0.80000000999999998</v>
      </c>
      <c r="AF105" s="97">
        <v>1</v>
      </c>
    </row>
    <row r="106" spans="1:32" s="150" customFormat="1" ht="30" x14ac:dyDescent="0.25">
      <c r="A106" s="95">
        <v>11</v>
      </c>
      <c r="B106" s="151" t="s">
        <v>346</v>
      </c>
      <c r="C106" s="176">
        <v>0.93266179999999999</v>
      </c>
      <c r="D106" s="176">
        <v>1</v>
      </c>
      <c r="E106" s="176">
        <v>0.71428570000000002</v>
      </c>
      <c r="F106" s="176">
        <v>1</v>
      </c>
      <c r="G106" s="91">
        <v>0.83333330999999999</v>
      </c>
      <c r="H106" s="91">
        <v>0.83333330999999999</v>
      </c>
      <c r="I106" s="91">
        <v>0.88888889999999998</v>
      </c>
      <c r="J106" s="91">
        <v>1</v>
      </c>
      <c r="K106" s="91">
        <v>0.85714287</v>
      </c>
      <c r="L106" s="91">
        <v>0.80000000999999998</v>
      </c>
      <c r="M106" s="91">
        <v>1</v>
      </c>
      <c r="N106" s="91">
        <v>0.88888889999999998</v>
      </c>
      <c r="O106" s="91">
        <v>1</v>
      </c>
      <c r="P106" s="91">
        <v>1</v>
      </c>
      <c r="Q106" s="91">
        <v>1</v>
      </c>
      <c r="R106" s="91">
        <v>1</v>
      </c>
      <c r="S106" s="91">
        <v>0.80000000999999998</v>
      </c>
      <c r="T106" s="91">
        <v>0.71428572999999995</v>
      </c>
      <c r="U106" s="91">
        <v>1</v>
      </c>
      <c r="V106" s="91">
        <v>1</v>
      </c>
      <c r="W106" s="91">
        <v>1</v>
      </c>
      <c r="X106" s="91">
        <v>1</v>
      </c>
      <c r="Y106" s="91">
        <v>1</v>
      </c>
      <c r="Z106" s="91">
        <v>1</v>
      </c>
      <c r="AA106" s="91">
        <v>0.80000000999999998</v>
      </c>
      <c r="AB106" s="91">
        <v>1</v>
      </c>
      <c r="AC106" s="91">
        <v>1</v>
      </c>
      <c r="AD106" s="91">
        <v>1</v>
      </c>
      <c r="AE106" s="91">
        <v>1</v>
      </c>
      <c r="AF106" s="91">
        <v>0.83333330999999999</v>
      </c>
    </row>
    <row r="107" spans="1:32" s="150" customFormat="1" ht="15.75" x14ac:dyDescent="0.25">
      <c r="A107" s="96">
        <v>12</v>
      </c>
      <c r="B107" s="152" t="s">
        <v>349</v>
      </c>
      <c r="C107" s="177">
        <v>0.8116911</v>
      </c>
      <c r="D107" s="177">
        <v>0.83333330000000005</v>
      </c>
      <c r="E107" s="177">
        <v>0.14285709999999999</v>
      </c>
      <c r="F107" s="177">
        <v>1</v>
      </c>
      <c r="G107" s="97">
        <v>1</v>
      </c>
      <c r="H107" s="97">
        <v>0.83333330999999999</v>
      </c>
      <c r="I107" s="97">
        <v>0.66666669000000001</v>
      </c>
      <c r="J107" s="97">
        <v>1</v>
      </c>
      <c r="K107" s="97">
        <v>1</v>
      </c>
      <c r="L107" s="97">
        <v>0.80000000999999998</v>
      </c>
      <c r="M107" s="97">
        <v>0.60000001999999997</v>
      </c>
      <c r="N107" s="97">
        <v>0.77777779000000002</v>
      </c>
      <c r="O107" s="97">
        <v>1</v>
      </c>
      <c r="P107" s="97">
        <v>1</v>
      </c>
      <c r="Q107" s="97">
        <v>1</v>
      </c>
      <c r="R107" s="97">
        <v>0.75</v>
      </c>
      <c r="S107" s="97">
        <v>1</v>
      </c>
      <c r="T107" s="97">
        <v>1</v>
      </c>
      <c r="U107" s="97">
        <v>0.75</v>
      </c>
      <c r="V107" s="97">
        <v>0.83333330999999999</v>
      </c>
      <c r="W107" s="97">
        <v>0.75</v>
      </c>
      <c r="X107" s="97">
        <v>0.16666666999999999</v>
      </c>
      <c r="Y107" s="97">
        <v>0.14285714999999999</v>
      </c>
      <c r="Z107" s="97">
        <v>1</v>
      </c>
      <c r="AA107" s="97">
        <v>0.60000001999999997</v>
      </c>
      <c r="AB107" s="97">
        <v>1</v>
      </c>
      <c r="AC107" s="97">
        <v>0.60000001999999997</v>
      </c>
      <c r="AD107" s="97">
        <v>1</v>
      </c>
      <c r="AE107" s="97">
        <v>1</v>
      </c>
      <c r="AF107" s="97">
        <v>0.83333330999999999</v>
      </c>
    </row>
    <row r="108" spans="1:32" s="150" customFormat="1" ht="20.25" customHeight="1" x14ac:dyDescent="0.25">
      <c r="A108" s="95">
        <v>15</v>
      </c>
      <c r="B108" s="151" t="s">
        <v>352</v>
      </c>
      <c r="C108" s="176">
        <v>0.77545790000000003</v>
      </c>
      <c r="D108" s="176">
        <v>0.83333330000000005</v>
      </c>
      <c r="E108" s="176">
        <v>0</v>
      </c>
      <c r="F108" s="176">
        <v>1</v>
      </c>
      <c r="G108" s="91">
        <v>1</v>
      </c>
      <c r="H108" s="91">
        <v>1</v>
      </c>
      <c r="I108" s="91">
        <v>1</v>
      </c>
      <c r="J108" s="91">
        <v>1</v>
      </c>
      <c r="K108" s="91">
        <v>1</v>
      </c>
      <c r="L108" s="91">
        <v>0.40000001000000002</v>
      </c>
      <c r="M108" s="91">
        <v>0.80000000999999998</v>
      </c>
      <c r="N108" s="91">
        <v>0.88888889999999998</v>
      </c>
      <c r="O108" s="91">
        <v>0.80000000999999998</v>
      </c>
      <c r="P108" s="91">
        <v>0.83333330999999999</v>
      </c>
      <c r="Q108" s="91">
        <v>0.77777779000000002</v>
      </c>
      <c r="R108" s="91">
        <v>0.75</v>
      </c>
      <c r="S108" s="91">
        <v>1</v>
      </c>
      <c r="T108" s="91">
        <v>0.42857142999999998</v>
      </c>
      <c r="U108" s="91">
        <v>1</v>
      </c>
      <c r="V108" s="91">
        <v>1</v>
      </c>
      <c r="W108" s="91">
        <v>0.75</v>
      </c>
      <c r="X108" s="91">
        <v>0.83333330999999999</v>
      </c>
      <c r="Y108" s="91">
        <v>1</v>
      </c>
      <c r="Z108" s="91">
        <v>0</v>
      </c>
      <c r="AA108" s="91">
        <v>0.60000001999999997</v>
      </c>
      <c r="AB108" s="91">
        <v>1</v>
      </c>
      <c r="AC108" s="91">
        <v>0.2</v>
      </c>
      <c r="AD108" s="91">
        <v>1</v>
      </c>
      <c r="AE108" s="91">
        <v>0.60000001999999997</v>
      </c>
      <c r="AF108" s="91">
        <v>0.5</v>
      </c>
    </row>
    <row r="109" spans="1:32" s="119" customFormat="1" ht="20.25" customHeight="1" x14ac:dyDescent="0.25">
      <c r="A109" s="534" t="s">
        <v>810</v>
      </c>
      <c r="B109" s="534"/>
      <c r="C109" s="175">
        <v>0.67452279999999998</v>
      </c>
      <c r="D109" s="175">
        <v>0.74188030000000005</v>
      </c>
      <c r="E109" s="175">
        <v>0.28846149999999998</v>
      </c>
      <c r="F109" s="175">
        <v>0.96153840000000002</v>
      </c>
      <c r="G109" s="89">
        <v>0.78205126999999997</v>
      </c>
      <c r="H109" s="89">
        <v>0.59615386000000004</v>
      </c>
      <c r="I109" s="89">
        <v>0.77777779000000002</v>
      </c>
      <c r="J109" s="89">
        <v>0.83846151999999996</v>
      </c>
      <c r="K109" s="89">
        <v>0.52197802000000004</v>
      </c>
      <c r="L109" s="89">
        <v>0.79615384</v>
      </c>
      <c r="M109" s="89">
        <v>0.50769233999999996</v>
      </c>
      <c r="N109" s="89">
        <v>0.38461539</v>
      </c>
      <c r="O109" s="89">
        <v>0.78846156999999994</v>
      </c>
      <c r="P109" s="89">
        <v>0.79487180999999996</v>
      </c>
      <c r="Q109" s="89">
        <v>0.72222220999999998</v>
      </c>
      <c r="R109" s="89">
        <v>0.51923078</v>
      </c>
      <c r="S109" s="89">
        <v>0.79230767000000002</v>
      </c>
      <c r="T109" s="89">
        <v>0.82967031000000002</v>
      </c>
      <c r="U109" s="89">
        <v>0.8125</v>
      </c>
      <c r="V109" s="89">
        <v>0.96153843000000006</v>
      </c>
      <c r="W109" s="89">
        <v>0.63461535999999996</v>
      </c>
      <c r="X109" s="89">
        <v>0.28846154000000002</v>
      </c>
      <c r="Y109" s="89">
        <v>0.48901098999999998</v>
      </c>
      <c r="Z109" s="89">
        <v>0.51538461000000002</v>
      </c>
      <c r="AA109" s="89">
        <v>0.43846153999999998</v>
      </c>
      <c r="AB109" s="89">
        <v>0.80769228999999998</v>
      </c>
      <c r="AC109" s="89">
        <v>0.84615386000000004</v>
      </c>
      <c r="AD109" s="89">
        <v>0.70879119999999995</v>
      </c>
      <c r="AE109" s="89">
        <v>0.76153844999999998</v>
      </c>
      <c r="AF109" s="89">
        <v>0.62179488000000005</v>
      </c>
    </row>
    <row r="110" spans="1:32" s="150" customFormat="1" ht="45" x14ac:dyDescent="0.25">
      <c r="A110" s="95">
        <v>1</v>
      </c>
      <c r="B110" s="151" t="s">
        <v>356</v>
      </c>
      <c r="C110" s="176">
        <v>0.56527780000000005</v>
      </c>
      <c r="D110" s="176">
        <v>0.64583330000000005</v>
      </c>
      <c r="E110" s="176">
        <v>0</v>
      </c>
      <c r="F110" s="176">
        <v>1</v>
      </c>
      <c r="G110" s="91">
        <v>1</v>
      </c>
      <c r="H110" s="91">
        <v>0.83333330999999999</v>
      </c>
      <c r="I110" s="91">
        <v>0.77777779000000002</v>
      </c>
      <c r="J110" s="91">
        <v>0.80000000999999998</v>
      </c>
      <c r="K110" s="91">
        <v>0.42857142999999998</v>
      </c>
      <c r="L110" s="91">
        <v>0.2</v>
      </c>
      <c r="M110" s="91">
        <v>0.80000000999999998</v>
      </c>
      <c r="N110" s="91">
        <v>0</v>
      </c>
      <c r="O110" s="91">
        <v>0.80000000999999998</v>
      </c>
      <c r="P110" s="91">
        <v>1</v>
      </c>
      <c r="Q110" s="91">
        <v>0.77777779000000002</v>
      </c>
      <c r="R110" s="91">
        <v>0.625</v>
      </c>
      <c r="S110" s="91">
        <v>0.40000001000000002</v>
      </c>
      <c r="T110" s="91">
        <v>0.85714287</v>
      </c>
      <c r="U110" s="91">
        <v>0.75</v>
      </c>
      <c r="V110" s="91">
        <v>1</v>
      </c>
      <c r="W110" s="91">
        <v>0.5</v>
      </c>
      <c r="X110" s="91">
        <v>0</v>
      </c>
      <c r="Y110" s="91">
        <v>0.28571429999999998</v>
      </c>
      <c r="Z110" s="91">
        <v>0</v>
      </c>
      <c r="AA110" s="91">
        <v>0</v>
      </c>
      <c r="AB110" s="91">
        <v>0.66666669000000001</v>
      </c>
      <c r="AC110" s="91">
        <v>1</v>
      </c>
      <c r="AD110" s="91">
        <v>0.42857142999999998</v>
      </c>
      <c r="AE110" s="91">
        <v>0.60000001999999997</v>
      </c>
      <c r="AF110" s="91">
        <v>0.16666666999999999</v>
      </c>
    </row>
    <row r="111" spans="1:32" s="150" customFormat="1" ht="20.25" customHeight="1" x14ac:dyDescent="0.25">
      <c r="A111" s="96">
        <v>2</v>
      </c>
      <c r="B111" s="152" t="s">
        <v>359</v>
      </c>
      <c r="C111" s="177">
        <v>0.60224359999999999</v>
      </c>
      <c r="D111" s="177">
        <v>0.75</v>
      </c>
      <c r="E111" s="177">
        <v>0</v>
      </c>
      <c r="F111" s="177">
        <v>1</v>
      </c>
      <c r="G111" s="97">
        <v>1</v>
      </c>
      <c r="H111" s="97">
        <v>0.83333330999999999</v>
      </c>
      <c r="I111" s="97">
        <v>1</v>
      </c>
      <c r="J111" s="97">
        <v>1</v>
      </c>
      <c r="K111" s="97">
        <v>0.42857142999999998</v>
      </c>
      <c r="L111" s="97">
        <v>0.69999999000000002</v>
      </c>
      <c r="M111" s="97">
        <v>0.40000001000000002</v>
      </c>
      <c r="N111" s="97">
        <v>0</v>
      </c>
      <c r="O111" s="97">
        <v>0.80000000999999998</v>
      </c>
      <c r="P111" s="97">
        <v>1</v>
      </c>
      <c r="Q111" s="97">
        <v>1</v>
      </c>
      <c r="R111" s="97">
        <v>0.125</v>
      </c>
      <c r="S111" s="97">
        <v>0.80000000999999998</v>
      </c>
      <c r="T111" s="97">
        <v>0.57142859999999995</v>
      </c>
      <c r="U111" s="97">
        <v>0.25</v>
      </c>
      <c r="V111" s="97">
        <v>1</v>
      </c>
      <c r="W111" s="97">
        <v>0.25</v>
      </c>
      <c r="X111" s="97">
        <v>0</v>
      </c>
      <c r="Y111" s="97">
        <v>0.14285714999999999</v>
      </c>
      <c r="Z111" s="97">
        <v>1</v>
      </c>
      <c r="AA111" s="97">
        <v>0</v>
      </c>
      <c r="AB111" s="97">
        <v>0.83333330999999999</v>
      </c>
      <c r="AC111" s="97">
        <v>1</v>
      </c>
      <c r="AD111" s="97">
        <v>0.85714287</v>
      </c>
      <c r="AE111" s="97">
        <v>0</v>
      </c>
      <c r="AF111" s="97">
        <v>0.66666669000000001</v>
      </c>
    </row>
    <row r="112" spans="1:32" s="150" customFormat="1" ht="20.25" customHeight="1" x14ac:dyDescent="0.25">
      <c r="A112" s="95">
        <v>3</v>
      </c>
      <c r="B112" s="151" t="s">
        <v>362</v>
      </c>
      <c r="C112" s="176">
        <v>0.49694749999999999</v>
      </c>
      <c r="D112" s="176">
        <v>0.57777780000000001</v>
      </c>
      <c r="E112" s="176">
        <v>0</v>
      </c>
      <c r="F112" s="176">
        <v>1</v>
      </c>
      <c r="G112" s="91">
        <v>0.66666669000000001</v>
      </c>
      <c r="H112" s="91">
        <v>0.33333333999999998</v>
      </c>
      <c r="I112" s="91">
        <v>0.55555558000000005</v>
      </c>
      <c r="J112" s="91">
        <v>0.60000001999999997</v>
      </c>
      <c r="K112" s="91">
        <v>0.42857142999999998</v>
      </c>
      <c r="L112" s="91">
        <v>0.60000001999999997</v>
      </c>
      <c r="M112" s="91">
        <v>0</v>
      </c>
      <c r="N112" s="91">
        <v>0</v>
      </c>
      <c r="O112" s="91">
        <v>0.69999999000000002</v>
      </c>
      <c r="P112" s="91">
        <v>0.83333330999999999</v>
      </c>
      <c r="Q112" s="91">
        <v>0.55555558000000005</v>
      </c>
      <c r="R112" s="91">
        <v>0.25</v>
      </c>
      <c r="S112" s="91">
        <v>0.80000000999999998</v>
      </c>
      <c r="T112" s="91">
        <v>1</v>
      </c>
      <c r="U112" s="91">
        <v>0.75</v>
      </c>
      <c r="V112" s="91">
        <v>0.83333330999999999</v>
      </c>
      <c r="W112" s="91">
        <v>0.5</v>
      </c>
      <c r="X112" s="91">
        <v>0</v>
      </c>
      <c r="Y112" s="91">
        <v>0</v>
      </c>
      <c r="Z112" s="91">
        <v>0</v>
      </c>
      <c r="AA112" s="91">
        <v>0</v>
      </c>
      <c r="AB112" s="91">
        <v>0.66666669000000001</v>
      </c>
      <c r="AC112" s="91">
        <v>1</v>
      </c>
      <c r="AD112" s="91">
        <v>0.71428572999999995</v>
      </c>
      <c r="AE112" s="91">
        <v>0.80000000999999998</v>
      </c>
      <c r="AF112" s="91">
        <v>0.33333333999999998</v>
      </c>
    </row>
    <row r="113" spans="1:32" s="150" customFormat="1" ht="45" customHeight="1" x14ac:dyDescent="0.25">
      <c r="A113" s="96">
        <v>4</v>
      </c>
      <c r="B113" s="152" t="s">
        <v>365</v>
      </c>
      <c r="C113" s="177">
        <v>0.35228939999999997</v>
      </c>
      <c r="D113" s="177">
        <v>0.38095240000000002</v>
      </c>
      <c r="E113" s="177">
        <v>0</v>
      </c>
      <c r="F113" s="177">
        <v>1</v>
      </c>
      <c r="G113" s="97">
        <v>0.5</v>
      </c>
      <c r="H113" s="97">
        <v>0</v>
      </c>
      <c r="I113" s="97">
        <v>0.55555558000000005</v>
      </c>
      <c r="J113" s="97">
        <v>0.60000001999999997</v>
      </c>
      <c r="K113" s="97">
        <v>0.28571429999999998</v>
      </c>
      <c r="L113" s="97">
        <v>0.89999998000000003</v>
      </c>
      <c r="M113" s="97">
        <v>0</v>
      </c>
      <c r="N113" s="97">
        <v>0</v>
      </c>
      <c r="O113" s="97">
        <v>0.69999999000000002</v>
      </c>
      <c r="P113" s="97">
        <v>0</v>
      </c>
      <c r="Q113" s="97">
        <v>0.11111111</v>
      </c>
      <c r="R113" s="97">
        <v>0.125</v>
      </c>
      <c r="S113" s="97">
        <v>0.80000000999999998</v>
      </c>
      <c r="T113" s="97">
        <v>0.42857142999999998</v>
      </c>
      <c r="U113" s="97">
        <v>0.625</v>
      </c>
      <c r="V113" s="97">
        <v>1</v>
      </c>
      <c r="W113" s="97">
        <v>0.5</v>
      </c>
      <c r="X113" s="97">
        <v>0</v>
      </c>
      <c r="Y113" s="97">
        <v>0</v>
      </c>
      <c r="Z113" s="97">
        <v>0</v>
      </c>
      <c r="AA113" s="97">
        <v>0</v>
      </c>
      <c r="AB113" s="97">
        <v>0.66666669000000001</v>
      </c>
      <c r="AC113" s="97">
        <v>0</v>
      </c>
      <c r="AD113" s="97">
        <v>0.42857142999999998</v>
      </c>
      <c r="AE113" s="97">
        <v>0.60000001999999997</v>
      </c>
      <c r="AF113" s="97">
        <v>0.33333333999999998</v>
      </c>
    </row>
    <row r="114" spans="1:32" s="150" customFormat="1" ht="20.25" customHeight="1" x14ac:dyDescent="0.25">
      <c r="A114" s="95">
        <v>5</v>
      </c>
      <c r="B114" s="151" t="s">
        <v>367</v>
      </c>
      <c r="C114" s="176">
        <v>0.82573260000000004</v>
      </c>
      <c r="D114" s="176">
        <v>0.9</v>
      </c>
      <c r="E114" s="176">
        <v>0.14285709999999999</v>
      </c>
      <c r="F114" s="176">
        <v>1</v>
      </c>
      <c r="G114" s="91">
        <v>1</v>
      </c>
      <c r="H114" s="91">
        <v>1</v>
      </c>
      <c r="I114" s="91">
        <v>0.77777779000000002</v>
      </c>
      <c r="J114" s="91">
        <v>1</v>
      </c>
      <c r="K114" s="91">
        <v>0.28571429999999998</v>
      </c>
      <c r="L114" s="91">
        <v>0.89999998000000003</v>
      </c>
      <c r="M114" s="91">
        <v>0.40000001000000002</v>
      </c>
      <c r="N114" s="91">
        <v>0.66666669000000001</v>
      </c>
      <c r="O114" s="91">
        <v>0.89999998000000003</v>
      </c>
      <c r="P114" s="91">
        <v>1</v>
      </c>
      <c r="Q114" s="91">
        <v>0.88888889999999998</v>
      </c>
      <c r="R114" s="91">
        <v>0.875</v>
      </c>
      <c r="S114" s="91">
        <v>0.60000001999999997</v>
      </c>
      <c r="T114" s="91">
        <v>0.14285714999999999</v>
      </c>
      <c r="U114" s="91">
        <v>0.875</v>
      </c>
      <c r="V114" s="91">
        <v>1</v>
      </c>
      <c r="W114" s="91">
        <v>1</v>
      </c>
      <c r="X114" s="91">
        <v>0.5</v>
      </c>
      <c r="Y114" s="91">
        <v>1</v>
      </c>
      <c r="Z114" s="91">
        <v>1</v>
      </c>
      <c r="AA114" s="91">
        <v>1</v>
      </c>
      <c r="AB114" s="91">
        <v>1</v>
      </c>
      <c r="AC114" s="91">
        <v>1</v>
      </c>
      <c r="AD114" s="91">
        <v>0.85714287</v>
      </c>
      <c r="AE114" s="91">
        <v>0.80000000999999998</v>
      </c>
      <c r="AF114" s="91">
        <v>1</v>
      </c>
    </row>
    <row r="115" spans="1:32" s="150" customFormat="1" ht="20.25" customHeight="1" x14ac:dyDescent="0.25">
      <c r="A115" s="96">
        <v>6</v>
      </c>
      <c r="B115" s="152" t="s">
        <v>370</v>
      </c>
      <c r="C115" s="177">
        <v>0.87077230000000005</v>
      </c>
      <c r="D115" s="177">
        <v>0.95</v>
      </c>
      <c r="E115" s="177">
        <v>0.5</v>
      </c>
      <c r="F115" s="177">
        <v>1</v>
      </c>
      <c r="G115" s="97">
        <v>0.83333330999999999</v>
      </c>
      <c r="H115" s="97">
        <v>0.83333330999999999</v>
      </c>
      <c r="I115" s="97">
        <v>1</v>
      </c>
      <c r="J115" s="97">
        <v>1</v>
      </c>
      <c r="K115" s="97">
        <v>0.57142859999999995</v>
      </c>
      <c r="L115" s="97">
        <v>0.89999998000000003</v>
      </c>
      <c r="M115" s="97">
        <v>1</v>
      </c>
      <c r="N115" s="97">
        <v>0.88888889999999998</v>
      </c>
      <c r="O115" s="97">
        <v>0.69999999000000002</v>
      </c>
      <c r="P115" s="97">
        <v>1</v>
      </c>
      <c r="Q115" s="97">
        <v>1</v>
      </c>
      <c r="R115" s="97">
        <v>0.625</v>
      </c>
      <c r="S115" s="97">
        <v>1</v>
      </c>
      <c r="T115" s="97">
        <v>1</v>
      </c>
      <c r="U115" s="97">
        <v>1</v>
      </c>
      <c r="V115" s="97">
        <v>1</v>
      </c>
      <c r="W115" s="97">
        <v>0.75</v>
      </c>
      <c r="X115" s="97">
        <v>0.5</v>
      </c>
      <c r="Y115" s="97">
        <v>1</v>
      </c>
      <c r="Z115" s="97">
        <v>0.80000000999999998</v>
      </c>
      <c r="AA115" s="97">
        <v>1</v>
      </c>
      <c r="AB115" s="97">
        <v>0.83333330999999999</v>
      </c>
      <c r="AC115" s="97">
        <v>1</v>
      </c>
      <c r="AD115" s="97">
        <v>0.57142859999999995</v>
      </c>
      <c r="AE115" s="97">
        <v>1</v>
      </c>
      <c r="AF115" s="97">
        <v>0.83333330999999999</v>
      </c>
    </row>
    <row r="116" spans="1:32" s="150" customFormat="1" ht="20.25" customHeight="1" x14ac:dyDescent="0.25">
      <c r="A116" s="95">
        <v>7</v>
      </c>
      <c r="B116" s="151" t="s">
        <v>373</v>
      </c>
      <c r="C116" s="176">
        <v>0.9628816</v>
      </c>
      <c r="D116" s="176">
        <v>1</v>
      </c>
      <c r="E116" s="176">
        <v>0.77777779999999996</v>
      </c>
      <c r="F116" s="176">
        <v>1</v>
      </c>
      <c r="G116" s="91">
        <v>1</v>
      </c>
      <c r="H116" s="91">
        <v>0.83333330999999999</v>
      </c>
      <c r="I116" s="91">
        <v>1</v>
      </c>
      <c r="J116" s="91">
        <v>1</v>
      </c>
      <c r="K116" s="91">
        <v>0.85714287</v>
      </c>
      <c r="L116" s="91">
        <v>0.89999998000000003</v>
      </c>
      <c r="M116" s="91">
        <v>1</v>
      </c>
      <c r="N116" s="91">
        <v>0.77777779000000002</v>
      </c>
      <c r="O116" s="91">
        <v>1</v>
      </c>
      <c r="P116" s="91">
        <v>1</v>
      </c>
      <c r="Q116" s="91">
        <v>1</v>
      </c>
      <c r="R116" s="91">
        <v>1</v>
      </c>
      <c r="S116" s="91">
        <v>1</v>
      </c>
      <c r="T116" s="91">
        <v>1</v>
      </c>
      <c r="U116" s="91">
        <v>1</v>
      </c>
      <c r="V116" s="91">
        <v>1</v>
      </c>
      <c r="W116" s="91">
        <v>1</v>
      </c>
      <c r="X116" s="91">
        <v>0.83333330999999999</v>
      </c>
      <c r="Y116" s="91">
        <v>1</v>
      </c>
      <c r="Z116" s="91">
        <v>1</v>
      </c>
      <c r="AA116" s="91">
        <v>1</v>
      </c>
      <c r="AB116" s="91">
        <v>1</v>
      </c>
      <c r="AC116" s="91">
        <v>1</v>
      </c>
      <c r="AD116" s="91">
        <v>1</v>
      </c>
      <c r="AE116" s="91">
        <v>1</v>
      </c>
      <c r="AF116" s="91">
        <v>0.83333330999999999</v>
      </c>
    </row>
    <row r="117" spans="1:32" s="150" customFormat="1" ht="20.25" customHeight="1" x14ac:dyDescent="0.25">
      <c r="A117" s="96">
        <v>8</v>
      </c>
      <c r="B117" s="152" t="s">
        <v>376</v>
      </c>
      <c r="C117" s="177">
        <v>0.73754580000000003</v>
      </c>
      <c r="D117" s="177">
        <v>0.81666669999999997</v>
      </c>
      <c r="E117" s="177">
        <v>0</v>
      </c>
      <c r="F117" s="177">
        <v>1</v>
      </c>
      <c r="G117" s="97">
        <v>0.66666669000000001</v>
      </c>
      <c r="H117" s="97">
        <v>0.83333330999999999</v>
      </c>
      <c r="I117" s="97">
        <v>0.55555558000000005</v>
      </c>
      <c r="J117" s="97">
        <v>1</v>
      </c>
      <c r="K117" s="97">
        <v>0.71428572999999995</v>
      </c>
      <c r="L117" s="97">
        <v>1</v>
      </c>
      <c r="M117" s="97">
        <v>0.60000001999999997</v>
      </c>
      <c r="N117" s="97">
        <v>0.44444444999999999</v>
      </c>
      <c r="O117" s="97">
        <v>1</v>
      </c>
      <c r="P117" s="97">
        <v>0.83333330999999999</v>
      </c>
      <c r="Q117" s="97">
        <v>0.66666669000000001</v>
      </c>
      <c r="R117" s="97">
        <v>1</v>
      </c>
      <c r="S117" s="97">
        <v>0</v>
      </c>
      <c r="T117" s="97">
        <v>0.85714287</v>
      </c>
      <c r="U117" s="97">
        <v>1</v>
      </c>
      <c r="V117" s="97">
        <v>1</v>
      </c>
      <c r="W117" s="97">
        <v>0.5</v>
      </c>
      <c r="X117" s="97">
        <v>0.33333333999999998</v>
      </c>
      <c r="Y117" s="97">
        <v>0.57142859999999995</v>
      </c>
      <c r="Z117" s="97">
        <v>0.80000000999999998</v>
      </c>
      <c r="AA117" s="97">
        <v>0.2</v>
      </c>
      <c r="AB117" s="97">
        <v>1</v>
      </c>
      <c r="AC117" s="97">
        <v>1</v>
      </c>
      <c r="AD117" s="97">
        <v>1</v>
      </c>
      <c r="AE117" s="97">
        <v>0.60000001999999997</v>
      </c>
      <c r="AF117" s="97">
        <v>1</v>
      </c>
    </row>
    <row r="118" spans="1:32" s="119" customFormat="1" ht="24.75" customHeight="1" x14ac:dyDescent="0.25">
      <c r="A118" s="534" t="s">
        <v>1444</v>
      </c>
      <c r="B118" s="534"/>
      <c r="C118" s="175">
        <v>0.51762779999999997</v>
      </c>
      <c r="D118" s="175">
        <v>0.52032710000000004</v>
      </c>
      <c r="E118" s="175">
        <v>0.31379430000000003</v>
      </c>
      <c r="F118" s="175">
        <v>0.66141930000000004</v>
      </c>
      <c r="G118" s="89">
        <v>0.57921040000000001</v>
      </c>
      <c r="H118" s="89">
        <v>0.49169110999999999</v>
      </c>
      <c r="I118" s="89">
        <v>0.52507554999999995</v>
      </c>
      <c r="J118" s="89">
        <v>0.51568049000000005</v>
      </c>
      <c r="K118" s="89">
        <v>0.42787441999999998</v>
      </c>
      <c r="L118" s="89">
        <v>0.52368813999999997</v>
      </c>
      <c r="M118" s="89">
        <v>0.50536144000000005</v>
      </c>
      <c r="N118" s="89">
        <v>0.31379425999999999</v>
      </c>
      <c r="O118" s="89">
        <v>0.51696609999999998</v>
      </c>
      <c r="P118" s="89">
        <v>0.48313191999999999</v>
      </c>
      <c r="Q118" s="89">
        <v>0.63423967000000003</v>
      </c>
      <c r="R118" s="89">
        <v>0.43571964000000002</v>
      </c>
      <c r="S118" s="89">
        <v>0.60686563999999998</v>
      </c>
      <c r="T118" s="89">
        <v>0.59428446999999995</v>
      </c>
      <c r="U118" s="89">
        <v>0.56562382</v>
      </c>
      <c r="V118" s="89">
        <v>0.66141927</v>
      </c>
      <c r="W118" s="89">
        <v>0.63892961000000004</v>
      </c>
      <c r="X118" s="89">
        <v>0.39213100000000001</v>
      </c>
      <c r="Y118" s="89">
        <v>0.39291999</v>
      </c>
      <c r="Z118" s="89">
        <v>0.48934913000000002</v>
      </c>
      <c r="AA118" s="89">
        <v>0.41024097999999998</v>
      </c>
      <c r="AB118" s="89">
        <v>0.58831823000000005</v>
      </c>
      <c r="AC118" s="89">
        <v>0.54644579000000004</v>
      </c>
      <c r="AD118" s="89">
        <v>0.58330488000000003</v>
      </c>
      <c r="AE118" s="89">
        <v>0.58367466999999995</v>
      </c>
      <c r="AF118" s="89">
        <v>0.45238096</v>
      </c>
    </row>
    <row r="120" spans="1:32" ht="20.25" customHeight="1" x14ac:dyDescent="0.25">
      <c r="G120" s="352"/>
    </row>
  </sheetData>
  <mergeCells count="22">
    <mergeCell ref="A118:B118"/>
    <mergeCell ref="A2:B2"/>
    <mergeCell ref="A83:B83"/>
    <mergeCell ref="A95:B95"/>
    <mergeCell ref="A109:B109"/>
    <mergeCell ref="A62:B62"/>
    <mergeCell ref="A8:B8"/>
    <mergeCell ref="A18:B18"/>
    <mergeCell ref="A29:B29"/>
    <mergeCell ref="A54:B54"/>
    <mergeCell ref="A4:B4"/>
    <mergeCell ref="A5:B5"/>
    <mergeCell ref="A6:B6"/>
    <mergeCell ref="A73:B73"/>
    <mergeCell ref="A80:B80"/>
    <mergeCell ref="A3:B3"/>
    <mergeCell ref="A1:B1"/>
    <mergeCell ref="C1:F1"/>
    <mergeCell ref="C2:C3"/>
    <mergeCell ref="D2:D3"/>
    <mergeCell ref="E2:E3"/>
    <mergeCell ref="F2:F3"/>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theme="4" tint="0.39997558519241921"/>
  </sheetPr>
  <dimension ref="A1:FE265"/>
  <sheetViews>
    <sheetView topLeftCell="BX1" zoomScale="70" zoomScaleNormal="70" workbookViewId="0">
      <selection activeCell="R3" sqref="A3:XFD3"/>
    </sheetView>
  </sheetViews>
  <sheetFormatPr defaultColWidth="20.5" defaultRowHeight="15.75" x14ac:dyDescent="0.25"/>
  <cols>
    <col min="1" max="4" width="20.5" style="143"/>
    <col min="5" max="13" width="20.5" style="78"/>
    <col min="14" max="14" width="20.5" style="137"/>
    <col min="15" max="15" width="3.375" style="78" customWidth="1"/>
    <col min="16" max="19" width="20.5" style="143"/>
    <col min="20" max="29" width="20.5" style="78"/>
    <col min="30" max="30" width="20.5" style="137"/>
    <col min="31" max="31" width="4.375" style="78" customWidth="1"/>
    <col min="32" max="35" width="20.5" style="143"/>
    <col min="36" max="59" width="20.5" style="78"/>
    <col min="60" max="60" width="20.5" style="137"/>
    <col min="61" max="61" width="4.375" style="78" customWidth="1"/>
    <col min="62" max="65" width="20.5" style="143"/>
    <col min="66" max="72" width="20.5" style="78"/>
    <col min="73" max="73" width="20.5" style="137"/>
    <col min="74" max="74" width="4.375" style="78" customWidth="1"/>
    <col min="75" max="78" width="20.5" style="143"/>
    <col min="79" max="88" width="20.5" style="78"/>
    <col min="89" max="89" width="20.5" style="137"/>
    <col min="90" max="90" width="4.375" style="78" customWidth="1"/>
    <col min="91" max="94" width="20.5" style="143"/>
    <col min="95" max="100" width="20.5" style="78"/>
    <col min="101" max="101" width="20.5" style="137"/>
    <col min="102" max="102" width="4.375" style="78" customWidth="1"/>
    <col min="103" max="106" width="20.5" style="143"/>
    <col min="107" max="107" width="20.5" style="78"/>
    <col min="108" max="109" width="20.5" style="137"/>
    <col min="110" max="110" width="4.375" style="78" customWidth="1"/>
    <col min="111" max="114" width="20.5" style="143"/>
    <col min="115" max="125" width="20.5" style="78"/>
    <col min="126" max="126" width="20.5" style="137"/>
    <col min="127" max="127" width="4.375" style="78" customWidth="1"/>
    <col min="128" max="131" width="20.5" style="143"/>
    <col min="132" max="144" width="20.5" style="78"/>
    <col min="145" max="145" width="20.5" style="137"/>
    <col min="146" max="146" width="4.375" style="78" customWidth="1"/>
    <col min="147" max="150" width="20.5" style="143"/>
    <col min="151" max="158" width="20.5" style="78"/>
    <col min="159" max="159" width="21.375" style="137" customWidth="1"/>
    <col min="160" max="160" width="4.375" style="78" customWidth="1"/>
    <col min="161" max="161" width="20.5" style="137"/>
  </cols>
  <sheetData>
    <row r="1" spans="1:161" s="120" customFormat="1" ht="72.75" customHeight="1" x14ac:dyDescent="0.25">
      <c r="A1" s="296"/>
      <c r="B1" s="296"/>
      <c r="C1" s="296"/>
      <c r="D1" s="296"/>
      <c r="E1" s="541" t="s">
        <v>1445</v>
      </c>
      <c r="F1" s="542"/>
      <c r="G1" s="542"/>
      <c r="H1" s="542"/>
      <c r="I1" s="542"/>
      <c r="J1" s="542"/>
      <c r="K1" s="542"/>
      <c r="L1" s="542"/>
      <c r="M1" s="542"/>
      <c r="N1" s="542"/>
      <c r="P1" s="296"/>
      <c r="Q1" s="296"/>
      <c r="R1" s="296"/>
      <c r="S1" s="294"/>
      <c r="T1" s="541" t="s">
        <v>1446</v>
      </c>
      <c r="U1" s="542"/>
      <c r="V1" s="542"/>
      <c r="W1" s="542"/>
      <c r="X1" s="542"/>
      <c r="Y1" s="542"/>
      <c r="Z1" s="542"/>
      <c r="AA1" s="542"/>
      <c r="AB1" s="542"/>
      <c r="AC1" s="542"/>
      <c r="AD1" s="542"/>
      <c r="AF1" s="296"/>
      <c r="AG1" s="296"/>
      <c r="AH1" s="296"/>
      <c r="AI1" s="294"/>
      <c r="AJ1" s="541" t="s">
        <v>1447</v>
      </c>
      <c r="AK1" s="542"/>
      <c r="AL1" s="542"/>
      <c r="AM1" s="542"/>
      <c r="AN1" s="542"/>
      <c r="AO1" s="542"/>
      <c r="AP1" s="542"/>
      <c r="AQ1" s="542"/>
      <c r="AR1" s="542"/>
      <c r="AS1" s="542"/>
      <c r="AT1" s="542"/>
      <c r="AU1" s="542"/>
      <c r="AV1" s="542"/>
      <c r="AW1" s="542"/>
      <c r="AX1" s="542"/>
      <c r="AY1" s="542"/>
      <c r="AZ1" s="542"/>
      <c r="BA1" s="542"/>
      <c r="BB1" s="542"/>
      <c r="BC1" s="542"/>
      <c r="BD1" s="542"/>
      <c r="BE1" s="542"/>
      <c r="BF1" s="542"/>
      <c r="BG1" s="542"/>
      <c r="BH1" s="542"/>
      <c r="BJ1" s="296"/>
      <c r="BK1" s="296"/>
      <c r="BL1" s="296"/>
      <c r="BM1" s="294"/>
      <c r="BN1" s="541" t="s">
        <v>1448</v>
      </c>
      <c r="BO1" s="542"/>
      <c r="BP1" s="542"/>
      <c r="BQ1" s="542"/>
      <c r="BR1" s="542"/>
      <c r="BS1" s="542"/>
      <c r="BT1" s="542"/>
      <c r="BU1" s="542"/>
      <c r="BW1" s="296"/>
      <c r="BX1" s="296"/>
      <c r="BY1" s="296"/>
      <c r="BZ1" s="294"/>
      <c r="CA1" s="541" t="s">
        <v>1449</v>
      </c>
      <c r="CB1" s="542"/>
      <c r="CC1" s="542"/>
      <c r="CD1" s="542"/>
      <c r="CE1" s="542"/>
      <c r="CF1" s="542"/>
      <c r="CG1" s="542"/>
      <c r="CH1" s="542"/>
      <c r="CI1" s="542"/>
      <c r="CJ1" s="542"/>
      <c r="CK1" s="542"/>
      <c r="CM1" s="296"/>
      <c r="CN1" s="296"/>
      <c r="CO1" s="296"/>
      <c r="CP1" s="294"/>
      <c r="CQ1" s="541" t="s">
        <v>1450</v>
      </c>
      <c r="CR1" s="542"/>
      <c r="CS1" s="542"/>
      <c r="CT1" s="542"/>
      <c r="CU1" s="542"/>
      <c r="CV1" s="542"/>
      <c r="CW1" s="542"/>
      <c r="CY1" s="296"/>
      <c r="CZ1" s="296"/>
      <c r="DA1" s="296"/>
      <c r="DB1" s="296"/>
      <c r="DC1" s="543" t="s">
        <v>1451</v>
      </c>
      <c r="DD1" s="543"/>
      <c r="DE1" s="543"/>
      <c r="DG1" s="296"/>
      <c r="DH1" s="296"/>
      <c r="DI1" s="296"/>
      <c r="DJ1" s="294"/>
      <c r="DK1" s="541" t="s">
        <v>1452</v>
      </c>
      <c r="DL1" s="542"/>
      <c r="DM1" s="542"/>
      <c r="DN1" s="542"/>
      <c r="DO1" s="542"/>
      <c r="DP1" s="542"/>
      <c r="DQ1" s="542"/>
      <c r="DR1" s="542"/>
      <c r="DS1" s="542"/>
      <c r="DT1" s="542"/>
      <c r="DU1" s="542"/>
      <c r="DV1" s="542"/>
      <c r="DX1" s="296"/>
      <c r="DY1" s="296"/>
      <c r="DZ1" s="296"/>
      <c r="EA1" s="294"/>
      <c r="EB1" s="541" t="s">
        <v>1453</v>
      </c>
      <c r="EC1" s="542"/>
      <c r="ED1" s="542"/>
      <c r="EE1" s="542"/>
      <c r="EF1" s="542"/>
      <c r="EG1" s="542"/>
      <c r="EH1" s="542"/>
      <c r="EI1" s="542"/>
      <c r="EJ1" s="542"/>
      <c r="EK1" s="542"/>
      <c r="EL1" s="542"/>
      <c r="EM1" s="542"/>
      <c r="EN1" s="542"/>
      <c r="EO1" s="542"/>
      <c r="EQ1" s="296"/>
      <c r="ER1" s="296"/>
      <c r="ES1" s="296"/>
      <c r="ET1" s="294"/>
      <c r="EU1" s="541" t="s">
        <v>1454</v>
      </c>
      <c r="EV1" s="544"/>
      <c r="EW1" s="544"/>
      <c r="EX1" s="544"/>
      <c r="EY1" s="544"/>
      <c r="EZ1" s="544"/>
      <c r="FA1" s="544"/>
      <c r="FB1" s="544"/>
      <c r="FC1" s="544"/>
      <c r="FE1" s="540" t="s">
        <v>1455</v>
      </c>
    </row>
    <row r="2" spans="1:161" s="110" customFormat="1" ht="180" x14ac:dyDescent="0.25">
      <c r="A2" s="282" t="s">
        <v>721</v>
      </c>
      <c r="B2" s="282" t="s">
        <v>1456</v>
      </c>
      <c r="C2" s="282" t="s">
        <v>1457</v>
      </c>
      <c r="D2" s="282" t="s">
        <v>1458</v>
      </c>
      <c r="E2" s="290" t="s">
        <v>37</v>
      </c>
      <c r="F2" s="290" t="s">
        <v>41</v>
      </c>
      <c r="G2" s="290" t="s">
        <v>1459</v>
      </c>
      <c r="H2" s="290" t="s">
        <v>1460</v>
      </c>
      <c r="I2" s="290" t="s">
        <v>1461</v>
      </c>
      <c r="J2" s="290" t="s">
        <v>57</v>
      </c>
      <c r="K2" s="290" t="s">
        <v>60</v>
      </c>
      <c r="L2" s="290" t="s">
        <v>63</v>
      </c>
      <c r="M2" s="290" t="s">
        <v>66</v>
      </c>
      <c r="N2" s="312" t="s">
        <v>1462</v>
      </c>
      <c r="O2" s="311"/>
      <c r="P2" s="282" t="s">
        <v>721</v>
      </c>
      <c r="Q2" s="282" t="s">
        <v>1456</v>
      </c>
      <c r="R2" s="282" t="s">
        <v>1457</v>
      </c>
      <c r="S2" s="283" t="s">
        <v>1458</v>
      </c>
      <c r="T2" s="290" t="s">
        <v>70</v>
      </c>
      <c r="U2" s="290" t="s">
        <v>1463</v>
      </c>
      <c r="V2" s="290" t="s">
        <v>1464</v>
      </c>
      <c r="W2" s="290" t="s">
        <v>1465</v>
      </c>
      <c r="X2" s="290" t="s">
        <v>1466</v>
      </c>
      <c r="Y2" s="290" t="s">
        <v>94</v>
      </c>
      <c r="Z2" s="290" t="s">
        <v>1467</v>
      </c>
      <c r="AA2" s="290" t="s">
        <v>1440</v>
      </c>
      <c r="AB2" s="290" t="s">
        <v>106</v>
      </c>
      <c r="AC2" s="290" t="s">
        <v>108</v>
      </c>
      <c r="AD2" s="312" t="s">
        <v>1468</v>
      </c>
      <c r="AE2" s="311"/>
      <c r="AF2" s="282" t="s">
        <v>721</v>
      </c>
      <c r="AG2" s="282" t="s">
        <v>1456</v>
      </c>
      <c r="AH2" s="282" t="s">
        <v>1457</v>
      </c>
      <c r="AI2" s="283" t="s">
        <v>1458</v>
      </c>
      <c r="AJ2" s="290" t="s">
        <v>112</v>
      </c>
      <c r="AK2" s="290" t="s">
        <v>115</v>
      </c>
      <c r="AL2" s="290" t="s">
        <v>118</v>
      </c>
      <c r="AM2" s="290" t="s">
        <v>121</v>
      </c>
      <c r="AN2" s="290" t="s">
        <v>1469</v>
      </c>
      <c r="AO2" s="290" t="s">
        <v>129</v>
      </c>
      <c r="AP2" s="290" t="s">
        <v>132</v>
      </c>
      <c r="AQ2" s="290" t="s">
        <v>136</v>
      </c>
      <c r="AR2" s="290" t="s">
        <v>139</v>
      </c>
      <c r="AS2" s="290" t="s">
        <v>142</v>
      </c>
      <c r="AT2" s="290" t="s">
        <v>145</v>
      </c>
      <c r="AU2" s="290" t="s">
        <v>148</v>
      </c>
      <c r="AV2" s="290" t="s">
        <v>151</v>
      </c>
      <c r="AW2" s="290" t="s">
        <v>154</v>
      </c>
      <c r="AX2" s="290" t="s">
        <v>1441</v>
      </c>
      <c r="AY2" s="290" t="s">
        <v>160</v>
      </c>
      <c r="AZ2" s="290" t="s">
        <v>163</v>
      </c>
      <c r="BA2" s="290" t="s">
        <v>166</v>
      </c>
      <c r="BB2" s="290" t="s">
        <v>169</v>
      </c>
      <c r="BC2" s="290" t="s">
        <v>172</v>
      </c>
      <c r="BD2" s="290" t="s">
        <v>175</v>
      </c>
      <c r="BE2" s="290" t="s">
        <v>178</v>
      </c>
      <c r="BF2" s="290" t="s">
        <v>181</v>
      </c>
      <c r="BG2" s="290" t="s">
        <v>184</v>
      </c>
      <c r="BH2" s="312" t="s">
        <v>1470</v>
      </c>
      <c r="BI2" s="311"/>
      <c r="BJ2" s="282" t="s">
        <v>721</v>
      </c>
      <c r="BK2" s="282" t="s">
        <v>1456</v>
      </c>
      <c r="BL2" s="282" t="s">
        <v>1457</v>
      </c>
      <c r="BM2" s="283" t="s">
        <v>1458</v>
      </c>
      <c r="BN2" s="290" t="s">
        <v>190</v>
      </c>
      <c r="BO2" s="290" t="s">
        <v>193</v>
      </c>
      <c r="BP2" s="290" t="s">
        <v>196</v>
      </c>
      <c r="BQ2" s="290" t="s">
        <v>199</v>
      </c>
      <c r="BR2" s="290" t="s">
        <v>202</v>
      </c>
      <c r="BS2" s="290" t="s">
        <v>205</v>
      </c>
      <c r="BT2" s="290" t="s">
        <v>208</v>
      </c>
      <c r="BU2" s="312" t="s">
        <v>1471</v>
      </c>
      <c r="BV2" s="311"/>
      <c r="BW2" s="282" t="s">
        <v>721</v>
      </c>
      <c r="BX2" s="282" t="s">
        <v>1456</v>
      </c>
      <c r="BY2" s="282" t="s">
        <v>1457</v>
      </c>
      <c r="BZ2" s="283" t="s">
        <v>1458</v>
      </c>
      <c r="CA2" s="290" t="s">
        <v>212</v>
      </c>
      <c r="CB2" s="290" t="s">
        <v>215</v>
      </c>
      <c r="CC2" s="290" t="s">
        <v>218</v>
      </c>
      <c r="CD2" s="290" t="s">
        <v>221</v>
      </c>
      <c r="CE2" s="290" t="s">
        <v>224</v>
      </c>
      <c r="CF2" s="290" t="s">
        <v>227</v>
      </c>
      <c r="CG2" s="290" t="s">
        <v>230</v>
      </c>
      <c r="CH2" s="290" t="s">
        <v>233</v>
      </c>
      <c r="CI2" s="290" t="s">
        <v>236</v>
      </c>
      <c r="CJ2" s="290" t="s">
        <v>238</v>
      </c>
      <c r="CK2" s="312" t="s">
        <v>1472</v>
      </c>
      <c r="CL2" s="311"/>
      <c r="CM2" s="282" t="s">
        <v>721</v>
      </c>
      <c r="CN2" s="282" t="s">
        <v>1456</v>
      </c>
      <c r="CO2" s="282" t="s">
        <v>1457</v>
      </c>
      <c r="CP2" s="283" t="s">
        <v>1458</v>
      </c>
      <c r="CQ2" s="290" t="s">
        <v>242</v>
      </c>
      <c r="CR2" s="290" t="s">
        <v>245</v>
      </c>
      <c r="CS2" s="290" t="s">
        <v>248</v>
      </c>
      <c r="CT2" s="290" t="s">
        <v>256</v>
      </c>
      <c r="CU2" s="290" t="s">
        <v>258</v>
      </c>
      <c r="CV2" s="290" t="s">
        <v>260</v>
      </c>
      <c r="CW2" s="312" t="s">
        <v>1473</v>
      </c>
      <c r="CX2" s="311"/>
      <c r="CY2" s="282" t="s">
        <v>721</v>
      </c>
      <c r="CZ2" s="282" t="s">
        <v>1456</v>
      </c>
      <c r="DA2" s="282" t="s">
        <v>1457</v>
      </c>
      <c r="DB2" s="282" t="s">
        <v>1458</v>
      </c>
      <c r="DC2" s="290" t="s">
        <v>1474</v>
      </c>
      <c r="DD2" s="291" t="s">
        <v>1475</v>
      </c>
      <c r="DE2" s="292" t="s">
        <v>1476</v>
      </c>
      <c r="DF2" s="311"/>
      <c r="DG2" s="282" t="s">
        <v>721</v>
      </c>
      <c r="DH2" s="282" t="s">
        <v>1456</v>
      </c>
      <c r="DI2" s="282" t="s">
        <v>1457</v>
      </c>
      <c r="DJ2" s="283" t="s">
        <v>1458</v>
      </c>
      <c r="DK2" s="290" t="s">
        <v>1477</v>
      </c>
      <c r="DL2" s="290" t="s">
        <v>1478</v>
      </c>
      <c r="DM2" s="290" t="s">
        <v>1479</v>
      </c>
      <c r="DN2" s="290" t="s">
        <v>1480</v>
      </c>
      <c r="DO2" s="290" t="s">
        <v>289</v>
      </c>
      <c r="DP2" s="290" t="s">
        <v>291</v>
      </c>
      <c r="DQ2" s="290" t="s">
        <v>295</v>
      </c>
      <c r="DR2" s="290" t="s">
        <v>304</v>
      </c>
      <c r="DS2" s="290" t="s">
        <v>307</v>
      </c>
      <c r="DT2" s="290" t="s">
        <v>310</v>
      </c>
      <c r="DU2" s="290" t="s">
        <v>313</v>
      </c>
      <c r="DV2" s="312" t="s">
        <v>1481</v>
      </c>
      <c r="DW2" s="311"/>
      <c r="DX2" s="282" t="s">
        <v>721</v>
      </c>
      <c r="DY2" s="282" t="s">
        <v>1456</v>
      </c>
      <c r="DZ2" s="282" t="s">
        <v>1457</v>
      </c>
      <c r="EA2" s="283" t="s">
        <v>1458</v>
      </c>
      <c r="EB2" s="290" t="s">
        <v>317</v>
      </c>
      <c r="EC2" s="290" t="s">
        <v>320</v>
      </c>
      <c r="ED2" s="290" t="s">
        <v>323</v>
      </c>
      <c r="EE2" s="290" t="s">
        <v>326</v>
      </c>
      <c r="EF2" s="290" t="s">
        <v>329</v>
      </c>
      <c r="EG2" s="290" t="s">
        <v>332</v>
      </c>
      <c r="EH2" s="290" t="s">
        <v>335</v>
      </c>
      <c r="EI2" s="290" t="s">
        <v>338</v>
      </c>
      <c r="EJ2" s="290" t="s">
        <v>339</v>
      </c>
      <c r="EK2" s="290" t="s">
        <v>343</v>
      </c>
      <c r="EL2" s="290" t="s">
        <v>346</v>
      </c>
      <c r="EM2" s="290" t="s">
        <v>349</v>
      </c>
      <c r="EN2" s="290" t="s">
        <v>352</v>
      </c>
      <c r="EO2" s="312" t="s">
        <v>1482</v>
      </c>
      <c r="EP2" s="311"/>
      <c r="EQ2" s="282" t="s">
        <v>721</v>
      </c>
      <c r="ER2" s="282" t="s">
        <v>1456</v>
      </c>
      <c r="ES2" s="282" t="s">
        <v>1457</v>
      </c>
      <c r="ET2" s="283" t="s">
        <v>1458</v>
      </c>
      <c r="EU2" s="290" t="s">
        <v>356</v>
      </c>
      <c r="EV2" s="290" t="s">
        <v>359</v>
      </c>
      <c r="EW2" s="290" t="s">
        <v>362</v>
      </c>
      <c r="EX2" s="290" t="s">
        <v>365</v>
      </c>
      <c r="EY2" s="290" t="s">
        <v>367</v>
      </c>
      <c r="EZ2" s="290" t="s">
        <v>370</v>
      </c>
      <c r="FA2" s="290" t="s">
        <v>373</v>
      </c>
      <c r="FB2" s="290" t="s">
        <v>376</v>
      </c>
      <c r="FC2" s="312" t="s">
        <v>1483</v>
      </c>
      <c r="FD2" s="311"/>
      <c r="FE2" s="540"/>
    </row>
    <row r="3" spans="1:161" s="110" customFormat="1" ht="21" hidden="1" x14ac:dyDescent="0.25">
      <c r="A3" s="406" t="s">
        <v>815</v>
      </c>
      <c r="B3" s="406" t="s">
        <v>816</v>
      </c>
      <c r="C3" s="406" t="s">
        <v>1484</v>
      </c>
      <c r="D3" s="406" t="s">
        <v>1485</v>
      </c>
      <c r="E3" s="401" t="s">
        <v>1486</v>
      </c>
      <c r="F3" s="401" t="s">
        <v>1487</v>
      </c>
      <c r="G3" s="401" t="s">
        <v>1488</v>
      </c>
      <c r="H3" s="401" t="s">
        <v>1489</v>
      </c>
      <c r="I3" s="401" t="s">
        <v>1490</v>
      </c>
      <c r="J3" s="401" t="s">
        <v>1491</v>
      </c>
      <c r="K3" s="401" t="s">
        <v>1492</v>
      </c>
      <c r="L3" s="401" t="s">
        <v>1493</v>
      </c>
      <c r="M3" s="401" t="s">
        <v>1494</v>
      </c>
      <c r="N3" s="407" t="s">
        <v>817</v>
      </c>
      <c r="O3" s="408" t="s">
        <v>1495</v>
      </c>
      <c r="P3" s="406" t="s">
        <v>1496</v>
      </c>
      <c r="Q3" s="406" t="s">
        <v>1497</v>
      </c>
      <c r="R3" s="406" t="s">
        <v>1498</v>
      </c>
      <c r="S3" s="406" t="s">
        <v>1499</v>
      </c>
      <c r="T3" s="401" t="s">
        <v>1500</v>
      </c>
      <c r="U3" s="401" t="s">
        <v>1501</v>
      </c>
      <c r="V3" s="401" t="s">
        <v>1502</v>
      </c>
      <c r="W3" s="401" t="s">
        <v>1503</v>
      </c>
      <c r="X3" s="401" t="s">
        <v>1504</v>
      </c>
      <c r="Y3" s="401" t="s">
        <v>1505</v>
      </c>
      <c r="Z3" s="401" t="s">
        <v>1506</v>
      </c>
      <c r="AA3" s="401" t="s">
        <v>1507</v>
      </c>
      <c r="AB3" s="401" t="s">
        <v>1508</v>
      </c>
      <c r="AC3" s="401" t="s">
        <v>1509</v>
      </c>
      <c r="AD3" s="407" t="s">
        <v>818</v>
      </c>
      <c r="AE3" s="408" t="s">
        <v>1510</v>
      </c>
      <c r="AF3" s="406" t="s">
        <v>1511</v>
      </c>
      <c r="AG3" s="406" t="s">
        <v>1512</v>
      </c>
      <c r="AH3" s="406" t="s">
        <v>1513</v>
      </c>
      <c r="AI3" s="406" t="s">
        <v>1514</v>
      </c>
      <c r="AJ3" s="401" t="s">
        <v>1515</v>
      </c>
      <c r="AK3" s="401" t="s">
        <v>1516</v>
      </c>
      <c r="AL3" s="401" t="s">
        <v>1517</v>
      </c>
      <c r="AM3" s="401" t="s">
        <v>1518</v>
      </c>
      <c r="AN3" s="401" t="s">
        <v>1519</v>
      </c>
      <c r="AO3" s="401" t="s">
        <v>1520</v>
      </c>
      <c r="AP3" s="401" t="s">
        <v>1521</v>
      </c>
      <c r="AQ3" s="401" t="s">
        <v>1522</v>
      </c>
      <c r="AR3" s="401" t="s">
        <v>1523</v>
      </c>
      <c r="AS3" s="401" t="s">
        <v>1524</v>
      </c>
      <c r="AT3" s="401" t="s">
        <v>1525</v>
      </c>
      <c r="AU3" s="401" t="s">
        <v>1526</v>
      </c>
      <c r="AV3" s="401" t="s">
        <v>1527</v>
      </c>
      <c r="AW3" s="401" t="s">
        <v>1528</v>
      </c>
      <c r="AX3" s="401" t="s">
        <v>1529</v>
      </c>
      <c r="AY3" s="401" t="s">
        <v>1530</v>
      </c>
      <c r="AZ3" s="401" t="s">
        <v>1531</v>
      </c>
      <c r="BA3" s="401" t="s">
        <v>1532</v>
      </c>
      <c r="BB3" s="401" t="s">
        <v>1533</v>
      </c>
      <c r="BC3" s="401" t="s">
        <v>1534</v>
      </c>
      <c r="BD3" s="401" t="s">
        <v>1535</v>
      </c>
      <c r="BE3" s="401" t="s">
        <v>1536</v>
      </c>
      <c r="BF3" s="401" t="s">
        <v>1537</v>
      </c>
      <c r="BG3" s="401" t="s">
        <v>1538</v>
      </c>
      <c r="BH3" s="407" t="s">
        <v>819</v>
      </c>
      <c r="BI3" s="408" t="s">
        <v>1539</v>
      </c>
      <c r="BJ3" s="406" t="s">
        <v>1540</v>
      </c>
      <c r="BK3" s="406" t="s">
        <v>1541</v>
      </c>
      <c r="BL3" s="406" t="s">
        <v>1542</v>
      </c>
      <c r="BM3" s="406" t="s">
        <v>1543</v>
      </c>
      <c r="BN3" s="401" t="s">
        <v>1544</v>
      </c>
      <c r="BO3" s="401" t="s">
        <v>1545</v>
      </c>
      <c r="BP3" s="401" t="s">
        <v>1546</v>
      </c>
      <c r="BQ3" s="401" t="s">
        <v>1547</v>
      </c>
      <c r="BR3" s="401" t="s">
        <v>1548</v>
      </c>
      <c r="BS3" s="401" t="s">
        <v>1549</v>
      </c>
      <c r="BT3" s="401" t="s">
        <v>1550</v>
      </c>
      <c r="BU3" s="407" t="s">
        <v>820</v>
      </c>
      <c r="BV3" s="408" t="s">
        <v>1551</v>
      </c>
      <c r="BW3" s="406" t="s">
        <v>1552</v>
      </c>
      <c r="BX3" s="406" t="s">
        <v>1553</v>
      </c>
      <c r="BY3" s="406" t="s">
        <v>1554</v>
      </c>
      <c r="BZ3" s="406" t="s">
        <v>1555</v>
      </c>
      <c r="CA3" s="401" t="s">
        <v>1556</v>
      </c>
      <c r="CB3" s="401" t="s">
        <v>1557</v>
      </c>
      <c r="CC3" s="401" t="s">
        <v>1558</v>
      </c>
      <c r="CD3" s="401" t="s">
        <v>1559</v>
      </c>
      <c r="CE3" s="401" t="s">
        <v>1560</v>
      </c>
      <c r="CF3" s="401" t="s">
        <v>1561</v>
      </c>
      <c r="CG3" s="401" t="s">
        <v>1562</v>
      </c>
      <c r="CH3" s="401" t="s">
        <v>1563</v>
      </c>
      <c r="CI3" s="401" t="s">
        <v>1564</v>
      </c>
      <c r="CJ3" s="401" t="s">
        <v>1565</v>
      </c>
      <c r="CK3" s="407" t="s">
        <v>821</v>
      </c>
      <c r="CL3" s="408" t="s">
        <v>1566</v>
      </c>
      <c r="CM3" s="406" t="s">
        <v>1567</v>
      </c>
      <c r="CN3" s="406" t="s">
        <v>1568</v>
      </c>
      <c r="CO3" s="406" t="s">
        <v>1569</v>
      </c>
      <c r="CP3" s="406" t="s">
        <v>1570</v>
      </c>
      <c r="CQ3" s="401" t="s">
        <v>1571</v>
      </c>
      <c r="CR3" s="401" t="s">
        <v>1572</v>
      </c>
      <c r="CS3" s="401" t="s">
        <v>1573</v>
      </c>
      <c r="CT3" s="401" t="s">
        <v>1574</v>
      </c>
      <c r="CU3" s="401" t="s">
        <v>1575</v>
      </c>
      <c r="CV3" s="401" t="s">
        <v>1576</v>
      </c>
      <c r="CW3" s="407" t="s">
        <v>822</v>
      </c>
      <c r="CX3" s="408" t="s">
        <v>1577</v>
      </c>
      <c r="CY3" s="406" t="s">
        <v>1578</v>
      </c>
      <c r="CZ3" s="406" t="s">
        <v>1579</v>
      </c>
      <c r="DA3" s="406" t="s">
        <v>1580</v>
      </c>
      <c r="DB3" s="406" t="s">
        <v>1581</v>
      </c>
      <c r="DC3" s="401" t="s">
        <v>1582</v>
      </c>
      <c r="DD3" s="402" t="s">
        <v>1583</v>
      </c>
      <c r="DE3" s="403" t="s">
        <v>823</v>
      </c>
      <c r="DF3" s="408" t="s">
        <v>1584</v>
      </c>
      <c r="DG3" s="406" t="s">
        <v>1585</v>
      </c>
      <c r="DH3" s="406" t="s">
        <v>1586</v>
      </c>
      <c r="DI3" s="406" t="s">
        <v>1587</v>
      </c>
      <c r="DJ3" s="406" t="s">
        <v>1588</v>
      </c>
      <c r="DK3" s="401" t="s">
        <v>1589</v>
      </c>
      <c r="DL3" s="401" t="s">
        <v>1590</v>
      </c>
      <c r="DM3" s="401" t="s">
        <v>1591</v>
      </c>
      <c r="DN3" s="401" t="s">
        <v>1592</v>
      </c>
      <c r="DO3" s="401" t="s">
        <v>1593</v>
      </c>
      <c r="DP3" s="401" t="s">
        <v>1594</v>
      </c>
      <c r="DQ3" s="401" t="s">
        <v>1595</v>
      </c>
      <c r="DR3" s="401" t="s">
        <v>1596</v>
      </c>
      <c r="DS3" s="401" t="s">
        <v>1597</v>
      </c>
      <c r="DT3" s="401" t="s">
        <v>1598</v>
      </c>
      <c r="DU3" s="401" t="s">
        <v>1599</v>
      </c>
      <c r="DV3" s="407" t="s">
        <v>824</v>
      </c>
      <c r="DW3" s="408" t="s">
        <v>1600</v>
      </c>
      <c r="DX3" s="406" t="s">
        <v>1601</v>
      </c>
      <c r="DY3" s="406" t="s">
        <v>1602</v>
      </c>
      <c r="DZ3" s="406" t="s">
        <v>1603</v>
      </c>
      <c r="EA3" s="406" t="s">
        <v>1604</v>
      </c>
      <c r="EB3" s="401" t="s">
        <v>1605</v>
      </c>
      <c r="EC3" s="401" t="s">
        <v>1606</v>
      </c>
      <c r="ED3" s="401" t="s">
        <v>1607</v>
      </c>
      <c r="EE3" s="401" t="s">
        <v>1608</v>
      </c>
      <c r="EF3" s="401" t="s">
        <v>1609</v>
      </c>
      <c r="EG3" s="401" t="s">
        <v>1610</v>
      </c>
      <c r="EH3" s="401" t="s">
        <v>1611</v>
      </c>
      <c r="EI3" s="401" t="s">
        <v>1612</v>
      </c>
      <c r="EJ3" s="401" t="s">
        <v>1613</v>
      </c>
      <c r="EK3" s="401" t="s">
        <v>1614</v>
      </c>
      <c r="EL3" s="401" t="s">
        <v>1615</v>
      </c>
      <c r="EM3" s="401" t="s">
        <v>1616</v>
      </c>
      <c r="EN3" s="401" t="s">
        <v>1617</v>
      </c>
      <c r="EO3" s="407" t="s">
        <v>825</v>
      </c>
      <c r="EP3" s="408" t="s">
        <v>1618</v>
      </c>
      <c r="EQ3" s="406" t="s">
        <v>1619</v>
      </c>
      <c r="ER3" s="406" t="s">
        <v>1620</v>
      </c>
      <c r="ES3" s="406" t="s">
        <v>1621</v>
      </c>
      <c r="ET3" s="406" t="s">
        <v>1622</v>
      </c>
      <c r="EU3" s="401" t="s">
        <v>1623</v>
      </c>
      <c r="EV3" s="401" t="s">
        <v>1624</v>
      </c>
      <c r="EW3" s="401" t="s">
        <v>1625</v>
      </c>
      <c r="EX3" s="401" t="s">
        <v>1626</v>
      </c>
      <c r="EY3" s="401" t="s">
        <v>1627</v>
      </c>
      <c r="EZ3" s="401" t="s">
        <v>1628</v>
      </c>
      <c r="FA3" s="401" t="s">
        <v>1629</v>
      </c>
      <c r="FB3" s="401" t="s">
        <v>1630</v>
      </c>
      <c r="FC3" s="407" t="s">
        <v>826</v>
      </c>
      <c r="FD3" s="408" t="s">
        <v>1631</v>
      </c>
      <c r="FE3" s="405" t="s">
        <v>827</v>
      </c>
    </row>
    <row r="4" spans="1:161" hidden="1" x14ac:dyDescent="0.25">
      <c r="A4" s="143" t="s">
        <v>757</v>
      </c>
      <c r="B4" s="143" t="s">
        <v>758</v>
      </c>
      <c r="C4" s="143" t="s">
        <v>727</v>
      </c>
      <c r="D4" s="143">
        <v>406</v>
      </c>
      <c r="E4" s="78">
        <v>0</v>
      </c>
      <c r="F4" s="78">
        <v>1.5</v>
      </c>
      <c r="G4" s="78">
        <v>1</v>
      </c>
      <c r="H4" s="78">
        <v>4</v>
      </c>
      <c r="I4" s="78">
        <v>1</v>
      </c>
      <c r="J4" s="78">
        <v>1</v>
      </c>
      <c r="K4" s="78">
        <v>0</v>
      </c>
      <c r="L4" s="78">
        <v>0</v>
      </c>
      <c r="M4" s="78">
        <v>2</v>
      </c>
      <c r="N4" s="137">
        <v>0.75</v>
      </c>
      <c r="P4" s="143" t="s">
        <v>757</v>
      </c>
      <c r="Q4" s="143" t="s">
        <v>758</v>
      </c>
      <c r="R4" s="143" t="s">
        <v>727</v>
      </c>
      <c r="S4" s="143">
        <v>406</v>
      </c>
      <c r="T4" s="78">
        <v>1</v>
      </c>
      <c r="U4" s="78">
        <v>1</v>
      </c>
      <c r="V4" s="78">
        <v>0</v>
      </c>
      <c r="W4" s="78">
        <v>0</v>
      </c>
      <c r="X4" s="78">
        <v>12</v>
      </c>
      <c r="Y4" s="78">
        <v>1</v>
      </c>
      <c r="Z4" s="78">
        <v>0</v>
      </c>
      <c r="AA4" s="78">
        <v>2</v>
      </c>
      <c r="AB4" s="78">
        <v>6</v>
      </c>
      <c r="AC4" s="78">
        <v>3</v>
      </c>
      <c r="AD4" s="137">
        <v>0.76470590000000005</v>
      </c>
      <c r="AF4" s="143" t="s">
        <v>757</v>
      </c>
      <c r="AG4" s="143" t="s">
        <v>758</v>
      </c>
      <c r="AH4" s="143" t="s">
        <v>727</v>
      </c>
      <c r="AI4" s="143">
        <v>406</v>
      </c>
      <c r="AJ4" s="78">
        <v>1</v>
      </c>
      <c r="AK4" s="78">
        <v>1</v>
      </c>
      <c r="AL4" s="78">
        <v>1</v>
      </c>
      <c r="AM4" s="78">
        <v>1</v>
      </c>
      <c r="AN4" s="78">
        <v>1</v>
      </c>
      <c r="AO4" s="78">
        <v>2</v>
      </c>
      <c r="AP4" s="78">
        <v>1</v>
      </c>
      <c r="AQ4" s="78">
        <v>1</v>
      </c>
      <c r="AR4" s="78">
        <v>2</v>
      </c>
      <c r="AS4" s="78">
        <v>2</v>
      </c>
      <c r="AT4" s="78">
        <v>2</v>
      </c>
      <c r="AU4" s="78">
        <v>1</v>
      </c>
      <c r="AV4" s="78">
        <v>2</v>
      </c>
      <c r="AW4" s="78">
        <v>1</v>
      </c>
      <c r="AX4" s="78">
        <v>4</v>
      </c>
      <c r="AY4" s="78">
        <v>1</v>
      </c>
      <c r="AZ4" s="78">
        <v>2</v>
      </c>
      <c r="BA4" s="78">
        <v>0.5</v>
      </c>
      <c r="BB4" s="78">
        <v>0.5</v>
      </c>
      <c r="BC4" s="78">
        <v>0.5</v>
      </c>
      <c r="BD4" s="78">
        <v>0</v>
      </c>
      <c r="BE4" s="78">
        <v>0.5</v>
      </c>
      <c r="BF4" s="78">
        <v>1</v>
      </c>
      <c r="BG4" s="78">
        <v>8</v>
      </c>
      <c r="BH4" s="137">
        <v>0.84090909999999996</v>
      </c>
      <c r="BJ4" s="143" t="s">
        <v>757</v>
      </c>
      <c r="BK4" s="143" t="s">
        <v>758</v>
      </c>
      <c r="BL4" s="143" t="s">
        <v>727</v>
      </c>
      <c r="BM4" s="143">
        <v>406</v>
      </c>
      <c r="BN4" s="78">
        <v>1</v>
      </c>
      <c r="BO4" s="78">
        <v>0</v>
      </c>
      <c r="BP4" s="78">
        <v>0</v>
      </c>
      <c r="BQ4" s="78">
        <v>0</v>
      </c>
      <c r="BR4" s="78">
        <v>0</v>
      </c>
      <c r="BS4" s="78">
        <v>0</v>
      </c>
      <c r="BT4" s="78">
        <v>2</v>
      </c>
      <c r="BU4" s="137">
        <v>0.13043479999999999</v>
      </c>
      <c r="BW4" s="143" t="s">
        <v>757</v>
      </c>
      <c r="BX4" s="143" t="s">
        <v>758</v>
      </c>
      <c r="BY4" s="143" t="s">
        <v>727</v>
      </c>
      <c r="BZ4" s="143">
        <v>406</v>
      </c>
      <c r="CA4" s="78">
        <v>1</v>
      </c>
      <c r="CB4" s="78">
        <v>1</v>
      </c>
      <c r="CC4" s="78">
        <v>1</v>
      </c>
      <c r="CD4" s="78">
        <v>2</v>
      </c>
      <c r="CE4" s="78">
        <v>1</v>
      </c>
      <c r="CF4" s="78">
        <v>2</v>
      </c>
      <c r="CG4" s="78">
        <v>1</v>
      </c>
      <c r="CH4" s="78">
        <v>2</v>
      </c>
      <c r="CI4" s="78">
        <v>1</v>
      </c>
      <c r="CJ4" s="78">
        <v>3</v>
      </c>
      <c r="CK4" s="137">
        <v>1</v>
      </c>
      <c r="CM4" s="143" t="s">
        <v>757</v>
      </c>
      <c r="CN4" s="143" t="s">
        <v>758</v>
      </c>
      <c r="CO4" s="143" t="s">
        <v>727</v>
      </c>
      <c r="CP4" s="143">
        <v>406</v>
      </c>
      <c r="CQ4" s="78">
        <v>0</v>
      </c>
      <c r="CR4" s="78">
        <v>6</v>
      </c>
      <c r="CS4" s="78">
        <v>24</v>
      </c>
      <c r="CT4" s="78">
        <v>4</v>
      </c>
      <c r="CU4" s="78">
        <v>2</v>
      </c>
      <c r="CV4" s="78">
        <v>8</v>
      </c>
      <c r="CW4" s="137">
        <v>0.84615390000000001</v>
      </c>
      <c r="CY4" s="143" t="s">
        <v>757</v>
      </c>
      <c r="CZ4" s="143" t="s">
        <v>758</v>
      </c>
      <c r="DA4" s="143" t="s">
        <v>727</v>
      </c>
      <c r="DB4" s="143">
        <v>406</v>
      </c>
      <c r="DC4" s="78">
        <v>54</v>
      </c>
      <c r="DD4" s="390">
        <v>1</v>
      </c>
      <c r="DE4" s="137">
        <v>0.6</v>
      </c>
      <c r="DG4" s="143" t="s">
        <v>757</v>
      </c>
      <c r="DH4" s="143" t="s">
        <v>758</v>
      </c>
      <c r="DI4" s="143" t="s">
        <v>727</v>
      </c>
      <c r="DJ4" s="143">
        <v>406</v>
      </c>
      <c r="DK4" s="78">
        <v>2</v>
      </c>
      <c r="DL4" s="78">
        <v>1</v>
      </c>
      <c r="DM4" s="78">
        <v>1</v>
      </c>
      <c r="DN4" s="78">
        <v>4</v>
      </c>
      <c r="DO4" s="78">
        <v>2</v>
      </c>
      <c r="DP4" s="78">
        <v>3</v>
      </c>
      <c r="DQ4" s="78">
        <v>4</v>
      </c>
      <c r="DR4" s="78">
        <v>1</v>
      </c>
      <c r="DS4" s="78">
        <v>1</v>
      </c>
      <c r="DT4" s="78">
        <v>0</v>
      </c>
      <c r="DU4" s="78">
        <v>0</v>
      </c>
      <c r="DV4" s="137">
        <v>0.65517239999999999</v>
      </c>
      <c r="DX4" s="143" t="s">
        <v>757</v>
      </c>
      <c r="DY4" s="143" t="s">
        <v>758</v>
      </c>
      <c r="DZ4" s="143" t="s">
        <v>727</v>
      </c>
      <c r="EA4" s="143">
        <v>406</v>
      </c>
      <c r="EB4" s="78">
        <v>1</v>
      </c>
      <c r="EC4" s="78">
        <v>8</v>
      </c>
      <c r="ED4" s="78">
        <v>1</v>
      </c>
      <c r="EE4" s="78">
        <v>4</v>
      </c>
      <c r="EF4" s="78">
        <v>1</v>
      </c>
      <c r="EG4" s="78">
        <v>1</v>
      </c>
      <c r="EH4" s="78">
        <v>2</v>
      </c>
      <c r="EI4" s="78">
        <v>1</v>
      </c>
      <c r="EJ4" s="78">
        <v>1</v>
      </c>
      <c r="EK4" s="78">
        <v>1</v>
      </c>
      <c r="EL4" s="78">
        <v>4</v>
      </c>
      <c r="EM4" s="78">
        <v>1</v>
      </c>
      <c r="EN4" s="78">
        <v>1</v>
      </c>
      <c r="EO4" s="137">
        <v>1</v>
      </c>
      <c r="EQ4" s="143" t="s">
        <v>757</v>
      </c>
      <c r="ER4" s="143" t="s">
        <v>758</v>
      </c>
      <c r="ES4" s="143" t="s">
        <v>727</v>
      </c>
      <c r="ET4" s="143">
        <v>406</v>
      </c>
      <c r="EU4" s="78">
        <v>0.5</v>
      </c>
      <c r="EV4" s="78">
        <v>1</v>
      </c>
      <c r="EW4" s="78">
        <v>3</v>
      </c>
      <c r="EX4" s="78">
        <v>0</v>
      </c>
      <c r="EY4" s="78">
        <v>0.5</v>
      </c>
      <c r="EZ4" s="78">
        <v>3</v>
      </c>
      <c r="FA4" s="78">
        <v>2</v>
      </c>
      <c r="FB4" s="78">
        <v>0</v>
      </c>
      <c r="FC4" s="137">
        <v>0.76923079999999999</v>
      </c>
      <c r="FE4" s="137">
        <v>0.71994139999999995</v>
      </c>
    </row>
    <row r="5" spans="1:161" x14ac:dyDescent="0.25">
      <c r="A5" s="143" t="s">
        <v>757</v>
      </c>
      <c r="B5" s="143" t="s">
        <v>758</v>
      </c>
      <c r="C5" s="143" t="s">
        <v>728</v>
      </c>
      <c r="D5" s="143">
        <v>414</v>
      </c>
      <c r="E5" s="78">
        <v>0.5</v>
      </c>
      <c r="F5" s="78">
        <v>2</v>
      </c>
      <c r="G5" s="78">
        <v>0</v>
      </c>
      <c r="H5" s="78">
        <v>4</v>
      </c>
      <c r="I5" s="78">
        <v>1</v>
      </c>
      <c r="J5" s="78">
        <v>0</v>
      </c>
      <c r="K5" s="78">
        <v>1</v>
      </c>
      <c r="L5" s="78">
        <v>1</v>
      </c>
      <c r="M5" s="78">
        <v>2</v>
      </c>
      <c r="N5" s="137">
        <v>0.82142859999999995</v>
      </c>
      <c r="P5" s="143" t="s">
        <v>757</v>
      </c>
      <c r="Q5" s="143" t="s">
        <v>758</v>
      </c>
      <c r="R5" s="143" t="s">
        <v>728</v>
      </c>
      <c r="S5" s="143">
        <v>414</v>
      </c>
      <c r="T5" s="78">
        <v>1</v>
      </c>
      <c r="U5" s="78">
        <v>1</v>
      </c>
      <c r="V5" s="78">
        <v>0</v>
      </c>
      <c r="W5" s="78">
        <v>2</v>
      </c>
      <c r="X5" s="78">
        <v>9</v>
      </c>
      <c r="Y5" s="78">
        <v>1</v>
      </c>
      <c r="Z5" s="78">
        <v>3</v>
      </c>
      <c r="AA5" s="78">
        <v>2</v>
      </c>
      <c r="AB5" s="78">
        <v>6</v>
      </c>
      <c r="AC5" s="78">
        <v>0</v>
      </c>
      <c r="AD5" s="137">
        <v>0.73529409999999995</v>
      </c>
      <c r="AF5" s="143" t="s">
        <v>757</v>
      </c>
      <c r="AG5" s="143" t="s">
        <v>758</v>
      </c>
      <c r="AH5" s="143" t="s">
        <v>728</v>
      </c>
      <c r="AI5" s="143">
        <v>414</v>
      </c>
      <c r="AJ5" s="78">
        <v>1</v>
      </c>
      <c r="AK5" s="78">
        <v>0</v>
      </c>
      <c r="AL5" s="78">
        <v>1</v>
      </c>
      <c r="AM5" s="78">
        <v>0</v>
      </c>
      <c r="AN5" s="78">
        <v>1</v>
      </c>
      <c r="AO5" s="78">
        <v>2</v>
      </c>
      <c r="AP5" s="78">
        <v>1</v>
      </c>
      <c r="AQ5" s="78">
        <v>0</v>
      </c>
      <c r="AR5" s="78">
        <v>0</v>
      </c>
      <c r="AS5" s="78">
        <v>0</v>
      </c>
      <c r="AT5" s="78">
        <v>0</v>
      </c>
      <c r="AU5" s="78">
        <v>0</v>
      </c>
      <c r="AV5" s="78">
        <v>2</v>
      </c>
      <c r="AW5" s="78">
        <v>0</v>
      </c>
      <c r="AX5" s="78">
        <v>0</v>
      </c>
      <c r="AY5" s="78">
        <v>1</v>
      </c>
      <c r="AZ5" s="78">
        <v>2</v>
      </c>
      <c r="BA5" s="78">
        <v>0.5</v>
      </c>
      <c r="BB5" s="78">
        <v>0.5</v>
      </c>
      <c r="BC5" s="78">
        <v>0.5</v>
      </c>
      <c r="BD5" s="78">
        <v>1</v>
      </c>
      <c r="BE5" s="78">
        <v>0.5</v>
      </c>
      <c r="BF5" s="78">
        <v>0</v>
      </c>
      <c r="BG5" s="78">
        <v>4</v>
      </c>
      <c r="BH5" s="137">
        <v>0.40909089999999998</v>
      </c>
      <c r="BJ5" s="143" t="s">
        <v>757</v>
      </c>
      <c r="BK5" s="143" t="s">
        <v>758</v>
      </c>
      <c r="BL5" s="143" t="s">
        <v>728</v>
      </c>
      <c r="BM5" s="143">
        <v>414</v>
      </c>
      <c r="BN5" s="78">
        <v>1</v>
      </c>
      <c r="BO5" s="78">
        <v>4</v>
      </c>
      <c r="BP5" s="78">
        <v>7</v>
      </c>
      <c r="BQ5" s="78">
        <v>0</v>
      </c>
      <c r="BR5" s="78">
        <v>0</v>
      </c>
      <c r="BS5" s="78">
        <v>0</v>
      </c>
      <c r="BT5" s="78">
        <v>2</v>
      </c>
      <c r="BU5" s="137">
        <v>0.6086956</v>
      </c>
      <c r="BW5" s="143" t="s">
        <v>757</v>
      </c>
      <c r="BX5" s="143" t="s">
        <v>758</v>
      </c>
      <c r="BY5" s="143" t="s">
        <v>728</v>
      </c>
      <c r="BZ5" s="143">
        <v>414</v>
      </c>
      <c r="CM5" s="143" t="s">
        <v>757</v>
      </c>
      <c r="CN5" s="143" t="s">
        <v>758</v>
      </c>
      <c r="CO5" s="143" t="s">
        <v>728</v>
      </c>
      <c r="CP5" s="143">
        <v>414</v>
      </c>
      <c r="CQ5" s="78">
        <v>8</v>
      </c>
      <c r="CR5" s="78">
        <v>0</v>
      </c>
      <c r="CS5" s="78">
        <v>0</v>
      </c>
      <c r="CT5" s="78">
        <v>4</v>
      </c>
      <c r="CU5" s="78">
        <v>0</v>
      </c>
      <c r="CV5" s="78">
        <v>8</v>
      </c>
      <c r="CW5" s="137">
        <v>0.3846154</v>
      </c>
      <c r="CY5" s="143" t="s">
        <v>757</v>
      </c>
      <c r="CZ5" s="143" t="s">
        <v>758</v>
      </c>
      <c r="DA5" s="143" t="s">
        <v>728</v>
      </c>
      <c r="DB5" s="143">
        <v>414</v>
      </c>
      <c r="DC5" s="78">
        <v>0</v>
      </c>
      <c r="DD5" s="390">
        <v>0</v>
      </c>
      <c r="DE5" s="137">
        <v>0</v>
      </c>
      <c r="DG5" s="143" t="s">
        <v>757</v>
      </c>
      <c r="DH5" s="143" t="s">
        <v>758</v>
      </c>
      <c r="DI5" s="143" t="s">
        <v>728</v>
      </c>
      <c r="DJ5" s="143">
        <v>414</v>
      </c>
      <c r="DK5" s="78">
        <v>2</v>
      </c>
      <c r="DL5" s="78">
        <v>1</v>
      </c>
      <c r="DM5" s="78">
        <v>0</v>
      </c>
      <c r="DN5" s="78">
        <v>5</v>
      </c>
      <c r="DO5" s="78">
        <v>2</v>
      </c>
      <c r="DP5" s="78">
        <v>3</v>
      </c>
      <c r="DQ5" s="78">
        <v>7</v>
      </c>
      <c r="DR5" s="78">
        <v>1</v>
      </c>
      <c r="DS5" s="78">
        <v>1</v>
      </c>
      <c r="DT5" s="78">
        <v>0</v>
      </c>
      <c r="DU5" s="78">
        <v>0</v>
      </c>
      <c r="DV5" s="137">
        <v>0.75862070000000004</v>
      </c>
      <c r="DX5" s="143" t="s">
        <v>757</v>
      </c>
      <c r="DY5" s="143" t="s">
        <v>758</v>
      </c>
      <c r="DZ5" s="143" t="s">
        <v>728</v>
      </c>
      <c r="EA5" s="143">
        <v>414</v>
      </c>
      <c r="EB5" s="78">
        <v>1</v>
      </c>
      <c r="EC5" s="78">
        <v>8</v>
      </c>
      <c r="ED5" s="78">
        <v>1</v>
      </c>
      <c r="EE5" s="78">
        <v>4</v>
      </c>
      <c r="EF5" s="78">
        <v>1</v>
      </c>
      <c r="EG5" s="78">
        <v>1</v>
      </c>
      <c r="EH5" s="78">
        <v>2</v>
      </c>
      <c r="EI5" s="78">
        <v>1</v>
      </c>
      <c r="EJ5" s="78">
        <v>1</v>
      </c>
      <c r="EK5" s="78">
        <v>1</v>
      </c>
      <c r="EL5" s="78">
        <v>0</v>
      </c>
      <c r="EM5" s="78">
        <v>1</v>
      </c>
      <c r="EN5" s="78">
        <v>1</v>
      </c>
      <c r="EO5" s="137">
        <v>0.8518519</v>
      </c>
      <c r="EQ5" s="143" t="s">
        <v>757</v>
      </c>
      <c r="ER5" s="143" t="s">
        <v>758</v>
      </c>
      <c r="ES5" s="143" t="s">
        <v>728</v>
      </c>
      <c r="ET5" s="143">
        <v>414</v>
      </c>
      <c r="EU5" s="78">
        <v>0.5</v>
      </c>
      <c r="EV5" s="78">
        <v>1</v>
      </c>
      <c r="EW5" s="78">
        <v>3</v>
      </c>
      <c r="EX5" s="78">
        <v>2</v>
      </c>
      <c r="EY5" s="78">
        <v>0.5</v>
      </c>
      <c r="EZ5" s="78">
        <v>3</v>
      </c>
      <c r="FA5" s="78">
        <v>2</v>
      </c>
      <c r="FB5" s="78">
        <v>1</v>
      </c>
      <c r="FC5" s="137">
        <v>1</v>
      </c>
      <c r="FE5" s="137">
        <v>0.44938650000000002</v>
      </c>
    </row>
    <row r="6" spans="1:161" x14ac:dyDescent="0.25">
      <c r="A6" s="143" t="s">
        <v>757</v>
      </c>
      <c r="B6" s="143" t="s">
        <v>758</v>
      </c>
      <c r="C6" s="143" t="s">
        <v>728</v>
      </c>
      <c r="D6" s="143">
        <v>416</v>
      </c>
      <c r="E6" s="78">
        <v>0.5</v>
      </c>
      <c r="F6" s="78">
        <v>2</v>
      </c>
      <c r="G6" s="78">
        <v>1</v>
      </c>
      <c r="H6" s="78">
        <v>3</v>
      </c>
      <c r="I6" s="78">
        <v>1</v>
      </c>
      <c r="J6" s="78">
        <v>0</v>
      </c>
      <c r="K6" s="78">
        <v>1</v>
      </c>
      <c r="L6" s="78">
        <v>1</v>
      </c>
      <c r="M6" s="78">
        <v>2</v>
      </c>
      <c r="N6" s="137">
        <v>0.82142859999999995</v>
      </c>
      <c r="P6" s="143" t="s">
        <v>757</v>
      </c>
      <c r="Q6" s="143" t="s">
        <v>758</v>
      </c>
      <c r="R6" s="143" t="s">
        <v>728</v>
      </c>
      <c r="S6" s="143">
        <v>416</v>
      </c>
      <c r="T6" s="78">
        <v>1</v>
      </c>
      <c r="U6" s="78">
        <v>1</v>
      </c>
      <c r="V6" s="78">
        <v>3</v>
      </c>
      <c r="W6" s="78">
        <v>0.5</v>
      </c>
      <c r="X6" s="78">
        <v>9</v>
      </c>
      <c r="Y6" s="78">
        <v>0</v>
      </c>
      <c r="Z6" s="78">
        <v>3</v>
      </c>
      <c r="AA6" s="78">
        <v>0</v>
      </c>
      <c r="AB6" s="78">
        <v>0</v>
      </c>
      <c r="AC6" s="78">
        <v>3</v>
      </c>
      <c r="AD6" s="137">
        <v>0.60294119999999995</v>
      </c>
      <c r="AF6" s="143" t="s">
        <v>757</v>
      </c>
      <c r="AG6" s="143" t="s">
        <v>758</v>
      </c>
      <c r="AH6" s="143" t="s">
        <v>728</v>
      </c>
      <c r="AI6" s="143">
        <v>416</v>
      </c>
      <c r="AJ6" s="78">
        <v>1</v>
      </c>
      <c r="AK6" s="78">
        <v>1</v>
      </c>
      <c r="AL6" s="78">
        <v>1</v>
      </c>
      <c r="AM6" s="78">
        <v>6</v>
      </c>
      <c r="AN6" s="78">
        <v>1</v>
      </c>
      <c r="AO6" s="78">
        <v>2</v>
      </c>
      <c r="AP6" s="78">
        <v>1</v>
      </c>
      <c r="AQ6" s="78">
        <v>0</v>
      </c>
      <c r="AR6" s="78">
        <v>2</v>
      </c>
      <c r="AS6" s="78">
        <v>2</v>
      </c>
      <c r="AT6" s="78">
        <v>2</v>
      </c>
      <c r="AU6" s="78">
        <v>0</v>
      </c>
      <c r="AV6" s="78">
        <v>2</v>
      </c>
      <c r="AW6" s="78">
        <v>0</v>
      </c>
      <c r="AX6" s="78">
        <v>0</v>
      </c>
      <c r="AY6" s="78">
        <v>0</v>
      </c>
      <c r="AZ6" s="78">
        <v>2</v>
      </c>
      <c r="BA6" s="78">
        <v>0.5</v>
      </c>
      <c r="BB6" s="78">
        <v>0.5</v>
      </c>
      <c r="BC6" s="78">
        <v>0</v>
      </c>
      <c r="BD6" s="78">
        <v>1</v>
      </c>
      <c r="BE6" s="78">
        <v>0.5</v>
      </c>
      <c r="BF6" s="78">
        <v>0</v>
      </c>
      <c r="BG6" s="78">
        <v>8</v>
      </c>
      <c r="BH6" s="137">
        <v>0.76136360000000003</v>
      </c>
      <c r="BJ6" s="143" t="s">
        <v>757</v>
      </c>
      <c r="BK6" s="143" t="s">
        <v>758</v>
      </c>
      <c r="BL6" s="143" t="s">
        <v>728</v>
      </c>
      <c r="BM6" s="143">
        <v>416</v>
      </c>
      <c r="BN6" s="78">
        <v>1</v>
      </c>
      <c r="BO6" s="78">
        <v>4</v>
      </c>
      <c r="BP6" s="78">
        <v>7</v>
      </c>
      <c r="BQ6" s="78">
        <v>3</v>
      </c>
      <c r="BR6" s="78">
        <v>3</v>
      </c>
      <c r="BS6" s="78">
        <v>3</v>
      </c>
      <c r="BT6" s="78">
        <v>2</v>
      </c>
      <c r="BU6" s="137">
        <v>1</v>
      </c>
      <c r="BW6" s="143" t="s">
        <v>757</v>
      </c>
      <c r="BX6" s="143" t="s">
        <v>758</v>
      </c>
      <c r="BY6" s="143" t="s">
        <v>728</v>
      </c>
      <c r="BZ6" s="143">
        <v>416</v>
      </c>
      <c r="CA6" s="78">
        <v>1</v>
      </c>
      <c r="CB6" s="78">
        <v>1</v>
      </c>
      <c r="CC6" s="78">
        <v>1</v>
      </c>
      <c r="CD6" s="78">
        <v>2</v>
      </c>
      <c r="CE6" s="78">
        <v>1</v>
      </c>
      <c r="CF6" s="78">
        <v>2</v>
      </c>
      <c r="CG6" s="78">
        <v>1</v>
      </c>
      <c r="CH6" s="78">
        <v>2</v>
      </c>
      <c r="CI6" s="78">
        <v>1</v>
      </c>
      <c r="CJ6" s="78">
        <v>3</v>
      </c>
      <c r="CK6" s="137">
        <v>1</v>
      </c>
      <c r="CM6" s="143" t="s">
        <v>757</v>
      </c>
      <c r="CN6" s="143" t="s">
        <v>758</v>
      </c>
      <c r="CO6" s="143" t="s">
        <v>728</v>
      </c>
      <c r="CP6" s="143">
        <v>416</v>
      </c>
      <c r="CQ6" s="78">
        <v>8</v>
      </c>
      <c r="CR6" s="78">
        <v>0</v>
      </c>
      <c r="CS6" s="78">
        <v>12</v>
      </c>
      <c r="CT6" s="78">
        <v>4</v>
      </c>
      <c r="CU6" s="78">
        <v>0</v>
      </c>
      <c r="CV6" s="78">
        <v>8</v>
      </c>
      <c r="CW6" s="137">
        <v>0.61538459999999995</v>
      </c>
      <c r="CY6" s="143" t="s">
        <v>757</v>
      </c>
      <c r="CZ6" s="143" t="s">
        <v>758</v>
      </c>
      <c r="DA6" s="143" t="s">
        <v>728</v>
      </c>
      <c r="DB6" s="143">
        <v>416</v>
      </c>
      <c r="DC6" s="78">
        <v>0</v>
      </c>
      <c r="DD6" s="390">
        <v>0</v>
      </c>
      <c r="DE6" s="137">
        <v>0</v>
      </c>
      <c r="DG6" s="143" t="s">
        <v>757</v>
      </c>
      <c r="DH6" s="143" t="s">
        <v>758</v>
      </c>
      <c r="DI6" s="143" t="s">
        <v>728</v>
      </c>
      <c r="DJ6" s="143">
        <v>416</v>
      </c>
      <c r="DK6" s="78">
        <v>2</v>
      </c>
      <c r="DL6" s="78">
        <v>1</v>
      </c>
      <c r="DM6" s="78">
        <v>1</v>
      </c>
      <c r="DN6" s="78">
        <v>5</v>
      </c>
      <c r="DO6" s="78">
        <v>2</v>
      </c>
      <c r="DP6" s="78">
        <v>3</v>
      </c>
      <c r="DQ6" s="78">
        <v>8</v>
      </c>
      <c r="DR6" s="78">
        <v>1</v>
      </c>
      <c r="DS6" s="78">
        <v>1</v>
      </c>
      <c r="DT6" s="78">
        <v>0</v>
      </c>
      <c r="DU6" s="78">
        <v>0</v>
      </c>
      <c r="DV6" s="137">
        <v>0.82758620000000005</v>
      </c>
      <c r="DX6" s="143" t="s">
        <v>757</v>
      </c>
      <c r="DY6" s="143" t="s">
        <v>758</v>
      </c>
      <c r="DZ6" s="143" t="s">
        <v>728</v>
      </c>
      <c r="EA6" s="143">
        <v>416</v>
      </c>
      <c r="EB6" s="78">
        <v>1</v>
      </c>
      <c r="EC6" s="78">
        <v>8</v>
      </c>
      <c r="ED6" s="78">
        <v>1</v>
      </c>
      <c r="EE6" s="78">
        <v>4</v>
      </c>
      <c r="EF6" s="78">
        <v>1</v>
      </c>
      <c r="EG6" s="78">
        <v>1</v>
      </c>
      <c r="EH6" s="78">
        <v>2</v>
      </c>
      <c r="EI6" s="78">
        <v>1</v>
      </c>
      <c r="EJ6" s="78">
        <v>1</v>
      </c>
      <c r="EK6" s="78">
        <v>1</v>
      </c>
      <c r="EL6" s="78">
        <v>4</v>
      </c>
      <c r="EM6" s="78">
        <v>1</v>
      </c>
      <c r="EN6" s="78">
        <v>1</v>
      </c>
      <c r="EO6" s="137">
        <v>1</v>
      </c>
      <c r="EQ6" s="143" t="s">
        <v>757</v>
      </c>
      <c r="ER6" s="143" t="s">
        <v>758</v>
      </c>
      <c r="ES6" s="143" t="s">
        <v>728</v>
      </c>
      <c r="ET6" s="143">
        <v>416</v>
      </c>
      <c r="EU6" s="78">
        <v>0.5</v>
      </c>
      <c r="EV6" s="78">
        <v>1</v>
      </c>
      <c r="EW6" s="78">
        <v>3</v>
      </c>
      <c r="EX6" s="78">
        <v>2</v>
      </c>
      <c r="EY6" s="78">
        <v>0.5</v>
      </c>
      <c r="EZ6" s="78">
        <v>3</v>
      </c>
      <c r="FA6" s="78">
        <v>2</v>
      </c>
      <c r="FB6" s="78">
        <v>1</v>
      </c>
      <c r="FC6" s="137">
        <v>1</v>
      </c>
      <c r="FE6" s="137">
        <v>0.58504400000000001</v>
      </c>
    </row>
    <row r="7" spans="1:161" x14ac:dyDescent="0.25">
      <c r="A7" s="143" t="s">
        <v>757</v>
      </c>
      <c r="B7" s="143" t="s">
        <v>758</v>
      </c>
      <c r="C7" s="143" t="s">
        <v>728</v>
      </c>
      <c r="D7" s="143">
        <v>1560</v>
      </c>
      <c r="E7" s="78">
        <v>0.5</v>
      </c>
      <c r="F7" s="78">
        <v>2.5</v>
      </c>
      <c r="G7" s="78">
        <v>1</v>
      </c>
      <c r="H7" s="78">
        <v>3</v>
      </c>
      <c r="I7" s="78">
        <v>1</v>
      </c>
      <c r="J7" s="78">
        <v>0</v>
      </c>
      <c r="K7" s="78">
        <v>1</v>
      </c>
      <c r="L7" s="78">
        <v>1</v>
      </c>
      <c r="M7" s="78">
        <v>2</v>
      </c>
      <c r="N7" s="137">
        <v>0.85714290000000004</v>
      </c>
      <c r="P7" s="143" t="s">
        <v>757</v>
      </c>
      <c r="Q7" s="143" t="s">
        <v>758</v>
      </c>
      <c r="R7" s="143" t="s">
        <v>728</v>
      </c>
      <c r="S7" s="143">
        <v>1560</v>
      </c>
      <c r="T7" s="78">
        <v>0</v>
      </c>
      <c r="U7" s="78">
        <v>1</v>
      </c>
      <c r="V7" s="78">
        <v>0</v>
      </c>
      <c r="W7" s="78">
        <v>2</v>
      </c>
      <c r="X7" s="78">
        <v>0</v>
      </c>
      <c r="Y7" s="78">
        <v>1</v>
      </c>
      <c r="Z7" s="78">
        <v>3</v>
      </c>
      <c r="AA7" s="78">
        <v>2</v>
      </c>
      <c r="AB7" s="78">
        <v>6</v>
      </c>
      <c r="AC7" s="78">
        <v>3</v>
      </c>
      <c r="AD7" s="137">
        <v>0.52941179999999999</v>
      </c>
      <c r="AF7" s="143" t="s">
        <v>757</v>
      </c>
      <c r="AG7" s="143" t="s">
        <v>758</v>
      </c>
      <c r="AH7" s="143" t="s">
        <v>728</v>
      </c>
      <c r="AI7" s="143">
        <v>1560</v>
      </c>
      <c r="AJ7" s="78">
        <v>1</v>
      </c>
      <c r="AK7" s="78">
        <v>1</v>
      </c>
      <c r="AL7" s="78">
        <v>1</v>
      </c>
      <c r="AM7" s="78">
        <v>6</v>
      </c>
      <c r="AN7" s="78">
        <v>1</v>
      </c>
      <c r="AO7" s="78">
        <v>2</v>
      </c>
      <c r="AP7" s="78">
        <v>1</v>
      </c>
      <c r="AQ7" s="78">
        <v>1</v>
      </c>
      <c r="AR7" s="78">
        <v>0</v>
      </c>
      <c r="AS7" s="78">
        <v>2</v>
      </c>
      <c r="AT7" s="78">
        <v>2</v>
      </c>
      <c r="AU7" s="78">
        <v>1</v>
      </c>
      <c r="AV7" s="78">
        <v>2</v>
      </c>
      <c r="AW7" s="78">
        <v>0</v>
      </c>
      <c r="AX7" s="78">
        <v>0</v>
      </c>
      <c r="AY7" s="78">
        <v>1</v>
      </c>
      <c r="AZ7" s="78">
        <v>2</v>
      </c>
      <c r="BA7" s="78">
        <v>0.5</v>
      </c>
      <c r="BB7" s="78">
        <v>0.5</v>
      </c>
      <c r="BC7" s="78">
        <v>0.5</v>
      </c>
      <c r="BD7" s="78">
        <v>0</v>
      </c>
      <c r="BE7" s="78">
        <v>0.5</v>
      </c>
      <c r="BF7" s="78">
        <v>0</v>
      </c>
      <c r="BG7" s="78">
        <v>8</v>
      </c>
      <c r="BH7" s="137">
        <v>0.77272730000000001</v>
      </c>
      <c r="BJ7" s="143" t="s">
        <v>757</v>
      </c>
      <c r="BK7" s="143" t="s">
        <v>758</v>
      </c>
      <c r="BL7" s="143" t="s">
        <v>728</v>
      </c>
      <c r="BM7" s="143">
        <v>1560</v>
      </c>
      <c r="BN7" s="78">
        <v>1</v>
      </c>
      <c r="BO7" s="78">
        <v>0</v>
      </c>
      <c r="BP7" s="78">
        <v>7</v>
      </c>
      <c r="BQ7" s="78">
        <v>0</v>
      </c>
      <c r="BR7" s="78">
        <v>0</v>
      </c>
      <c r="BS7" s="78">
        <v>0</v>
      </c>
      <c r="BT7" s="78">
        <v>2</v>
      </c>
      <c r="BU7" s="137">
        <v>0.43478260000000002</v>
      </c>
      <c r="BW7" s="143" t="s">
        <v>757</v>
      </c>
      <c r="BX7" s="143" t="s">
        <v>758</v>
      </c>
      <c r="BY7" s="143" t="s">
        <v>728</v>
      </c>
      <c r="BZ7" s="143">
        <v>1560</v>
      </c>
      <c r="CM7" s="143" t="s">
        <v>757</v>
      </c>
      <c r="CN7" s="143" t="s">
        <v>758</v>
      </c>
      <c r="CO7" s="143" t="s">
        <v>728</v>
      </c>
      <c r="CP7" s="143">
        <v>1560</v>
      </c>
      <c r="CQ7" s="78">
        <v>8</v>
      </c>
      <c r="CR7" s="78">
        <v>0</v>
      </c>
      <c r="CS7" s="78">
        <v>16</v>
      </c>
      <c r="CT7" s="78">
        <v>4</v>
      </c>
      <c r="CU7" s="78">
        <v>0</v>
      </c>
      <c r="CV7" s="78">
        <v>8</v>
      </c>
      <c r="CW7" s="137">
        <v>0.69230769999999997</v>
      </c>
      <c r="CY7" s="143" t="s">
        <v>757</v>
      </c>
      <c r="CZ7" s="143" t="s">
        <v>758</v>
      </c>
      <c r="DA7" s="143" t="s">
        <v>728</v>
      </c>
      <c r="DB7" s="143">
        <v>1560</v>
      </c>
      <c r="DC7" s="78">
        <v>28</v>
      </c>
      <c r="DD7" s="390">
        <v>0</v>
      </c>
      <c r="DE7" s="137">
        <v>0</v>
      </c>
      <c r="DG7" s="143" t="s">
        <v>757</v>
      </c>
      <c r="DH7" s="143" t="s">
        <v>758</v>
      </c>
      <c r="DI7" s="143" t="s">
        <v>728</v>
      </c>
      <c r="DJ7" s="143">
        <v>1560</v>
      </c>
      <c r="DK7" s="78">
        <v>2</v>
      </c>
      <c r="DL7" s="78">
        <v>1</v>
      </c>
      <c r="DM7" s="78">
        <v>0</v>
      </c>
      <c r="DN7" s="78">
        <v>5</v>
      </c>
      <c r="DO7" s="78">
        <v>2</v>
      </c>
      <c r="DP7" s="78">
        <v>3</v>
      </c>
      <c r="DQ7" s="78">
        <v>4</v>
      </c>
      <c r="DR7" s="78">
        <v>1</v>
      </c>
      <c r="DS7" s="78">
        <v>0</v>
      </c>
      <c r="DT7" s="78">
        <v>0</v>
      </c>
      <c r="DU7" s="78">
        <v>0</v>
      </c>
      <c r="DV7" s="137">
        <v>0.62068959999999995</v>
      </c>
      <c r="DX7" s="143" t="s">
        <v>757</v>
      </c>
      <c r="DY7" s="143" t="s">
        <v>758</v>
      </c>
      <c r="DZ7" s="143" t="s">
        <v>728</v>
      </c>
      <c r="EA7" s="143">
        <v>1560</v>
      </c>
      <c r="EB7" s="78">
        <v>1</v>
      </c>
      <c r="EC7" s="78">
        <v>8</v>
      </c>
      <c r="ED7" s="78">
        <v>1</v>
      </c>
      <c r="EE7" s="78">
        <v>4</v>
      </c>
      <c r="EF7" s="78">
        <v>1</v>
      </c>
      <c r="EG7" s="78">
        <v>1</v>
      </c>
      <c r="EH7" s="78">
        <v>2</v>
      </c>
      <c r="EI7" s="78">
        <v>1</v>
      </c>
      <c r="EJ7" s="78">
        <v>1</v>
      </c>
      <c r="EK7" s="78">
        <v>1</v>
      </c>
      <c r="EL7" s="78">
        <v>4</v>
      </c>
      <c r="EM7" s="78">
        <v>1</v>
      </c>
      <c r="EN7" s="78">
        <v>1</v>
      </c>
      <c r="EO7" s="137">
        <v>1</v>
      </c>
      <c r="EQ7" s="143" t="s">
        <v>757</v>
      </c>
      <c r="ER7" s="143" t="s">
        <v>758</v>
      </c>
      <c r="ES7" s="143" t="s">
        <v>728</v>
      </c>
      <c r="ET7" s="143">
        <v>1560</v>
      </c>
      <c r="EU7" s="78">
        <v>0.5</v>
      </c>
      <c r="EV7" s="78">
        <v>1</v>
      </c>
      <c r="EW7" s="78">
        <v>3</v>
      </c>
      <c r="EX7" s="78">
        <v>2</v>
      </c>
      <c r="EY7" s="78">
        <v>0.5</v>
      </c>
      <c r="EZ7" s="78">
        <v>3</v>
      </c>
      <c r="FA7" s="78">
        <v>2</v>
      </c>
      <c r="FB7" s="78">
        <v>1</v>
      </c>
      <c r="FC7" s="137">
        <v>1</v>
      </c>
      <c r="FE7" s="137">
        <v>0.51533739999999995</v>
      </c>
    </row>
    <row r="8" spans="1:161" hidden="1" x14ac:dyDescent="0.25">
      <c r="A8" s="143" t="s">
        <v>757</v>
      </c>
      <c r="B8" s="143" t="s">
        <v>758</v>
      </c>
      <c r="C8" s="143" t="s">
        <v>727</v>
      </c>
      <c r="D8" s="143">
        <v>1567</v>
      </c>
      <c r="E8" s="78">
        <v>0.5</v>
      </c>
      <c r="F8" s="78">
        <v>2.5</v>
      </c>
      <c r="G8" s="78">
        <v>1</v>
      </c>
      <c r="H8" s="78">
        <v>4</v>
      </c>
      <c r="I8" s="78">
        <v>1</v>
      </c>
      <c r="J8" s="78">
        <v>1</v>
      </c>
      <c r="K8" s="78">
        <v>1</v>
      </c>
      <c r="L8" s="78">
        <v>1</v>
      </c>
      <c r="M8" s="78">
        <v>2</v>
      </c>
      <c r="N8" s="137">
        <v>1</v>
      </c>
      <c r="P8" s="143" t="s">
        <v>757</v>
      </c>
      <c r="Q8" s="143" t="s">
        <v>758</v>
      </c>
      <c r="R8" s="143" t="s">
        <v>727</v>
      </c>
      <c r="S8" s="143">
        <v>1567</v>
      </c>
      <c r="T8" s="78">
        <v>0</v>
      </c>
      <c r="U8" s="78">
        <v>0</v>
      </c>
      <c r="V8" s="78">
        <v>1</v>
      </c>
      <c r="W8" s="78">
        <v>0</v>
      </c>
      <c r="X8" s="78">
        <v>12</v>
      </c>
      <c r="Y8" s="78">
        <v>1</v>
      </c>
      <c r="Z8" s="78">
        <v>3</v>
      </c>
      <c r="AA8" s="78">
        <v>2</v>
      </c>
      <c r="AB8" s="78">
        <v>0</v>
      </c>
      <c r="AC8" s="78">
        <v>0</v>
      </c>
      <c r="AD8" s="137">
        <v>0.55882350000000003</v>
      </c>
      <c r="AF8" s="143" t="s">
        <v>757</v>
      </c>
      <c r="AG8" s="143" t="s">
        <v>758</v>
      </c>
      <c r="AH8" s="143" t="s">
        <v>727</v>
      </c>
      <c r="AI8" s="143">
        <v>1567</v>
      </c>
      <c r="AJ8" s="78">
        <v>1</v>
      </c>
      <c r="AK8" s="78">
        <v>1</v>
      </c>
      <c r="AL8" s="78">
        <v>1</v>
      </c>
      <c r="AM8" s="78">
        <v>6</v>
      </c>
      <c r="AN8" s="78">
        <v>1</v>
      </c>
      <c r="AO8" s="78">
        <v>2</v>
      </c>
      <c r="AP8" s="78">
        <v>1</v>
      </c>
      <c r="AQ8" s="78">
        <v>1</v>
      </c>
      <c r="AR8" s="78">
        <v>2</v>
      </c>
      <c r="AS8" s="78">
        <v>0</v>
      </c>
      <c r="AT8" s="78">
        <v>0</v>
      </c>
      <c r="AU8" s="78">
        <v>1</v>
      </c>
      <c r="AV8" s="78">
        <v>2</v>
      </c>
      <c r="AW8" s="78">
        <v>1</v>
      </c>
      <c r="AX8" s="78">
        <v>4</v>
      </c>
      <c r="AY8" s="78">
        <v>0</v>
      </c>
      <c r="AZ8" s="78">
        <v>0</v>
      </c>
      <c r="BA8" s="78">
        <v>0.5</v>
      </c>
      <c r="BB8" s="78">
        <v>0.5</v>
      </c>
      <c r="BC8" s="78">
        <v>0.5</v>
      </c>
      <c r="BD8" s="78">
        <v>0</v>
      </c>
      <c r="BE8" s="78">
        <v>0</v>
      </c>
      <c r="BF8" s="78">
        <v>0</v>
      </c>
      <c r="BG8" s="78">
        <v>8</v>
      </c>
      <c r="BH8" s="137">
        <v>0.76136360000000003</v>
      </c>
      <c r="BJ8" s="143" t="s">
        <v>757</v>
      </c>
      <c r="BK8" s="143" t="s">
        <v>758</v>
      </c>
      <c r="BL8" s="143" t="s">
        <v>727</v>
      </c>
      <c r="BM8" s="143">
        <v>1567</v>
      </c>
      <c r="BN8" s="78">
        <v>1</v>
      </c>
      <c r="BO8" s="78">
        <v>4</v>
      </c>
      <c r="BP8" s="78">
        <v>7</v>
      </c>
      <c r="BQ8" s="78">
        <v>0</v>
      </c>
      <c r="BR8" s="78">
        <v>0</v>
      </c>
      <c r="BS8" s="78">
        <v>0</v>
      </c>
      <c r="BT8" s="78">
        <v>2</v>
      </c>
      <c r="BU8" s="137">
        <v>0.6086956</v>
      </c>
      <c r="BW8" s="143" t="s">
        <v>757</v>
      </c>
      <c r="BX8" s="143" t="s">
        <v>758</v>
      </c>
      <c r="BY8" s="143" t="s">
        <v>727</v>
      </c>
      <c r="BZ8" s="143">
        <v>1567</v>
      </c>
      <c r="CA8" s="78">
        <v>1</v>
      </c>
      <c r="CB8" s="78">
        <v>0</v>
      </c>
      <c r="CC8" s="78">
        <v>1</v>
      </c>
      <c r="CD8" s="78">
        <v>2</v>
      </c>
      <c r="CE8" s="78">
        <v>1</v>
      </c>
      <c r="CF8" s="78">
        <v>2</v>
      </c>
      <c r="CG8" s="78">
        <v>1</v>
      </c>
      <c r="CH8" s="78">
        <v>2</v>
      </c>
      <c r="CI8" s="78">
        <v>1</v>
      </c>
      <c r="CJ8" s="78">
        <v>3</v>
      </c>
      <c r="CK8" s="137">
        <v>0.93333330000000003</v>
      </c>
      <c r="CM8" s="143" t="s">
        <v>757</v>
      </c>
      <c r="CN8" s="143" t="s">
        <v>758</v>
      </c>
      <c r="CO8" s="143" t="s">
        <v>727</v>
      </c>
      <c r="CP8" s="143">
        <v>1567</v>
      </c>
      <c r="CQ8" s="78">
        <v>8</v>
      </c>
      <c r="CR8" s="78">
        <v>0</v>
      </c>
      <c r="CS8" s="78">
        <v>4</v>
      </c>
      <c r="CT8" s="78">
        <v>0</v>
      </c>
      <c r="CU8" s="78">
        <v>2</v>
      </c>
      <c r="CV8" s="78">
        <v>8</v>
      </c>
      <c r="CW8" s="137">
        <v>0.42307689999999998</v>
      </c>
      <c r="CY8" s="143" t="s">
        <v>757</v>
      </c>
      <c r="CZ8" s="143" t="s">
        <v>758</v>
      </c>
      <c r="DA8" s="143" t="s">
        <v>727</v>
      </c>
      <c r="DB8" s="143">
        <v>1567</v>
      </c>
      <c r="DC8" s="78">
        <v>70</v>
      </c>
      <c r="DD8" s="137">
        <v>0.8</v>
      </c>
      <c r="DE8" s="137">
        <v>0.62222219999999995</v>
      </c>
      <c r="DG8" s="143" t="s">
        <v>757</v>
      </c>
      <c r="DH8" s="143" t="s">
        <v>758</v>
      </c>
      <c r="DI8" s="143" t="s">
        <v>727</v>
      </c>
      <c r="DJ8" s="143">
        <v>1567</v>
      </c>
      <c r="DK8" s="78">
        <v>2</v>
      </c>
      <c r="DL8" s="78">
        <v>1</v>
      </c>
      <c r="DM8" s="78">
        <v>0</v>
      </c>
      <c r="DN8" s="78">
        <v>5</v>
      </c>
      <c r="DO8" s="78">
        <v>2</v>
      </c>
      <c r="DP8" s="78">
        <v>3</v>
      </c>
      <c r="DQ8" s="78">
        <v>4</v>
      </c>
      <c r="DR8" s="78">
        <v>0</v>
      </c>
      <c r="DS8" s="78">
        <v>1</v>
      </c>
      <c r="DT8" s="78">
        <v>2</v>
      </c>
      <c r="DU8" s="78">
        <v>1</v>
      </c>
      <c r="DV8" s="137">
        <v>0.7241379</v>
      </c>
      <c r="DX8" s="143" t="s">
        <v>757</v>
      </c>
      <c r="DY8" s="143" t="s">
        <v>758</v>
      </c>
      <c r="DZ8" s="143" t="s">
        <v>727</v>
      </c>
      <c r="EA8" s="143">
        <v>1567</v>
      </c>
      <c r="EB8" s="78">
        <v>1</v>
      </c>
      <c r="EC8" s="78">
        <v>8</v>
      </c>
      <c r="ED8" s="78">
        <v>1</v>
      </c>
      <c r="EE8" s="78">
        <v>4</v>
      </c>
      <c r="EF8" s="78">
        <v>1</v>
      </c>
      <c r="EG8" s="78">
        <v>1</v>
      </c>
      <c r="EH8" s="78">
        <v>2</v>
      </c>
      <c r="EI8" s="78">
        <v>1</v>
      </c>
      <c r="EJ8" s="78">
        <v>1</v>
      </c>
      <c r="EK8" s="78">
        <v>1</v>
      </c>
      <c r="EL8" s="78">
        <v>4</v>
      </c>
      <c r="EM8" s="78">
        <v>1</v>
      </c>
      <c r="EN8" s="78">
        <v>1</v>
      </c>
      <c r="EO8" s="137">
        <v>1</v>
      </c>
      <c r="EQ8" s="143" t="s">
        <v>757</v>
      </c>
      <c r="ER8" s="143" t="s">
        <v>758</v>
      </c>
      <c r="ES8" s="143" t="s">
        <v>727</v>
      </c>
      <c r="ET8" s="143">
        <v>1567</v>
      </c>
      <c r="EU8" s="78">
        <v>0.5</v>
      </c>
      <c r="EV8" s="78">
        <v>1</v>
      </c>
      <c r="EW8" s="78">
        <v>0</v>
      </c>
      <c r="EX8" s="78">
        <v>0</v>
      </c>
      <c r="EY8" s="78">
        <v>0.5</v>
      </c>
      <c r="EZ8" s="78">
        <v>3</v>
      </c>
      <c r="FA8" s="78">
        <v>2</v>
      </c>
      <c r="FB8" s="78">
        <v>1</v>
      </c>
      <c r="FC8" s="137">
        <v>0.61538459999999995</v>
      </c>
      <c r="FE8" s="137">
        <v>0.67008800000000002</v>
      </c>
    </row>
    <row r="9" spans="1:161" x14ac:dyDescent="0.25">
      <c r="A9" s="143" t="s">
        <v>757</v>
      </c>
      <c r="B9" s="143" t="s">
        <v>758</v>
      </c>
      <c r="C9" s="143" t="s">
        <v>728</v>
      </c>
      <c r="D9" s="143">
        <v>2063</v>
      </c>
      <c r="E9" s="78">
        <v>0.5</v>
      </c>
      <c r="F9" s="78">
        <v>2</v>
      </c>
      <c r="G9" s="78">
        <v>1</v>
      </c>
      <c r="H9" s="78">
        <v>4</v>
      </c>
      <c r="I9" s="78">
        <v>1</v>
      </c>
      <c r="J9" s="78">
        <v>0</v>
      </c>
      <c r="K9" s="78">
        <v>1</v>
      </c>
      <c r="L9" s="78">
        <v>1</v>
      </c>
      <c r="M9" s="78">
        <v>2</v>
      </c>
      <c r="N9" s="137">
        <v>0.89285709999999996</v>
      </c>
      <c r="P9" s="143" t="s">
        <v>757</v>
      </c>
      <c r="Q9" s="143" t="s">
        <v>758</v>
      </c>
      <c r="R9" s="143" t="s">
        <v>728</v>
      </c>
      <c r="S9" s="143">
        <v>2063</v>
      </c>
      <c r="T9" s="78">
        <v>1</v>
      </c>
      <c r="U9" s="78">
        <v>1</v>
      </c>
      <c r="V9" s="78">
        <v>0</v>
      </c>
      <c r="W9" s="78">
        <v>0</v>
      </c>
      <c r="X9" s="78">
        <v>12</v>
      </c>
      <c r="Y9" s="78">
        <v>1</v>
      </c>
      <c r="Z9" s="78">
        <v>3</v>
      </c>
      <c r="AA9" s="78">
        <v>2</v>
      </c>
      <c r="AB9" s="78">
        <v>6</v>
      </c>
      <c r="AC9" s="78">
        <v>3</v>
      </c>
      <c r="AD9" s="137">
        <v>0.85294119999999995</v>
      </c>
      <c r="AF9" s="143" t="s">
        <v>757</v>
      </c>
      <c r="AG9" s="143" t="s">
        <v>758</v>
      </c>
      <c r="AH9" s="143" t="s">
        <v>728</v>
      </c>
      <c r="AI9" s="143">
        <v>2063</v>
      </c>
      <c r="AJ9" s="78">
        <v>1</v>
      </c>
      <c r="AK9" s="78">
        <v>1</v>
      </c>
      <c r="AL9" s="78">
        <v>1</v>
      </c>
      <c r="AM9" s="78">
        <v>6</v>
      </c>
      <c r="AN9" s="78">
        <v>0</v>
      </c>
      <c r="AO9" s="78">
        <v>2</v>
      </c>
      <c r="AP9" s="78">
        <v>1</v>
      </c>
      <c r="AQ9" s="78">
        <v>1</v>
      </c>
      <c r="AR9" s="78">
        <v>2</v>
      </c>
      <c r="AS9" s="78">
        <v>2</v>
      </c>
      <c r="AT9" s="78">
        <v>2</v>
      </c>
      <c r="AU9" s="78">
        <v>0</v>
      </c>
      <c r="AV9" s="78">
        <v>2</v>
      </c>
      <c r="AW9" s="78">
        <v>1</v>
      </c>
      <c r="AX9" s="78">
        <v>4</v>
      </c>
      <c r="AY9" s="78">
        <v>1</v>
      </c>
      <c r="AZ9" s="78">
        <v>0</v>
      </c>
      <c r="BA9" s="78">
        <v>0.5</v>
      </c>
      <c r="BB9" s="78">
        <v>0.5</v>
      </c>
      <c r="BC9" s="78">
        <v>0.5</v>
      </c>
      <c r="BD9" s="78">
        <v>0</v>
      </c>
      <c r="BE9" s="78">
        <v>0</v>
      </c>
      <c r="BF9" s="78">
        <v>1</v>
      </c>
      <c r="BG9" s="78">
        <v>8</v>
      </c>
      <c r="BH9" s="137">
        <v>0.85227269999999999</v>
      </c>
      <c r="BJ9" s="143" t="s">
        <v>757</v>
      </c>
      <c r="BK9" s="143" t="s">
        <v>758</v>
      </c>
      <c r="BL9" s="143" t="s">
        <v>728</v>
      </c>
      <c r="BM9" s="143">
        <v>2063</v>
      </c>
      <c r="BN9" s="78">
        <v>1</v>
      </c>
      <c r="BO9" s="78">
        <v>4</v>
      </c>
      <c r="BP9" s="78">
        <v>7</v>
      </c>
      <c r="BQ9" s="78">
        <v>0</v>
      </c>
      <c r="BR9" s="78">
        <v>0</v>
      </c>
      <c r="BS9" s="78">
        <v>0</v>
      </c>
      <c r="BT9" s="78">
        <v>2</v>
      </c>
      <c r="BU9" s="137">
        <v>0.6086956</v>
      </c>
      <c r="BW9" s="143" t="s">
        <v>757</v>
      </c>
      <c r="BX9" s="143" t="s">
        <v>758</v>
      </c>
      <c r="BY9" s="143" t="s">
        <v>728</v>
      </c>
      <c r="BZ9" s="143">
        <v>2063</v>
      </c>
      <c r="CM9" s="143" t="s">
        <v>757</v>
      </c>
      <c r="CN9" s="143" t="s">
        <v>758</v>
      </c>
      <c r="CO9" s="143" t="s">
        <v>728</v>
      </c>
      <c r="CP9" s="143">
        <v>2063</v>
      </c>
      <c r="CQ9" s="78">
        <v>2</v>
      </c>
      <c r="CR9" s="78">
        <v>0</v>
      </c>
      <c r="CS9" s="78">
        <v>8</v>
      </c>
      <c r="CT9" s="78">
        <v>4</v>
      </c>
      <c r="CU9" s="78">
        <v>2</v>
      </c>
      <c r="CV9" s="78">
        <v>8</v>
      </c>
      <c r="CW9" s="137">
        <v>0.46153850000000002</v>
      </c>
      <c r="CY9" s="143" t="s">
        <v>757</v>
      </c>
      <c r="CZ9" s="143" t="s">
        <v>758</v>
      </c>
      <c r="DA9" s="143" t="s">
        <v>728</v>
      </c>
      <c r="DB9" s="143">
        <v>2063</v>
      </c>
      <c r="DC9" s="78">
        <v>50</v>
      </c>
      <c r="DD9" s="137">
        <v>0</v>
      </c>
      <c r="DE9" s="137">
        <v>0</v>
      </c>
      <c r="DG9" s="143" t="s">
        <v>757</v>
      </c>
      <c r="DH9" s="143" t="s">
        <v>758</v>
      </c>
      <c r="DI9" s="143" t="s">
        <v>728</v>
      </c>
      <c r="DJ9" s="143">
        <v>2063</v>
      </c>
      <c r="DK9" s="78">
        <v>2</v>
      </c>
      <c r="DL9" s="78">
        <v>1</v>
      </c>
      <c r="DM9" s="78">
        <v>0</v>
      </c>
      <c r="DN9" s="78">
        <v>5</v>
      </c>
      <c r="DO9" s="78">
        <v>2</v>
      </c>
      <c r="DP9" s="78">
        <v>3</v>
      </c>
      <c r="DQ9" s="78">
        <v>8</v>
      </c>
      <c r="DR9" s="78">
        <v>1</v>
      </c>
      <c r="DS9" s="78">
        <v>1</v>
      </c>
      <c r="DT9" s="78">
        <v>0</v>
      </c>
      <c r="DU9" s="78">
        <v>0</v>
      </c>
      <c r="DV9" s="137">
        <v>0.79310349999999996</v>
      </c>
      <c r="DX9" s="143" t="s">
        <v>757</v>
      </c>
      <c r="DY9" s="143" t="s">
        <v>758</v>
      </c>
      <c r="DZ9" s="143" t="s">
        <v>728</v>
      </c>
      <c r="EA9" s="143">
        <v>2063</v>
      </c>
      <c r="EB9" s="78">
        <v>1</v>
      </c>
      <c r="EC9" s="78">
        <v>8</v>
      </c>
      <c r="ED9" s="78">
        <v>1</v>
      </c>
      <c r="EE9" s="78">
        <v>4</v>
      </c>
      <c r="EF9" s="78">
        <v>1</v>
      </c>
      <c r="EG9" s="78">
        <v>1</v>
      </c>
      <c r="EH9" s="78">
        <v>2</v>
      </c>
      <c r="EI9" s="78">
        <v>1</v>
      </c>
      <c r="EJ9" s="78">
        <v>1</v>
      </c>
      <c r="EK9" s="78">
        <v>1</v>
      </c>
      <c r="EL9" s="78">
        <v>4</v>
      </c>
      <c r="EM9" s="78">
        <v>1</v>
      </c>
      <c r="EN9" s="78">
        <v>1</v>
      </c>
      <c r="EO9" s="137">
        <v>1</v>
      </c>
      <c r="EQ9" s="143" t="s">
        <v>757</v>
      </c>
      <c r="ER9" s="143" t="s">
        <v>758</v>
      </c>
      <c r="ES9" s="143" t="s">
        <v>728</v>
      </c>
      <c r="ET9" s="143">
        <v>2063</v>
      </c>
      <c r="EU9" s="78">
        <v>0.5</v>
      </c>
      <c r="EV9" s="78">
        <v>1</v>
      </c>
      <c r="EW9" s="78">
        <v>0</v>
      </c>
      <c r="EX9" s="78">
        <v>0</v>
      </c>
      <c r="EY9" s="78">
        <v>0.5</v>
      </c>
      <c r="EZ9" s="78">
        <v>0</v>
      </c>
      <c r="FA9" s="78">
        <v>2</v>
      </c>
      <c r="FB9" s="78">
        <v>0</v>
      </c>
      <c r="FC9" s="137">
        <v>0.30769229999999997</v>
      </c>
      <c r="FE9" s="137">
        <v>0.52453989999999995</v>
      </c>
    </row>
    <row r="10" spans="1:161" hidden="1" x14ac:dyDescent="0.25">
      <c r="A10" s="143" t="s">
        <v>759</v>
      </c>
      <c r="B10" s="143" t="s">
        <v>758</v>
      </c>
      <c r="C10" s="143" t="s">
        <v>729</v>
      </c>
      <c r="D10" s="143">
        <v>459</v>
      </c>
      <c r="E10" s="78">
        <v>0</v>
      </c>
      <c r="F10" s="78">
        <v>2.5</v>
      </c>
      <c r="G10" s="78">
        <v>1</v>
      </c>
      <c r="H10" s="78">
        <v>3</v>
      </c>
      <c r="I10" s="78">
        <v>1</v>
      </c>
      <c r="J10" s="78">
        <v>1</v>
      </c>
      <c r="K10" s="78">
        <v>1</v>
      </c>
      <c r="L10" s="78">
        <v>1</v>
      </c>
      <c r="M10" s="78">
        <v>2</v>
      </c>
      <c r="N10" s="137">
        <v>0.89285709999999996</v>
      </c>
      <c r="P10" s="143" t="s">
        <v>759</v>
      </c>
      <c r="Q10" s="143" t="s">
        <v>758</v>
      </c>
      <c r="R10" s="143" t="s">
        <v>729</v>
      </c>
      <c r="S10" s="143">
        <v>459</v>
      </c>
      <c r="T10" s="78">
        <v>0</v>
      </c>
      <c r="U10" s="78">
        <v>0</v>
      </c>
      <c r="V10" s="78">
        <v>1.5</v>
      </c>
      <c r="W10" s="78">
        <v>2</v>
      </c>
      <c r="X10" s="78">
        <v>12</v>
      </c>
      <c r="Y10" s="78">
        <v>0</v>
      </c>
      <c r="Z10" s="78">
        <v>3</v>
      </c>
      <c r="AA10" s="78">
        <v>2</v>
      </c>
      <c r="AB10" s="78">
        <v>0</v>
      </c>
      <c r="AC10" s="78">
        <v>0</v>
      </c>
      <c r="AD10" s="137">
        <v>0.60294119999999995</v>
      </c>
      <c r="AF10" s="143" t="s">
        <v>759</v>
      </c>
      <c r="AG10" s="143" t="s">
        <v>758</v>
      </c>
      <c r="AH10" s="143" t="s">
        <v>729</v>
      </c>
      <c r="AI10" s="143">
        <v>459</v>
      </c>
      <c r="AJ10" s="78">
        <v>0</v>
      </c>
      <c r="AK10" s="78">
        <v>1</v>
      </c>
      <c r="AL10" s="78">
        <v>1</v>
      </c>
      <c r="AM10" s="78">
        <v>1</v>
      </c>
      <c r="AN10" s="78">
        <v>1</v>
      </c>
      <c r="AO10" s="78">
        <v>2</v>
      </c>
      <c r="AP10" s="78">
        <v>1</v>
      </c>
      <c r="AQ10" s="78">
        <v>1</v>
      </c>
      <c r="AR10" s="78">
        <v>2</v>
      </c>
      <c r="AS10" s="78">
        <v>0</v>
      </c>
      <c r="AT10" s="78">
        <v>0</v>
      </c>
      <c r="AU10" s="78">
        <v>1</v>
      </c>
      <c r="AV10" s="78">
        <v>0</v>
      </c>
      <c r="AW10" s="78">
        <v>1</v>
      </c>
      <c r="AX10" s="78">
        <v>0</v>
      </c>
      <c r="AY10" s="78">
        <v>1</v>
      </c>
      <c r="AZ10" s="78">
        <v>0</v>
      </c>
      <c r="BA10" s="78">
        <v>0.5</v>
      </c>
      <c r="BB10" s="78">
        <v>0.5</v>
      </c>
      <c r="BC10" s="78">
        <v>0.5</v>
      </c>
      <c r="BD10" s="78">
        <v>1</v>
      </c>
      <c r="BE10" s="78">
        <v>0.5</v>
      </c>
      <c r="BF10" s="78">
        <v>1</v>
      </c>
      <c r="BG10" s="78">
        <v>6</v>
      </c>
      <c r="BH10" s="137">
        <v>0.52272730000000001</v>
      </c>
      <c r="BJ10" s="143" t="s">
        <v>759</v>
      </c>
      <c r="BK10" s="143" t="s">
        <v>758</v>
      </c>
      <c r="BL10" s="143" t="s">
        <v>729</v>
      </c>
      <c r="BM10" s="143">
        <v>459</v>
      </c>
      <c r="BN10" s="78">
        <v>0</v>
      </c>
      <c r="BO10" s="78">
        <v>4</v>
      </c>
      <c r="BP10" s="78">
        <v>7</v>
      </c>
      <c r="BQ10" s="78">
        <v>3</v>
      </c>
      <c r="BR10" s="78">
        <v>3</v>
      </c>
      <c r="BS10" s="78">
        <v>0</v>
      </c>
      <c r="BT10" s="78">
        <v>2</v>
      </c>
      <c r="BU10" s="137">
        <v>0.82608689999999996</v>
      </c>
      <c r="BW10" s="143" t="s">
        <v>759</v>
      </c>
      <c r="BX10" s="143" t="s">
        <v>758</v>
      </c>
      <c r="BY10" s="143" t="s">
        <v>729</v>
      </c>
      <c r="BZ10" s="143">
        <v>459</v>
      </c>
      <c r="CA10" s="78">
        <v>1</v>
      </c>
      <c r="CB10" s="78">
        <v>1</v>
      </c>
      <c r="CC10" s="78">
        <v>1</v>
      </c>
      <c r="CD10" s="78">
        <v>2</v>
      </c>
      <c r="CE10" s="78">
        <v>1</v>
      </c>
      <c r="CF10" s="78">
        <v>2</v>
      </c>
      <c r="CG10" s="78">
        <v>1</v>
      </c>
      <c r="CH10" s="78">
        <v>2</v>
      </c>
      <c r="CI10" s="78">
        <v>1</v>
      </c>
      <c r="CJ10" s="78">
        <v>0</v>
      </c>
      <c r="CK10" s="137">
        <v>0.8</v>
      </c>
      <c r="CM10" s="143" t="s">
        <v>759</v>
      </c>
      <c r="CN10" s="143" t="s">
        <v>758</v>
      </c>
      <c r="CO10" s="143" t="s">
        <v>729</v>
      </c>
      <c r="CP10" s="143">
        <v>459</v>
      </c>
      <c r="CQ10" s="78">
        <v>8</v>
      </c>
      <c r="CR10" s="78">
        <v>0</v>
      </c>
      <c r="CS10" s="78">
        <v>20</v>
      </c>
      <c r="CT10" s="78">
        <v>4</v>
      </c>
      <c r="CU10" s="78">
        <v>2</v>
      </c>
      <c r="CV10" s="78">
        <v>8</v>
      </c>
      <c r="CW10" s="137">
        <v>0.80769230000000003</v>
      </c>
      <c r="CY10" s="143" t="s">
        <v>759</v>
      </c>
      <c r="CZ10" s="143" t="s">
        <v>758</v>
      </c>
      <c r="DA10" s="143" t="s">
        <v>729</v>
      </c>
      <c r="DB10" s="143">
        <v>459</v>
      </c>
      <c r="DC10" s="78">
        <v>58</v>
      </c>
      <c r="DD10" s="137">
        <v>0</v>
      </c>
      <c r="DE10" s="137">
        <v>0</v>
      </c>
      <c r="DG10" s="143" t="s">
        <v>759</v>
      </c>
      <c r="DH10" s="143" t="s">
        <v>758</v>
      </c>
      <c r="DI10" s="143" t="s">
        <v>729</v>
      </c>
      <c r="DJ10" s="143">
        <v>459</v>
      </c>
      <c r="DK10" s="78">
        <v>2</v>
      </c>
      <c r="DL10" s="78">
        <v>1</v>
      </c>
      <c r="DM10" s="78">
        <v>1</v>
      </c>
      <c r="DN10" s="78">
        <v>5</v>
      </c>
      <c r="DO10" s="78">
        <v>2</v>
      </c>
      <c r="DP10" s="78">
        <v>3</v>
      </c>
      <c r="DQ10" s="78">
        <v>8</v>
      </c>
      <c r="DR10" s="78">
        <v>1</v>
      </c>
      <c r="DS10" s="78">
        <v>1</v>
      </c>
      <c r="DT10" s="78">
        <v>2</v>
      </c>
      <c r="DU10" s="78">
        <v>0</v>
      </c>
      <c r="DV10" s="137">
        <v>0.89655169999999995</v>
      </c>
      <c r="DX10" s="143" t="s">
        <v>759</v>
      </c>
      <c r="DY10" s="143" t="s">
        <v>758</v>
      </c>
      <c r="DZ10" s="143" t="s">
        <v>729</v>
      </c>
      <c r="EA10" s="143">
        <v>459</v>
      </c>
      <c r="EB10" s="78">
        <v>0</v>
      </c>
      <c r="EC10" s="78">
        <v>8</v>
      </c>
      <c r="ED10" s="78">
        <v>1</v>
      </c>
      <c r="EE10" s="78">
        <v>4</v>
      </c>
      <c r="EF10" s="78">
        <v>0</v>
      </c>
      <c r="EG10" s="78">
        <v>1</v>
      </c>
      <c r="EH10" s="78">
        <v>0</v>
      </c>
      <c r="EI10" s="78">
        <v>1</v>
      </c>
      <c r="EJ10" s="78">
        <v>1</v>
      </c>
      <c r="EK10" s="78">
        <v>1</v>
      </c>
      <c r="EL10" s="78">
        <v>4</v>
      </c>
      <c r="EM10" s="78">
        <v>0</v>
      </c>
      <c r="EN10" s="78">
        <v>1</v>
      </c>
      <c r="EO10" s="137">
        <v>0.81481479999999995</v>
      </c>
      <c r="EQ10" s="143" t="s">
        <v>759</v>
      </c>
      <c r="ER10" s="143" t="s">
        <v>758</v>
      </c>
      <c r="ES10" s="143" t="s">
        <v>729</v>
      </c>
      <c r="ET10" s="143">
        <v>459</v>
      </c>
      <c r="EU10" s="78">
        <v>0.5</v>
      </c>
      <c r="EV10" s="78">
        <v>1</v>
      </c>
      <c r="EW10" s="78">
        <v>3</v>
      </c>
      <c r="EX10" s="78">
        <v>0</v>
      </c>
      <c r="EY10" s="78">
        <v>0.5</v>
      </c>
      <c r="EZ10" s="78">
        <v>3</v>
      </c>
      <c r="FA10" s="78">
        <v>2</v>
      </c>
      <c r="FB10" s="78">
        <v>1</v>
      </c>
      <c r="FC10" s="137">
        <v>0.84615390000000001</v>
      </c>
      <c r="FE10" s="137">
        <v>0.55131969999999997</v>
      </c>
    </row>
    <row r="11" spans="1:161" hidden="1" x14ac:dyDescent="0.25">
      <c r="A11" s="143" t="s">
        <v>759</v>
      </c>
      <c r="B11" s="143" t="s">
        <v>758</v>
      </c>
      <c r="C11" s="143" t="s">
        <v>727</v>
      </c>
      <c r="D11" s="143">
        <v>483</v>
      </c>
      <c r="E11" s="78">
        <v>0</v>
      </c>
      <c r="F11" s="78">
        <v>2</v>
      </c>
      <c r="G11" s="78">
        <v>1</v>
      </c>
      <c r="H11" s="78">
        <v>2</v>
      </c>
      <c r="I11" s="78">
        <v>1</v>
      </c>
      <c r="J11" s="78">
        <v>1</v>
      </c>
      <c r="K11" s="78">
        <v>1</v>
      </c>
      <c r="L11" s="78">
        <v>1</v>
      </c>
      <c r="M11" s="78">
        <v>2</v>
      </c>
      <c r="N11" s="137">
        <v>0.78571429999999998</v>
      </c>
      <c r="P11" s="143" t="s">
        <v>759</v>
      </c>
      <c r="Q11" s="143" t="s">
        <v>758</v>
      </c>
      <c r="R11" s="143" t="s">
        <v>727</v>
      </c>
      <c r="S11" s="143">
        <v>483</v>
      </c>
      <c r="T11" s="78">
        <v>1</v>
      </c>
      <c r="U11" s="78">
        <v>1</v>
      </c>
      <c r="V11" s="78">
        <v>0</v>
      </c>
      <c r="W11" s="78">
        <v>1</v>
      </c>
      <c r="X11" s="78">
        <v>12</v>
      </c>
      <c r="Y11" s="78">
        <v>1</v>
      </c>
      <c r="Z11" s="78">
        <v>3</v>
      </c>
      <c r="AA11" s="78">
        <v>2</v>
      </c>
      <c r="AB11" s="78">
        <v>6</v>
      </c>
      <c r="AC11" s="78">
        <v>0</v>
      </c>
      <c r="AD11" s="137">
        <v>0.79411759999999998</v>
      </c>
      <c r="AF11" s="143" t="s">
        <v>759</v>
      </c>
      <c r="AG11" s="143" t="s">
        <v>758</v>
      </c>
      <c r="AH11" s="143" t="s">
        <v>727</v>
      </c>
      <c r="AI11" s="143">
        <v>483</v>
      </c>
      <c r="AJ11" s="78">
        <v>1</v>
      </c>
      <c r="AK11" s="78">
        <v>1</v>
      </c>
      <c r="AL11" s="78">
        <v>1</v>
      </c>
      <c r="AM11" s="78">
        <v>5</v>
      </c>
      <c r="AN11" s="78">
        <v>1</v>
      </c>
      <c r="AO11" s="78">
        <v>2</v>
      </c>
      <c r="AP11" s="78">
        <v>1</v>
      </c>
      <c r="AQ11" s="78">
        <v>1</v>
      </c>
      <c r="AR11" s="78">
        <v>2</v>
      </c>
      <c r="AS11" s="78">
        <v>2</v>
      </c>
      <c r="AT11" s="78">
        <v>2</v>
      </c>
      <c r="AU11" s="78">
        <v>1</v>
      </c>
      <c r="AV11" s="78">
        <v>0</v>
      </c>
      <c r="AW11" s="78">
        <v>1</v>
      </c>
      <c r="AX11" s="78">
        <v>0</v>
      </c>
      <c r="AY11" s="78">
        <v>1</v>
      </c>
      <c r="AZ11" s="78">
        <v>0</v>
      </c>
      <c r="BA11" s="78">
        <v>0.5</v>
      </c>
      <c r="BB11" s="78">
        <v>0.5</v>
      </c>
      <c r="BC11" s="78">
        <v>0.5</v>
      </c>
      <c r="BD11" s="78">
        <v>1</v>
      </c>
      <c r="BE11" s="78">
        <v>0.5</v>
      </c>
      <c r="BF11" s="78">
        <v>0</v>
      </c>
      <c r="BG11" s="78">
        <v>6</v>
      </c>
      <c r="BH11" s="137">
        <v>0.70454539999999999</v>
      </c>
      <c r="BJ11" s="143" t="s">
        <v>759</v>
      </c>
      <c r="BK11" s="143" t="s">
        <v>758</v>
      </c>
      <c r="BL11" s="143" t="s">
        <v>727</v>
      </c>
      <c r="BM11" s="143">
        <v>483</v>
      </c>
      <c r="BN11" s="78">
        <v>1</v>
      </c>
      <c r="BO11" s="78">
        <v>4</v>
      </c>
      <c r="BP11" s="78">
        <v>7</v>
      </c>
      <c r="BQ11" s="78">
        <v>3</v>
      </c>
      <c r="BR11" s="78">
        <v>3</v>
      </c>
      <c r="BS11" s="78">
        <v>3</v>
      </c>
      <c r="BT11" s="78">
        <v>0</v>
      </c>
      <c r="BU11" s="137">
        <v>0.91304350000000001</v>
      </c>
      <c r="BW11" s="143" t="s">
        <v>759</v>
      </c>
      <c r="BX11" s="143" t="s">
        <v>758</v>
      </c>
      <c r="BY11" s="143" t="s">
        <v>727</v>
      </c>
      <c r="BZ11" s="143">
        <v>483</v>
      </c>
      <c r="CA11" s="78">
        <v>1</v>
      </c>
      <c r="CB11" s="78">
        <v>1</v>
      </c>
      <c r="CC11" s="78">
        <v>1</v>
      </c>
      <c r="CD11" s="78">
        <v>2</v>
      </c>
      <c r="CE11" s="78">
        <v>1</v>
      </c>
      <c r="CF11" s="78">
        <v>2</v>
      </c>
      <c r="CG11" s="78">
        <v>1</v>
      </c>
      <c r="CH11" s="78">
        <v>2</v>
      </c>
      <c r="CI11" s="78">
        <v>1</v>
      </c>
      <c r="CJ11" s="78">
        <v>0</v>
      </c>
      <c r="CK11" s="137">
        <v>0.8</v>
      </c>
      <c r="CM11" s="143" t="s">
        <v>759</v>
      </c>
      <c r="CN11" s="143" t="s">
        <v>758</v>
      </c>
      <c r="CO11" s="143" t="s">
        <v>727</v>
      </c>
      <c r="CP11" s="143">
        <v>483</v>
      </c>
      <c r="CQ11" s="78">
        <v>2</v>
      </c>
      <c r="CR11" s="78">
        <v>0</v>
      </c>
      <c r="CS11" s="78">
        <v>20</v>
      </c>
      <c r="CT11" s="78">
        <v>4</v>
      </c>
      <c r="CU11" s="78">
        <v>0</v>
      </c>
      <c r="CV11" s="78">
        <v>8</v>
      </c>
      <c r="CW11" s="137">
        <v>0.65384609999999999</v>
      </c>
      <c r="CY11" s="143" t="s">
        <v>759</v>
      </c>
      <c r="CZ11" s="143" t="s">
        <v>758</v>
      </c>
      <c r="DA11" s="143" t="s">
        <v>727</v>
      </c>
      <c r="DB11" s="143">
        <v>483</v>
      </c>
      <c r="DC11" s="78">
        <v>32</v>
      </c>
      <c r="DD11" s="137">
        <v>0.2</v>
      </c>
      <c r="DE11" s="137">
        <v>7.1111099999999997E-2</v>
      </c>
      <c r="DG11" s="143" t="s">
        <v>759</v>
      </c>
      <c r="DH11" s="143" t="s">
        <v>758</v>
      </c>
      <c r="DI11" s="143" t="s">
        <v>727</v>
      </c>
      <c r="DJ11" s="143">
        <v>483</v>
      </c>
      <c r="DK11" s="78">
        <v>2</v>
      </c>
      <c r="DL11" s="78">
        <v>1</v>
      </c>
      <c r="DM11" s="78">
        <v>0</v>
      </c>
      <c r="DN11" s="78">
        <v>5</v>
      </c>
      <c r="DO11" s="78">
        <v>2</v>
      </c>
      <c r="DP11" s="78">
        <v>3</v>
      </c>
      <c r="DQ11" s="78">
        <v>4</v>
      </c>
      <c r="DR11" s="78">
        <v>0</v>
      </c>
      <c r="DS11" s="78">
        <v>1</v>
      </c>
      <c r="DT11" s="78">
        <v>0</v>
      </c>
      <c r="DU11" s="78">
        <v>0</v>
      </c>
      <c r="DV11" s="137">
        <v>0.62068959999999995</v>
      </c>
      <c r="DX11" s="143" t="s">
        <v>759</v>
      </c>
      <c r="DY11" s="143" t="s">
        <v>758</v>
      </c>
      <c r="DZ11" s="143" t="s">
        <v>727</v>
      </c>
      <c r="EA11" s="143">
        <v>483</v>
      </c>
      <c r="EB11" s="78">
        <v>0</v>
      </c>
      <c r="EC11" s="78">
        <v>8</v>
      </c>
      <c r="ED11" s="78">
        <v>1</v>
      </c>
      <c r="EE11" s="78">
        <v>4</v>
      </c>
      <c r="EF11" s="78">
        <v>0</v>
      </c>
      <c r="EG11" s="78">
        <v>1</v>
      </c>
      <c r="EH11" s="78">
        <v>2</v>
      </c>
      <c r="EI11" s="78">
        <v>1</v>
      </c>
      <c r="EJ11" s="78">
        <v>1</v>
      </c>
      <c r="EK11" s="78">
        <v>1</v>
      </c>
      <c r="EL11" s="78">
        <v>4</v>
      </c>
      <c r="EM11" s="78">
        <v>1</v>
      </c>
      <c r="EN11" s="78">
        <v>1</v>
      </c>
      <c r="EO11" s="137">
        <v>0.92592589999999997</v>
      </c>
      <c r="EQ11" s="143" t="s">
        <v>759</v>
      </c>
      <c r="ER11" s="143" t="s">
        <v>758</v>
      </c>
      <c r="ES11" s="143" t="s">
        <v>727</v>
      </c>
      <c r="ET11" s="143">
        <v>483</v>
      </c>
      <c r="EU11" s="78">
        <v>0.5</v>
      </c>
      <c r="EV11" s="78">
        <v>1</v>
      </c>
      <c r="EW11" s="78">
        <v>3</v>
      </c>
      <c r="EX11" s="78">
        <v>0</v>
      </c>
      <c r="EY11" s="78">
        <v>0.5</v>
      </c>
      <c r="EZ11" s="78">
        <v>3</v>
      </c>
      <c r="FA11" s="78">
        <v>2</v>
      </c>
      <c r="FB11" s="78">
        <v>1</v>
      </c>
      <c r="FC11" s="137">
        <v>0.84615390000000001</v>
      </c>
      <c r="FE11" s="137">
        <v>0.5759531</v>
      </c>
    </row>
    <row r="12" spans="1:161" hidden="1" x14ac:dyDescent="0.25">
      <c r="A12" s="143" t="s">
        <v>759</v>
      </c>
      <c r="B12" s="143" t="s">
        <v>758</v>
      </c>
      <c r="C12" s="143" t="s">
        <v>727</v>
      </c>
      <c r="D12" s="143">
        <v>489</v>
      </c>
      <c r="E12" s="78">
        <v>0.5</v>
      </c>
      <c r="F12" s="78">
        <v>2.5</v>
      </c>
      <c r="G12" s="78">
        <v>1</v>
      </c>
      <c r="H12" s="78">
        <v>3</v>
      </c>
      <c r="I12" s="78">
        <v>1</v>
      </c>
      <c r="J12" s="78">
        <v>0</v>
      </c>
      <c r="K12" s="78">
        <v>1</v>
      </c>
      <c r="L12" s="78">
        <v>0</v>
      </c>
      <c r="M12" s="78">
        <v>2</v>
      </c>
      <c r="N12" s="137">
        <v>0.78571429999999998</v>
      </c>
      <c r="P12" s="143" t="s">
        <v>759</v>
      </c>
      <c r="Q12" s="143" t="s">
        <v>758</v>
      </c>
      <c r="R12" s="143" t="s">
        <v>727</v>
      </c>
      <c r="S12" s="143">
        <v>489</v>
      </c>
      <c r="T12" s="78">
        <v>0</v>
      </c>
      <c r="U12" s="78">
        <v>1</v>
      </c>
      <c r="V12" s="78">
        <v>0</v>
      </c>
      <c r="W12" s="78">
        <v>0</v>
      </c>
      <c r="X12" s="78">
        <v>12</v>
      </c>
      <c r="Y12" s="78">
        <v>1</v>
      </c>
      <c r="Z12" s="78">
        <v>3</v>
      </c>
      <c r="AA12" s="78">
        <v>2</v>
      </c>
      <c r="AB12" s="78">
        <v>0</v>
      </c>
      <c r="AC12" s="78">
        <v>0</v>
      </c>
      <c r="AD12" s="137">
        <v>0.55882350000000003</v>
      </c>
      <c r="AF12" s="143" t="s">
        <v>759</v>
      </c>
      <c r="AG12" s="143" t="s">
        <v>758</v>
      </c>
      <c r="AH12" s="143" t="s">
        <v>727</v>
      </c>
      <c r="AI12" s="143">
        <v>489</v>
      </c>
      <c r="AJ12" s="78">
        <v>1</v>
      </c>
      <c r="AK12" s="78">
        <v>0</v>
      </c>
      <c r="AL12" s="78">
        <v>1</v>
      </c>
      <c r="AM12" s="78">
        <v>0</v>
      </c>
      <c r="AN12" s="78">
        <v>1</v>
      </c>
      <c r="AO12" s="78">
        <v>2</v>
      </c>
      <c r="AP12" s="78">
        <v>1</v>
      </c>
      <c r="AQ12" s="78">
        <v>1</v>
      </c>
      <c r="AR12" s="78">
        <v>0</v>
      </c>
      <c r="AS12" s="78">
        <v>2</v>
      </c>
      <c r="AT12" s="78">
        <v>2</v>
      </c>
      <c r="AU12" s="78">
        <v>1</v>
      </c>
      <c r="AV12" s="78">
        <v>0</v>
      </c>
      <c r="AW12" s="78">
        <v>1</v>
      </c>
      <c r="AX12" s="78">
        <v>0</v>
      </c>
      <c r="AY12" s="78">
        <v>1</v>
      </c>
      <c r="AZ12" s="78">
        <v>0</v>
      </c>
      <c r="BA12" s="78">
        <v>0.5</v>
      </c>
      <c r="BB12" s="78">
        <v>0.5</v>
      </c>
      <c r="BC12" s="78">
        <v>0.5</v>
      </c>
      <c r="BD12" s="78">
        <v>1</v>
      </c>
      <c r="BE12" s="78">
        <v>0.5</v>
      </c>
      <c r="BF12" s="78">
        <v>1</v>
      </c>
      <c r="BG12" s="78">
        <v>4</v>
      </c>
      <c r="BH12" s="137">
        <v>0.5</v>
      </c>
      <c r="BJ12" s="143" t="s">
        <v>759</v>
      </c>
      <c r="BK12" s="143" t="s">
        <v>758</v>
      </c>
      <c r="BL12" s="143" t="s">
        <v>727</v>
      </c>
      <c r="BM12" s="143">
        <v>489</v>
      </c>
      <c r="BN12" s="78">
        <v>1</v>
      </c>
      <c r="BO12" s="78">
        <v>4</v>
      </c>
      <c r="BP12" s="78">
        <v>0</v>
      </c>
      <c r="BQ12" s="78">
        <v>0</v>
      </c>
      <c r="BR12" s="78">
        <v>0</v>
      </c>
      <c r="BS12" s="78">
        <v>0</v>
      </c>
      <c r="BT12" s="78">
        <v>0</v>
      </c>
      <c r="BU12" s="137">
        <v>0.21739130000000001</v>
      </c>
      <c r="BW12" s="143" t="s">
        <v>759</v>
      </c>
      <c r="BX12" s="143" t="s">
        <v>758</v>
      </c>
      <c r="BY12" s="143" t="s">
        <v>727</v>
      </c>
      <c r="BZ12" s="143">
        <v>489</v>
      </c>
      <c r="CA12" s="78">
        <v>1</v>
      </c>
      <c r="CB12" s="78">
        <v>0</v>
      </c>
      <c r="CC12" s="78">
        <v>1</v>
      </c>
      <c r="CD12" s="78">
        <v>2</v>
      </c>
      <c r="CE12" s="78">
        <v>1</v>
      </c>
      <c r="CF12" s="78">
        <v>2</v>
      </c>
      <c r="CG12" s="78">
        <v>1</v>
      </c>
      <c r="CH12" s="78">
        <v>2</v>
      </c>
      <c r="CI12" s="78">
        <v>1</v>
      </c>
      <c r="CJ12" s="78">
        <v>0</v>
      </c>
      <c r="CK12" s="137">
        <v>0.73333329999999997</v>
      </c>
      <c r="CM12" s="143" t="s">
        <v>759</v>
      </c>
      <c r="CN12" s="143" t="s">
        <v>758</v>
      </c>
      <c r="CO12" s="143" t="s">
        <v>727</v>
      </c>
      <c r="CP12" s="143">
        <v>489</v>
      </c>
      <c r="CQ12" s="78">
        <v>0</v>
      </c>
      <c r="CR12" s="78">
        <v>0</v>
      </c>
      <c r="CS12" s="78">
        <v>16</v>
      </c>
      <c r="CT12" s="78">
        <v>4</v>
      </c>
      <c r="CU12" s="78">
        <v>0</v>
      </c>
      <c r="CV12" s="78">
        <v>8</v>
      </c>
      <c r="CW12" s="137">
        <v>0.53846159999999998</v>
      </c>
      <c r="CY12" s="143" t="s">
        <v>759</v>
      </c>
      <c r="CZ12" s="143" t="s">
        <v>758</v>
      </c>
      <c r="DA12" s="143" t="s">
        <v>727</v>
      </c>
      <c r="DB12" s="143">
        <v>489</v>
      </c>
      <c r="DC12" s="78">
        <v>48</v>
      </c>
      <c r="DD12" s="137">
        <v>0.2</v>
      </c>
      <c r="DE12" s="137">
        <v>0.1066667</v>
      </c>
      <c r="DG12" s="143" t="s">
        <v>759</v>
      </c>
      <c r="DH12" s="143" t="s">
        <v>758</v>
      </c>
      <c r="DI12" s="143" t="s">
        <v>727</v>
      </c>
      <c r="DJ12" s="143">
        <v>489</v>
      </c>
      <c r="DK12" s="78">
        <v>2</v>
      </c>
      <c r="DL12" s="78">
        <v>1</v>
      </c>
      <c r="DM12" s="78">
        <v>0</v>
      </c>
      <c r="DN12" s="78">
        <v>5</v>
      </c>
      <c r="DO12" s="78">
        <v>2</v>
      </c>
      <c r="DP12" s="78">
        <v>3</v>
      </c>
      <c r="DQ12" s="78">
        <v>7</v>
      </c>
      <c r="DR12" s="78">
        <v>0</v>
      </c>
      <c r="DS12" s="78">
        <v>0</v>
      </c>
      <c r="DT12" s="78">
        <v>0</v>
      </c>
      <c r="DU12" s="78">
        <v>0</v>
      </c>
      <c r="DV12" s="137">
        <v>0.68965520000000002</v>
      </c>
      <c r="DX12" s="143" t="s">
        <v>759</v>
      </c>
      <c r="DY12" s="143" t="s">
        <v>758</v>
      </c>
      <c r="DZ12" s="143" t="s">
        <v>727</v>
      </c>
      <c r="EA12" s="143">
        <v>489</v>
      </c>
      <c r="EB12" s="78">
        <v>1</v>
      </c>
      <c r="EC12" s="78">
        <v>8</v>
      </c>
      <c r="ED12" s="78">
        <v>1</v>
      </c>
      <c r="EE12" s="78">
        <v>4</v>
      </c>
      <c r="EF12" s="78">
        <v>0</v>
      </c>
      <c r="EG12" s="78">
        <v>1</v>
      </c>
      <c r="EH12" s="78">
        <v>0</v>
      </c>
      <c r="EI12" s="78">
        <v>1</v>
      </c>
      <c r="EJ12" s="78">
        <v>1</v>
      </c>
      <c r="EK12" s="78">
        <v>1</v>
      </c>
      <c r="EL12" s="78">
        <v>0</v>
      </c>
      <c r="EM12" s="78">
        <v>1</v>
      </c>
      <c r="EN12" s="78">
        <v>1</v>
      </c>
      <c r="EO12" s="137">
        <v>0.74074070000000003</v>
      </c>
      <c r="EQ12" s="143" t="s">
        <v>759</v>
      </c>
      <c r="ER12" s="143" t="s">
        <v>758</v>
      </c>
      <c r="ES12" s="143" t="s">
        <v>727</v>
      </c>
      <c r="ET12" s="143">
        <v>489</v>
      </c>
      <c r="EU12" s="78">
        <v>0.5</v>
      </c>
      <c r="EV12" s="78">
        <v>0</v>
      </c>
      <c r="EW12" s="78">
        <v>0</v>
      </c>
      <c r="EX12" s="78">
        <v>0</v>
      </c>
      <c r="EY12" s="78">
        <v>0.5</v>
      </c>
      <c r="EZ12" s="78">
        <v>3</v>
      </c>
      <c r="FA12" s="78">
        <v>2</v>
      </c>
      <c r="FB12" s="78">
        <v>1</v>
      </c>
      <c r="FC12" s="137">
        <v>0.53846159999999998</v>
      </c>
      <c r="FE12" s="137">
        <v>0.4475074</v>
      </c>
    </row>
    <row r="13" spans="1:161" x14ac:dyDescent="0.25">
      <c r="A13" s="143" t="s">
        <v>759</v>
      </c>
      <c r="B13" s="143" t="s">
        <v>758</v>
      </c>
      <c r="C13" s="143" t="s">
        <v>728</v>
      </c>
      <c r="D13" s="143">
        <v>1805</v>
      </c>
      <c r="E13" s="78">
        <v>0.5</v>
      </c>
      <c r="F13" s="78">
        <v>2</v>
      </c>
      <c r="G13" s="78">
        <v>0</v>
      </c>
      <c r="H13" s="78">
        <v>1</v>
      </c>
      <c r="I13" s="78">
        <v>1</v>
      </c>
      <c r="J13" s="78">
        <v>0</v>
      </c>
      <c r="K13" s="78">
        <v>1</v>
      </c>
      <c r="L13" s="78">
        <v>1</v>
      </c>
      <c r="M13" s="78">
        <v>2</v>
      </c>
      <c r="N13" s="137">
        <v>0.60714290000000004</v>
      </c>
      <c r="P13" s="143" t="s">
        <v>759</v>
      </c>
      <c r="Q13" s="143" t="s">
        <v>758</v>
      </c>
      <c r="R13" s="143" t="s">
        <v>728</v>
      </c>
      <c r="S13" s="143">
        <v>1805</v>
      </c>
      <c r="T13" s="78">
        <v>1</v>
      </c>
      <c r="U13" s="78">
        <v>0</v>
      </c>
      <c r="V13" s="78">
        <v>0</v>
      </c>
      <c r="W13" s="78">
        <v>0</v>
      </c>
      <c r="X13" s="78">
        <v>12</v>
      </c>
      <c r="Y13" s="78">
        <v>1</v>
      </c>
      <c r="Z13" s="78">
        <v>3</v>
      </c>
      <c r="AA13" s="78">
        <v>0</v>
      </c>
      <c r="AB13" s="78">
        <v>0</v>
      </c>
      <c r="AC13" s="78">
        <v>3</v>
      </c>
      <c r="AD13" s="137">
        <v>0.58823530000000002</v>
      </c>
      <c r="AF13" s="143" t="s">
        <v>759</v>
      </c>
      <c r="AG13" s="143" t="s">
        <v>758</v>
      </c>
      <c r="AH13" s="143" t="s">
        <v>728</v>
      </c>
      <c r="AI13" s="143">
        <v>1805</v>
      </c>
      <c r="AJ13" s="78">
        <v>1</v>
      </c>
      <c r="AK13" s="78">
        <v>1</v>
      </c>
      <c r="AL13" s="78">
        <v>1</v>
      </c>
      <c r="AM13" s="78">
        <v>6</v>
      </c>
      <c r="AN13" s="78">
        <v>0</v>
      </c>
      <c r="AO13" s="78">
        <v>0</v>
      </c>
      <c r="AP13" s="78">
        <v>1</v>
      </c>
      <c r="AQ13" s="78">
        <v>0</v>
      </c>
      <c r="AR13" s="78">
        <v>0</v>
      </c>
      <c r="AS13" s="78">
        <v>0</v>
      </c>
      <c r="AT13" s="78">
        <v>2</v>
      </c>
      <c r="AU13" s="78">
        <v>1</v>
      </c>
      <c r="AV13" s="78">
        <v>2</v>
      </c>
      <c r="AW13" s="78">
        <v>1</v>
      </c>
      <c r="AX13" s="78">
        <v>0</v>
      </c>
      <c r="AY13" s="78">
        <v>1</v>
      </c>
      <c r="AZ13" s="78">
        <v>0</v>
      </c>
      <c r="BA13" s="78">
        <v>0.5</v>
      </c>
      <c r="BB13" s="78">
        <v>0.5</v>
      </c>
      <c r="BC13" s="78">
        <v>0.5</v>
      </c>
      <c r="BD13" s="78">
        <v>1</v>
      </c>
      <c r="BE13" s="78">
        <v>0</v>
      </c>
      <c r="BF13" s="78">
        <v>0</v>
      </c>
      <c r="BG13" s="78">
        <v>2</v>
      </c>
      <c r="BH13" s="137">
        <v>0.48863640000000003</v>
      </c>
      <c r="BJ13" s="143" t="s">
        <v>759</v>
      </c>
      <c r="BK13" s="143" t="s">
        <v>758</v>
      </c>
      <c r="BL13" s="143" t="s">
        <v>728</v>
      </c>
      <c r="BM13" s="143">
        <v>1805</v>
      </c>
      <c r="BN13" s="78">
        <v>1</v>
      </c>
      <c r="BO13" s="78">
        <v>4</v>
      </c>
      <c r="BP13" s="78">
        <v>7</v>
      </c>
      <c r="BQ13" s="78">
        <v>3</v>
      </c>
      <c r="BR13" s="78">
        <v>3</v>
      </c>
      <c r="BS13" s="78">
        <v>3</v>
      </c>
      <c r="BT13" s="78">
        <v>0</v>
      </c>
      <c r="BU13" s="137">
        <v>0.91304350000000001</v>
      </c>
      <c r="BW13" s="143" t="s">
        <v>759</v>
      </c>
      <c r="BX13" s="143" t="s">
        <v>758</v>
      </c>
      <c r="BY13" s="143" t="s">
        <v>728</v>
      </c>
      <c r="BZ13" s="143">
        <v>1805</v>
      </c>
      <c r="CA13" s="78">
        <v>1</v>
      </c>
      <c r="CB13" s="78">
        <v>1</v>
      </c>
      <c r="CC13" s="78">
        <v>1</v>
      </c>
      <c r="CD13" s="78">
        <v>2</v>
      </c>
      <c r="CE13" s="78">
        <v>1</v>
      </c>
      <c r="CF13" s="78">
        <v>2</v>
      </c>
      <c r="CG13" s="78">
        <v>1</v>
      </c>
      <c r="CH13" s="78">
        <v>2</v>
      </c>
      <c r="CI13" s="78">
        <v>1</v>
      </c>
      <c r="CJ13" s="78">
        <v>0</v>
      </c>
      <c r="CK13" s="137">
        <v>0.8</v>
      </c>
      <c r="CM13" s="143" t="s">
        <v>759</v>
      </c>
      <c r="CN13" s="143" t="s">
        <v>758</v>
      </c>
      <c r="CO13" s="143" t="s">
        <v>728</v>
      </c>
      <c r="CP13" s="143">
        <v>1805</v>
      </c>
      <c r="CQ13" s="78">
        <v>2</v>
      </c>
      <c r="CR13" s="78">
        <v>0</v>
      </c>
      <c r="CS13" s="78">
        <v>16</v>
      </c>
      <c r="CT13" s="78">
        <v>4</v>
      </c>
      <c r="CU13" s="78">
        <v>2</v>
      </c>
      <c r="CV13" s="78">
        <v>8</v>
      </c>
      <c r="CW13" s="137">
        <v>0.61538459999999995</v>
      </c>
      <c r="CY13" s="143" t="s">
        <v>759</v>
      </c>
      <c r="CZ13" s="143" t="s">
        <v>758</v>
      </c>
      <c r="DA13" s="143" t="s">
        <v>728</v>
      </c>
      <c r="DB13" s="143">
        <v>1805</v>
      </c>
      <c r="DC13" s="78">
        <v>32</v>
      </c>
      <c r="DD13" s="137">
        <v>0</v>
      </c>
      <c r="DE13" s="137">
        <v>0</v>
      </c>
      <c r="DG13" s="143" t="s">
        <v>759</v>
      </c>
      <c r="DH13" s="143" t="s">
        <v>758</v>
      </c>
      <c r="DI13" s="143" t="s">
        <v>728</v>
      </c>
      <c r="DJ13" s="143">
        <v>1805</v>
      </c>
      <c r="DK13" s="78">
        <v>2</v>
      </c>
      <c r="DL13" s="78">
        <v>0</v>
      </c>
      <c r="DM13" s="78">
        <v>1</v>
      </c>
      <c r="DN13" s="78">
        <v>5</v>
      </c>
      <c r="DO13" s="78">
        <v>2</v>
      </c>
      <c r="DP13" s="78">
        <v>3</v>
      </c>
      <c r="DQ13" s="78">
        <v>8</v>
      </c>
      <c r="DR13" s="78">
        <v>1</v>
      </c>
      <c r="DS13" s="78">
        <v>1</v>
      </c>
      <c r="DT13" s="78">
        <v>0</v>
      </c>
      <c r="DU13" s="78">
        <v>0</v>
      </c>
      <c r="DV13" s="137">
        <v>0.79310349999999996</v>
      </c>
      <c r="DX13" s="143" t="s">
        <v>759</v>
      </c>
      <c r="DY13" s="143" t="s">
        <v>758</v>
      </c>
      <c r="DZ13" s="143" t="s">
        <v>728</v>
      </c>
      <c r="EA13" s="143">
        <v>1805</v>
      </c>
      <c r="EB13" s="78">
        <v>1</v>
      </c>
      <c r="EC13" s="78">
        <v>8</v>
      </c>
      <c r="ED13" s="78">
        <v>1</v>
      </c>
      <c r="EE13" s="78">
        <v>4</v>
      </c>
      <c r="EF13" s="78">
        <v>1</v>
      </c>
      <c r="EG13" s="78">
        <v>1</v>
      </c>
      <c r="EH13" s="78">
        <v>0</v>
      </c>
      <c r="EI13" s="78">
        <v>1</v>
      </c>
      <c r="EJ13" s="78">
        <v>1</v>
      </c>
      <c r="EK13" s="78">
        <v>1</v>
      </c>
      <c r="EL13" s="78">
        <v>4</v>
      </c>
      <c r="EM13" s="78">
        <v>1</v>
      </c>
      <c r="EN13" s="78">
        <v>1</v>
      </c>
      <c r="EO13" s="137">
        <v>0.92592589999999997</v>
      </c>
      <c r="EQ13" s="143" t="s">
        <v>759</v>
      </c>
      <c r="ER13" s="143" t="s">
        <v>758</v>
      </c>
      <c r="ES13" s="143" t="s">
        <v>728</v>
      </c>
      <c r="ET13" s="143">
        <v>1805</v>
      </c>
      <c r="EU13" s="78">
        <v>0.5</v>
      </c>
      <c r="EV13" s="78">
        <v>1</v>
      </c>
      <c r="EW13" s="78">
        <v>0</v>
      </c>
      <c r="EX13" s="78">
        <v>0</v>
      </c>
      <c r="EY13" s="78">
        <v>0.5</v>
      </c>
      <c r="EZ13" s="78">
        <v>3</v>
      </c>
      <c r="FA13" s="78">
        <v>2</v>
      </c>
      <c r="FB13" s="78">
        <v>1</v>
      </c>
      <c r="FC13" s="137">
        <v>0.61538459999999995</v>
      </c>
      <c r="FE13" s="137">
        <v>0.50146630000000003</v>
      </c>
    </row>
    <row r="14" spans="1:161" x14ac:dyDescent="0.25">
      <c r="A14" s="143" t="s">
        <v>759</v>
      </c>
      <c r="B14" s="143" t="s">
        <v>758</v>
      </c>
      <c r="C14" s="143" t="s">
        <v>728</v>
      </c>
      <c r="D14" s="143">
        <v>2062</v>
      </c>
      <c r="E14" s="78">
        <v>0</v>
      </c>
      <c r="F14" s="78">
        <v>2.5</v>
      </c>
      <c r="G14" s="78">
        <v>1</v>
      </c>
      <c r="H14" s="78">
        <v>4</v>
      </c>
      <c r="I14" s="78">
        <v>1</v>
      </c>
      <c r="J14" s="78">
        <v>0</v>
      </c>
      <c r="K14" s="78">
        <v>1</v>
      </c>
      <c r="L14" s="78">
        <v>1</v>
      </c>
      <c r="M14" s="78">
        <v>2</v>
      </c>
      <c r="N14" s="137">
        <v>0.89285709999999996</v>
      </c>
      <c r="P14" s="143" t="s">
        <v>759</v>
      </c>
      <c r="Q14" s="143" t="s">
        <v>758</v>
      </c>
      <c r="R14" s="143" t="s">
        <v>728</v>
      </c>
      <c r="S14" s="143">
        <v>2062</v>
      </c>
      <c r="T14" s="78">
        <v>1</v>
      </c>
      <c r="U14" s="78">
        <v>0</v>
      </c>
      <c r="V14" s="78">
        <v>1</v>
      </c>
      <c r="W14" s="78">
        <v>2</v>
      </c>
      <c r="X14" s="78">
        <v>9</v>
      </c>
      <c r="Y14" s="78">
        <v>1</v>
      </c>
      <c r="Z14" s="78">
        <v>0</v>
      </c>
      <c r="AA14" s="78">
        <v>0</v>
      </c>
      <c r="AB14" s="78">
        <v>0</v>
      </c>
      <c r="AC14" s="78">
        <v>0</v>
      </c>
      <c r="AD14" s="137">
        <v>0.41176469999999998</v>
      </c>
      <c r="AF14" s="143" t="s">
        <v>759</v>
      </c>
      <c r="AG14" s="143" t="s">
        <v>758</v>
      </c>
      <c r="AH14" s="143" t="s">
        <v>728</v>
      </c>
      <c r="AI14" s="143">
        <v>2062</v>
      </c>
      <c r="AJ14" s="78">
        <v>1</v>
      </c>
      <c r="AK14" s="78">
        <v>0</v>
      </c>
      <c r="AL14" s="78">
        <v>1</v>
      </c>
      <c r="AM14" s="78">
        <v>1</v>
      </c>
      <c r="AN14" s="78">
        <v>1</v>
      </c>
      <c r="AO14" s="78">
        <v>2</v>
      </c>
      <c r="AP14" s="78">
        <v>1</v>
      </c>
      <c r="AQ14" s="78">
        <v>1</v>
      </c>
      <c r="AR14" s="78">
        <v>2</v>
      </c>
      <c r="AS14" s="78">
        <v>2</v>
      </c>
      <c r="AT14" s="78">
        <v>0</v>
      </c>
      <c r="AU14" s="78">
        <v>1</v>
      </c>
      <c r="AV14" s="78">
        <v>2</v>
      </c>
      <c r="AW14" s="78">
        <v>1</v>
      </c>
      <c r="AX14" s="78">
        <v>0</v>
      </c>
      <c r="AY14" s="78">
        <v>1</v>
      </c>
      <c r="AZ14" s="78">
        <v>0</v>
      </c>
      <c r="BA14" s="78">
        <v>0.5</v>
      </c>
      <c r="BB14" s="78">
        <v>0.5</v>
      </c>
      <c r="BC14" s="78">
        <v>0</v>
      </c>
      <c r="BD14" s="78">
        <v>1</v>
      </c>
      <c r="BE14" s="78">
        <v>0.5</v>
      </c>
      <c r="BF14" s="78">
        <v>1</v>
      </c>
      <c r="BG14" s="78">
        <v>2</v>
      </c>
      <c r="BH14" s="137">
        <v>0.51136360000000003</v>
      </c>
      <c r="BJ14" s="143" t="s">
        <v>759</v>
      </c>
      <c r="BK14" s="143" t="s">
        <v>758</v>
      </c>
      <c r="BL14" s="143" t="s">
        <v>728</v>
      </c>
      <c r="BM14" s="143">
        <v>2062</v>
      </c>
      <c r="BN14" s="78">
        <v>0</v>
      </c>
      <c r="BO14" s="78">
        <v>4</v>
      </c>
      <c r="BP14" s="78">
        <v>0</v>
      </c>
      <c r="BQ14" s="78">
        <v>0</v>
      </c>
      <c r="BR14" s="78">
        <v>0</v>
      </c>
      <c r="BS14" s="78">
        <v>0</v>
      </c>
      <c r="BT14" s="78">
        <v>0</v>
      </c>
      <c r="BU14" s="137">
        <v>0.17391300000000001</v>
      </c>
      <c r="BW14" s="143" t="s">
        <v>759</v>
      </c>
      <c r="BX14" s="143" t="s">
        <v>758</v>
      </c>
      <c r="BY14" s="143" t="s">
        <v>728</v>
      </c>
      <c r="BZ14" s="143">
        <v>2062</v>
      </c>
      <c r="CA14" s="78">
        <v>1</v>
      </c>
      <c r="CB14" s="78">
        <v>1</v>
      </c>
      <c r="CC14" s="78">
        <v>1</v>
      </c>
      <c r="CD14" s="78">
        <v>2</v>
      </c>
      <c r="CE14" s="78">
        <v>1</v>
      </c>
      <c r="CF14" s="78">
        <v>2</v>
      </c>
      <c r="CG14" s="78">
        <v>1</v>
      </c>
      <c r="CH14" s="78">
        <v>2</v>
      </c>
      <c r="CI14" s="78">
        <v>1</v>
      </c>
      <c r="CJ14" s="78">
        <v>0</v>
      </c>
      <c r="CK14" s="137">
        <v>0.8</v>
      </c>
      <c r="CM14" s="143" t="s">
        <v>759</v>
      </c>
      <c r="CN14" s="143" t="s">
        <v>758</v>
      </c>
      <c r="CO14" s="143" t="s">
        <v>728</v>
      </c>
      <c r="CP14" s="143">
        <v>2062</v>
      </c>
      <c r="CQ14" s="78">
        <v>8</v>
      </c>
      <c r="CR14" s="78">
        <v>0</v>
      </c>
      <c r="CS14" s="78">
        <v>12</v>
      </c>
      <c r="CT14" s="78">
        <v>4</v>
      </c>
      <c r="CU14" s="78">
        <v>2</v>
      </c>
      <c r="CV14" s="78">
        <v>8</v>
      </c>
      <c r="CW14" s="137">
        <v>0.65384609999999999</v>
      </c>
      <c r="CY14" s="143" t="s">
        <v>759</v>
      </c>
      <c r="CZ14" s="143" t="s">
        <v>758</v>
      </c>
      <c r="DA14" s="143" t="s">
        <v>728</v>
      </c>
      <c r="DB14" s="143">
        <v>2062</v>
      </c>
      <c r="DC14" s="78">
        <v>28</v>
      </c>
      <c r="DD14" s="137">
        <v>0</v>
      </c>
      <c r="DE14" s="137">
        <v>0</v>
      </c>
      <c r="DG14" s="143" t="s">
        <v>759</v>
      </c>
      <c r="DH14" s="143" t="s">
        <v>758</v>
      </c>
      <c r="DI14" s="143" t="s">
        <v>728</v>
      </c>
      <c r="DJ14" s="143">
        <v>2062</v>
      </c>
      <c r="DK14" s="78">
        <v>2</v>
      </c>
      <c r="DL14" s="78">
        <v>1</v>
      </c>
      <c r="DM14" s="78">
        <v>1</v>
      </c>
      <c r="DN14" s="78">
        <v>4</v>
      </c>
      <c r="DO14" s="78">
        <v>2</v>
      </c>
      <c r="DP14" s="78">
        <v>2</v>
      </c>
      <c r="DQ14" s="78">
        <v>8</v>
      </c>
      <c r="DR14" s="78">
        <v>1</v>
      </c>
      <c r="DS14" s="78">
        <v>1</v>
      </c>
      <c r="DT14" s="78">
        <v>0</v>
      </c>
      <c r="DU14" s="78">
        <v>1</v>
      </c>
      <c r="DV14" s="137">
        <v>0.79310349999999996</v>
      </c>
      <c r="DX14" s="143" t="s">
        <v>759</v>
      </c>
      <c r="DY14" s="143" t="s">
        <v>758</v>
      </c>
      <c r="DZ14" s="143" t="s">
        <v>728</v>
      </c>
      <c r="EA14" s="143">
        <v>2062</v>
      </c>
      <c r="EB14" s="78">
        <v>1</v>
      </c>
      <c r="EC14" s="78">
        <v>8</v>
      </c>
      <c r="ED14" s="78">
        <v>1</v>
      </c>
      <c r="EE14" s="78">
        <v>4</v>
      </c>
      <c r="EF14" s="78">
        <v>1</v>
      </c>
      <c r="EG14" s="78">
        <v>1</v>
      </c>
      <c r="EH14" s="78">
        <v>0</v>
      </c>
      <c r="EI14" s="78">
        <v>1</v>
      </c>
      <c r="EJ14" s="78">
        <v>1</v>
      </c>
      <c r="EK14" s="78">
        <v>1</v>
      </c>
      <c r="EL14" s="78">
        <v>4</v>
      </c>
      <c r="EM14" s="78">
        <v>1</v>
      </c>
      <c r="EN14" s="78">
        <v>1</v>
      </c>
      <c r="EO14" s="137">
        <v>0.92592589999999997</v>
      </c>
      <c r="EQ14" s="143" t="s">
        <v>759</v>
      </c>
      <c r="ER14" s="143" t="s">
        <v>758</v>
      </c>
      <c r="ES14" s="143" t="s">
        <v>728</v>
      </c>
      <c r="ET14" s="143">
        <v>2062</v>
      </c>
      <c r="EU14" s="78">
        <v>0</v>
      </c>
      <c r="EV14" s="78">
        <v>1</v>
      </c>
      <c r="EW14" s="78">
        <v>0</v>
      </c>
      <c r="EX14" s="78">
        <v>0</v>
      </c>
      <c r="EY14" s="78">
        <v>0.5</v>
      </c>
      <c r="EZ14" s="78">
        <v>0</v>
      </c>
      <c r="FA14" s="78">
        <v>0</v>
      </c>
      <c r="FB14" s="78">
        <v>0</v>
      </c>
      <c r="FC14" s="137">
        <v>0.1153846</v>
      </c>
      <c r="FE14" s="137">
        <v>0.43548389999999998</v>
      </c>
    </row>
    <row r="15" spans="1:161" x14ac:dyDescent="0.25">
      <c r="A15" s="143" t="s">
        <v>759</v>
      </c>
      <c r="B15" s="143" t="s">
        <v>758</v>
      </c>
      <c r="C15" s="143" t="s">
        <v>728</v>
      </c>
      <c r="D15" s="143">
        <v>2152</v>
      </c>
      <c r="E15" s="78">
        <v>0</v>
      </c>
      <c r="F15" s="78">
        <v>2.5</v>
      </c>
      <c r="G15" s="78">
        <v>1</v>
      </c>
      <c r="H15" s="78">
        <v>3</v>
      </c>
      <c r="I15" s="78">
        <v>1</v>
      </c>
      <c r="J15" s="78">
        <v>0</v>
      </c>
      <c r="K15" s="78">
        <v>1</v>
      </c>
      <c r="L15" s="78">
        <v>1</v>
      </c>
      <c r="M15" s="78">
        <v>2</v>
      </c>
      <c r="N15" s="137">
        <v>0.82142859999999995</v>
      </c>
      <c r="P15" s="143" t="s">
        <v>759</v>
      </c>
      <c r="Q15" s="143" t="s">
        <v>758</v>
      </c>
      <c r="R15" s="143" t="s">
        <v>728</v>
      </c>
      <c r="S15" s="143">
        <v>2152</v>
      </c>
      <c r="T15" s="78">
        <v>1</v>
      </c>
      <c r="U15" s="78">
        <v>0</v>
      </c>
      <c r="V15" s="78">
        <v>0.5</v>
      </c>
      <c r="W15" s="78">
        <v>1</v>
      </c>
      <c r="X15" s="78">
        <v>12</v>
      </c>
      <c r="Y15" s="78">
        <v>1</v>
      </c>
      <c r="Z15" s="78">
        <v>3</v>
      </c>
      <c r="AA15" s="78">
        <v>2</v>
      </c>
      <c r="AB15" s="78">
        <v>0</v>
      </c>
      <c r="AC15" s="78">
        <v>0</v>
      </c>
      <c r="AD15" s="137">
        <v>0.60294119999999995</v>
      </c>
      <c r="AF15" s="143" t="s">
        <v>759</v>
      </c>
      <c r="AG15" s="143" t="s">
        <v>758</v>
      </c>
      <c r="AH15" s="143" t="s">
        <v>728</v>
      </c>
      <c r="AI15" s="143">
        <v>2152</v>
      </c>
      <c r="AJ15" s="78">
        <v>1</v>
      </c>
      <c r="AK15" s="78">
        <v>0</v>
      </c>
      <c r="AL15" s="78">
        <v>1</v>
      </c>
      <c r="AM15" s="78">
        <v>1</v>
      </c>
      <c r="AN15" s="78">
        <v>1</v>
      </c>
      <c r="AO15" s="78">
        <v>2</v>
      </c>
      <c r="AP15" s="78">
        <v>1</v>
      </c>
      <c r="AQ15" s="78">
        <v>1</v>
      </c>
      <c r="AR15" s="78">
        <v>2</v>
      </c>
      <c r="AS15" s="78">
        <v>0</v>
      </c>
      <c r="AT15" s="78">
        <v>0</v>
      </c>
      <c r="AU15" s="78">
        <v>1</v>
      </c>
      <c r="AV15" s="78">
        <v>0</v>
      </c>
      <c r="AW15" s="78">
        <v>1</v>
      </c>
      <c r="AX15" s="78">
        <v>0</v>
      </c>
      <c r="AY15" s="78">
        <v>1</v>
      </c>
      <c r="AZ15" s="78">
        <v>0</v>
      </c>
      <c r="BA15" s="78">
        <v>0.5</v>
      </c>
      <c r="BB15" s="78">
        <v>0.5</v>
      </c>
      <c r="BC15" s="78">
        <v>0.5</v>
      </c>
      <c r="BD15" s="78">
        <v>1</v>
      </c>
      <c r="BE15" s="78">
        <v>0</v>
      </c>
      <c r="BF15" s="78">
        <v>1</v>
      </c>
      <c r="BG15" s="78">
        <v>2</v>
      </c>
      <c r="BH15" s="137">
        <v>0.42045450000000001</v>
      </c>
      <c r="BJ15" s="143" t="s">
        <v>759</v>
      </c>
      <c r="BK15" s="143" t="s">
        <v>758</v>
      </c>
      <c r="BL15" s="143" t="s">
        <v>728</v>
      </c>
      <c r="BM15" s="143">
        <v>2152</v>
      </c>
      <c r="BN15" s="78">
        <v>0</v>
      </c>
      <c r="BO15" s="78">
        <v>4</v>
      </c>
      <c r="BP15" s="78">
        <v>7</v>
      </c>
      <c r="BQ15" s="78">
        <v>0</v>
      </c>
      <c r="BR15" s="78">
        <v>0</v>
      </c>
      <c r="BS15" s="78">
        <v>0</v>
      </c>
      <c r="BT15" s="78">
        <v>0</v>
      </c>
      <c r="BU15" s="137">
        <v>0.47826089999999999</v>
      </c>
      <c r="BW15" s="143" t="s">
        <v>759</v>
      </c>
      <c r="BX15" s="143" t="s">
        <v>758</v>
      </c>
      <c r="BY15" s="143" t="s">
        <v>728</v>
      </c>
      <c r="BZ15" s="143">
        <v>2152</v>
      </c>
      <c r="CA15" s="78">
        <v>1</v>
      </c>
      <c r="CB15" s="78">
        <v>1</v>
      </c>
      <c r="CC15" s="78">
        <v>1</v>
      </c>
      <c r="CD15" s="78">
        <v>2</v>
      </c>
      <c r="CE15" s="78">
        <v>1</v>
      </c>
      <c r="CF15" s="78">
        <v>2</v>
      </c>
      <c r="CG15" s="78">
        <v>1</v>
      </c>
      <c r="CH15" s="78">
        <v>2</v>
      </c>
      <c r="CI15" s="78">
        <v>1</v>
      </c>
      <c r="CJ15" s="78">
        <v>0</v>
      </c>
      <c r="CK15" s="137">
        <v>0.8</v>
      </c>
      <c r="CM15" s="143" t="s">
        <v>759</v>
      </c>
      <c r="CN15" s="143" t="s">
        <v>758</v>
      </c>
      <c r="CO15" s="143" t="s">
        <v>728</v>
      </c>
      <c r="CP15" s="143">
        <v>2152</v>
      </c>
      <c r="CQ15" s="78">
        <v>6</v>
      </c>
      <c r="CR15" s="78">
        <v>0</v>
      </c>
      <c r="CS15" s="78">
        <v>4</v>
      </c>
      <c r="CT15" s="78">
        <v>4</v>
      </c>
      <c r="CU15" s="78">
        <v>2</v>
      </c>
      <c r="CV15" s="78">
        <v>8</v>
      </c>
      <c r="CW15" s="137">
        <v>0.46153850000000002</v>
      </c>
      <c r="CY15" s="143" t="s">
        <v>759</v>
      </c>
      <c r="CZ15" s="143" t="s">
        <v>758</v>
      </c>
      <c r="DA15" s="143" t="s">
        <v>728</v>
      </c>
      <c r="DB15" s="143">
        <v>2152</v>
      </c>
      <c r="DC15" s="78">
        <v>14</v>
      </c>
      <c r="DD15" s="137">
        <v>0</v>
      </c>
      <c r="DE15" s="137">
        <v>0</v>
      </c>
      <c r="DG15" s="143" t="s">
        <v>759</v>
      </c>
      <c r="DH15" s="143" t="s">
        <v>758</v>
      </c>
      <c r="DI15" s="143" t="s">
        <v>728</v>
      </c>
      <c r="DJ15" s="143">
        <v>2152</v>
      </c>
      <c r="DK15" s="78">
        <v>2</v>
      </c>
      <c r="DL15" s="78">
        <v>0</v>
      </c>
      <c r="DM15" s="78">
        <v>1</v>
      </c>
      <c r="DN15" s="78">
        <v>5</v>
      </c>
      <c r="DO15" s="78">
        <v>2</v>
      </c>
      <c r="DP15" s="78">
        <v>3</v>
      </c>
      <c r="DQ15" s="78">
        <v>8</v>
      </c>
      <c r="DR15" s="78">
        <v>1</v>
      </c>
      <c r="DS15" s="78">
        <v>1</v>
      </c>
      <c r="DT15" s="78">
        <v>0</v>
      </c>
      <c r="DU15" s="78">
        <v>0</v>
      </c>
      <c r="DV15" s="137">
        <v>0.79310349999999996</v>
      </c>
      <c r="DX15" s="143" t="s">
        <v>759</v>
      </c>
      <c r="DY15" s="143" t="s">
        <v>758</v>
      </c>
      <c r="DZ15" s="143" t="s">
        <v>728</v>
      </c>
      <c r="EA15" s="143">
        <v>2152</v>
      </c>
      <c r="EB15" s="78">
        <v>1</v>
      </c>
      <c r="EC15" s="78">
        <v>8</v>
      </c>
      <c r="ED15" s="78">
        <v>1</v>
      </c>
      <c r="EE15" s="78">
        <v>0</v>
      </c>
      <c r="EF15" s="78">
        <v>1</v>
      </c>
      <c r="EG15" s="78">
        <v>1</v>
      </c>
      <c r="EH15" s="78">
        <v>0</v>
      </c>
      <c r="EI15" s="78">
        <v>1</v>
      </c>
      <c r="EJ15" s="78">
        <v>1</v>
      </c>
      <c r="EK15" s="78">
        <v>1</v>
      </c>
      <c r="EL15" s="78">
        <v>4</v>
      </c>
      <c r="EM15" s="78">
        <v>1</v>
      </c>
      <c r="EN15" s="78">
        <v>1</v>
      </c>
      <c r="EO15" s="137">
        <v>0.77777779999999996</v>
      </c>
      <c r="EQ15" s="143" t="s">
        <v>759</v>
      </c>
      <c r="ER15" s="143" t="s">
        <v>758</v>
      </c>
      <c r="ES15" s="143" t="s">
        <v>728</v>
      </c>
      <c r="ET15" s="143">
        <v>2152</v>
      </c>
      <c r="EU15" s="78">
        <v>0.5</v>
      </c>
      <c r="EV15" s="78">
        <v>1</v>
      </c>
      <c r="EW15" s="78">
        <v>0</v>
      </c>
      <c r="EX15" s="78">
        <v>0</v>
      </c>
      <c r="EY15" s="78">
        <v>0.5</v>
      </c>
      <c r="EZ15" s="78">
        <v>3</v>
      </c>
      <c r="FA15" s="78">
        <v>2</v>
      </c>
      <c r="FB15" s="78">
        <v>1</v>
      </c>
      <c r="FC15" s="137">
        <v>0.61538459999999995</v>
      </c>
      <c r="FE15" s="137">
        <v>0.43841639999999998</v>
      </c>
    </row>
    <row r="16" spans="1:161" hidden="1" x14ac:dyDescent="0.25">
      <c r="A16" s="143" t="s">
        <v>760</v>
      </c>
      <c r="B16" s="143" t="s">
        <v>761</v>
      </c>
      <c r="C16" s="143" t="s">
        <v>729</v>
      </c>
      <c r="D16" s="143">
        <v>554</v>
      </c>
      <c r="E16" s="78">
        <v>0</v>
      </c>
      <c r="F16" s="78">
        <v>1.5</v>
      </c>
      <c r="G16" s="78">
        <v>1</v>
      </c>
      <c r="H16" s="78">
        <v>4</v>
      </c>
      <c r="I16" s="78">
        <v>1</v>
      </c>
      <c r="J16" s="78">
        <v>0</v>
      </c>
      <c r="K16" s="78">
        <v>1</v>
      </c>
      <c r="L16" s="78">
        <v>1</v>
      </c>
      <c r="M16" s="78">
        <v>2</v>
      </c>
      <c r="N16" s="137">
        <v>0.82142859999999995</v>
      </c>
      <c r="P16" s="143" t="s">
        <v>760</v>
      </c>
      <c r="Q16" s="143" t="s">
        <v>761</v>
      </c>
      <c r="R16" s="143" t="s">
        <v>729</v>
      </c>
      <c r="S16" s="143">
        <v>554</v>
      </c>
      <c r="T16" s="78">
        <v>1</v>
      </c>
      <c r="U16" s="78">
        <v>1</v>
      </c>
      <c r="V16" s="78">
        <v>2</v>
      </c>
      <c r="W16" s="78">
        <v>2</v>
      </c>
      <c r="X16" s="78">
        <v>12</v>
      </c>
      <c r="Y16" s="78">
        <v>0</v>
      </c>
      <c r="Z16" s="78">
        <v>0</v>
      </c>
      <c r="AA16" s="78">
        <v>2</v>
      </c>
      <c r="AB16" s="78">
        <v>6</v>
      </c>
      <c r="AC16" s="78">
        <v>3</v>
      </c>
      <c r="AD16" s="137">
        <v>0.85294119999999995</v>
      </c>
      <c r="AF16" s="143" t="s">
        <v>760</v>
      </c>
      <c r="AG16" s="143" t="s">
        <v>761</v>
      </c>
      <c r="AH16" s="143" t="s">
        <v>729</v>
      </c>
      <c r="AI16" s="143">
        <v>554</v>
      </c>
      <c r="AJ16" s="78">
        <v>0</v>
      </c>
      <c r="AK16" s="78">
        <v>0</v>
      </c>
      <c r="AL16" s="78">
        <v>1</v>
      </c>
      <c r="AM16" s="78">
        <v>5</v>
      </c>
      <c r="AN16" s="78">
        <v>1</v>
      </c>
      <c r="AO16" s="78">
        <v>2</v>
      </c>
      <c r="AP16" s="78">
        <v>1</v>
      </c>
      <c r="AQ16" s="78">
        <v>1</v>
      </c>
      <c r="AR16" s="78">
        <v>2</v>
      </c>
      <c r="AS16" s="78">
        <v>0</v>
      </c>
      <c r="AT16" s="78">
        <v>2</v>
      </c>
      <c r="AU16" s="78">
        <v>0</v>
      </c>
      <c r="AV16" s="78">
        <v>0</v>
      </c>
      <c r="AW16" s="78">
        <v>0</v>
      </c>
      <c r="AX16" s="78">
        <v>0</v>
      </c>
      <c r="AY16" s="78">
        <v>1</v>
      </c>
      <c r="AZ16" s="78">
        <v>0</v>
      </c>
      <c r="BA16" s="78">
        <v>0.5</v>
      </c>
      <c r="BB16" s="78">
        <v>0.5</v>
      </c>
      <c r="BC16" s="78">
        <v>0.5</v>
      </c>
      <c r="BD16" s="78">
        <v>1</v>
      </c>
      <c r="BE16" s="78">
        <v>0.5</v>
      </c>
      <c r="BF16" s="78">
        <v>0</v>
      </c>
      <c r="BG16" s="78">
        <v>2</v>
      </c>
      <c r="BH16" s="137">
        <v>0.47727269999999999</v>
      </c>
      <c r="BJ16" s="143" t="s">
        <v>760</v>
      </c>
      <c r="BK16" s="143" t="s">
        <v>761</v>
      </c>
      <c r="BL16" s="143" t="s">
        <v>729</v>
      </c>
      <c r="BM16" s="143">
        <v>554</v>
      </c>
      <c r="BN16" s="78">
        <v>1</v>
      </c>
      <c r="BO16" s="78">
        <v>4</v>
      </c>
      <c r="BP16" s="78">
        <v>7</v>
      </c>
      <c r="BQ16" s="78">
        <v>0</v>
      </c>
      <c r="BR16" s="78">
        <v>0</v>
      </c>
      <c r="BS16" s="78">
        <v>0</v>
      </c>
      <c r="BT16" s="78">
        <v>2</v>
      </c>
      <c r="BU16" s="137">
        <v>0.6086956</v>
      </c>
      <c r="BW16" s="143" t="s">
        <v>760</v>
      </c>
      <c r="BX16" s="143" t="s">
        <v>761</v>
      </c>
      <c r="BY16" s="143" t="s">
        <v>729</v>
      </c>
      <c r="BZ16" s="143">
        <v>554</v>
      </c>
      <c r="CA16" s="78">
        <v>1</v>
      </c>
      <c r="CB16" s="78">
        <v>1</v>
      </c>
      <c r="CC16" s="78">
        <v>1</v>
      </c>
      <c r="CD16" s="78">
        <v>2</v>
      </c>
      <c r="CE16" s="78">
        <v>0</v>
      </c>
      <c r="CF16" s="78">
        <v>2</v>
      </c>
      <c r="CG16" s="78">
        <v>1</v>
      </c>
      <c r="CH16" s="78">
        <v>2</v>
      </c>
      <c r="CI16" s="78">
        <v>1</v>
      </c>
      <c r="CJ16" s="78">
        <v>0</v>
      </c>
      <c r="CK16" s="137">
        <v>0.73333329999999997</v>
      </c>
      <c r="CM16" s="143" t="s">
        <v>760</v>
      </c>
      <c r="CN16" s="143" t="s">
        <v>761</v>
      </c>
      <c r="CO16" s="143" t="s">
        <v>729</v>
      </c>
      <c r="CP16" s="143">
        <v>554</v>
      </c>
      <c r="CQ16" s="78">
        <v>8</v>
      </c>
      <c r="CR16" s="78">
        <v>0</v>
      </c>
      <c r="CS16" s="78">
        <v>16</v>
      </c>
      <c r="CT16" s="78">
        <v>4</v>
      </c>
      <c r="CU16" s="78">
        <v>0</v>
      </c>
      <c r="CV16" s="78">
        <v>8</v>
      </c>
      <c r="CW16" s="137">
        <v>0.69230769999999997</v>
      </c>
      <c r="CY16" s="143" t="s">
        <v>760</v>
      </c>
      <c r="CZ16" s="143" t="s">
        <v>761</v>
      </c>
      <c r="DA16" s="143" t="s">
        <v>729</v>
      </c>
      <c r="DB16" s="143">
        <v>554</v>
      </c>
      <c r="DC16" s="78">
        <v>76</v>
      </c>
      <c r="DD16" s="137">
        <v>0</v>
      </c>
      <c r="DE16" s="137">
        <v>0</v>
      </c>
      <c r="DG16" s="143" t="s">
        <v>760</v>
      </c>
      <c r="DH16" s="143" t="s">
        <v>761</v>
      </c>
      <c r="DI16" s="143" t="s">
        <v>729</v>
      </c>
      <c r="DJ16" s="143">
        <v>554</v>
      </c>
      <c r="DK16" s="78">
        <v>2</v>
      </c>
      <c r="DL16" s="78">
        <v>1</v>
      </c>
      <c r="DM16" s="78">
        <v>0</v>
      </c>
      <c r="DN16" s="78">
        <v>5</v>
      </c>
      <c r="DO16" s="78">
        <v>2</v>
      </c>
      <c r="DP16" s="78">
        <v>3</v>
      </c>
      <c r="DQ16" s="78">
        <v>8</v>
      </c>
      <c r="DR16" s="78">
        <v>1</v>
      </c>
      <c r="DS16" s="78">
        <v>1</v>
      </c>
      <c r="DT16" s="78">
        <v>0</v>
      </c>
      <c r="DU16" s="78">
        <v>1</v>
      </c>
      <c r="DV16" s="137">
        <v>0.82758620000000005</v>
      </c>
      <c r="DX16" s="143" t="s">
        <v>760</v>
      </c>
      <c r="DY16" s="143" t="s">
        <v>761</v>
      </c>
      <c r="DZ16" s="143" t="s">
        <v>729</v>
      </c>
      <c r="EA16" s="143">
        <v>554</v>
      </c>
      <c r="EB16" s="78">
        <v>1</v>
      </c>
      <c r="EC16" s="78">
        <v>8</v>
      </c>
      <c r="ED16" s="78">
        <v>1</v>
      </c>
      <c r="EE16" s="78">
        <v>4</v>
      </c>
      <c r="EF16" s="78">
        <v>1</v>
      </c>
      <c r="EG16" s="78">
        <v>1</v>
      </c>
      <c r="EH16" s="78">
        <v>0</v>
      </c>
      <c r="EI16" s="78">
        <v>1</v>
      </c>
      <c r="EJ16" s="78">
        <v>1</v>
      </c>
      <c r="EK16" s="78">
        <v>1</v>
      </c>
      <c r="EL16" s="78">
        <v>4</v>
      </c>
      <c r="EM16" s="78">
        <v>0</v>
      </c>
      <c r="EN16" s="78">
        <v>1</v>
      </c>
      <c r="EO16" s="137">
        <v>0.88888889999999998</v>
      </c>
      <c r="EQ16" s="143" t="s">
        <v>760</v>
      </c>
      <c r="ER16" s="143" t="s">
        <v>761</v>
      </c>
      <c r="ES16" s="143" t="s">
        <v>729</v>
      </c>
      <c r="ET16" s="143">
        <v>554</v>
      </c>
      <c r="EU16" s="78">
        <v>0.5</v>
      </c>
      <c r="EV16" s="78">
        <v>1</v>
      </c>
      <c r="EW16" s="78">
        <v>0</v>
      </c>
      <c r="EX16" s="78">
        <v>0</v>
      </c>
      <c r="EY16" s="78">
        <v>0.5</v>
      </c>
      <c r="EZ16" s="78">
        <v>3</v>
      </c>
      <c r="FA16" s="78">
        <v>2</v>
      </c>
      <c r="FB16" s="78">
        <v>1</v>
      </c>
      <c r="FC16" s="137">
        <v>0.61538459999999995</v>
      </c>
      <c r="FE16" s="137">
        <v>0.52346040000000005</v>
      </c>
    </row>
    <row r="17" spans="1:161" hidden="1" x14ac:dyDescent="0.25">
      <c r="A17" s="143" t="s">
        <v>760</v>
      </c>
      <c r="B17" s="143" t="s">
        <v>761</v>
      </c>
      <c r="C17" s="143" t="s">
        <v>727</v>
      </c>
      <c r="D17" s="143">
        <v>567</v>
      </c>
      <c r="E17" s="78">
        <v>0.5</v>
      </c>
      <c r="F17" s="78">
        <v>1</v>
      </c>
      <c r="G17" s="78">
        <v>1</v>
      </c>
      <c r="H17" s="78">
        <v>3</v>
      </c>
      <c r="I17" s="78">
        <v>1</v>
      </c>
      <c r="J17" s="78">
        <v>0</v>
      </c>
      <c r="K17" s="78">
        <v>1</v>
      </c>
      <c r="L17" s="78">
        <v>1</v>
      </c>
      <c r="M17" s="78">
        <v>2</v>
      </c>
      <c r="N17" s="137">
        <v>0.75</v>
      </c>
      <c r="P17" s="143" t="s">
        <v>760</v>
      </c>
      <c r="Q17" s="143" t="s">
        <v>761</v>
      </c>
      <c r="R17" s="143" t="s">
        <v>727</v>
      </c>
      <c r="S17" s="143">
        <v>567</v>
      </c>
      <c r="T17" s="78">
        <v>1</v>
      </c>
      <c r="U17" s="78">
        <v>1</v>
      </c>
      <c r="V17" s="78">
        <v>3</v>
      </c>
      <c r="W17" s="78">
        <v>0.5</v>
      </c>
      <c r="X17" s="78">
        <v>12</v>
      </c>
      <c r="Y17" s="78">
        <v>1</v>
      </c>
      <c r="Z17" s="78">
        <v>3</v>
      </c>
      <c r="AA17" s="78">
        <v>2</v>
      </c>
      <c r="AB17" s="78">
        <v>6</v>
      </c>
      <c r="AC17" s="78">
        <v>3</v>
      </c>
      <c r="AD17" s="137">
        <v>0.95588240000000002</v>
      </c>
      <c r="AF17" s="143" t="s">
        <v>760</v>
      </c>
      <c r="AG17" s="143" t="s">
        <v>761</v>
      </c>
      <c r="AH17" s="143" t="s">
        <v>727</v>
      </c>
      <c r="AI17" s="143">
        <v>567</v>
      </c>
      <c r="AJ17" s="78">
        <v>1</v>
      </c>
      <c r="AK17" s="78">
        <v>1</v>
      </c>
      <c r="AL17" s="78">
        <v>1</v>
      </c>
      <c r="AM17" s="78">
        <v>6</v>
      </c>
      <c r="AN17" s="78">
        <v>1</v>
      </c>
      <c r="AO17" s="78">
        <v>2</v>
      </c>
      <c r="AP17" s="78">
        <v>1</v>
      </c>
      <c r="AQ17" s="78">
        <v>1</v>
      </c>
      <c r="AR17" s="78">
        <v>2</v>
      </c>
      <c r="AS17" s="78">
        <v>2</v>
      </c>
      <c r="AT17" s="78">
        <v>0</v>
      </c>
      <c r="AU17" s="78">
        <v>0</v>
      </c>
      <c r="AV17" s="78">
        <v>2</v>
      </c>
      <c r="AW17" s="78">
        <v>0</v>
      </c>
      <c r="AX17" s="78">
        <v>0</v>
      </c>
      <c r="AY17" s="78">
        <v>1</v>
      </c>
      <c r="AZ17" s="78">
        <v>2</v>
      </c>
      <c r="BA17" s="78">
        <v>0.5</v>
      </c>
      <c r="BB17" s="78">
        <v>0.5</v>
      </c>
      <c r="BC17" s="78">
        <v>0.5</v>
      </c>
      <c r="BD17" s="78">
        <v>1</v>
      </c>
      <c r="BE17" s="78">
        <v>0.5</v>
      </c>
      <c r="BF17" s="78">
        <v>0</v>
      </c>
      <c r="BG17" s="78">
        <v>8</v>
      </c>
      <c r="BH17" s="137">
        <v>0.77272730000000001</v>
      </c>
      <c r="BJ17" s="143" t="s">
        <v>760</v>
      </c>
      <c r="BK17" s="143" t="s">
        <v>761</v>
      </c>
      <c r="BL17" s="143" t="s">
        <v>727</v>
      </c>
      <c r="BM17" s="143">
        <v>567</v>
      </c>
      <c r="BN17" s="78">
        <v>1</v>
      </c>
      <c r="BO17" s="78">
        <v>4</v>
      </c>
      <c r="BP17" s="78">
        <v>7</v>
      </c>
      <c r="BQ17" s="78">
        <v>0</v>
      </c>
      <c r="BR17" s="78">
        <v>0</v>
      </c>
      <c r="BS17" s="78">
        <v>0</v>
      </c>
      <c r="BT17" s="78">
        <v>2</v>
      </c>
      <c r="BU17" s="137">
        <v>0.6086956</v>
      </c>
      <c r="BW17" s="143" t="s">
        <v>760</v>
      </c>
      <c r="BX17" s="143" t="s">
        <v>761</v>
      </c>
      <c r="BY17" s="143" t="s">
        <v>727</v>
      </c>
      <c r="BZ17" s="143">
        <v>567</v>
      </c>
      <c r="CA17" s="78">
        <v>1</v>
      </c>
      <c r="CB17" s="78">
        <v>1</v>
      </c>
      <c r="CC17" s="78">
        <v>1</v>
      </c>
      <c r="CD17" s="78">
        <v>2</v>
      </c>
      <c r="CE17" s="78">
        <v>1</v>
      </c>
      <c r="CF17" s="78">
        <v>2</v>
      </c>
      <c r="CG17" s="78">
        <v>1</v>
      </c>
      <c r="CH17" s="78">
        <v>2</v>
      </c>
      <c r="CI17" s="78">
        <v>1</v>
      </c>
      <c r="CJ17" s="78">
        <v>3</v>
      </c>
      <c r="CK17" s="137">
        <v>1</v>
      </c>
      <c r="CM17" s="143" t="s">
        <v>760</v>
      </c>
      <c r="CN17" s="143" t="s">
        <v>761</v>
      </c>
      <c r="CO17" s="143" t="s">
        <v>727</v>
      </c>
      <c r="CP17" s="143">
        <v>567</v>
      </c>
      <c r="CQ17" s="78">
        <v>8</v>
      </c>
      <c r="CR17" s="78">
        <v>0</v>
      </c>
      <c r="CS17" s="78">
        <v>16</v>
      </c>
      <c r="CT17" s="78">
        <v>4</v>
      </c>
      <c r="CU17" s="78">
        <v>0</v>
      </c>
      <c r="CV17" s="78">
        <v>8</v>
      </c>
      <c r="CW17" s="137">
        <v>0.69230769999999997</v>
      </c>
      <c r="CY17" s="143" t="s">
        <v>760</v>
      </c>
      <c r="CZ17" s="143" t="s">
        <v>761</v>
      </c>
      <c r="DA17" s="143" t="s">
        <v>727</v>
      </c>
      <c r="DB17" s="143">
        <v>567</v>
      </c>
      <c r="DC17" s="78">
        <v>46</v>
      </c>
      <c r="DD17" s="137">
        <v>0.2</v>
      </c>
      <c r="DE17" s="137">
        <v>0.1022222</v>
      </c>
      <c r="DG17" s="143" t="s">
        <v>760</v>
      </c>
      <c r="DH17" s="143" t="s">
        <v>761</v>
      </c>
      <c r="DI17" s="143" t="s">
        <v>727</v>
      </c>
      <c r="DJ17" s="143">
        <v>567</v>
      </c>
      <c r="DK17" s="78">
        <v>2</v>
      </c>
      <c r="DL17" s="78">
        <v>1</v>
      </c>
      <c r="DM17" s="78">
        <v>0</v>
      </c>
      <c r="DN17" s="78">
        <v>5</v>
      </c>
      <c r="DO17" s="78">
        <v>2</v>
      </c>
      <c r="DP17" s="78">
        <v>3</v>
      </c>
      <c r="DQ17" s="78">
        <v>8</v>
      </c>
      <c r="DR17" s="78">
        <v>1</v>
      </c>
      <c r="DS17" s="78">
        <v>1</v>
      </c>
      <c r="DT17" s="78">
        <v>2</v>
      </c>
      <c r="DU17" s="78">
        <v>1</v>
      </c>
      <c r="DV17" s="137">
        <v>0.89655169999999995</v>
      </c>
      <c r="DX17" s="143" t="s">
        <v>760</v>
      </c>
      <c r="DY17" s="143" t="s">
        <v>761</v>
      </c>
      <c r="DZ17" s="143" t="s">
        <v>727</v>
      </c>
      <c r="EA17" s="143">
        <v>567</v>
      </c>
      <c r="EB17" s="78">
        <v>1</v>
      </c>
      <c r="EC17" s="78">
        <v>8</v>
      </c>
      <c r="ED17" s="78">
        <v>1</v>
      </c>
      <c r="EE17" s="78">
        <v>4</v>
      </c>
      <c r="EF17" s="78">
        <v>1</v>
      </c>
      <c r="EG17" s="78">
        <v>1</v>
      </c>
      <c r="EH17" s="78">
        <v>2</v>
      </c>
      <c r="EI17" s="78">
        <v>1</v>
      </c>
      <c r="EJ17" s="78">
        <v>1</v>
      </c>
      <c r="EK17" s="78">
        <v>1</v>
      </c>
      <c r="EL17" s="78">
        <v>4</v>
      </c>
      <c r="EM17" s="78">
        <v>1</v>
      </c>
      <c r="EN17" s="78">
        <v>1</v>
      </c>
      <c r="EO17" s="137">
        <v>1</v>
      </c>
      <c r="EQ17" s="143" t="s">
        <v>760</v>
      </c>
      <c r="ER17" s="143" t="s">
        <v>761</v>
      </c>
      <c r="ES17" s="143" t="s">
        <v>727</v>
      </c>
      <c r="ET17" s="143">
        <v>567</v>
      </c>
      <c r="EU17" s="78">
        <v>0.5</v>
      </c>
      <c r="EV17" s="78">
        <v>1</v>
      </c>
      <c r="EW17" s="78">
        <v>3</v>
      </c>
      <c r="EX17" s="78">
        <v>2</v>
      </c>
      <c r="EY17" s="78">
        <v>0.5</v>
      </c>
      <c r="EZ17" s="78">
        <v>3</v>
      </c>
      <c r="FA17" s="78">
        <v>2</v>
      </c>
      <c r="FB17" s="78">
        <v>0</v>
      </c>
      <c r="FC17" s="137">
        <v>0.92307689999999998</v>
      </c>
      <c r="FE17" s="137">
        <v>0.63401759999999996</v>
      </c>
    </row>
    <row r="18" spans="1:161" x14ac:dyDescent="0.25">
      <c r="A18" s="143" t="s">
        <v>760</v>
      </c>
      <c r="B18" s="143" t="s">
        <v>761</v>
      </c>
      <c r="C18" s="143" t="s">
        <v>728</v>
      </c>
      <c r="D18" s="143">
        <v>576</v>
      </c>
      <c r="E18" s="78">
        <v>0</v>
      </c>
      <c r="F18" s="78">
        <v>1.5</v>
      </c>
      <c r="G18" s="78">
        <v>1</v>
      </c>
      <c r="H18" s="78">
        <v>3</v>
      </c>
      <c r="I18" s="78">
        <v>1</v>
      </c>
      <c r="J18" s="78">
        <v>1</v>
      </c>
      <c r="K18" s="78">
        <v>0</v>
      </c>
      <c r="L18" s="78">
        <v>1</v>
      </c>
      <c r="M18" s="78">
        <v>0</v>
      </c>
      <c r="N18" s="137">
        <v>0.60714290000000004</v>
      </c>
      <c r="P18" s="143" t="s">
        <v>760</v>
      </c>
      <c r="Q18" s="143" t="s">
        <v>761</v>
      </c>
      <c r="R18" s="143" t="s">
        <v>728</v>
      </c>
      <c r="S18" s="143">
        <v>576</v>
      </c>
      <c r="T18" s="78">
        <v>1</v>
      </c>
      <c r="U18" s="78">
        <v>0</v>
      </c>
      <c r="V18" s="78">
        <v>2</v>
      </c>
      <c r="W18" s="78">
        <v>1</v>
      </c>
      <c r="X18" s="78">
        <v>6</v>
      </c>
      <c r="Y18" s="78">
        <v>1</v>
      </c>
      <c r="Z18" s="78">
        <v>0</v>
      </c>
      <c r="AA18" s="78">
        <v>0</v>
      </c>
      <c r="AB18" s="78">
        <v>0</v>
      </c>
      <c r="AC18" s="78">
        <v>0</v>
      </c>
      <c r="AD18" s="137">
        <v>0.32352940000000002</v>
      </c>
      <c r="AF18" s="143" t="s">
        <v>760</v>
      </c>
      <c r="AG18" s="143" t="s">
        <v>761</v>
      </c>
      <c r="AH18" s="143" t="s">
        <v>728</v>
      </c>
      <c r="AI18" s="143">
        <v>576</v>
      </c>
      <c r="AJ18" s="78">
        <v>0</v>
      </c>
      <c r="AK18" s="78">
        <v>0</v>
      </c>
      <c r="AL18" s="78">
        <v>1</v>
      </c>
      <c r="AM18" s="78">
        <v>0</v>
      </c>
      <c r="AN18" s="78">
        <v>1</v>
      </c>
      <c r="AO18" s="78">
        <v>0</v>
      </c>
      <c r="AP18" s="78">
        <v>1</v>
      </c>
      <c r="AQ18" s="78">
        <v>0</v>
      </c>
      <c r="AR18" s="78">
        <v>0</v>
      </c>
      <c r="AS18" s="78">
        <v>2</v>
      </c>
      <c r="AT18" s="78">
        <v>2</v>
      </c>
      <c r="AU18" s="78">
        <v>0</v>
      </c>
      <c r="AV18" s="78">
        <v>2</v>
      </c>
      <c r="AW18" s="78">
        <v>0</v>
      </c>
      <c r="AX18" s="78">
        <v>0</v>
      </c>
      <c r="AY18" s="78">
        <v>1</v>
      </c>
      <c r="AZ18" s="78">
        <v>2</v>
      </c>
      <c r="BA18" s="78">
        <v>0.5</v>
      </c>
      <c r="BB18" s="78">
        <v>0.5</v>
      </c>
      <c r="BC18" s="78">
        <v>0.5</v>
      </c>
      <c r="BD18" s="78">
        <v>1</v>
      </c>
      <c r="BE18" s="78">
        <v>0.5</v>
      </c>
      <c r="BF18" s="78">
        <v>0</v>
      </c>
      <c r="BG18" s="78">
        <v>6</v>
      </c>
      <c r="BH18" s="137">
        <v>0.47727269999999999</v>
      </c>
      <c r="BJ18" s="143" t="s">
        <v>760</v>
      </c>
      <c r="BK18" s="143" t="s">
        <v>761</v>
      </c>
      <c r="BL18" s="143" t="s">
        <v>728</v>
      </c>
      <c r="BM18" s="143">
        <v>576</v>
      </c>
      <c r="BN18" s="78">
        <v>1</v>
      </c>
      <c r="BO18" s="78">
        <v>4</v>
      </c>
      <c r="BP18" s="78">
        <v>7</v>
      </c>
      <c r="BQ18" s="78">
        <v>0</v>
      </c>
      <c r="BR18" s="78">
        <v>0</v>
      </c>
      <c r="BS18" s="78">
        <v>0</v>
      </c>
      <c r="BT18" s="78">
        <v>2</v>
      </c>
      <c r="BU18" s="137">
        <v>0.6086956</v>
      </c>
      <c r="BW18" s="143" t="s">
        <v>760</v>
      </c>
      <c r="BX18" s="143" t="s">
        <v>761</v>
      </c>
      <c r="BY18" s="143" t="s">
        <v>728</v>
      </c>
      <c r="BZ18" s="143">
        <v>576</v>
      </c>
      <c r="CM18" s="143" t="s">
        <v>760</v>
      </c>
      <c r="CN18" s="143" t="s">
        <v>761</v>
      </c>
      <c r="CO18" s="143" t="s">
        <v>728</v>
      </c>
      <c r="CP18" s="143">
        <v>576</v>
      </c>
      <c r="CQ18" s="78">
        <v>0</v>
      </c>
      <c r="CR18" s="78">
        <v>0</v>
      </c>
      <c r="CS18" s="78">
        <v>16</v>
      </c>
      <c r="CT18" s="78">
        <v>0</v>
      </c>
      <c r="CU18" s="78">
        <v>0</v>
      </c>
      <c r="CV18" s="78">
        <v>8</v>
      </c>
      <c r="CW18" s="137">
        <v>0.46153850000000002</v>
      </c>
      <c r="CY18" s="143" t="s">
        <v>760</v>
      </c>
      <c r="CZ18" s="143" t="s">
        <v>761</v>
      </c>
      <c r="DA18" s="143" t="s">
        <v>728</v>
      </c>
      <c r="DB18" s="143">
        <v>576</v>
      </c>
      <c r="DC18" s="78">
        <v>76</v>
      </c>
      <c r="DD18" s="137">
        <v>0.8</v>
      </c>
      <c r="DE18" s="137">
        <v>0.67555549999999998</v>
      </c>
      <c r="DG18" s="143" t="s">
        <v>760</v>
      </c>
      <c r="DH18" s="143" t="s">
        <v>761</v>
      </c>
      <c r="DI18" s="143" t="s">
        <v>728</v>
      </c>
      <c r="DJ18" s="143">
        <v>576</v>
      </c>
      <c r="DK18" s="78">
        <v>2</v>
      </c>
      <c r="DL18" s="78">
        <v>1</v>
      </c>
      <c r="DM18" s="78">
        <v>0</v>
      </c>
      <c r="DN18" s="78">
        <v>5</v>
      </c>
      <c r="DO18" s="78">
        <v>2</v>
      </c>
      <c r="DP18" s="78">
        <v>3</v>
      </c>
      <c r="DQ18" s="78">
        <v>8</v>
      </c>
      <c r="DR18" s="78">
        <v>0</v>
      </c>
      <c r="DS18" s="78">
        <v>1</v>
      </c>
      <c r="DT18" s="78">
        <v>0</v>
      </c>
      <c r="DU18" s="78">
        <v>0</v>
      </c>
      <c r="DV18" s="137">
        <v>0.75862070000000004</v>
      </c>
      <c r="DX18" s="143" t="s">
        <v>760</v>
      </c>
      <c r="DY18" s="143" t="s">
        <v>761</v>
      </c>
      <c r="DZ18" s="143" t="s">
        <v>728</v>
      </c>
      <c r="EA18" s="143">
        <v>576</v>
      </c>
      <c r="EB18" s="78">
        <v>0</v>
      </c>
      <c r="EC18" s="78">
        <v>8</v>
      </c>
      <c r="ED18" s="78">
        <v>1</v>
      </c>
      <c r="EE18" s="78">
        <v>4</v>
      </c>
      <c r="EF18" s="78">
        <v>1</v>
      </c>
      <c r="EG18" s="78">
        <v>1</v>
      </c>
      <c r="EH18" s="78">
        <v>0</v>
      </c>
      <c r="EI18" s="78">
        <v>1</v>
      </c>
      <c r="EJ18" s="78">
        <v>1</v>
      </c>
      <c r="EK18" s="78">
        <v>1</v>
      </c>
      <c r="EL18" s="78">
        <v>4</v>
      </c>
      <c r="EM18" s="78">
        <v>0</v>
      </c>
      <c r="EN18" s="78">
        <v>1</v>
      </c>
      <c r="EO18" s="137">
        <v>0.8518519</v>
      </c>
      <c r="EQ18" s="143" t="s">
        <v>760</v>
      </c>
      <c r="ER18" s="143" t="s">
        <v>761</v>
      </c>
      <c r="ES18" s="143" t="s">
        <v>728</v>
      </c>
      <c r="ET18" s="143">
        <v>576</v>
      </c>
      <c r="EU18" s="78">
        <v>0.5</v>
      </c>
      <c r="EV18" s="78">
        <v>1</v>
      </c>
      <c r="EW18" s="78">
        <v>3</v>
      </c>
      <c r="EX18" s="78">
        <v>2</v>
      </c>
      <c r="EY18" s="78">
        <v>0.5</v>
      </c>
      <c r="EZ18" s="78">
        <v>3</v>
      </c>
      <c r="FA18" s="78">
        <v>2</v>
      </c>
      <c r="FB18" s="78">
        <v>1</v>
      </c>
      <c r="FC18" s="137">
        <v>1</v>
      </c>
      <c r="FE18" s="137">
        <v>0.60521469999999999</v>
      </c>
    </row>
    <row r="19" spans="1:161" hidden="1" x14ac:dyDescent="0.25">
      <c r="A19" s="143" t="s">
        <v>760</v>
      </c>
      <c r="B19" s="143" t="s">
        <v>761</v>
      </c>
      <c r="C19" s="143" t="s">
        <v>727</v>
      </c>
      <c r="D19" s="143">
        <v>1754</v>
      </c>
      <c r="E19" s="78">
        <v>0.5</v>
      </c>
      <c r="F19" s="78">
        <v>2</v>
      </c>
      <c r="G19" s="78">
        <v>1</v>
      </c>
      <c r="H19" s="78">
        <v>0</v>
      </c>
      <c r="I19" s="78">
        <v>1</v>
      </c>
      <c r="J19" s="78">
        <v>0</v>
      </c>
      <c r="K19" s="78">
        <v>0</v>
      </c>
      <c r="L19" s="78">
        <v>1</v>
      </c>
      <c r="M19" s="78">
        <v>0</v>
      </c>
      <c r="N19" s="137">
        <v>0.39285710000000001</v>
      </c>
      <c r="P19" s="143" t="s">
        <v>760</v>
      </c>
      <c r="Q19" s="143" t="s">
        <v>761</v>
      </c>
      <c r="R19" s="143" t="s">
        <v>727</v>
      </c>
      <c r="S19" s="143">
        <v>1754</v>
      </c>
      <c r="T19" s="78">
        <v>1</v>
      </c>
      <c r="U19" s="78">
        <v>0</v>
      </c>
      <c r="V19" s="78">
        <v>0.5</v>
      </c>
      <c r="W19" s="78">
        <v>0</v>
      </c>
      <c r="X19" s="78">
        <v>9</v>
      </c>
      <c r="Y19" s="78">
        <v>1</v>
      </c>
      <c r="Z19" s="78">
        <v>0</v>
      </c>
      <c r="AA19" s="78">
        <v>2</v>
      </c>
      <c r="AB19" s="78">
        <v>0</v>
      </c>
      <c r="AC19" s="78">
        <v>0</v>
      </c>
      <c r="AD19" s="137">
        <v>0.39705879999999999</v>
      </c>
      <c r="AF19" s="143" t="s">
        <v>760</v>
      </c>
      <c r="AG19" s="143" t="s">
        <v>761</v>
      </c>
      <c r="AH19" s="143" t="s">
        <v>727</v>
      </c>
      <c r="AI19" s="143">
        <v>1754</v>
      </c>
      <c r="AJ19" s="78">
        <v>1</v>
      </c>
      <c r="AK19" s="78">
        <v>1</v>
      </c>
      <c r="AL19" s="78">
        <v>1</v>
      </c>
      <c r="AM19" s="78">
        <v>5</v>
      </c>
      <c r="AN19" s="78">
        <v>1</v>
      </c>
      <c r="AO19" s="78">
        <v>2</v>
      </c>
      <c r="AP19" s="78">
        <v>1</v>
      </c>
      <c r="AQ19" s="78">
        <v>1</v>
      </c>
      <c r="AR19" s="78">
        <v>2</v>
      </c>
      <c r="AS19" s="78">
        <v>2</v>
      </c>
      <c r="AT19" s="78">
        <v>2</v>
      </c>
      <c r="AU19" s="78">
        <v>0</v>
      </c>
      <c r="AV19" s="78">
        <v>2</v>
      </c>
      <c r="AW19" s="78">
        <v>0</v>
      </c>
      <c r="AX19" s="78">
        <v>0</v>
      </c>
      <c r="AY19" s="78">
        <v>1</v>
      </c>
      <c r="AZ19" s="78">
        <v>2</v>
      </c>
      <c r="BA19" s="78">
        <v>0.5</v>
      </c>
      <c r="BB19" s="78">
        <v>0.5</v>
      </c>
      <c r="BC19" s="78">
        <v>0.5</v>
      </c>
      <c r="BD19" s="78">
        <v>1</v>
      </c>
      <c r="BE19" s="78">
        <v>0</v>
      </c>
      <c r="BF19" s="78">
        <v>0</v>
      </c>
      <c r="BG19" s="78">
        <v>2</v>
      </c>
      <c r="BH19" s="137">
        <v>0.64772730000000001</v>
      </c>
      <c r="BJ19" s="143" t="s">
        <v>760</v>
      </c>
      <c r="BK19" s="143" t="s">
        <v>761</v>
      </c>
      <c r="BL19" s="143" t="s">
        <v>727</v>
      </c>
      <c r="BM19" s="143">
        <v>1754</v>
      </c>
      <c r="BN19" s="78">
        <v>0</v>
      </c>
      <c r="BO19" s="78">
        <v>4</v>
      </c>
      <c r="BP19" s="78">
        <v>7</v>
      </c>
      <c r="BQ19" s="78">
        <v>0</v>
      </c>
      <c r="BR19" s="78">
        <v>0</v>
      </c>
      <c r="BS19" s="78">
        <v>0</v>
      </c>
      <c r="BT19" s="78">
        <v>2</v>
      </c>
      <c r="BU19" s="137">
        <v>0.56521739999999998</v>
      </c>
      <c r="BW19" s="143" t="s">
        <v>760</v>
      </c>
      <c r="BX19" s="143" t="s">
        <v>761</v>
      </c>
      <c r="BY19" s="143" t="s">
        <v>727</v>
      </c>
      <c r="BZ19" s="143">
        <v>1754</v>
      </c>
      <c r="CA19" s="78">
        <v>1</v>
      </c>
      <c r="CB19" s="78">
        <v>1</v>
      </c>
      <c r="CC19" s="78">
        <v>1</v>
      </c>
      <c r="CD19" s="78">
        <v>0</v>
      </c>
      <c r="CE19" s="78">
        <v>1</v>
      </c>
      <c r="CF19" s="78">
        <v>2</v>
      </c>
      <c r="CG19" s="78">
        <v>1</v>
      </c>
      <c r="CH19" s="78">
        <v>2</v>
      </c>
      <c r="CI19" s="78">
        <v>1</v>
      </c>
      <c r="CJ19" s="78">
        <v>0</v>
      </c>
      <c r="CK19" s="137">
        <v>0.66666669999999995</v>
      </c>
      <c r="CM19" s="143" t="s">
        <v>760</v>
      </c>
      <c r="CN19" s="143" t="s">
        <v>761</v>
      </c>
      <c r="CO19" s="143" t="s">
        <v>727</v>
      </c>
      <c r="CP19" s="143">
        <v>1754</v>
      </c>
      <c r="CQ19" s="78">
        <v>0</v>
      </c>
      <c r="CR19" s="78">
        <v>0</v>
      </c>
      <c r="CS19" s="78">
        <v>20</v>
      </c>
      <c r="CT19" s="78">
        <v>0</v>
      </c>
      <c r="CU19" s="78">
        <v>0</v>
      </c>
      <c r="CV19" s="78">
        <v>8</v>
      </c>
      <c r="CW19" s="137">
        <v>0.53846159999999998</v>
      </c>
      <c r="CY19" s="143" t="s">
        <v>760</v>
      </c>
      <c r="CZ19" s="143" t="s">
        <v>761</v>
      </c>
      <c r="DA19" s="143" t="s">
        <v>727</v>
      </c>
      <c r="DB19" s="143">
        <v>1754</v>
      </c>
      <c r="DC19" s="78">
        <v>82</v>
      </c>
      <c r="DD19" s="137">
        <v>0</v>
      </c>
      <c r="DE19" s="137">
        <v>0</v>
      </c>
      <c r="DG19" s="143" t="s">
        <v>760</v>
      </c>
      <c r="DH19" s="143" t="s">
        <v>761</v>
      </c>
      <c r="DI19" s="143" t="s">
        <v>727</v>
      </c>
      <c r="DJ19" s="143">
        <v>1754</v>
      </c>
      <c r="DK19" s="78">
        <v>2</v>
      </c>
      <c r="DL19" s="78">
        <v>0</v>
      </c>
      <c r="DM19" s="78">
        <v>0</v>
      </c>
      <c r="DN19" s="78">
        <v>5</v>
      </c>
      <c r="DO19" s="78">
        <v>2</v>
      </c>
      <c r="DP19" s="78">
        <v>3</v>
      </c>
      <c r="DQ19" s="78">
        <v>8</v>
      </c>
      <c r="DR19" s="78">
        <v>1</v>
      </c>
      <c r="DS19" s="78">
        <v>1</v>
      </c>
      <c r="DT19" s="78">
        <v>0</v>
      </c>
      <c r="DU19" s="78">
        <v>0</v>
      </c>
      <c r="DV19" s="137">
        <v>0.75862070000000004</v>
      </c>
      <c r="DX19" s="143" t="s">
        <v>760</v>
      </c>
      <c r="DY19" s="143" t="s">
        <v>761</v>
      </c>
      <c r="DZ19" s="143" t="s">
        <v>727</v>
      </c>
      <c r="EA19" s="143">
        <v>1754</v>
      </c>
      <c r="EB19" s="78">
        <v>1</v>
      </c>
      <c r="EC19" s="78">
        <v>8</v>
      </c>
      <c r="ED19" s="78">
        <v>1</v>
      </c>
      <c r="EE19" s="78">
        <v>4</v>
      </c>
      <c r="EF19" s="78">
        <v>1</v>
      </c>
      <c r="EG19" s="78">
        <v>1</v>
      </c>
      <c r="EH19" s="78">
        <v>2</v>
      </c>
      <c r="EI19" s="78">
        <v>1</v>
      </c>
      <c r="EJ19" s="78">
        <v>1</v>
      </c>
      <c r="EK19" s="78">
        <v>1</v>
      </c>
      <c r="EL19" s="78">
        <v>4</v>
      </c>
      <c r="EM19" s="78">
        <v>1</v>
      </c>
      <c r="EN19" s="78">
        <v>1</v>
      </c>
      <c r="EO19" s="137">
        <v>1</v>
      </c>
      <c r="EQ19" s="143" t="s">
        <v>760</v>
      </c>
      <c r="ER19" s="143" t="s">
        <v>761</v>
      </c>
      <c r="ES19" s="143" t="s">
        <v>727</v>
      </c>
      <c r="ET19" s="143">
        <v>1754</v>
      </c>
      <c r="EU19" s="78">
        <v>0.5</v>
      </c>
      <c r="EV19" s="78">
        <v>1</v>
      </c>
      <c r="EW19" s="78">
        <v>0</v>
      </c>
      <c r="EX19" s="78">
        <v>0</v>
      </c>
      <c r="EY19" s="78">
        <v>0</v>
      </c>
      <c r="EZ19" s="78">
        <v>3</v>
      </c>
      <c r="FA19" s="78">
        <v>2</v>
      </c>
      <c r="FB19" s="78">
        <v>0</v>
      </c>
      <c r="FC19" s="137">
        <v>0.5</v>
      </c>
      <c r="FE19" s="137">
        <v>0.45161289999999998</v>
      </c>
    </row>
    <row r="20" spans="1:161" x14ac:dyDescent="0.25">
      <c r="A20" s="143" t="s">
        <v>760</v>
      </c>
      <c r="B20" s="143" t="s">
        <v>761</v>
      </c>
      <c r="C20" s="143" t="s">
        <v>728</v>
      </c>
      <c r="D20" s="143">
        <v>1760</v>
      </c>
      <c r="E20" s="78">
        <v>0.5</v>
      </c>
      <c r="F20" s="78">
        <v>1.5</v>
      </c>
      <c r="G20" s="78">
        <v>1</v>
      </c>
      <c r="H20" s="78">
        <v>3</v>
      </c>
      <c r="I20" s="78">
        <v>1</v>
      </c>
      <c r="J20" s="78">
        <v>1</v>
      </c>
      <c r="K20" s="78">
        <v>0</v>
      </c>
      <c r="L20" s="78">
        <v>1</v>
      </c>
      <c r="M20" s="78">
        <v>2</v>
      </c>
      <c r="N20" s="137">
        <v>0.78571429999999998</v>
      </c>
      <c r="P20" s="143" t="s">
        <v>760</v>
      </c>
      <c r="Q20" s="143" t="s">
        <v>761</v>
      </c>
      <c r="R20" s="143" t="s">
        <v>728</v>
      </c>
      <c r="S20" s="143">
        <v>1760</v>
      </c>
      <c r="T20" s="78">
        <v>1</v>
      </c>
      <c r="U20" s="78">
        <v>0</v>
      </c>
      <c r="V20" s="78">
        <v>2</v>
      </c>
      <c r="W20" s="78">
        <v>2</v>
      </c>
      <c r="X20" s="78">
        <v>6</v>
      </c>
      <c r="Y20" s="78">
        <v>1</v>
      </c>
      <c r="Z20" s="78">
        <v>3</v>
      </c>
      <c r="AA20" s="78">
        <v>0</v>
      </c>
      <c r="AB20" s="78">
        <v>0</v>
      </c>
      <c r="AC20" s="78">
        <v>0</v>
      </c>
      <c r="AD20" s="137">
        <v>0.44117650000000003</v>
      </c>
      <c r="AF20" s="143" t="s">
        <v>760</v>
      </c>
      <c r="AG20" s="143" t="s">
        <v>761</v>
      </c>
      <c r="AH20" s="143" t="s">
        <v>728</v>
      </c>
      <c r="AI20" s="143">
        <v>1760</v>
      </c>
      <c r="AJ20" s="78">
        <v>0</v>
      </c>
      <c r="AK20" s="78">
        <v>0</v>
      </c>
      <c r="AL20" s="78">
        <v>1</v>
      </c>
      <c r="AM20" s="78">
        <v>6</v>
      </c>
      <c r="AN20" s="78">
        <v>0</v>
      </c>
      <c r="AO20" s="78">
        <v>2</v>
      </c>
      <c r="AP20" s="78">
        <v>1</v>
      </c>
      <c r="AQ20" s="78">
        <v>1</v>
      </c>
      <c r="AR20" s="78">
        <v>2</v>
      </c>
      <c r="AS20" s="78">
        <v>2</v>
      </c>
      <c r="AT20" s="78">
        <v>2</v>
      </c>
      <c r="AU20" s="78">
        <v>0</v>
      </c>
      <c r="AV20" s="78">
        <v>0</v>
      </c>
      <c r="AW20" s="78">
        <v>0</v>
      </c>
      <c r="AX20" s="78">
        <v>0</v>
      </c>
      <c r="AY20" s="78">
        <v>0</v>
      </c>
      <c r="AZ20" s="78">
        <v>2</v>
      </c>
      <c r="BA20" s="78">
        <v>0.5</v>
      </c>
      <c r="BB20" s="78">
        <v>0.5</v>
      </c>
      <c r="BC20" s="78">
        <v>0.5</v>
      </c>
      <c r="BD20" s="78">
        <v>1</v>
      </c>
      <c r="BE20" s="78">
        <v>0.5</v>
      </c>
      <c r="BF20" s="78">
        <v>0</v>
      </c>
      <c r="BG20" s="78">
        <v>8</v>
      </c>
      <c r="BH20" s="137">
        <v>0.68181820000000004</v>
      </c>
      <c r="BJ20" s="143" t="s">
        <v>760</v>
      </c>
      <c r="BK20" s="143" t="s">
        <v>761</v>
      </c>
      <c r="BL20" s="143" t="s">
        <v>728</v>
      </c>
      <c r="BM20" s="143">
        <v>1760</v>
      </c>
      <c r="BN20" s="78">
        <v>1</v>
      </c>
      <c r="BO20" s="78">
        <v>4</v>
      </c>
      <c r="BP20" s="78">
        <v>7</v>
      </c>
      <c r="BQ20" s="78">
        <v>0</v>
      </c>
      <c r="BR20" s="78">
        <v>0</v>
      </c>
      <c r="BS20" s="78">
        <v>0</v>
      </c>
      <c r="BT20" s="78">
        <v>2</v>
      </c>
      <c r="BU20" s="137">
        <v>0.6086956</v>
      </c>
      <c r="BW20" s="143" t="s">
        <v>760</v>
      </c>
      <c r="BX20" s="143" t="s">
        <v>761</v>
      </c>
      <c r="BY20" s="143" t="s">
        <v>728</v>
      </c>
      <c r="BZ20" s="143">
        <v>1760</v>
      </c>
      <c r="CM20" s="143" t="s">
        <v>760</v>
      </c>
      <c r="CN20" s="143" t="s">
        <v>761</v>
      </c>
      <c r="CO20" s="143" t="s">
        <v>728</v>
      </c>
      <c r="CP20" s="143">
        <v>1760</v>
      </c>
      <c r="CQ20" s="78">
        <v>8</v>
      </c>
      <c r="CR20" s="78">
        <v>0</v>
      </c>
      <c r="CS20" s="78">
        <v>12</v>
      </c>
      <c r="CT20" s="78">
        <v>4</v>
      </c>
      <c r="CU20" s="78">
        <v>0</v>
      </c>
      <c r="CV20" s="78">
        <v>8</v>
      </c>
      <c r="CW20" s="137">
        <v>0.61538459999999995</v>
      </c>
      <c r="CY20" s="143" t="s">
        <v>760</v>
      </c>
      <c r="CZ20" s="143" t="s">
        <v>761</v>
      </c>
      <c r="DA20" s="143" t="s">
        <v>728</v>
      </c>
      <c r="DB20" s="143">
        <v>1760</v>
      </c>
      <c r="DC20" s="78">
        <v>46</v>
      </c>
      <c r="DD20" s="137">
        <v>0</v>
      </c>
      <c r="DE20" s="137">
        <v>0</v>
      </c>
      <c r="DG20" s="143" t="s">
        <v>760</v>
      </c>
      <c r="DH20" s="143" t="s">
        <v>761</v>
      </c>
      <c r="DI20" s="143" t="s">
        <v>728</v>
      </c>
      <c r="DJ20" s="143">
        <v>1760</v>
      </c>
      <c r="DK20" s="78">
        <v>2</v>
      </c>
      <c r="DL20" s="78">
        <v>1</v>
      </c>
      <c r="DM20" s="78">
        <v>0</v>
      </c>
      <c r="DN20" s="78">
        <v>5</v>
      </c>
      <c r="DO20" s="78">
        <v>2</v>
      </c>
      <c r="DP20" s="78">
        <v>3</v>
      </c>
      <c r="DQ20" s="78">
        <v>7</v>
      </c>
      <c r="DR20" s="78">
        <v>1</v>
      </c>
      <c r="DS20" s="78">
        <v>1</v>
      </c>
      <c r="DT20" s="78">
        <v>0</v>
      </c>
      <c r="DU20" s="78">
        <v>0</v>
      </c>
      <c r="DV20" s="137">
        <v>0.75862070000000004</v>
      </c>
      <c r="DX20" s="143" t="s">
        <v>760</v>
      </c>
      <c r="DY20" s="143" t="s">
        <v>761</v>
      </c>
      <c r="DZ20" s="143" t="s">
        <v>728</v>
      </c>
      <c r="EA20" s="143">
        <v>1760</v>
      </c>
      <c r="EB20" s="78">
        <v>1</v>
      </c>
      <c r="EC20" s="78">
        <v>8</v>
      </c>
      <c r="ED20" s="78">
        <v>1</v>
      </c>
      <c r="EE20" s="78">
        <v>4</v>
      </c>
      <c r="EF20" s="78">
        <v>0</v>
      </c>
      <c r="EG20" s="78">
        <v>1</v>
      </c>
      <c r="EH20" s="78">
        <v>0</v>
      </c>
      <c r="EI20" s="78">
        <v>1</v>
      </c>
      <c r="EJ20" s="78">
        <v>1</v>
      </c>
      <c r="EK20" s="78">
        <v>1</v>
      </c>
      <c r="EL20" s="78">
        <v>4</v>
      </c>
      <c r="EM20" s="78">
        <v>1</v>
      </c>
      <c r="EN20" s="78">
        <v>1</v>
      </c>
      <c r="EO20" s="137">
        <v>0.88888889999999998</v>
      </c>
      <c r="EQ20" s="143" t="s">
        <v>760</v>
      </c>
      <c r="ER20" s="143" t="s">
        <v>761</v>
      </c>
      <c r="ES20" s="143" t="s">
        <v>728</v>
      </c>
      <c r="ET20" s="143">
        <v>1760</v>
      </c>
      <c r="EU20" s="78">
        <v>0.5</v>
      </c>
      <c r="EV20" s="78">
        <v>1</v>
      </c>
      <c r="EW20" s="78">
        <v>0</v>
      </c>
      <c r="EX20" s="78">
        <v>2</v>
      </c>
      <c r="EY20" s="78">
        <v>0.5</v>
      </c>
      <c r="EZ20" s="78">
        <v>3</v>
      </c>
      <c r="FA20" s="78">
        <v>2</v>
      </c>
      <c r="FB20" s="78">
        <v>1</v>
      </c>
      <c r="FC20" s="137">
        <v>0.76923079999999999</v>
      </c>
      <c r="FE20" s="137">
        <v>0.4846626</v>
      </c>
    </row>
    <row r="21" spans="1:161" x14ac:dyDescent="0.25">
      <c r="A21" s="143" t="s">
        <v>760</v>
      </c>
      <c r="B21" s="143" t="s">
        <v>761</v>
      </c>
      <c r="C21" s="143" t="s">
        <v>728</v>
      </c>
      <c r="D21" s="143">
        <v>1824</v>
      </c>
      <c r="E21" s="78">
        <v>0</v>
      </c>
      <c r="F21" s="78">
        <v>1</v>
      </c>
      <c r="G21" s="78">
        <v>1</v>
      </c>
      <c r="H21" s="78">
        <v>3</v>
      </c>
      <c r="I21" s="78">
        <v>1</v>
      </c>
      <c r="J21" s="78">
        <v>0</v>
      </c>
      <c r="K21" s="78">
        <v>1</v>
      </c>
      <c r="L21" s="78">
        <v>1</v>
      </c>
      <c r="M21" s="78">
        <v>2</v>
      </c>
      <c r="N21" s="137">
        <v>0.71428570000000002</v>
      </c>
      <c r="P21" s="143" t="s">
        <v>760</v>
      </c>
      <c r="Q21" s="143" t="s">
        <v>761</v>
      </c>
      <c r="R21" s="143" t="s">
        <v>728</v>
      </c>
      <c r="S21" s="143">
        <v>1824</v>
      </c>
      <c r="T21" s="78">
        <v>0</v>
      </c>
      <c r="U21" s="78">
        <v>1</v>
      </c>
      <c r="V21" s="78">
        <v>1.5</v>
      </c>
      <c r="W21" s="78">
        <v>0.5</v>
      </c>
      <c r="X21" s="78">
        <v>12</v>
      </c>
      <c r="Y21" s="78">
        <v>1</v>
      </c>
      <c r="Z21" s="78">
        <v>3</v>
      </c>
      <c r="AA21" s="78">
        <v>0</v>
      </c>
      <c r="AB21" s="78">
        <v>0</v>
      </c>
      <c r="AC21" s="78">
        <v>3</v>
      </c>
      <c r="AD21" s="137">
        <v>0.64705880000000005</v>
      </c>
      <c r="AF21" s="143" t="s">
        <v>760</v>
      </c>
      <c r="AG21" s="143" t="s">
        <v>761</v>
      </c>
      <c r="AH21" s="143" t="s">
        <v>728</v>
      </c>
      <c r="AI21" s="143">
        <v>1824</v>
      </c>
      <c r="AJ21" s="78">
        <v>0</v>
      </c>
      <c r="AK21" s="78">
        <v>1</v>
      </c>
      <c r="AL21" s="78">
        <v>1</v>
      </c>
      <c r="AM21" s="78">
        <v>1</v>
      </c>
      <c r="AN21" s="78">
        <v>1</v>
      </c>
      <c r="AO21" s="78">
        <v>2</v>
      </c>
      <c r="AP21" s="78">
        <v>1</v>
      </c>
      <c r="AQ21" s="78">
        <v>1</v>
      </c>
      <c r="AR21" s="78">
        <v>2</v>
      </c>
      <c r="AS21" s="78">
        <v>2</v>
      </c>
      <c r="AT21" s="78">
        <v>0</v>
      </c>
      <c r="AU21" s="78">
        <v>1</v>
      </c>
      <c r="AV21" s="78">
        <v>2</v>
      </c>
      <c r="AW21" s="78">
        <v>1</v>
      </c>
      <c r="AX21" s="78">
        <v>0</v>
      </c>
      <c r="AY21" s="78">
        <v>1</v>
      </c>
      <c r="AZ21" s="78">
        <v>2</v>
      </c>
      <c r="BA21" s="78">
        <v>0.5</v>
      </c>
      <c r="BB21" s="78">
        <v>0.5</v>
      </c>
      <c r="BC21" s="78">
        <v>0.5</v>
      </c>
      <c r="BD21" s="78">
        <v>1</v>
      </c>
      <c r="BE21" s="78">
        <v>0</v>
      </c>
      <c r="BF21" s="78">
        <v>1</v>
      </c>
      <c r="BG21" s="78">
        <v>8</v>
      </c>
      <c r="BH21" s="137">
        <v>0.69318179999999996</v>
      </c>
      <c r="BJ21" s="143" t="s">
        <v>760</v>
      </c>
      <c r="BK21" s="143" t="s">
        <v>761</v>
      </c>
      <c r="BL21" s="143" t="s">
        <v>728</v>
      </c>
      <c r="BM21" s="143">
        <v>1824</v>
      </c>
      <c r="BN21" s="78">
        <v>1</v>
      </c>
      <c r="BO21" s="78">
        <v>4</v>
      </c>
      <c r="BP21" s="78">
        <v>7</v>
      </c>
      <c r="BQ21" s="78">
        <v>0</v>
      </c>
      <c r="BR21" s="78">
        <v>0</v>
      </c>
      <c r="BS21" s="78">
        <v>0</v>
      </c>
      <c r="BT21" s="78">
        <v>2</v>
      </c>
      <c r="BU21" s="137">
        <v>0.6086956</v>
      </c>
      <c r="BW21" s="143" t="s">
        <v>760</v>
      </c>
      <c r="BX21" s="143" t="s">
        <v>761</v>
      </c>
      <c r="BY21" s="143" t="s">
        <v>728</v>
      </c>
      <c r="BZ21" s="143">
        <v>1824</v>
      </c>
      <c r="CM21" s="143" t="s">
        <v>760</v>
      </c>
      <c r="CN21" s="143" t="s">
        <v>761</v>
      </c>
      <c r="CO21" s="143" t="s">
        <v>728</v>
      </c>
      <c r="CP21" s="143">
        <v>1824</v>
      </c>
      <c r="CQ21" s="78">
        <v>2</v>
      </c>
      <c r="CR21" s="78">
        <v>0</v>
      </c>
      <c r="CS21" s="78">
        <v>20</v>
      </c>
      <c r="CT21" s="78">
        <v>4</v>
      </c>
      <c r="CU21" s="78">
        <v>2</v>
      </c>
      <c r="CV21" s="78">
        <v>8</v>
      </c>
      <c r="CW21" s="137">
        <v>0.69230769999999997</v>
      </c>
      <c r="CY21" s="143" t="s">
        <v>760</v>
      </c>
      <c r="CZ21" s="143" t="s">
        <v>761</v>
      </c>
      <c r="DA21" s="143" t="s">
        <v>728</v>
      </c>
      <c r="DB21" s="143">
        <v>1824</v>
      </c>
      <c r="DC21" s="78">
        <v>52</v>
      </c>
      <c r="DD21" s="137">
        <v>0.2</v>
      </c>
      <c r="DE21" s="137">
        <v>0.11555559999999999</v>
      </c>
      <c r="DG21" s="143" t="s">
        <v>760</v>
      </c>
      <c r="DH21" s="143" t="s">
        <v>761</v>
      </c>
      <c r="DI21" s="143" t="s">
        <v>728</v>
      </c>
      <c r="DJ21" s="143">
        <v>1824</v>
      </c>
      <c r="DK21" s="78">
        <v>2</v>
      </c>
      <c r="DL21" s="78">
        <v>1</v>
      </c>
      <c r="DM21" s="78">
        <v>0</v>
      </c>
      <c r="DN21" s="78">
        <v>5</v>
      </c>
      <c r="DO21" s="78">
        <v>2</v>
      </c>
      <c r="DP21" s="78">
        <v>3</v>
      </c>
      <c r="DQ21" s="78">
        <v>7</v>
      </c>
      <c r="DR21" s="78">
        <v>1</v>
      </c>
      <c r="DS21" s="78">
        <v>1</v>
      </c>
      <c r="DT21" s="78">
        <v>0</v>
      </c>
      <c r="DU21" s="78">
        <v>1</v>
      </c>
      <c r="DV21" s="137">
        <v>0.79310349999999996</v>
      </c>
      <c r="DX21" s="143" t="s">
        <v>760</v>
      </c>
      <c r="DY21" s="143" t="s">
        <v>761</v>
      </c>
      <c r="DZ21" s="143" t="s">
        <v>728</v>
      </c>
      <c r="EA21" s="143">
        <v>1824</v>
      </c>
      <c r="EB21" s="78">
        <v>0</v>
      </c>
      <c r="EC21" s="78">
        <v>8</v>
      </c>
      <c r="ED21" s="78">
        <v>1</v>
      </c>
      <c r="EE21" s="78">
        <v>4</v>
      </c>
      <c r="EF21" s="78">
        <v>1</v>
      </c>
      <c r="EG21" s="78">
        <v>1</v>
      </c>
      <c r="EH21" s="78">
        <v>0</v>
      </c>
      <c r="EI21" s="78">
        <v>1</v>
      </c>
      <c r="EJ21" s="78">
        <v>1</v>
      </c>
      <c r="EK21" s="78">
        <v>1</v>
      </c>
      <c r="EL21" s="78">
        <v>4</v>
      </c>
      <c r="EM21" s="78">
        <v>1</v>
      </c>
      <c r="EN21" s="78">
        <v>1</v>
      </c>
      <c r="EO21" s="137">
        <v>0.88888889999999998</v>
      </c>
      <c r="EQ21" s="143" t="s">
        <v>760</v>
      </c>
      <c r="ER21" s="143" t="s">
        <v>761</v>
      </c>
      <c r="ES21" s="143" t="s">
        <v>728</v>
      </c>
      <c r="ET21" s="143">
        <v>1824</v>
      </c>
      <c r="EU21" s="78">
        <v>0</v>
      </c>
      <c r="EV21" s="78">
        <v>1</v>
      </c>
      <c r="EW21" s="78">
        <v>0</v>
      </c>
      <c r="EX21" s="78">
        <v>2</v>
      </c>
      <c r="EY21" s="78">
        <v>0</v>
      </c>
      <c r="EZ21" s="78">
        <v>3</v>
      </c>
      <c r="FA21" s="78">
        <v>2</v>
      </c>
      <c r="FB21" s="78">
        <v>0</v>
      </c>
      <c r="FC21" s="137">
        <v>0.61538459999999995</v>
      </c>
      <c r="FE21" s="137">
        <v>0.54570549999999995</v>
      </c>
    </row>
    <row r="22" spans="1:161" x14ac:dyDescent="0.25">
      <c r="A22" s="143" t="s">
        <v>760</v>
      </c>
      <c r="B22" s="143" t="s">
        <v>761</v>
      </c>
      <c r="C22" s="143" t="s">
        <v>728</v>
      </c>
      <c r="D22" s="143">
        <v>1825</v>
      </c>
      <c r="E22" s="78">
        <v>0.5</v>
      </c>
      <c r="F22" s="78">
        <v>1</v>
      </c>
      <c r="G22" s="78">
        <v>1</v>
      </c>
      <c r="H22" s="78">
        <v>4</v>
      </c>
      <c r="I22" s="78">
        <v>1</v>
      </c>
      <c r="J22" s="78">
        <v>0</v>
      </c>
      <c r="K22" s="78">
        <v>1</v>
      </c>
      <c r="L22" s="78">
        <v>1</v>
      </c>
      <c r="M22" s="78">
        <v>2</v>
      </c>
      <c r="N22" s="137">
        <v>0.82142859999999995</v>
      </c>
      <c r="P22" s="143" t="s">
        <v>760</v>
      </c>
      <c r="Q22" s="143" t="s">
        <v>761</v>
      </c>
      <c r="R22" s="143" t="s">
        <v>728</v>
      </c>
      <c r="S22" s="143">
        <v>1825</v>
      </c>
      <c r="T22" s="78">
        <v>0</v>
      </c>
      <c r="U22" s="78">
        <v>0</v>
      </c>
      <c r="V22" s="78">
        <v>2</v>
      </c>
      <c r="W22" s="78">
        <v>0.5</v>
      </c>
      <c r="X22" s="78">
        <v>12</v>
      </c>
      <c r="Y22" s="78">
        <v>1</v>
      </c>
      <c r="Z22" s="78">
        <v>3</v>
      </c>
      <c r="AA22" s="78">
        <v>0</v>
      </c>
      <c r="AB22" s="78">
        <v>6</v>
      </c>
      <c r="AC22" s="78">
        <v>0</v>
      </c>
      <c r="AD22" s="137">
        <v>0.72058820000000001</v>
      </c>
      <c r="AF22" s="143" t="s">
        <v>760</v>
      </c>
      <c r="AG22" s="143" t="s">
        <v>761</v>
      </c>
      <c r="AH22" s="143" t="s">
        <v>728</v>
      </c>
      <c r="AI22" s="143">
        <v>1825</v>
      </c>
      <c r="AJ22" s="78">
        <v>1</v>
      </c>
      <c r="AK22" s="78">
        <v>1</v>
      </c>
      <c r="AL22" s="78">
        <v>1</v>
      </c>
      <c r="AM22" s="78">
        <v>6</v>
      </c>
      <c r="AN22" s="78">
        <v>0</v>
      </c>
      <c r="AO22" s="78">
        <v>0</v>
      </c>
      <c r="AP22" s="78">
        <v>1</v>
      </c>
      <c r="AQ22" s="78">
        <v>1</v>
      </c>
      <c r="AR22" s="78">
        <v>0</v>
      </c>
      <c r="AS22" s="78">
        <v>0</v>
      </c>
      <c r="AT22" s="78">
        <v>2</v>
      </c>
      <c r="AU22" s="78">
        <v>0</v>
      </c>
      <c r="AV22" s="78">
        <v>2</v>
      </c>
      <c r="AW22" s="78">
        <v>0</v>
      </c>
      <c r="AX22" s="78">
        <v>0</v>
      </c>
      <c r="AY22" s="78">
        <v>1</v>
      </c>
      <c r="AZ22" s="78">
        <v>2</v>
      </c>
      <c r="BA22" s="78">
        <v>0.5</v>
      </c>
      <c r="BB22" s="78">
        <v>0.5</v>
      </c>
      <c r="BC22" s="78">
        <v>0.5</v>
      </c>
      <c r="BD22" s="78">
        <v>1</v>
      </c>
      <c r="BE22" s="78">
        <v>0.5</v>
      </c>
      <c r="BF22" s="78">
        <v>1</v>
      </c>
      <c r="BG22" s="78">
        <v>8</v>
      </c>
      <c r="BH22" s="137">
        <v>0.68181820000000004</v>
      </c>
      <c r="BJ22" s="143" t="s">
        <v>760</v>
      </c>
      <c r="BK22" s="143" t="s">
        <v>761</v>
      </c>
      <c r="BL22" s="143" t="s">
        <v>728</v>
      </c>
      <c r="BM22" s="143">
        <v>1825</v>
      </c>
      <c r="BN22" s="78">
        <v>1</v>
      </c>
      <c r="BO22" s="78">
        <v>4</v>
      </c>
      <c r="BP22" s="78">
        <v>0</v>
      </c>
      <c r="BQ22" s="78">
        <v>0</v>
      </c>
      <c r="BR22" s="78">
        <v>0</v>
      </c>
      <c r="BS22" s="78">
        <v>0</v>
      </c>
      <c r="BT22" s="78">
        <v>2</v>
      </c>
      <c r="BU22" s="137">
        <v>0.3043478</v>
      </c>
      <c r="BW22" s="143" t="s">
        <v>760</v>
      </c>
      <c r="BX22" s="143" t="s">
        <v>761</v>
      </c>
      <c r="BY22" s="143" t="s">
        <v>728</v>
      </c>
      <c r="BZ22" s="143">
        <v>1825</v>
      </c>
      <c r="CM22" s="143" t="s">
        <v>760</v>
      </c>
      <c r="CN22" s="143" t="s">
        <v>761</v>
      </c>
      <c r="CO22" s="143" t="s">
        <v>728</v>
      </c>
      <c r="CP22" s="143">
        <v>1825</v>
      </c>
      <c r="CQ22" s="78">
        <v>8</v>
      </c>
      <c r="CR22" s="78">
        <v>0</v>
      </c>
      <c r="CS22" s="78">
        <v>8</v>
      </c>
      <c r="CT22" s="78">
        <v>4</v>
      </c>
      <c r="CU22" s="78">
        <v>2</v>
      </c>
      <c r="CV22" s="78">
        <v>8</v>
      </c>
      <c r="CW22" s="137">
        <v>0.57692310000000002</v>
      </c>
      <c r="CY22" s="143" t="s">
        <v>760</v>
      </c>
      <c r="CZ22" s="143" t="s">
        <v>761</v>
      </c>
      <c r="DA22" s="143" t="s">
        <v>728</v>
      </c>
      <c r="DB22" s="143">
        <v>1825</v>
      </c>
      <c r="DC22" s="78">
        <v>62</v>
      </c>
      <c r="DD22" s="137">
        <v>0.4</v>
      </c>
      <c r="DE22" s="137">
        <v>0.27555560000000001</v>
      </c>
      <c r="DG22" s="143" t="s">
        <v>760</v>
      </c>
      <c r="DH22" s="143" t="s">
        <v>761</v>
      </c>
      <c r="DI22" s="143" t="s">
        <v>728</v>
      </c>
      <c r="DJ22" s="143">
        <v>1825</v>
      </c>
      <c r="DK22" s="78">
        <v>2</v>
      </c>
      <c r="DL22" s="78">
        <v>1</v>
      </c>
      <c r="DM22" s="78">
        <v>1</v>
      </c>
      <c r="DN22" s="78">
        <v>5</v>
      </c>
      <c r="DO22" s="78">
        <v>2</v>
      </c>
      <c r="DP22" s="78">
        <v>3</v>
      </c>
      <c r="DQ22" s="78">
        <v>8</v>
      </c>
      <c r="DR22" s="78">
        <v>1</v>
      </c>
      <c r="DS22" s="78">
        <v>1</v>
      </c>
      <c r="DT22" s="78">
        <v>0</v>
      </c>
      <c r="DU22" s="78">
        <v>1</v>
      </c>
      <c r="DV22" s="137">
        <v>0.86206899999999997</v>
      </c>
      <c r="DX22" s="143" t="s">
        <v>760</v>
      </c>
      <c r="DY22" s="143" t="s">
        <v>761</v>
      </c>
      <c r="DZ22" s="143" t="s">
        <v>728</v>
      </c>
      <c r="EA22" s="143">
        <v>1825</v>
      </c>
      <c r="EB22" s="78">
        <v>0</v>
      </c>
      <c r="EC22" s="78">
        <v>8</v>
      </c>
      <c r="ED22" s="78">
        <v>1</v>
      </c>
      <c r="EE22" s="78">
        <v>4</v>
      </c>
      <c r="EF22" s="78">
        <v>1</v>
      </c>
      <c r="EG22" s="78">
        <v>1</v>
      </c>
      <c r="EH22" s="78">
        <v>0</v>
      </c>
      <c r="EI22" s="78">
        <v>1</v>
      </c>
      <c r="EJ22" s="78">
        <v>1</v>
      </c>
      <c r="EK22" s="78">
        <v>1</v>
      </c>
      <c r="EL22" s="78">
        <v>4</v>
      </c>
      <c r="EM22" s="78">
        <v>1</v>
      </c>
      <c r="EN22" s="78">
        <v>1</v>
      </c>
      <c r="EO22" s="137">
        <v>0.88888889999999998</v>
      </c>
      <c r="EQ22" s="143" t="s">
        <v>760</v>
      </c>
      <c r="ER22" s="143" t="s">
        <v>761</v>
      </c>
      <c r="ES22" s="143" t="s">
        <v>728</v>
      </c>
      <c r="ET22" s="143">
        <v>1825</v>
      </c>
      <c r="EU22" s="78">
        <v>0</v>
      </c>
      <c r="EV22" s="78">
        <v>1</v>
      </c>
      <c r="EW22" s="78">
        <v>3</v>
      </c>
      <c r="EX22" s="78">
        <v>2</v>
      </c>
      <c r="EY22" s="78">
        <v>0.5</v>
      </c>
      <c r="EZ22" s="78">
        <v>3</v>
      </c>
      <c r="FA22" s="78">
        <v>2</v>
      </c>
      <c r="FB22" s="78">
        <v>1</v>
      </c>
      <c r="FC22" s="137">
        <v>0.96153840000000002</v>
      </c>
      <c r="FE22" s="137">
        <v>0.58067480000000005</v>
      </c>
    </row>
    <row r="23" spans="1:161" x14ac:dyDescent="0.25">
      <c r="A23" s="143" t="s">
        <v>760</v>
      </c>
      <c r="B23" s="143" t="s">
        <v>761</v>
      </c>
      <c r="C23" s="143" t="s">
        <v>728</v>
      </c>
      <c r="D23" s="143">
        <v>2259</v>
      </c>
      <c r="E23" s="78">
        <v>0</v>
      </c>
      <c r="F23" s="78">
        <v>1.5</v>
      </c>
      <c r="G23" s="78">
        <v>1</v>
      </c>
      <c r="H23" s="78">
        <v>4</v>
      </c>
      <c r="I23" s="78">
        <v>1</v>
      </c>
      <c r="J23" s="78">
        <v>0</v>
      </c>
      <c r="K23" s="78">
        <v>1</v>
      </c>
      <c r="L23" s="78">
        <v>1</v>
      </c>
      <c r="M23" s="78">
        <v>2</v>
      </c>
      <c r="N23" s="137">
        <v>0.82142859999999995</v>
      </c>
      <c r="P23" s="143" t="s">
        <v>760</v>
      </c>
      <c r="Q23" s="143" t="s">
        <v>761</v>
      </c>
      <c r="R23" s="143" t="s">
        <v>728</v>
      </c>
      <c r="S23" s="143">
        <v>2259</v>
      </c>
      <c r="T23" s="78">
        <v>1</v>
      </c>
      <c r="U23" s="78">
        <v>0</v>
      </c>
      <c r="V23" s="78">
        <v>1.5</v>
      </c>
      <c r="W23" s="78">
        <v>2</v>
      </c>
      <c r="X23" s="78">
        <v>12</v>
      </c>
      <c r="Y23" s="78">
        <v>1</v>
      </c>
      <c r="Z23" s="78">
        <v>3</v>
      </c>
      <c r="AA23" s="78">
        <v>0</v>
      </c>
      <c r="AB23" s="78">
        <v>0</v>
      </c>
      <c r="AC23" s="78">
        <v>0</v>
      </c>
      <c r="AD23" s="137">
        <v>0.60294119999999995</v>
      </c>
      <c r="AF23" s="143" t="s">
        <v>760</v>
      </c>
      <c r="AG23" s="143" t="s">
        <v>761</v>
      </c>
      <c r="AH23" s="143" t="s">
        <v>728</v>
      </c>
      <c r="AI23" s="143">
        <v>2259</v>
      </c>
      <c r="AJ23" s="78">
        <v>1</v>
      </c>
      <c r="AK23" s="78">
        <v>1</v>
      </c>
      <c r="AL23" s="78">
        <v>1</v>
      </c>
      <c r="AM23" s="78">
        <v>6</v>
      </c>
      <c r="AN23" s="78">
        <v>1</v>
      </c>
      <c r="AO23" s="78">
        <v>2</v>
      </c>
      <c r="AP23" s="78">
        <v>1</v>
      </c>
      <c r="AQ23" s="78">
        <v>1</v>
      </c>
      <c r="AR23" s="78">
        <v>2</v>
      </c>
      <c r="AS23" s="78">
        <v>2</v>
      </c>
      <c r="AT23" s="78">
        <v>2</v>
      </c>
      <c r="AU23" s="78">
        <v>0</v>
      </c>
      <c r="AV23" s="78">
        <v>2</v>
      </c>
      <c r="AW23" s="78">
        <v>0</v>
      </c>
      <c r="AX23" s="78">
        <v>0</v>
      </c>
      <c r="AY23" s="78">
        <v>0</v>
      </c>
      <c r="AZ23" s="78">
        <v>2</v>
      </c>
      <c r="BA23" s="78">
        <v>0.5</v>
      </c>
      <c r="BB23" s="78">
        <v>0.5</v>
      </c>
      <c r="BC23" s="78">
        <v>0.5</v>
      </c>
      <c r="BD23" s="78">
        <v>1</v>
      </c>
      <c r="BE23" s="78">
        <v>0.5</v>
      </c>
      <c r="BF23" s="78">
        <v>1</v>
      </c>
      <c r="BG23" s="78">
        <v>8</v>
      </c>
      <c r="BH23" s="137">
        <v>0.81818179999999996</v>
      </c>
      <c r="BJ23" s="143" t="s">
        <v>760</v>
      </c>
      <c r="BK23" s="143" t="s">
        <v>761</v>
      </c>
      <c r="BL23" s="143" t="s">
        <v>728</v>
      </c>
      <c r="BM23" s="143">
        <v>2259</v>
      </c>
      <c r="BN23" s="78">
        <v>1</v>
      </c>
      <c r="BO23" s="78">
        <v>4</v>
      </c>
      <c r="BP23" s="78">
        <v>7</v>
      </c>
      <c r="BQ23" s="78">
        <v>0</v>
      </c>
      <c r="BR23" s="78">
        <v>0</v>
      </c>
      <c r="BS23" s="78">
        <v>0</v>
      </c>
      <c r="BT23" s="78">
        <v>2</v>
      </c>
      <c r="BU23" s="137">
        <v>0.6086956</v>
      </c>
      <c r="BW23" s="143" t="s">
        <v>760</v>
      </c>
      <c r="BX23" s="143" t="s">
        <v>761</v>
      </c>
      <c r="BY23" s="143" t="s">
        <v>728</v>
      </c>
      <c r="BZ23" s="143">
        <v>2259</v>
      </c>
      <c r="CM23" s="143" t="s">
        <v>760</v>
      </c>
      <c r="CN23" s="143" t="s">
        <v>761</v>
      </c>
      <c r="CO23" s="143" t="s">
        <v>728</v>
      </c>
      <c r="CP23" s="143">
        <v>2259</v>
      </c>
      <c r="CQ23" s="78">
        <v>8</v>
      </c>
      <c r="CR23" s="78">
        <v>0</v>
      </c>
      <c r="CS23" s="78">
        <v>12</v>
      </c>
      <c r="CT23" s="78">
        <v>4</v>
      </c>
      <c r="CU23" s="78">
        <v>0</v>
      </c>
      <c r="CV23" s="78">
        <v>8</v>
      </c>
      <c r="CW23" s="137">
        <v>0.61538459999999995</v>
      </c>
      <c r="CY23" s="143" t="s">
        <v>760</v>
      </c>
      <c r="CZ23" s="143" t="s">
        <v>761</v>
      </c>
      <c r="DA23" s="143" t="s">
        <v>728</v>
      </c>
      <c r="DB23" s="143">
        <v>2259</v>
      </c>
      <c r="DC23" s="78">
        <v>44</v>
      </c>
      <c r="DD23" s="137">
        <v>0</v>
      </c>
      <c r="DE23" s="137">
        <v>0</v>
      </c>
      <c r="DG23" s="143" t="s">
        <v>760</v>
      </c>
      <c r="DH23" s="143" t="s">
        <v>761</v>
      </c>
      <c r="DI23" s="143" t="s">
        <v>728</v>
      </c>
      <c r="DJ23" s="143">
        <v>2259</v>
      </c>
      <c r="DK23" s="78">
        <v>2</v>
      </c>
      <c r="DL23" s="78">
        <v>1</v>
      </c>
      <c r="DM23" s="78">
        <v>1</v>
      </c>
      <c r="DN23" s="78">
        <v>5</v>
      </c>
      <c r="DO23" s="78">
        <v>2</v>
      </c>
      <c r="DP23" s="78">
        <v>3</v>
      </c>
      <c r="DQ23" s="78">
        <v>8</v>
      </c>
      <c r="DR23" s="78">
        <v>1</v>
      </c>
      <c r="DS23" s="78">
        <v>1</v>
      </c>
      <c r="DT23" s="78">
        <v>0</v>
      </c>
      <c r="DU23" s="78">
        <v>0</v>
      </c>
      <c r="DV23" s="137">
        <v>0.82758620000000005</v>
      </c>
      <c r="DX23" s="143" t="s">
        <v>760</v>
      </c>
      <c r="DY23" s="143" t="s">
        <v>761</v>
      </c>
      <c r="DZ23" s="143" t="s">
        <v>728</v>
      </c>
      <c r="EA23" s="143">
        <v>2259</v>
      </c>
      <c r="EB23" s="78">
        <v>1</v>
      </c>
      <c r="EC23" s="78">
        <v>8</v>
      </c>
      <c r="ED23" s="78">
        <v>1</v>
      </c>
      <c r="EE23" s="78">
        <v>4</v>
      </c>
      <c r="EF23" s="78">
        <v>1</v>
      </c>
      <c r="EG23" s="78">
        <v>1</v>
      </c>
      <c r="EH23" s="78">
        <v>0</v>
      </c>
      <c r="EI23" s="78">
        <v>1</v>
      </c>
      <c r="EJ23" s="78">
        <v>1</v>
      </c>
      <c r="EK23" s="78">
        <v>1</v>
      </c>
      <c r="EL23" s="78">
        <v>4</v>
      </c>
      <c r="EM23" s="78">
        <v>1</v>
      </c>
      <c r="EN23" s="78">
        <v>1</v>
      </c>
      <c r="EO23" s="137">
        <v>0.92592589999999997</v>
      </c>
      <c r="EQ23" s="143" t="s">
        <v>760</v>
      </c>
      <c r="ER23" s="143" t="s">
        <v>761</v>
      </c>
      <c r="ES23" s="143" t="s">
        <v>728</v>
      </c>
      <c r="ET23" s="143">
        <v>2259</v>
      </c>
      <c r="EU23" s="78">
        <v>0.5</v>
      </c>
      <c r="EV23" s="78">
        <v>1</v>
      </c>
      <c r="EW23" s="78">
        <v>3</v>
      </c>
      <c r="EX23" s="78">
        <v>0</v>
      </c>
      <c r="EY23" s="78">
        <v>0.5</v>
      </c>
      <c r="EZ23" s="78">
        <v>3</v>
      </c>
      <c r="FA23" s="78">
        <v>2</v>
      </c>
      <c r="FB23" s="78">
        <v>0</v>
      </c>
      <c r="FC23" s="137">
        <v>0.76923079999999999</v>
      </c>
      <c r="FE23" s="137">
        <v>0.53067489999999995</v>
      </c>
    </row>
    <row r="24" spans="1:161" x14ac:dyDescent="0.25">
      <c r="A24" s="143" t="s">
        <v>760</v>
      </c>
      <c r="B24" s="143" t="s">
        <v>761</v>
      </c>
      <c r="C24" s="143" t="s">
        <v>728</v>
      </c>
      <c r="D24" s="143">
        <v>3880</v>
      </c>
      <c r="E24" s="78">
        <v>0.5</v>
      </c>
      <c r="F24" s="78">
        <v>1.5</v>
      </c>
      <c r="G24" s="78">
        <v>1</v>
      </c>
      <c r="H24" s="78">
        <v>1</v>
      </c>
      <c r="I24" s="78">
        <v>1</v>
      </c>
      <c r="J24" s="78">
        <v>1</v>
      </c>
      <c r="K24" s="78">
        <v>0</v>
      </c>
      <c r="L24" s="78">
        <v>1</v>
      </c>
      <c r="M24" s="78">
        <v>2</v>
      </c>
      <c r="N24" s="137">
        <v>0.64285709999999996</v>
      </c>
      <c r="P24" s="143" t="s">
        <v>760</v>
      </c>
      <c r="Q24" s="143" t="s">
        <v>761</v>
      </c>
      <c r="R24" s="143" t="s">
        <v>728</v>
      </c>
      <c r="S24" s="143">
        <v>3880</v>
      </c>
      <c r="T24" s="78">
        <v>0</v>
      </c>
      <c r="U24" s="78">
        <v>0</v>
      </c>
      <c r="V24" s="78">
        <v>0</v>
      </c>
      <c r="W24" s="78">
        <v>0</v>
      </c>
      <c r="X24" s="78">
        <v>0</v>
      </c>
      <c r="Y24" s="78">
        <v>1</v>
      </c>
      <c r="Z24" s="78">
        <v>0</v>
      </c>
      <c r="AA24" s="78">
        <v>0</v>
      </c>
      <c r="AB24" s="78">
        <v>0</v>
      </c>
      <c r="AC24" s="78">
        <v>0</v>
      </c>
      <c r="AD24" s="137">
        <v>2.9411799999999998E-2</v>
      </c>
      <c r="AF24" s="143" t="s">
        <v>760</v>
      </c>
      <c r="AG24" s="143" t="s">
        <v>761</v>
      </c>
      <c r="AH24" s="143" t="s">
        <v>728</v>
      </c>
      <c r="AI24" s="143">
        <v>3880</v>
      </c>
      <c r="AJ24" s="78">
        <v>0</v>
      </c>
      <c r="AK24" s="78">
        <v>0</v>
      </c>
      <c r="AL24" s="78">
        <v>0</v>
      </c>
      <c r="AM24" s="78">
        <v>0</v>
      </c>
      <c r="AN24" s="78">
        <v>0</v>
      </c>
      <c r="AO24" s="78">
        <v>2</v>
      </c>
      <c r="AP24" s="78">
        <v>1</v>
      </c>
      <c r="AQ24" s="78">
        <v>1</v>
      </c>
      <c r="AR24" s="78">
        <v>2</v>
      </c>
      <c r="AS24" s="78">
        <v>0</v>
      </c>
      <c r="AT24" s="78">
        <v>0</v>
      </c>
      <c r="AU24" s="78">
        <v>0</v>
      </c>
      <c r="AV24" s="78">
        <v>0</v>
      </c>
      <c r="AW24" s="78">
        <v>0</v>
      </c>
      <c r="AX24" s="78">
        <v>0</v>
      </c>
      <c r="AY24" s="78">
        <v>1</v>
      </c>
      <c r="AZ24" s="78">
        <v>2</v>
      </c>
      <c r="BA24" s="78">
        <v>0.5</v>
      </c>
      <c r="BB24" s="78">
        <v>0.5</v>
      </c>
      <c r="BC24" s="78">
        <v>0.5</v>
      </c>
      <c r="BD24" s="78">
        <v>1</v>
      </c>
      <c r="BE24" s="78">
        <v>0.5</v>
      </c>
      <c r="BF24" s="78">
        <v>0</v>
      </c>
      <c r="BG24" s="78">
        <v>2</v>
      </c>
      <c r="BH24" s="137">
        <v>0.31818180000000001</v>
      </c>
      <c r="BJ24" s="143" t="s">
        <v>760</v>
      </c>
      <c r="BK24" s="143" t="s">
        <v>761</v>
      </c>
      <c r="BL24" s="143" t="s">
        <v>728</v>
      </c>
      <c r="BM24" s="143">
        <v>3880</v>
      </c>
      <c r="BN24" s="78">
        <v>0</v>
      </c>
      <c r="BO24" s="78">
        <v>4</v>
      </c>
      <c r="BP24" s="78">
        <v>7</v>
      </c>
      <c r="BQ24" s="78">
        <v>0</v>
      </c>
      <c r="BR24" s="78">
        <v>0</v>
      </c>
      <c r="BS24" s="78">
        <v>0</v>
      </c>
      <c r="BT24" s="78">
        <v>2</v>
      </c>
      <c r="BU24" s="137">
        <v>0.56521739999999998</v>
      </c>
      <c r="BW24" s="143" t="s">
        <v>760</v>
      </c>
      <c r="BX24" s="143" t="s">
        <v>761</v>
      </c>
      <c r="BY24" s="143" t="s">
        <v>728</v>
      </c>
      <c r="BZ24" s="143">
        <v>3880</v>
      </c>
      <c r="CM24" s="143" t="s">
        <v>760</v>
      </c>
      <c r="CN24" s="143" t="s">
        <v>761</v>
      </c>
      <c r="CO24" s="143" t="s">
        <v>728</v>
      </c>
      <c r="CP24" s="143">
        <v>3880</v>
      </c>
      <c r="CQ24" s="78">
        <v>8</v>
      </c>
      <c r="CR24" s="78">
        <v>0</v>
      </c>
      <c r="CS24" s="78">
        <v>12</v>
      </c>
      <c r="CT24" s="78">
        <v>0</v>
      </c>
      <c r="CU24" s="78">
        <v>0</v>
      </c>
      <c r="CV24" s="78">
        <v>8</v>
      </c>
      <c r="CW24" s="137">
        <v>0.53846159999999998</v>
      </c>
      <c r="CY24" s="143" t="s">
        <v>760</v>
      </c>
      <c r="CZ24" s="143" t="s">
        <v>761</v>
      </c>
      <c r="DA24" s="143" t="s">
        <v>728</v>
      </c>
      <c r="DB24" s="143">
        <v>3880</v>
      </c>
      <c r="DC24" s="78">
        <v>0</v>
      </c>
      <c r="DD24" s="137">
        <v>0</v>
      </c>
      <c r="DE24" s="137">
        <v>0</v>
      </c>
      <c r="DG24" s="143" t="s">
        <v>760</v>
      </c>
      <c r="DH24" s="143" t="s">
        <v>761</v>
      </c>
      <c r="DI24" s="143" t="s">
        <v>728</v>
      </c>
      <c r="DJ24" s="143">
        <v>3880</v>
      </c>
      <c r="DK24" s="78">
        <v>2</v>
      </c>
      <c r="DL24" s="78">
        <v>1</v>
      </c>
      <c r="DM24" s="78">
        <v>0</v>
      </c>
      <c r="DN24" s="78">
        <v>5</v>
      </c>
      <c r="DO24" s="78">
        <v>2</v>
      </c>
      <c r="DP24" s="78">
        <v>3</v>
      </c>
      <c r="DQ24" s="78">
        <v>7</v>
      </c>
      <c r="DR24" s="78">
        <v>1</v>
      </c>
      <c r="DS24" s="78">
        <v>1</v>
      </c>
      <c r="DT24" s="78">
        <v>0</v>
      </c>
      <c r="DU24" s="78">
        <v>0</v>
      </c>
      <c r="DV24" s="137">
        <v>0.75862070000000004</v>
      </c>
      <c r="DX24" s="143" t="s">
        <v>760</v>
      </c>
      <c r="DY24" s="143" t="s">
        <v>761</v>
      </c>
      <c r="DZ24" s="143" t="s">
        <v>728</v>
      </c>
      <c r="EA24" s="143">
        <v>3880</v>
      </c>
      <c r="EB24" s="78">
        <v>1</v>
      </c>
      <c r="EC24" s="78">
        <v>8</v>
      </c>
      <c r="ED24" s="78">
        <v>1</v>
      </c>
      <c r="EE24" s="78">
        <v>4</v>
      </c>
      <c r="EF24" s="78">
        <v>1</v>
      </c>
      <c r="EG24" s="78">
        <v>1</v>
      </c>
      <c r="EH24" s="78">
        <v>2</v>
      </c>
      <c r="EI24" s="78">
        <v>1</v>
      </c>
      <c r="EJ24" s="78">
        <v>1</v>
      </c>
      <c r="EK24" s="78">
        <v>1</v>
      </c>
      <c r="EL24" s="78">
        <v>0</v>
      </c>
      <c r="EM24" s="78">
        <v>0</v>
      </c>
      <c r="EN24" s="78">
        <v>1</v>
      </c>
      <c r="EO24" s="137">
        <v>0.81481479999999995</v>
      </c>
      <c r="EQ24" s="143" t="s">
        <v>760</v>
      </c>
      <c r="ER24" s="143" t="s">
        <v>761</v>
      </c>
      <c r="ES24" s="143" t="s">
        <v>728</v>
      </c>
      <c r="ET24" s="143">
        <v>3880</v>
      </c>
      <c r="EU24" s="78">
        <v>0.5</v>
      </c>
      <c r="EV24" s="78">
        <v>1</v>
      </c>
      <c r="EW24" s="78">
        <v>3</v>
      </c>
      <c r="EX24" s="78">
        <v>0</v>
      </c>
      <c r="EY24" s="78">
        <v>0.5</v>
      </c>
      <c r="EZ24" s="78">
        <v>3</v>
      </c>
      <c r="FA24" s="78">
        <v>2</v>
      </c>
      <c r="FB24" s="78">
        <v>1</v>
      </c>
      <c r="FC24" s="137">
        <v>0.84615390000000001</v>
      </c>
      <c r="FE24" s="137">
        <v>0.36809819999999999</v>
      </c>
    </row>
    <row r="25" spans="1:161" hidden="1" x14ac:dyDescent="0.25">
      <c r="A25" s="143" t="s">
        <v>762</v>
      </c>
      <c r="B25" s="143" t="s">
        <v>758</v>
      </c>
      <c r="C25" s="143" t="s">
        <v>729</v>
      </c>
      <c r="D25" s="143">
        <v>810</v>
      </c>
      <c r="E25" s="78">
        <v>0</v>
      </c>
      <c r="F25" s="78">
        <v>2.5</v>
      </c>
      <c r="G25" s="78">
        <v>1</v>
      </c>
      <c r="H25" s="78">
        <v>0</v>
      </c>
      <c r="I25" s="78">
        <v>1</v>
      </c>
      <c r="J25" s="78">
        <v>0</v>
      </c>
      <c r="K25" s="78">
        <v>1</v>
      </c>
      <c r="L25" s="78">
        <v>1</v>
      </c>
      <c r="M25" s="78">
        <v>0</v>
      </c>
      <c r="N25" s="137">
        <v>0.46428570000000002</v>
      </c>
      <c r="P25" s="143" t="s">
        <v>762</v>
      </c>
      <c r="Q25" s="143" t="s">
        <v>758</v>
      </c>
      <c r="R25" s="143" t="s">
        <v>729</v>
      </c>
      <c r="S25" s="143">
        <v>810</v>
      </c>
      <c r="T25" s="78">
        <v>1</v>
      </c>
      <c r="U25" s="78">
        <v>1</v>
      </c>
      <c r="V25" s="78">
        <v>1.5</v>
      </c>
      <c r="W25" s="78">
        <v>2</v>
      </c>
      <c r="X25" s="78">
        <v>12</v>
      </c>
      <c r="Y25" s="78">
        <v>1</v>
      </c>
      <c r="Z25" s="78">
        <v>0</v>
      </c>
      <c r="AA25" s="78">
        <v>2</v>
      </c>
      <c r="AB25" s="78">
        <v>0</v>
      </c>
      <c r="AC25" s="78">
        <v>3</v>
      </c>
      <c r="AD25" s="137">
        <v>0.69117649999999997</v>
      </c>
      <c r="AF25" s="143" t="s">
        <v>762</v>
      </c>
      <c r="AG25" s="143" t="s">
        <v>758</v>
      </c>
      <c r="AH25" s="143" t="s">
        <v>729</v>
      </c>
      <c r="AI25" s="143">
        <v>810</v>
      </c>
      <c r="AJ25" s="78">
        <v>1</v>
      </c>
      <c r="AK25" s="78">
        <v>1</v>
      </c>
      <c r="AL25" s="78">
        <v>1</v>
      </c>
      <c r="AM25" s="78">
        <v>1</v>
      </c>
      <c r="AN25" s="78">
        <v>1</v>
      </c>
      <c r="AO25" s="78">
        <v>0</v>
      </c>
      <c r="AP25" s="78">
        <v>1</v>
      </c>
      <c r="AQ25" s="78">
        <v>1</v>
      </c>
      <c r="AR25" s="78">
        <v>0</v>
      </c>
      <c r="AS25" s="78">
        <v>2</v>
      </c>
      <c r="AT25" s="78">
        <v>0</v>
      </c>
      <c r="AU25" s="78">
        <v>0</v>
      </c>
      <c r="AV25" s="78">
        <v>2</v>
      </c>
      <c r="AW25" s="78">
        <v>0</v>
      </c>
      <c r="AX25" s="78">
        <v>0</v>
      </c>
      <c r="AY25" s="78">
        <v>1</v>
      </c>
      <c r="AZ25" s="78">
        <v>2</v>
      </c>
      <c r="BA25" s="78">
        <v>0.5</v>
      </c>
      <c r="BB25" s="78">
        <v>0.5</v>
      </c>
      <c r="BC25" s="78">
        <v>0.5</v>
      </c>
      <c r="BD25" s="78">
        <v>1</v>
      </c>
      <c r="BE25" s="78">
        <v>0.5</v>
      </c>
      <c r="BF25" s="78">
        <v>0</v>
      </c>
      <c r="BG25" s="78">
        <v>6</v>
      </c>
      <c r="BH25" s="137">
        <v>0.52272730000000001</v>
      </c>
      <c r="BJ25" s="143" t="s">
        <v>762</v>
      </c>
      <c r="BK25" s="143" t="s">
        <v>758</v>
      </c>
      <c r="BL25" s="143" t="s">
        <v>729</v>
      </c>
      <c r="BM25" s="143">
        <v>810</v>
      </c>
      <c r="BN25" s="78">
        <v>1</v>
      </c>
      <c r="BO25" s="78">
        <v>4</v>
      </c>
      <c r="BP25" s="78">
        <v>7</v>
      </c>
      <c r="BQ25" s="78">
        <v>3</v>
      </c>
      <c r="BR25" s="78">
        <v>3</v>
      </c>
      <c r="BS25" s="78">
        <v>3</v>
      </c>
      <c r="BT25" s="78">
        <v>2</v>
      </c>
      <c r="BU25" s="137">
        <v>1</v>
      </c>
      <c r="BW25" s="143" t="s">
        <v>762</v>
      </c>
      <c r="BX25" s="143" t="s">
        <v>758</v>
      </c>
      <c r="BY25" s="143" t="s">
        <v>729</v>
      </c>
      <c r="BZ25" s="143">
        <v>810</v>
      </c>
      <c r="CA25" s="78">
        <v>1</v>
      </c>
      <c r="CB25" s="78">
        <v>1</v>
      </c>
      <c r="CC25" s="78">
        <v>1</v>
      </c>
      <c r="CD25" s="78">
        <v>2</v>
      </c>
      <c r="CE25" s="78">
        <v>0</v>
      </c>
      <c r="CF25" s="78">
        <v>2</v>
      </c>
      <c r="CG25" s="78">
        <v>1</v>
      </c>
      <c r="CH25" s="78">
        <v>2</v>
      </c>
      <c r="CI25" s="78">
        <v>1</v>
      </c>
      <c r="CJ25" s="78">
        <v>3</v>
      </c>
      <c r="CK25" s="137">
        <v>0.93333330000000003</v>
      </c>
      <c r="CM25" s="143" t="s">
        <v>762</v>
      </c>
      <c r="CN25" s="143" t="s">
        <v>758</v>
      </c>
      <c r="CO25" s="143" t="s">
        <v>729</v>
      </c>
      <c r="CP25" s="143">
        <v>810</v>
      </c>
      <c r="CQ25" s="78">
        <v>8</v>
      </c>
      <c r="CR25" s="78">
        <v>0</v>
      </c>
      <c r="CS25" s="78">
        <v>16</v>
      </c>
      <c r="CT25" s="78">
        <v>0</v>
      </c>
      <c r="CU25" s="78">
        <v>0</v>
      </c>
      <c r="CV25" s="78">
        <v>8</v>
      </c>
      <c r="CW25" s="137">
        <v>0.61538459999999995</v>
      </c>
      <c r="CY25" s="143" t="s">
        <v>762</v>
      </c>
      <c r="CZ25" s="143" t="s">
        <v>758</v>
      </c>
      <c r="DA25" s="143" t="s">
        <v>729</v>
      </c>
      <c r="DB25" s="143">
        <v>810</v>
      </c>
      <c r="DC25" s="78">
        <v>0</v>
      </c>
      <c r="DD25" s="137">
        <v>0</v>
      </c>
      <c r="DE25" s="137">
        <v>0</v>
      </c>
      <c r="DG25" s="143" t="s">
        <v>762</v>
      </c>
      <c r="DH25" s="143" t="s">
        <v>758</v>
      </c>
      <c r="DI25" s="143" t="s">
        <v>729</v>
      </c>
      <c r="DJ25" s="143">
        <v>810</v>
      </c>
      <c r="DK25" s="78">
        <v>2</v>
      </c>
      <c r="DL25" s="78">
        <v>1</v>
      </c>
      <c r="DM25" s="78">
        <v>1</v>
      </c>
      <c r="DN25" s="78">
        <v>5</v>
      </c>
      <c r="DO25" s="78">
        <v>2</v>
      </c>
      <c r="DP25" s="78">
        <v>3</v>
      </c>
      <c r="DQ25" s="78">
        <v>6</v>
      </c>
      <c r="DR25" s="78">
        <v>1</v>
      </c>
      <c r="DS25" s="78">
        <v>1</v>
      </c>
      <c r="DT25" s="78">
        <v>2</v>
      </c>
      <c r="DU25" s="78">
        <v>0</v>
      </c>
      <c r="DV25" s="137">
        <v>0.82758620000000005</v>
      </c>
      <c r="DX25" s="143" t="s">
        <v>762</v>
      </c>
      <c r="DY25" s="143" t="s">
        <v>758</v>
      </c>
      <c r="DZ25" s="143" t="s">
        <v>729</v>
      </c>
      <c r="EA25" s="143">
        <v>810</v>
      </c>
      <c r="EB25" s="78">
        <v>1</v>
      </c>
      <c r="EC25" s="78">
        <v>0</v>
      </c>
      <c r="ED25" s="78">
        <v>1</v>
      </c>
      <c r="EE25" s="78">
        <v>4</v>
      </c>
      <c r="EF25" s="78">
        <v>1</v>
      </c>
      <c r="EG25" s="78">
        <v>1</v>
      </c>
      <c r="EH25" s="78">
        <v>2</v>
      </c>
      <c r="EI25" s="78">
        <v>1</v>
      </c>
      <c r="EJ25" s="78">
        <v>1</v>
      </c>
      <c r="EK25" s="78">
        <v>1</v>
      </c>
      <c r="EL25" s="78">
        <v>4</v>
      </c>
      <c r="EM25" s="78">
        <v>1</v>
      </c>
      <c r="EN25" s="78">
        <v>1</v>
      </c>
      <c r="EO25" s="137">
        <v>0.70370370000000004</v>
      </c>
      <c r="EQ25" s="143" t="s">
        <v>762</v>
      </c>
      <c r="ER25" s="143" t="s">
        <v>758</v>
      </c>
      <c r="ES25" s="143" t="s">
        <v>729</v>
      </c>
      <c r="ET25" s="143">
        <v>810</v>
      </c>
      <c r="EU25" s="78">
        <v>0.5</v>
      </c>
      <c r="EV25" s="78">
        <v>1</v>
      </c>
      <c r="EW25" s="78">
        <v>0</v>
      </c>
      <c r="EX25" s="78">
        <v>0</v>
      </c>
      <c r="EY25" s="78">
        <v>0.5</v>
      </c>
      <c r="EZ25" s="78">
        <v>3</v>
      </c>
      <c r="FA25" s="78">
        <v>2</v>
      </c>
      <c r="FB25" s="78">
        <v>1</v>
      </c>
      <c r="FC25" s="137">
        <v>0.61538459999999995</v>
      </c>
      <c r="FE25" s="137">
        <v>0.50733139999999999</v>
      </c>
    </row>
    <row r="26" spans="1:161" hidden="1" x14ac:dyDescent="0.25">
      <c r="A26" s="143" t="s">
        <v>762</v>
      </c>
      <c r="B26" s="143" t="s">
        <v>758</v>
      </c>
      <c r="C26" s="143" t="s">
        <v>727</v>
      </c>
      <c r="D26" s="143">
        <v>1063</v>
      </c>
      <c r="E26" s="78">
        <v>0.5</v>
      </c>
      <c r="F26" s="78">
        <v>2.5</v>
      </c>
      <c r="G26" s="78">
        <v>0</v>
      </c>
      <c r="H26" s="78">
        <v>2</v>
      </c>
      <c r="I26" s="78">
        <v>1</v>
      </c>
      <c r="J26" s="78">
        <v>1</v>
      </c>
      <c r="K26" s="78">
        <v>1</v>
      </c>
      <c r="L26" s="78">
        <v>1</v>
      </c>
      <c r="M26" s="78">
        <v>2</v>
      </c>
      <c r="N26" s="137">
        <v>0.78571429999999998</v>
      </c>
      <c r="P26" s="143" t="s">
        <v>762</v>
      </c>
      <c r="Q26" s="143" t="s">
        <v>758</v>
      </c>
      <c r="R26" s="143" t="s">
        <v>727</v>
      </c>
      <c r="S26" s="143">
        <v>1063</v>
      </c>
      <c r="T26" s="78">
        <v>1</v>
      </c>
      <c r="U26" s="78">
        <v>0</v>
      </c>
      <c r="V26" s="78">
        <v>0</v>
      </c>
      <c r="W26" s="78">
        <v>0.5</v>
      </c>
      <c r="X26" s="78">
        <v>0</v>
      </c>
      <c r="Y26" s="78">
        <v>1</v>
      </c>
      <c r="Z26" s="78">
        <v>3</v>
      </c>
      <c r="AA26" s="78">
        <v>2</v>
      </c>
      <c r="AB26" s="78">
        <v>6</v>
      </c>
      <c r="AC26" s="78">
        <v>3</v>
      </c>
      <c r="AD26" s="137">
        <v>0.48529410000000001</v>
      </c>
      <c r="AF26" s="143" t="s">
        <v>762</v>
      </c>
      <c r="AG26" s="143" t="s">
        <v>758</v>
      </c>
      <c r="AH26" s="143" t="s">
        <v>727</v>
      </c>
      <c r="AI26" s="143">
        <v>1063</v>
      </c>
      <c r="AJ26" s="78">
        <v>1</v>
      </c>
      <c r="AK26" s="78">
        <v>1</v>
      </c>
      <c r="AL26" s="78">
        <v>1</v>
      </c>
      <c r="AM26" s="78">
        <v>1</v>
      </c>
      <c r="AN26" s="78">
        <v>1</v>
      </c>
      <c r="AO26" s="78">
        <v>0</v>
      </c>
      <c r="AP26" s="78">
        <v>1</v>
      </c>
      <c r="AQ26" s="78">
        <v>1</v>
      </c>
      <c r="AR26" s="78">
        <v>2</v>
      </c>
      <c r="AS26" s="78">
        <v>0</v>
      </c>
      <c r="AT26" s="78">
        <v>0</v>
      </c>
      <c r="AU26" s="78">
        <v>0</v>
      </c>
      <c r="AV26" s="78">
        <v>0</v>
      </c>
      <c r="AW26" s="78">
        <v>0</v>
      </c>
      <c r="AX26" s="78">
        <v>0</v>
      </c>
      <c r="AY26" s="78">
        <v>1</v>
      </c>
      <c r="AZ26" s="78">
        <v>0</v>
      </c>
      <c r="BA26" s="78">
        <v>0.5</v>
      </c>
      <c r="BB26" s="78">
        <v>0.5</v>
      </c>
      <c r="BC26" s="78">
        <v>0.5</v>
      </c>
      <c r="BD26" s="78">
        <v>1</v>
      </c>
      <c r="BE26" s="78">
        <v>0.5</v>
      </c>
      <c r="BF26" s="78">
        <v>1</v>
      </c>
      <c r="BG26" s="78">
        <v>6</v>
      </c>
      <c r="BH26" s="137">
        <v>0.45454549999999999</v>
      </c>
      <c r="BJ26" s="143" t="s">
        <v>762</v>
      </c>
      <c r="BK26" s="143" t="s">
        <v>758</v>
      </c>
      <c r="BL26" s="143" t="s">
        <v>727</v>
      </c>
      <c r="BM26" s="143">
        <v>1063</v>
      </c>
      <c r="BN26" s="78">
        <v>0</v>
      </c>
      <c r="BO26" s="78">
        <v>4</v>
      </c>
      <c r="BP26" s="78">
        <v>7</v>
      </c>
      <c r="BQ26" s="78">
        <v>3</v>
      </c>
      <c r="BR26" s="78">
        <v>3</v>
      </c>
      <c r="BS26" s="78">
        <v>3</v>
      </c>
      <c r="BT26" s="78">
        <v>2</v>
      </c>
      <c r="BU26" s="137">
        <v>0.95652170000000003</v>
      </c>
      <c r="BW26" s="143" t="s">
        <v>762</v>
      </c>
      <c r="BX26" s="143" t="s">
        <v>758</v>
      </c>
      <c r="BY26" s="143" t="s">
        <v>727</v>
      </c>
      <c r="BZ26" s="143">
        <v>1063</v>
      </c>
      <c r="CA26" s="78">
        <v>1</v>
      </c>
      <c r="CB26" s="78">
        <v>1</v>
      </c>
      <c r="CC26" s="78">
        <v>1</v>
      </c>
      <c r="CD26" s="78">
        <v>2</v>
      </c>
      <c r="CE26" s="78">
        <v>1</v>
      </c>
      <c r="CF26" s="78">
        <v>2</v>
      </c>
      <c r="CG26" s="78">
        <v>1</v>
      </c>
      <c r="CH26" s="78">
        <v>2</v>
      </c>
      <c r="CI26" s="78">
        <v>1</v>
      </c>
      <c r="CJ26" s="78">
        <v>3</v>
      </c>
      <c r="CK26" s="137">
        <v>1</v>
      </c>
      <c r="CM26" s="143" t="s">
        <v>762</v>
      </c>
      <c r="CN26" s="143" t="s">
        <v>758</v>
      </c>
      <c r="CO26" s="143" t="s">
        <v>727</v>
      </c>
      <c r="CP26" s="143">
        <v>1063</v>
      </c>
      <c r="CQ26" s="78">
        <v>8</v>
      </c>
      <c r="CR26" s="78">
        <v>0</v>
      </c>
      <c r="CS26" s="78">
        <v>12</v>
      </c>
      <c r="CT26" s="78">
        <v>4</v>
      </c>
      <c r="CU26" s="78">
        <v>2</v>
      </c>
      <c r="CV26" s="78">
        <v>8</v>
      </c>
      <c r="CW26" s="137">
        <v>0.65384609999999999</v>
      </c>
      <c r="CY26" s="143" t="s">
        <v>762</v>
      </c>
      <c r="CZ26" s="143" t="s">
        <v>758</v>
      </c>
      <c r="DA26" s="143" t="s">
        <v>727</v>
      </c>
      <c r="DB26" s="143">
        <v>1063</v>
      </c>
      <c r="DC26" s="78">
        <v>36</v>
      </c>
      <c r="DD26" s="137">
        <v>0</v>
      </c>
      <c r="DE26" s="137">
        <v>0</v>
      </c>
      <c r="DG26" s="143" t="s">
        <v>762</v>
      </c>
      <c r="DH26" s="143" t="s">
        <v>758</v>
      </c>
      <c r="DI26" s="143" t="s">
        <v>727</v>
      </c>
      <c r="DJ26" s="143">
        <v>1063</v>
      </c>
      <c r="DK26" s="78">
        <v>2</v>
      </c>
      <c r="DL26" s="78">
        <v>1</v>
      </c>
      <c r="DM26" s="78">
        <v>0</v>
      </c>
      <c r="DN26" s="78">
        <v>5</v>
      </c>
      <c r="DO26" s="78">
        <v>2</v>
      </c>
      <c r="DP26" s="78">
        <v>3</v>
      </c>
      <c r="DQ26" s="78">
        <v>8</v>
      </c>
      <c r="DR26" s="78">
        <v>1</v>
      </c>
      <c r="DS26" s="78">
        <v>1</v>
      </c>
      <c r="DT26" s="78">
        <v>2</v>
      </c>
      <c r="DU26" s="78">
        <v>0</v>
      </c>
      <c r="DV26" s="137">
        <v>0.86206899999999997</v>
      </c>
      <c r="DX26" s="143" t="s">
        <v>762</v>
      </c>
      <c r="DY26" s="143" t="s">
        <v>758</v>
      </c>
      <c r="DZ26" s="143" t="s">
        <v>727</v>
      </c>
      <c r="EA26" s="143">
        <v>1063</v>
      </c>
      <c r="EB26" s="78">
        <v>1</v>
      </c>
      <c r="EC26" s="78">
        <v>8</v>
      </c>
      <c r="ED26" s="78">
        <v>1</v>
      </c>
      <c r="EE26" s="78">
        <v>4</v>
      </c>
      <c r="EF26" s="78">
        <v>1</v>
      </c>
      <c r="EG26" s="78">
        <v>1</v>
      </c>
      <c r="EH26" s="78">
        <v>0</v>
      </c>
      <c r="EI26" s="78">
        <v>1</v>
      </c>
      <c r="EJ26" s="78">
        <v>1</v>
      </c>
      <c r="EK26" s="78">
        <v>1</v>
      </c>
      <c r="EL26" s="78">
        <v>4</v>
      </c>
      <c r="EM26" s="78">
        <v>1</v>
      </c>
      <c r="EN26" s="78">
        <v>1</v>
      </c>
      <c r="EO26" s="137">
        <v>0.92592589999999997</v>
      </c>
      <c r="EQ26" s="143" t="s">
        <v>762</v>
      </c>
      <c r="ER26" s="143" t="s">
        <v>758</v>
      </c>
      <c r="ES26" s="143" t="s">
        <v>727</v>
      </c>
      <c r="ET26" s="143">
        <v>1063</v>
      </c>
      <c r="EU26" s="78">
        <v>0.5</v>
      </c>
      <c r="EV26" s="78">
        <v>1</v>
      </c>
      <c r="EW26" s="78">
        <v>3</v>
      </c>
      <c r="EX26" s="78">
        <v>2</v>
      </c>
      <c r="EY26" s="78">
        <v>0.5</v>
      </c>
      <c r="EZ26" s="78">
        <v>3</v>
      </c>
      <c r="FA26" s="78">
        <v>2</v>
      </c>
      <c r="FB26" s="78">
        <v>1</v>
      </c>
      <c r="FC26" s="137">
        <v>1</v>
      </c>
      <c r="FE26" s="137">
        <v>0.53225809999999996</v>
      </c>
    </row>
    <row r="27" spans="1:161" x14ac:dyDescent="0.25">
      <c r="A27" s="143" t="s">
        <v>762</v>
      </c>
      <c r="B27" s="143" t="s">
        <v>758</v>
      </c>
      <c r="C27" s="143" t="s">
        <v>728</v>
      </c>
      <c r="D27" s="143">
        <v>1726</v>
      </c>
      <c r="E27" s="78">
        <v>0.5</v>
      </c>
      <c r="F27" s="78">
        <v>2.5</v>
      </c>
      <c r="G27" s="78">
        <v>1</v>
      </c>
      <c r="H27" s="78">
        <v>2</v>
      </c>
      <c r="I27" s="78">
        <v>1</v>
      </c>
      <c r="J27" s="78">
        <v>1</v>
      </c>
      <c r="K27" s="78">
        <v>1</v>
      </c>
      <c r="L27" s="78">
        <v>1</v>
      </c>
      <c r="M27" s="78">
        <v>2</v>
      </c>
      <c r="N27" s="137">
        <v>0.85714290000000004</v>
      </c>
      <c r="P27" s="143" t="s">
        <v>762</v>
      </c>
      <c r="Q27" s="143" t="s">
        <v>758</v>
      </c>
      <c r="R27" s="143" t="s">
        <v>728</v>
      </c>
      <c r="S27" s="143">
        <v>1726</v>
      </c>
      <c r="T27" s="78">
        <v>0</v>
      </c>
      <c r="U27" s="78">
        <v>1</v>
      </c>
      <c r="V27" s="78">
        <v>0.5</v>
      </c>
      <c r="W27" s="78">
        <v>2</v>
      </c>
      <c r="X27" s="78">
        <v>12</v>
      </c>
      <c r="Y27" s="78">
        <v>1</v>
      </c>
      <c r="Z27" s="78">
        <v>3</v>
      </c>
      <c r="AA27" s="78">
        <v>2</v>
      </c>
      <c r="AB27" s="78">
        <v>6</v>
      </c>
      <c r="AC27" s="78">
        <v>3</v>
      </c>
      <c r="AD27" s="137">
        <v>0.89705880000000005</v>
      </c>
      <c r="AF27" s="143" t="s">
        <v>762</v>
      </c>
      <c r="AG27" s="143" t="s">
        <v>758</v>
      </c>
      <c r="AH27" s="143" t="s">
        <v>728</v>
      </c>
      <c r="AI27" s="143">
        <v>1726</v>
      </c>
      <c r="AJ27" s="78">
        <v>0</v>
      </c>
      <c r="AK27" s="78">
        <v>1</v>
      </c>
      <c r="AL27" s="78">
        <v>1</v>
      </c>
      <c r="AM27" s="78">
        <v>6</v>
      </c>
      <c r="AN27" s="78">
        <v>1</v>
      </c>
      <c r="AO27" s="78">
        <v>2</v>
      </c>
      <c r="AP27" s="78">
        <v>1</v>
      </c>
      <c r="AQ27" s="78">
        <v>1</v>
      </c>
      <c r="AR27" s="78">
        <v>2</v>
      </c>
      <c r="AS27" s="78">
        <v>0</v>
      </c>
      <c r="AT27" s="78">
        <v>0</v>
      </c>
      <c r="AU27" s="78">
        <v>0</v>
      </c>
      <c r="AV27" s="78">
        <v>0</v>
      </c>
      <c r="AW27" s="78">
        <v>0</v>
      </c>
      <c r="AX27" s="78">
        <v>0</v>
      </c>
      <c r="AY27" s="78">
        <v>1</v>
      </c>
      <c r="AZ27" s="78">
        <v>0</v>
      </c>
      <c r="BA27" s="78">
        <v>0.5</v>
      </c>
      <c r="BB27" s="78">
        <v>0.5</v>
      </c>
      <c r="BC27" s="78">
        <v>0.5</v>
      </c>
      <c r="BD27" s="78">
        <v>1</v>
      </c>
      <c r="BE27" s="78">
        <v>0.5</v>
      </c>
      <c r="BF27" s="78">
        <v>0</v>
      </c>
      <c r="BG27" s="78">
        <v>6</v>
      </c>
      <c r="BH27" s="137">
        <v>0.56818179999999996</v>
      </c>
      <c r="BJ27" s="143" t="s">
        <v>762</v>
      </c>
      <c r="BK27" s="143" t="s">
        <v>758</v>
      </c>
      <c r="BL27" s="143" t="s">
        <v>728</v>
      </c>
      <c r="BM27" s="143">
        <v>1726</v>
      </c>
      <c r="BN27" s="78">
        <v>0</v>
      </c>
      <c r="BO27" s="78">
        <v>4</v>
      </c>
      <c r="BP27" s="78">
        <v>7</v>
      </c>
      <c r="BQ27" s="78">
        <v>0</v>
      </c>
      <c r="BR27" s="78">
        <v>0</v>
      </c>
      <c r="BS27" s="78">
        <v>0</v>
      </c>
      <c r="BT27" s="78">
        <v>2</v>
      </c>
      <c r="BU27" s="137">
        <v>0.56521739999999998</v>
      </c>
      <c r="BW27" s="143" t="s">
        <v>762</v>
      </c>
      <c r="BX27" s="143" t="s">
        <v>758</v>
      </c>
      <c r="BY27" s="143" t="s">
        <v>728</v>
      </c>
      <c r="BZ27" s="143">
        <v>1726</v>
      </c>
      <c r="CM27" s="143" t="s">
        <v>762</v>
      </c>
      <c r="CN27" s="143" t="s">
        <v>758</v>
      </c>
      <c r="CO27" s="143" t="s">
        <v>728</v>
      </c>
      <c r="CP27" s="143">
        <v>1726</v>
      </c>
      <c r="CQ27" s="78">
        <v>8</v>
      </c>
      <c r="CR27" s="78">
        <v>6</v>
      </c>
      <c r="CS27" s="78">
        <v>20</v>
      </c>
      <c r="CT27" s="78">
        <v>4</v>
      </c>
      <c r="CU27" s="78">
        <v>2</v>
      </c>
      <c r="CV27" s="78">
        <v>8</v>
      </c>
      <c r="CW27" s="137">
        <v>0.92307689999999998</v>
      </c>
      <c r="CY27" s="143" t="s">
        <v>762</v>
      </c>
      <c r="CZ27" s="143" t="s">
        <v>758</v>
      </c>
      <c r="DA27" s="143" t="s">
        <v>728</v>
      </c>
      <c r="DB27" s="143">
        <v>1726</v>
      </c>
      <c r="DC27" s="78">
        <v>64</v>
      </c>
      <c r="DD27" s="137">
        <v>0</v>
      </c>
      <c r="DE27" s="137">
        <v>0</v>
      </c>
      <c r="DG27" s="143" t="s">
        <v>762</v>
      </c>
      <c r="DH27" s="143" t="s">
        <v>758</v>
      </c>
      <c r="DI27" s="143" t="s">
        <v>728</v>
      </c>
      <c r="DJ27" s="143">
        <v>1726</v>
      </c>
      <c r="DK27" s="78">
        <v>2</v>
      </c>
      <c r="DL27" s="78">
        <v>1</v>
      </c>
      <c r="DM27" s="78">
        <v>0</v>
      </c>
      <c r="DN27" s="78">
        <v>5</v>
      </c>
      <c r="DO27" s="78">
        <v>2</v>
      </c>
      <c r="DP27" s="78">
        <v>3</v>
      </c>
      <c r="DQ27" s="78">
        <v>8</v>
      </c>
      <c r="DR27" s="78">
        <v>1</v>
      </c>
      <c r="DS27" s="78">
        <v>1</v>
      </c>
      <c r="DT27" s="78">
        <v>0</v>
      </c>
      <c r="DU27" s="78">
        <v>0</v>
      </c>
      <c r="DV27" s="137">
        <v>0.79310349999999996</v>
      </c>
      <c r="DX27" s="143" t="s">
        <v>762</v>
      </c>
      <c r="DY27" s="143" t="s">
        <v>758</v>
      </c>
      <c r="DZ27" s="143" t="s">
        <v>728</v>
      </c>
      <c r="EA27" s="143">
        <v>1726</v>
      </c>
      <c r="EB27" s="78">
        <v>1</v>
      </c>
      <c r="EC27" s="78">
        <v>8</v>
      </c>
      <c r="ED27" s="78">
        <v>1</v>
      </c>
      <c r="EE27" s="78">
        <v>4</v>
      </c>
      <c r="EF27" s="78">
        <v>1</v>
      </c>
      <c r="EG27" s="78">
        <v>1</v>
      </c>
      <c r="EH27" s="78">
        <v>2</v>
      </c>
      <c r="EI27" s="78">
        <v>1</v>
      </c>
      <c r="EJ27" s="78">
        <v>1</v>
      </c>
      <c r="EK27" s="78">
        <v>1</v>
      </c>
      <c r="EL27" s="78">
        <v>4</v>
      </c>
      <c r="EM27" s="78">
        <v>1</v>
      </c>
      <c r="EN27" s="78">
        <v>1</v>
      </c>
      <c r="EO27" s="137">
        <v>1</v>
      </c>
      <c r="EQ27" s="143" t="s">
        <v>762</v>
      </c>
      <c r="ER27" s="143" t="s">
        <v>758</v>
      </c>
      <c r="ES27" s="143" t="s">
        <v>728</v>
      </c>
      <c r="ET27" s="143">
        <v>1726</v>
      </c>
      <c r="EU27" s="78">
        <v>0.5</v>
      </c>
      <c r="EV27" s="78">
        <v>1</v>
      </c>
      <c r="EW27" s="78">
        <v>3</v>
      </c>
      <c r="EX27" s="78">
        <v>2</v>
      </c>
      <c r="EY27" s="78">
        <v>0.5</v>
      </c>
      <c r="EZ27" s="78">
        <v>3</v>
      </c>
      <c r="FA27" s="78">
        <v>2</v>
      </c>
      <c r="FB27" s="78">
        <v>1</v>
      </c>
      <c r="FC27" s="137">
        <v>1</v>
      </c>
      <c r="FE27" s="137">
        <v>0.58742329999999998</v>
      </c>
    </row>
    <row r="28" spans="1:161" x14ac:dyDescent="0.25">
      <c r="A28" s="143" t="s">
        <v>762</v>
      </c>
      <c r="B28" s="143" t="s">
        <v>758</v>
      </c>
      <c r="C28" s="143" t="s">
        <v>728</v>
      </c>
      <c r="D28" s="143">
        <v>1727</v>
      </c>
      <c r="E28" s="78">
        <v>0.5</v>
      </c>
      <c r="F28" s="78">
        <v>2.5</v>
      </c>
      <c r="G28" s="78">
        <v>1</v>
      </c>
      <c r="H28" s="78">
        <v>0</v>
      </c>
      <c r="I28" s="78">
        <v>1</v>
      </c>
      <c r="J28" s="78">
        <v>0</v>
      </c>
      <c r="K28" s="78">
        <v>1</v>
      </c>
      <c r="L28" s="78">
        <v>1</v>
      </c>
      <c r="M28" s="78">
        <v>0</v>
      </c>
      <c r="N28" s="137">
        <v>0.5</v>
      </c>
      <c r="P28" s="143" t="s">
        <v>762</v>
      </c>
      <c r="Q28" s="143" t="s">
        <v>758</v>
      </c>
      <c r="R28" s="143" t="s">
        <v>728</v>
      </c>
      <c r="S28" s="143">
        <v>1727</v>
      </c>
      <c r="T28" s="78">
        <v>0</v>
      </c>
      <c r="U28" s="78">
        <v>1</v>
      </c>
      <c r="V28" s="78">
        <v>1.5</v>
      </c>
      <c r="W28" s="78">
        <v>0.5</v>
      </c>
      <c r="X28" s="78">
        <v>9</v>
      </c>
      <c r="Y28" s="78">
        <v>1</v>
      </c>
      <c r="Z28" s="78">
        <v>0</v>
      </c>
      <c r="AA28" s="78">
        <v>2</v>
      </c>
      <c r="AB28" s="78">
        <v>0</v>
      </c>
      <c r="AC28" s="78">
        <v>3</v>
      </c>
      <c r="AD28" s="137">
        <v>0.52941179999999999</v>
      </c>
      <c r="AF28" s="143" t="s">
        <v>762</v>
      </c>
      <c r="AG28" s="143" t="s">
        <v>758</v>
      </c>
      <c r="AH28" s="143" t="s">
        <v>728</v>
      </c>
      <c r="AI28" s="143">
        <v>1727</v>
      </c>
      <c r="AJ28" s="78">
        <v>1</v>
      </c>
      <c r="AK28" s="78">
        <v>1</v>
      </c>
      <c r="AL28" s="78">
        <v>1</v>
      </c>
      <c r="AM28" s="78">
        <v>6</v>
      </c>
      <c r="AN28" s="78">
        <v>1</v>
      </c>
      <c r="AO28" s="78">
        <v>0</v>
      </c>
      <c r="AP28" s="78">
        <v>1</v>
      </c>
      <c r="AQ28" s="78">
        <v>1</v>
      </c>
      <c r="AR28" s="78">
        <v>0</v>
      </c>
      <c r="AS28" s="78">
        <v>0</v>
      </c>
      <c r="AT28" s="78">
        <v>0</v>
      </c>
      <c r="AU28" s="78">
        <v>0</v>
      </c>
      <c r="AV28" s="78">
        <v>0</v>
      </c>
      <c r="AW28" s="78">
        <v>0</v>
      </c>
      <c r="AX28" s="78">
        <v>0</v>
      </c>
      <c r="AY28" s="78">
        <v>1</v>
      </c>
      <c r="AZ28" s="78">
        <v>2</v>
      </c>
      <c r="BA28" s="78">
        <v>0.5</v>
      </c>
      <c r="BB28" s="78">
        <v>0.5</v>
      </c>
      <c r="BC28" s="78">
        <v>0.5</v>
      </c>
      <c r="BD28" s="78">
        <v>1</v>
      </c>
      <c r="BE28" s="78">
        <v>0.5</v>
      </c>
      <c r="BF28" s="78">
        <v>0</v>
      </c>
      <c r="BG28" s="78">
        <v>6</v>
      </c>
      <c r="BH28" s="137">
        <v>0.54545460000000001</v>
      </c>
      <c r="BJ28" s="143" t="s">
        <v>762</v>
      </c>
      <c r="BK28" s="143" t="s">
        <v>758</v>
      </c>
      <c r="BL28" s="143" t="s">
        <v>728</v>
      </c>
      <c r="BM28" s="143">
        <v>1727</v>
      </c>
      <c r="BN28" s="78">
        <v>0</v>
      </c>
      <c r="BO28" s="78">
        <v>4</v>
      </c>
      <c r="BP28" s="78">
        <v>7</v>
      </c>
      <c r="BQ28" s="78">
        <v>0</v>
      </c>
      <c r="BR28" s="78">
        <v>0</v>
      </c>
      <c r="BS28" s="78">
        <v>0</v>
      </c>
      <c r="BT28" s="78">
        <v>2</v>
      </c>
      <c r="BU28" s="137">
        <v>0.56521739999999998</v>
      </c>
      <c r="BW28" s="143" t="s">
        <v>762</v>
      </c>
      <c r="BX28" s="143" t="s">
        <v>758</v>
      </c>
      <c r="BY28" s="143" t="s">
        <v>728</v>
      </c>
      <c r="BZ28" s="143">
        <v>1727</v>
      </c>
      <c r="CA28" s="78">
        <v>1</v>
      </c>
      <c r="CB28" s="78">
        <v>0</v>
      </c>
      <c r="CC28" s="78">
        <v>1</v>
      </c>
      <c r="CD28" s="78">
        <v>2</v>
      </c>
      <c r="CE28" s="78">
        <v>0</v>
      </c>
      <c r="CF28" s="78">
        <v>2</v>
      </c>
      <c r="CG28" s="78">
        <v>0</v>
      </c>
      <c r="CH28" s="78">
        <v>2</v>
      </c>
      <c r="CI28" s="78">
        <v>1</v>
      </c>
      <c r="CJ28" s="78">
        <v>0</v>
      </c>
      <c r="CK28" s="137">
        <v>0.6</v>
      </c>
      <c r="CM28" s="143" t="s">
        <v>762</v>
      </c>
      <c r="CN28" s="143" t="s">
        <v>758</v>
      </c>
      <c r="CO28" s="143" t="s">
        <v>728</v>
      </c>
      <c r="CP28" s="143">
        <v>1727</v>
      </c>
      <c r="CQ28" s="78">
        <v>8</v>
      </c>
      <c r="CR28" s="78">
        <v>0</v>
      </c>
      <c r="CS28" s="78">
        <v>20</v>
      </c>
      <c r="CT28" s="78">
        <v>4</v>
      </c>
      <c r="CU28" s="78">
        <v>2</v>
      </c>
      <c r="CV28" s="78">
        <v>8</v>
      </c>
      <c r="CW28" s="137">
        <v>0.80769230000000003</v>
      </c>
      <c r="CY28" s="143" t="s">
        <v>762</v>
      </c>
      <c r="CZ28" s="143" t="s">
        <v>758</v>
      </c>
      <c r="DA28" s="143" t="s">
        <v>728</v>
      </c>
      <c r="DB28" s="143">
        <v>1727</v>
      </c>
      <c r="DC28" s="78">
        <v>70</v>
      </c>
      <c r="DD28" s="137">
        <v>0.25</v>
      </c>
      <c r="DE28" s="137">
        <v>0.19444439999999999</v>
      </c>
      <c r="DG28" s="143" t="s">
        <v>762</v>
      </c>
      <c r="DH28" s="143" t="s">
        <v>758</v>
      </c>
      <c r="DI28" s="143" t="s">
        <v>728</v>
      </c>
      <c r="DJ28" s="143">
        <v>1727</v>
      </c>
      <c r="DK28" s="78">
        <v>2</v>
      </c>
      <c r="DL28" s="78">
        <v>1</v>
      </c>
      <c r="DM28" s="78">
        <v>0</v>
      </c>
      <c r="DN28" s="78">
        <v>5</v>
      </c>
      <c r="DO28" s="78">
        <v>2</v>
      </c>
      <c r="DP28" s="78">
        <v>3</v>
      </c>
      <c r="DQ28" s="78">
        <v>8</v>
      </c>
      <c r="DR28" s="78">
        <v>1</v>
      </c>
      <c r="DS28" s="78">
        <v>1</v>
      </c>
      <c r="DT28" s="78">
        <v>0</v>
      </c>
      <c r="DU28" s="78">
        <v>0</v>
      </c>
      <c r="DV28" s="137">
        <v>0.79310349999999996</v>
      </c>
      <c r="DX28" s="143" t="s">
        <v>762</v>
      </c>
      <c r="DY28" s="143" t="s">
        <v>758</v>
      </c>
      <c r="DZ28" s="143" t="s">
        <v>728</v>
      </c>
      <c r="EA28" s="143">
        <v>1727</v>
      </c>
      <c r="EB28" s="78">
        <v>1</v>
      </c>
      <c r="EC28" s="78">
        <v>8</v>
      </c>
      <c r="ED28" s="78">
        <v>1</v>
      </c>
      <c r="EE28" s="78">
        <v>0</v>
      </c>
      <c r="EF28" s="78">
        <v>1</v>
      </c>
      <c r="EG28" s="78">
        <v>1</v>
      </c>
      <c r="EH28" s="78">
        <v>0</v>
      </c>
      <c r="EI28" s="78">
        <v>1</v>
      </c>
      <c r="EJ28" s="78">
        <v>1</v>
      </c>
      <c r="EK28" s="78">
        <v>1</v>
      </c>
      <c r="EL28" s="78">
        <v>4</v>
      </c>
      <c r="EM28" s="78">
        <v>1</v>
      </c>
      <c r="EN28" s="78">
        <v>1</v>
      </c>
      <c r="EO28" s="137">
        <v>0.77777779999999996</v>
      </c>
      <c r="EQ28" s="143" t="s">
        <v>762</v>
      </c>
      <c r="ER28" s="143" t="s">
        <v>758</v>
      </c>
      <c r="ES28" s="143" t="s">
        <v>728</v>
      </c>
      <c r="ET28" s="143">
        <v>1727</v>
      </c>
      <c r="EU28" s="78">
        <v>0.5</v>
      </c>
      <c r="EV28" s="78">
        <v>1</v>
      </c>
      <c r="EW28" s="78">
        <v>3</v>
      </c>
      <c r="EX28" s="78">
        <v>2</v>
      </c>
      <c r="EY28" s="78">
        <v>0.5</v>
      </c>
      <c r="EZ28" s="78">
        <v>3</v>
      </c>
      <c r="FA28" s="78">
        <v>2</v>
      </c>
      <c r="FB28" s="78">
        <v>1</v>
      </c>
      <c r="FC28" s="137">
        <v>1</v>
      </c>
      <c r="FE28" s="137">
        <v>0.54985340000000005</v>
      </c>
    </row>
    <row r="29" spans="1:161" x14ac:dyDescent="0.25">
      <c r="A29" s="143" t="s">
        <v>762</v>
      </c>
      <c r="B29" s="143" t="s">
        <v>758</v>
      </c>
      <c r="C29" s="143" t="s">
        <v>728</v>
      </c>
      <c r="D29" s="143">
        <v>1773</v>
      </c>
      <c r="E29" s="78">
        <v>0.5</v>
      </c>
      <c r="F29" s="78">
        <v>2</v>
      </c>
      <c r="G29" s="78">
        <v>1</v>
      </c>
      <c r="H29" s="78">
        <v>0</v>
      </c>
      <c r="I29" s="78">
        <v>1</v>
      </c>
      <c r="J29" s="78">
        <v>0</v>
      </c>
      <c r="K29" s="78">
        <v>1</v>
      </c>
      <c r="L29" s="78">
        <v>0</v>
      </c>
      <c r="M29" s="78">
        <v>0</v>
      </c>
      <c r="N29" s="137">
        <v>0.39285710000000001</v>
      </c>
      <c r="P29" s="143" t="s">
        <v>762</v>
      </c>
      <c r="Q29" s="143" t="s">
        <v>758</v>
      </c>
      <c r="R29" s="143" t="s">
        <v>728</v>
      </c>
      <c r="S29" s="143">
        <v>1773</v>
      </c>
      <c r="T29" s="78">
        <v>0</v>
      </c>
      <c r="U29" s="78">
        <v>1</v>
      </c>
      <c r="V29" s="78">
        <v>0</v>
      </c>
      <c r="W29" s="78">
        <v>0</v>
      </c>
      <c r="X29" s="78">
        <v>0</v>
      </c>
      <c r="Y29" s="78">
        <v>1</v>
      </c>
      <c r="Z29" s="78">
        <v>0</v>
      </c>
      <c r="AA29" s="78">
        <v>2</v>
      </c>
      <c r="AB29" s="78">
        <v>0</v>
      </c>
      <c r="AC29" s="78">
        <v>3</v>
      </c>
      <c r="AD29" s="137">
        <v>0.20588239999999999</v>
      </c>
      <c r="AF29" s="143" t="s">
        <v>762</v>
      </c>
      <c r="AG29" s="143" t="s">
        <v>758</v>
      </c>
      <c r="AH29" s="143" t="s">
        <v>728</v>
      </c>
      <c r="AI29" s="143">
        <v>1773</v>
      </c>
      <c r="AJ29" s="78">
        <v>1</v>
      </c>
      <c r="AK29" s="78">
        <v>1</v>
      </c>
      <c r="AL29" s="78">
        <v>1</v>
      </c>
      <c r="AM29" s="78">
        <v>6</v>
      </c>
      <c r="AN29" s="78">
        <v>1</v>
      </c>
      <c r="AO29" s="78">
        <v>0</v>
      </c>
      <c r="AP29" s="78">
        <v>1</v>
      </c>
      <c r="AQ29" s="78">
        <v>0</v>
      </c>
      <c r="AR29" s="78">
        <v>0</v>
      </c>
      <c r="AS29" s="78">
        <v>0</v>
      </c>
      <c r="AT29" s="78">
        <v>0</v>
      </c>
      <c r="AU29" s="78">
        <v>0</v>
      </c>
      <c r="AV29" s="78">
        <v>0</v>
      </c>
      <c r="AW29" s="78">
        <v>0</v>
      </c>
      <c r="AX29" s="78">
        <v>0</v>
      </c>
      <c r="AY29" s="78">
        <v>0</v>
      </c>
      <c r="AZ29" s="78">
        <v>2</v>
      </c>
      <c r="BA29" s="78">
        <v>0.5</v>
      </c>
      <c r="BB29" s="78">
        <v>0.5</v>
      </c>
      <c r="BC29" s="78">
        <v>0.5</v>
      </c>
      <c r="BD29" s="78">
        <v>0</v>
      </c>
      <c r="BE29" s="78">
        <v>0.5</v>
      </c>
      <c r="BF29" s="78">
        <v>0</v>
      </c>
      <c r="BG29" s="78">
        <v>2</v>
      </c>
      <c r="BH29" s="137">
        <v>0.38636359999999997</v>
      </c>
      <c r="BJ29" s="143" t="s">
        <v>762</v>
      </c>
      <c r="BK29" s="143" t="s">
        <v>758</v>
      </c>
      <c r="BL29" s="143" t="s">
        <v>728</v>
      </c>
      <c r="BM29" s="143">
        <v>1773</v>
      </c>
      <c r="BN29" s="78">
        <v>0</v>
      </c>
      <c r="BO29" s="78">
        <v>4</v>
      </c>
      <c r="BP29" s="78">
        <v>7</v>
      </c>
      <c r="BQ29" s="78">
        <v>0</v>
      </c>
      <c r="BR29" s="78">
        <v>0</v>
      </c>
      <c r="BS29" s="78">
        <v>0</v>
      </c>
      <c r="BT29" s="78">
        <v>2</v>
      </c>
      <c r="BU29" s="137">
        <v>0.56521739999999998</v>
      </c>
      <c r="BW29" s="143" t="s">
        <v>762</v>
      </c>
      <c r="BX29" s="143" t="s">
        <v>758</v>
      </c>
      <c r="BY29" s="143" t="s">
        <v>728</v>
      </c>
      <c r="BZ29" s="143">
        <v>1773</v>
      </c>
      <c r="CA29" s="78">
        <v>1</v>
      </c>
      <c r="CB29" s="78">
        <v>0</v>
      </c>
      <c r="CC29" s="78">
        <v>1</v>
      </c>
      <c r="CD29" s="78">
        <v>2</v>
      </c>
      <c r="CE29" s="78">
        <v>0</v>
      </c>
      <c r="CF29" s="78">
        <v>2</v>
      </c>
      <c r="CG29" s="78">
        <v>0</v>
      </c>
      <c r="CH29" s="78">
        <v>0</v>
      </c>
      <c r="CI29" s="78">
        <v>0</v>
      </c>
      <c r="CJ29" s="78">
        <v>3</v>
      </c>
      <c r="CK29" s="137">
        <v>0.6</v>
      </c>
      <c r="CM29" s="143" t="s">
        <v>762</v>
      </c>
      <c r="CN29" s="143" t="s">
        <v>758</v>
      </c>
      <c r="CO29" s="143" t="s">
        <v>728</v>
      </c>
      <c r="CP29" s="143">
        <v>1773</v>
      </c>
      <c r="CQ29" s="78">
        <v>8</v>
      </c>
      <c r="CR29" s="78">
        <v>0</v>
      </c>
      <c r="CS29" s="78">
        <v>8</v>
      </c>
      <c r="CT29" s="78">
        <v>4</v>
      </c>
      <c r="CU29" s="78">
        <v>2</v>
      </c>
      <c r="CV29" s="78">
        <v>8</v>
      </c>
      <c r="CW29" s="137">
        <v>0.57692310000000002</v>
      </c>
      <c r="CY29" s="143" t="s">
        <v>762</v>
      </c>
      <c r="CZ29" s="143" t="s">
        <v>758</v>
      </c>
      <c r="DA29" s="143" t="s">
        <v>728</v>
      </c>
      <c r="DB29" s="143">
        <v>1773</v>
      </c>
      <c r="DC29" s="78">
        <v>12</v>
      </c>
      <c r="DD29" s="137">
        <v>0</v>
      </c>
      <c r="DE29" s="137">
        <v>0</v>
      </c>
      <c r="DG29" s="143" t="s">
        <v>762</v>
      </c>
      <c r="DH29" s="143" t="s">
        <v>758</v>
      </c>
      <c r="DI29" s="143" t="s">
        <v>728</v>
      </c>
      <c r="DJ29" s="143">
        <v>1773</v>
      </c>
      <c r="DK29" s="78">
        <v>2</v>
      </c>
      <c r="DL29" s="78">
        <v>1</v>
      </c>
      <c r="DM29" s="78">
        <v>0</v>
      </c>
      <c r="DN29" s="78">
        <v>5</v>
      </c>
      <c r="DO29" s="78">
        <v>2</v>
      </c>
      <c r="DP29" s="78">
        <v>3</v>
      </c>
      <c r="DQ29" s="78">
        <v>8</v>
      </c>
      <c r="DR29" s="78">
        <v>0</v>
      </c>
      <c r="DS29" s="78">
        <v>1</v>
      </c>
      <c r="DT29" s="78">
        <v>0</v>
      </c>
      <c r="DU29" s="78">
        <v>0</v>
      </c>
      <c r="DV29" s="137">
        <v>0.75862070000000004</v>
      </c>
      <c r="DX29" s="143" t="s">
        <v>762</v>
      </c>
      <c r="DY29" s="143" t="s">
        <v>758</v>
      </c>
      <c r="DZ29" s="143" t="s">
        <v>728</v>
      </c>
      <c r="EA29" s="143">
        <v>1773</v>
      </c>
      <c r="EB29" s="78">
        <v>1</v>
      </c>
      <c r="EC29" s="78">
        <v>8</v>
      </c>
      <c r="ED29" s="78">
        <v>1</v>
      </c>
      <c r="EE29" s="78">
        <v>4</v>
      </c>
      <c r="EF29" s="78">
        <v>1</v>
      </c>
      <c r="EG29" s="78">
        <v>1</v>
      </c>
      <c r="EH29" s="78">
        <v>2</v>
      </c>
      <c r="EI29" s="78">
        <v>1</v>
      </c>
      <c r="EJ29" s="78">
        <v>1</v>
      </c>
      <c r="EK29" s="78">
        <v>1</v>
      </c>
      <c r="EL29" s="78">
        <v>4</v>
      </c>
      <c r="EM29" s="78">
        <v>1</v>
      </c>
      <c r="EN29" s="78">
        <v>1</v>
      </c>
      <c r="EO29" s="137">
        <v>1</v>
      </c>
      <c r="EQ29" s="143" t="s">
        <v>762</v>
      </c>
      <c r="ER29" s="143" t="s">
        <v>758</v>
      </c>
      <c r="ES29" s="143" t="s">
        <v>728</v>
      </c>
      <c r="ET29" s="143">
        <v>1773</v>
      </c>
      <c r="EU29" s="78">
        <v>0</v>
      </c>
      <c r="EV29" s="78">
        <v>1</v>
      </c>
      <c r="EW29" s="78">
        <v>0</v>
      </c>
      <c r="EX29" s="78">
        <v>0</v>
      </c>
      <c r="EY29" s="78">
        <v>0.5</v>
      </c>
      <c r="EZ29" s="78">
        <v>3</v>
      </c>
      <c r="FA29" s="78">
        <v>2</v>
      </c>
      <c r="FB29" s="78">
        <v>1</v>
      </c>
      <c r="FC29" s="137">
        <v>0.57692310000000002</v>
      </c>
      <c r="FE29" s="137">
        <v>0.4046921</v>
      </c>
    </row>
    <row r="30" spans="1:161" hidden="1" x14ac:dyDescent="0.25">
      <c r="A30" s="143" t="s">
        <v>763</v>
      </c>
      <c r="B30" s="143" t="s">
        <v>764</v>
      </c>
      <c r="C30" s="143" t="s">
        <v>727</v>
      </c>
      <c r="D30" s="143">
        <v>598</v>
      </c>
      <c r="E30" s="78">
        <v>0</v>
      </c>
      <c r="F30" s="78">
        <v>2.5</v>
      </c>
      <c r="G30" s="78">
        <v>1</v>
      </c>
      <c r="H30" s="78">
        <v>0</v>
      </c>
      <c r="I30" s="78">
        <v>1</v>
      </c>
      <c r="J30" s="78">
        <v>0</v>
      </c>
      <c r="K30" s="78">
        <v>1</v>
      </c>
      <c r="L30" s="78">
        <v>1</v>
      </c>
      <c r="M30" s="78">
        <v>2</v>
      </c>
      <c r="N30" s="137">
        <v>0.60714290000000004</v>
      </c>
      <c r="P30" s="143" t="s">
        <v>763</v>
      </c>
      <c r="Q30" s="143" t="s">
        <v>764</v>
      </c>
      <c r="R30" s="143" t="s">
        <v>727</v>
      </c>
      <c r="S30" s="143">
        <v>598</v>
      </c>
      <c r="T30" s="78">
        <v>1</v>
      </c>
      <c r="U30" s="78">
        <v>0</v>
      </c>
      <c r="V30" s="78">
        <v>1.5</v>
      </c>
      <c r="W30" s="78">
        <v>1</v>
      </c>
      <c r="X30" s="78">
        <v>9</v>
      </c>
      <c r="Y30" s="78">
        <v>1</v>
      </c>
      <c r="Z30" s="78">
        <v>3</v>
      </c>
      <c r="AA30" s="78">
        <v>0</v>
      </c>
      <c r="AB30" s="78">
        <v>6</v>
      </c>
      <c r="AC30" s="78">
        <v>0</v>
      </c>
      <c r="AD30" s="137">
        <v>0.66176469999999998</v>
      </c>
      <c r="AF30" s="143" t="s">
        <v>763</v>
      </c>
      <c r="AG30" s="143" t="s">
        <v>764</v>
      </c>
      <c r="AH30" s="143" t="s">
        <v>727</v>
      </c>
      <c r="AI30" s="143">
        <v>598</v>
      </c>
      <c r="AJ30" s="78">
        <v>1</v>
      </c>
      <c r="AK30" s="78">
        <v>1</v>
      </c>
      <c r="AL30" s="78">
        <v>0</v>
      </c>
      <c r="AM30" s="78">
        <v>6</v>
      </c>
      <c r="AN30" s="78">
        <v>1</v>
      </c>
      <c r="AO30" s="78">
        <v>2</v>
      </c>
      <c r="AP30" s="78">
        <v>1</v>
      </c>
      <c r="AQ30" s="78">
        <v>1</v>
      </c>
      <c r="AR30" s="78">
        <v>2</v>
      </c>
      <c r="AS30" s="78">
        <v>2</v>
      </c>
      <c r="AT30" s="78">
        <v>2</v>
      </c>
      <c r="AU30" s="78">
        <v>0</v>
      </c>
      <c r="AV30" s="78">
        <v>2</v>
      </c>
      <c r="AW30" s="78">
        <v>0</v>
      </c>
      <c r="AX30" s="78">
        <v>0</v>
      </c>
      <c r="AY30" s="78">
        <v>1</v>
      </c>
      <c r="AZ30" s="78">
        <v>2</v>
      </c>
      <c r="BA30" s="78">
        <v>0.5</v>
      </c>
      <c r="BB30" s="78">
        <v>0.5</v>
      </c>
      <c r="BC30" s="78">
        <v>0.5</v>
      </c>
      <c r="BD30" s="78">
        <v>1</v>
      </c>
      <c r="BE30" s="78">
        <v>0.5</v>
      </c>
      <c r="BF30" s="78">
        <v>1</v>
      </c>
      <c r="BG30" s="78">
        <v>8</v>
      </c>
      <c r="BH30" s="137">
        <v>0.81818179999999996</v>
      </c>
      <c r="BJ30" s="143" t="s">
        <v>763</v>
      </c>
      <c r="BK30" s="143" t="s">
        <v>764</v>
      </c>
      <c r="BL30" s="143" t="s">
        <v>727</v>
      </c>
      <c r="BM30" s="143">
        <v>598</v>
      </c>
      <c r="BN30" s="78">
        <v>1</v>
      </c>
      <c r="BO30" s="78">
        <v>4</v>
      </c>
      <c r="BP30" s="78">
        <v>7</v>
      </c>
      <c r="BQ30" s="78">
        <v>0</v>
      </c>
      <c r="BR30" s="78">
        <v>0</v>
      </c>
      <c r="BS30" s="78">
        <v>3</v>
      </c>
      <c r="BT30" s="78">
        <v>2</v>
      </c>
      <c r="BU30" s="137">
        <v>0.73913039999999997</v>
      </c>
      <c r="BW30" s="143" t="s">
        <v>763</v>
      </c>
      <c r="BX30" s="143" t="s">
        <v>764</v>
      </c>
      <c r="BY30" s="143" t="s">
        <v>727</v>
      </c>
      <c r="BZ30" s="143">
        <v>598</v>
      </c>
      <c r="CA30" s="78">
        <v>1</v>
      </c>
      <c r="CB30" s="78">
        <v>1</v>
      </c>
      <c r="CC30" s="78">
        <v>1</v>
      </c>
      <c r="CD30" s="78">
        <v>2</v>
      </c>
      <c r="CE30" s="78">
        <v>0</v>
      </c>
      <c r="CF30" s="78">
        <v>2</v>
      </c>
      <c r="CG30" s="78">
        <v>1</v>
      </c>
      <c r="CH30" s="78">
        <v>0</v>
      </c>
      <c r="CI30" s="78">
        <v>1</v>
      </c>
      <c r="CJ30" s="78">
        <v>3</v>
      </c>
      <c r="CK30" s="137">
        <v>0.8</v>
      </c>
      <c r="CM30" s="143" t="s">
        <v>763</v>
      </c>
      <c r="CN30" s="143" t="s">
        <v>764</v>
      </c>
      <c r="CO30" s="143" t="s">
        <v>727</v>
      </c>
      <c r="CP30" s="143">
        <v>598</v>
      </c>
      <c r="CQ30" s="78">
        <v>8</v>
      </c>
      <c r="CR30" s="78">
        <v>0</v>
      </c>
      <c r="CS30" s="78">
        <v>12</v>
      </c>
      <c r="CT30" s="78">
        <v>4</v>
      </c>
      <c r="CU30" s="78">
        <v>2</v>
      </c>
      <c r="CV30" s="78">
        <v>8</v>
      </c>
      <c r="CW30" s="137">
        <v>0.65384609999999999</v>
      </c>
      <c r="CY30" s="143" t="s">
        <v>763</v>
      </c>
      <c r="CZ30" s="143" t="s">
        <v>764</v>
      </c>
      <c r="DA30" s="143" t="s">
        <v>727</v>
      </c>
      <c r="DB30" s="143">
        <v>598</v>
      </c>
      <c r="DC30" s="78">
        <v>24</v>
      </c>
      <c r="DD30" s="137">
        <v>0</v>
      </c>
      <c r="DE30" s="137">
        <v>0</v>
      </c>
      <c r="DG30" s="143" t="s">
        <v>763</v>
      </c>
      <c r="DH30" s="143" t="s">
        <v>764</v>
      </c>
      <c r="DI30" s="143" t="s">
        <v>727</v>
      </c>
      <c r="DJ30" s="143">
        <v>598</v>
      </c>
      <c r="DK30" s="78">
        <v>2</v>
      </c>
      <c r="DL30" s="78">
        <v>1</v>
      </c>
      <c r="DM30" s="78">
        <v>0</v>
      </c>
      <c r="DN30" s="78">
        <v>4</v>
      </c>
      <c r="DO30" s="78">
        <v>2</v>
      </c>
      <c r="DP30" s="78">
        <v>3</v>
      </c>
      <c r="DQ30" s="78">
        <v>8</v>
      </c>
      <c r="DR30" s="78">
        <v>1</v>
      </c>
      <c r="DS30" s="78">
        <v>1</v>
      </c>
      <c r="DT30" s="78">
        <v>0</v>
      </c>
      <c r="DU30" s="78">
        <v>1</v>
      </c>
      <c r="DV30" s="137">
        <v>0.79310349999999996</v>
      </c>
      <c r="DX30" s="143" t="s">
        <v>763</v>
      </c>
      <c r="DY30" s="143" t="s">
        <v>764</v>
      </c>
      <c r="DZ30" s="143" t="s">
        <v>727</v>
      </c>
      <c r="EA30" s="143">
        <v>598</v>
      </c>
      <c r="EB30" s="78">
        <v>1</v>
      </c>
      <c r="EC30" s="78">
        <v>8</v>
      </c>
      <c r="ED30" s="78">
        <v>1</v>
      </c>
      <c r="EE30" s="78">
        <v>4</v>
      </c>
      <c r="EF30" s="78">
        <v>1</v>
      </c>
      <c r="EG30" s="78">
        <v>1</v>
      </c>
      <c r="EH30" s="78">
        <v>0</v>
      </c>
      <c r="EI30" s="78">
        <v>1</v>
      </c>
      <c r="EJ30" s="78">
        <v>1</v>
      </c>
      <c r="EK30" s="78">
        <v>1</v>
      </c>
      <c r="EL30" s="78">
        <v>4</v>
      </c>
      <c r="EM30" s="78">
        <v>1</v>
      </c>
      <c r="EN30" s="78">
        <v>1</v>
      </c>
      <c r="EO30" s="137">
        <v>0.92592589999999997</v>
      </c>
      <c r="EQ30" s="143" t="s">
        <v>763</v>
      </c>
      <c r="ER30" s="143" t="s">
        <v>764</v>
      </c>
      <c r="ES30" s="143" t="s">
        <v>727</v>
      </c>
      <c r="ET30" s="143">
        <v>598</v>
      </c>
      <c r="EU30" s="78">
        <v>0.5</v>
      </c>
      <c r="EV30" s="78">
        <v>1</v>
      </c>
      <c r="EW30" s="78">
        <v>3</v>
      </c>
      <c r="EX30" s="78">
        <v>2</v>
      </c>
      <c r="EY30" s="78">
        <v>0.5</v>
      </c>
      <c r="EZ30" s="78">
        <v>3</v>
      </c>
      <c r="FA30" s="78">
        <v>2</v>
      </c>
      <c r="FB30" s="78">
        <v>1</v>
      </c>
      <c r="FC30" s="137">
        <v>1</v>
      </c>
      <c r="FE30" s="137">
        <v>0.56011730000000004</v>
      </c>
    </row>
    <row r="31" spans="1:161" hidden="1" x14ac:dyDescent="0.25">
      <c r="A31" s="143" t="s">
        <v>763</v>
      </c>
      <c r="B31" s="143" t="s">
        <v>764</v>
      </c>
      <c r="C31" s="143" t="s">
        <v>727</v>
      </c>
      <c r="D31" s="143">
        <v>604</v>
      </c>
      <c r="E31" s="78">
        <v>0.5</v>
      </c>
      <c r="F31" s="78">
        <v>2</v>
      </c>
      <c r="G31" s="78">
        <v>1</v>
      </c>
      <c r="H31" s="78">
        <v>0</v>
      </c>
      <c r="I31" s="78">
        <v>1</v>
      </c>
      <c r="J31" s="78">
        <v>0</v>
      </c>
      <c r="K31" s="78">
        <v>1</v>
      </c>
      <c r="L31" s="78">
        <v>1</v>
      </c>
      <c r="M31" s="78">
        <v>2</v>
      </c>
      <c r="N31" s="137">
        <v>0.60714290000000004</v>
      </c>
      <c r="P31" s="143" t="s">
        <v>763</v>
      </c>
      <c r="Q31" s="143" t="s">
        <v>764</v>
      </c>
      <c r="R31" s="143" t="s">
        <v>727</v>
      </c>
      <c r="S31" s="143">
        <v>604</v>
      </c>
      <c r="T31" s="78">
        <v>1</v>
      </c>
      <c r="U31" s="78">
        <v>1</v>
      </c>
      <c r="V31" s="78">
        <v>1</v>
      </c>
      <c r="W31" s="78">
        <v>2</v>
      </c>
      <c r="X31" s="78">
        <v>9</v>
      </c>
      <c r="Y31" s="78">
        <v>1</v>
      </c>
      <c r="Z31" s="78">
        <v>3</v>
      </c>
      <c r="AA31" s="78">
        <v>0</v>
      </c>
      <c r="AB31" s="78">
        <v>6</v>
      </c>
      <c r="AC31" s="78">
        <v>0</v>
      </c>
      <c r="AD31" s="137">
        <v>0.70588240000000002</v>
      </c>
      <c r="AF31" s="143" t="s">
        <v>763</v>
      </c>
      <c r="AG31" s="143" t="s">
        <v>764</v>
      </c>
      <c r="AH31" s="143" t="s">
        <v>727</v>
      </c>
      <c r="AI31" s="143">
        <v>604</v>
      </c>
      <c r="AJ31" s="78">
        <v>1</v>
      </c>
      <c r="AK31" s="78">
        <v>1</v>
      </c>
      <c r="AL31" s="78">
        <v>1</v>
      </c>
      <c r="AM31" s="78">
        <v>0</v>
      </c>
      <c r="AN31" s="78">
        <v>1</v>
      </c>
      <c r="AO31" s="78">
        <v>2</v>
      </c>
      <c r="AP31" s="78">
        <v>1</v>
      </c>
      <c r="AQ31" s="78">
        <v>1</v>
      </c>
      <c r="AR31" s="78">
        <v>2</v>
      </c>
      <c r="AS31" s="78">
        <v>2</v>
      </c>
      <c r="AT31" s="78">
        <v>2</v>
      </c>
      <c r="AU31" s="78">
        <v>0</v>
      </c>
      <c r="AV31" s="78">
        <v>2</v>
      </c>
      <c r="AW31" s="78">
        <v>0</v>
      </c>
      <c r="AX31" s="78">
        <v>0</v>
      </c>
      <c r="AY31" s="78">
        <v>1</v>
      </c>
      <c r="AZ31" s="78">
        <v>2</v>
      </c>
      <c r="BA31" s="78">
        <v>0.5</v>
      </c>
      <c r="BB31" s="78">
        <v>0.5</v>
      </c>
      <c r="BC31" s="78">
        <v>0.5</v>
      </c>
      <c r="BD31" s="78">
        <v>1</v>
      </c>
      <c r="BE31" s="78">
        <v>0</v>
      </c>
      <c r="BF31" s="78">
        <v>0</v>
      </c>
      <c r="BG31" s="78">
        <v>6</v>
      </c>
      <c r="BH31" s="137">
        <v>0.625</v>
      </c>
      <c r="BJ31" s="143" t="s">
        <v>763</v>
      </c>
      <c r="BK31" s="143" t="s">
        <v>764</v>
      </c>
      <c r="BL31" s="143" t="s">
        <v>727</v>
      </c>
      <c r="BM31" s="143">
        <v>604</v>
      </c>
      <c r="BN31" s="78">
        <v>1</v>
      </c>
      <c r="BO31" s="78">
        <v>4</v>
      </c>
      <c r="BP31" s="78">
        <v>7</v>
      </c>
      <c r="BQ31" s="78">
        <v>0</v>
      </c>
      <c r="BR31" s="78">
        <v>0</v>
      </c>
      <c r="BS31" s="78">
        <v>0</v>
      </c>
      <c r="BT31" s="78">
        <v>2</v>
      </c>
      <c r="BU31" s="137">
        <v>0.6086956</v>
      </c>
      <c r="BW31" s="143" t="s">
        <v>763</v>
      </c>
      <c r="BX31" s="143" t="s">
        <v>764</v>
      </c>
      <c r="BY31" s="143" t="s">
        <v>727</v>
      </c>
      <c r="BZ31" s="143">
        <v>604</v>
      </c>
      <c r="CA31" s="78">
        <v>1</v>
      </c>
      <c r="CB31" s="78">
        <v>0</v>
      </c>
      <c r="CC31" s="78">
        <v>1</v>
      </c>
      <c r="CD31" s="78">
        <v>2</v>
      </c>
      <c r="CE31" s="78">
        <v>0</v>
      </c>
      <c r="CF31" s="78">
        <v>2</v>
      </c>
      <c r="CG31" s="78">
        <v>1</v>
      </c>
      <c r="CH31" s="78">
        <v>0</v>
      </c>
      <c r="CI31" s="78">
        <v>1</v>
      </c>
      <c r="CJ31" s="78">
        <v>3</v>
      </c>
      <c r="CK31" s="137">
        <v>0.73333329999999997</v>
      </c>
      <c r="CM31" s="143" t="s">
        <v>763</v>
      </c>
      <c r="CN31" s="143" t="s">
        <v>764</v>
      </c>
      <c r="CO31" s="143" t="s">
        <v>727</v>
      </c>
      <c r="CP31" s="143">
        <v>604</v>
      </c>
      <c r="CQ31" s="78">
        <v>2</v>
      </c>
      <c r="CR31" s="78">
        <v>0</v>
      </c>
      <c r="CS31" s="78">
        <v>0</v>
      </c>
      <c r="CT31" s="78">
        <v>0</v>
      </c>
      <c r="CU31" s="78">
        <v>0</v>
      </c>
      <c r="CV31" s="78">
        <v>8</v>
      </c>
      <c r="CW31" s="137">
        <v>0.1923077</v>
      </c>
      <c r="CY31" s="143" t="s">
        <v>763</v>
      </c>
      <c r="CZ31" s="143" t="s">
        <v>764</v>
      </c>
      <c r="DA31" s="143" t="s">
        <v>727</v>
      </c>
      <c r="DB31" s="143">
        <v>604</v>
      </c>
      <c r="DC31" s="78">
        <v>6</v>
      </c>
      <c r="DD31" s="137">
        <v>0</v>
      </c>
      <c r="DE31" s="137">
        <v>0</v>
      </c>
      <c r="DG31" s="143" t="s">
        <v>763</v>
      </c>
      <c r="DH31" s="143" t="s">
        <v>764</v>
      </c>
      <c r="DI31" s="143" t="s">
        <v>727</v>
      </c>
      <c r="DJ31" s="143">
        <v>604</v>
      </c>
      <c r="DK31" s="78">
        <v>0</v>
      </c>
      <c r="DL31" s="78">
        <v>1</v>
      </c>
      <c r="DM31" s="78">
        <v>0</v>
      </c>
      <c r="DN31" s="78">
        <v>3</v>
      </c>
      <c r="DO31" s="78">
        <v>2</v>
      </c>
      <c r="DP31" s="78">
        <v>3</v>
      </c>
      <c r="DQ31" s="78">
        <v>2</v>
      </c>
      <c r="DR31" s="78">
        <v>0</v>
      </c>
      <c r="DS31" s="78">
        <v>1</v>
      </c>
      <c r="DT31" s="78">
        <v>0</v>
      </c>
      <c r="DU31" s="78">
        <v>0</v>
      </c>
      <c r="DV31" s="137">
        <v>0.41379310000000002</v>
      </c>
      <c r="DX31" s="143" t="s">
        <v>763</v>
      </c>
      <c r="DY31" s="143" t="s">
        <v>764</v>
      </c>
      <c r="DZ31" s="143" t="s">
        <v>727</v>
      </c>
      <c r="EA31" s="143">
        <v>604</v>
      </c>
      <c r="EB31" s="78">
        <v>1</v>
      </c>
      <c r="EC31" s="78">
        <v>8</v>
      </c>
      <c r="ED31" s="78">
        <v>1</v>
      </c>
      <c r="EE31" s="78">
        <v>4</v>
      </c>
      <c r="EF31" s="78">
        <v>1</v>
      </c>
      <c r="EG31" s="78">
        <v>1</v>
      </c>
      <c r="EH31" s="78">
        <v>0</v>
      </c>
      <c r="EI31" s="78">
        <v>1</v>
      </c>
      <c r="EJ31" s="78">
        <v>1</v>
      </c>
      <c r="EK31" s="78">
        <v>1</v>
      </c>
      <c r="EL31" s="78">
        <v>4</v>
      </c>
      <c r="EM31" s="78">
        <v>1</v>
      </c>
      <c r="EN31" s="78">
        <v>1</v>
      </c>
      <c r="EO31" s="137">
        <v>0.92592589999999997</v>
      </c>
      <c r="EQ31" s="143" t="s">
        <v>763</v>
      </c>
      <c r="ER31" s="143" t="s">
        <v>764</v>
      </c>
      <c r="ES31" s="143" t="s">
        <v>727</v>
      </c>
      <c r="ET31" s="143">
        <v>604</v>
      </c>
      <c r="EU31" s="78">
        <v>0.5</v>
      </c>
      <c r="EV31" s="78">
        <v>1</v>
      </c>
      <c r="EW31" s="78">
        <v>3</v>
      </c>
      <c r="EX31" s="78">
        <v>2</v>
      </c>
      <c r="EY31" s="78">
        <v>0</v>
      </c>
      <c r="EZ31" s="78">
        <v>3</v>
      </c>
      <c r="FA31" s="78">
        <v>2</v>
      </c>
      <c r="FB31" s="78">
        <v>1</v>
      </c>
      <c r="FC31" s="137">
        <v>0.96153840000000002</v>
      </c>
      <c r="FE31" s="137">
        <v>0.42375370000000001</v>
      </c>
    </row>
    <row r="32" spans="1:161" hidden="1" x14ac:dyDescent="0.25">
      <c r="A32" s="143" t="s">
        <v>763</v>
      </c>
      <c r="B32" s="143" t="s">
        <v>764</v>
      </c>
      <c r="C32" s="143" t="s">
        <v>727</v>
      </c>
      <c r="D32" s="143">
        <v>1913</v>
      </c>
      <c r="E32" s="78">
        <v>0</v>
      </c>
      <c r="F32" s="78">
        <v>2</v>
      </c>
      <c r="G32" s="78">
        <v>1</v>
      </c>
      <c r="H32" s="78">
        <v>2</v>
      </c>
      <c r="I32" s="78">
        <v>1</v>
      </c>
      <c r="J32" s="78">
        <v>0</v>
      </c>
      <c r="K32" s="78">
        <v>1</v>
      </c>
      <c r="L32" s="78">
        <v>1</v>
      </c>
      <c r="M32" s="78">
        <v>2</v>
      </c>
      <c r="N32" s="137">
        <v>0.71428570000000002</v>
      </c>
      <c r="P32" s="143" t="s">
        <v>763</v>
      </c>
      <c r="Q32" s="143" t="s">
        <v>764</v>
      </c>
      <c r="R32" s="143" t="s">
        <v>727</v>
      </c>
      <c r="S32" s="143">
        <v>1913</v>
      </c>
      <c r="T32" s="78">
        <v>1</v>
      </c>
      <c r="U32" s="78">
        <v>1</v>
      </c>
      <c r="V32" s="78">
        <v>0.5</v>
      </c>
      <c r="W32" s="78">
        <v>0</v>
      </c>
      <c r="X32" s="78">
        <v>12</v>
      </c>
      <c r="Y32" s="78">
        <v>1</v>
      </c>
      <c r="Z32" s="78">
        <v>0</v>
      </c>
      <c r="AA32" s="78">
        <v>0</v>
      </c>
      <c r="AB32" s="78">
        <v>0</v>
      </c>
      <c r="AC32" s="78">
        <v>0</v>
      </c>
      <c r="AD32" s="137">
        <v>0.45588230000000002</v>
      </c>
      <c r="AF32" s="143" t="s">
        <v>763</v>
      </c>
      <c r="AG32" s="143" t="s">
        <v>764</v>
      </c>
      <c r="AH32" s="143" t="s">
        <v>727</v>
      </c>
      <c r="AI32" s="143">
        <v>1913</v>
      </c>
      <c r="AJ32" s="78">
        <v>1</v>
      </c>
      <c r="AK32" s="78">
        <v>1</v>
      </c>
      <c r="AL32" s="78">
        <v>0</v>
      </c>
      <c r="AM32" s="78">
        <v>1</v>
      </c>
      <c r="AN32" s="78">
        <v>1</v>
      </c>
      <c r="AO32" s="78">
        <v>0</v>
      </c>
      <c r="AP32" s="78">
        <v>1</v>
      </c>
      <c r="AQ32" s="78">
        <v>1</v>
      </c>
      <c r="AR32" s="78">
        <v>2</v>
      </c>
      <c r="AS32" s="78">
        <v>2</v>
      </c>
      <c r="AT32" s="78">
        <v>2</v>
      </c>
      <c r="AU32" s="78">
        <v>0</v>
      </c>
      <c r="AV32" s="78">
        <v>0</v>
      </c>
      <c r="AW32" s="78">
        <v>0</v>
      </c>
      <c r="AX32" s="78">
        <v>4</v>
      </c>
      <c r="AY32" s="78">
        <v>1</v>
      </c>
      <c r="AZ32" s="78">
        <v>2</v>
      </c>
      <c r="BA32" s="78">
        <v>0.5</v>
      </c>
      <c r="BB32" s="78">
        <v>0.5</v>
      </c>
      <c r="BC32" s="78">
        <v>0.5</v>
      </c>
      <c r="BD32" s="78">
        <v>1</v>
      </c>
      <c r="BE32" s="78">
        <v>0.5</v>
      </c>
      <c r="BF32" s="78">
        <v>0</v>
      </c>
      <c r="BG32" s="78">
        <v>2</v>
      </c>
      <c r="BH32" s="137">
        <v>0.54545460000000001</v>
      </c>
      <c r="BJ32" s="143" t="s">
        <v>763</v>
      </c>
      <c r="BK32" s="143" t="s">
        <v>764</v>
      </c>
      <c r="BL32" s="143" t="s">
        <v>727</v>
      </c>
      <c r="BM32" s="143">
        <v>1913</v>
      </c>
      <c r="BN32" s="78">
        <v>1</v>
      </c>
      <c r="BO32" s="78">
        <v>4</v>
      </c>
      <c r="BP32" s="78">
        <v>0</v>
      </c>
      <c r="BQ32" s="78">
        <v>0</v>
      </c>
      <c r="BR32" s="78">
        <v>0</v>
      </c>
      <c r="BS32" s="78">
        <v>0</v>
      </c>
      <c r="BT32" s="78">
        <v>2</v>
      </c>
      <c r="BU32" s="137">
        <v>0.3043478</v>
      </c>
      <c r="BW32" s="143" t="s">
        <v>763</v>
      </c>
      <c r="BX32" s="143" t="s">
        <v>764</v>
      </c>
      <c r="BY32" s="143" t="s">
        <v>727</v>
      </c>
      <c r="BZ32" s="143">
        <v>1913</v>
      </c>
      <c r="CA32" s="78">
        <v>1</v>
      </c>
      <c r="CB32" s="78">
        <v>1</v>
      </c>
      <c r="CC32" s="78">
        <v>1</v>
      </c>
      <c r="CD32" s="78">
        <v>2</v>
      </c>
      <c r="CE32" s="78">
        <v>0</v>
      </c>
      <c r="CF32" s="78">
        <v>2</v>
      </c>
      <c r="CG32" s="78">
        <v>1</v>
      </c>
      <c r="CH32" s="78">
        <v>2</v>
      </c>
      <c r="CI32" s="78">
        <v>1</v>
      </c>
      <c r="CJ32" s="78">
        <v>3</v>
      </c>
      <c r="CK32" s="137">
        <v>0.93333330000000003</v>
      </c>
      <c r="CM32" s="143" t="s">
        <v>763</v>
      </c>
      <c r="CN32" s="143" t="s">
        <v>764</v>
      </c>
      <c r="CO32" s="143" t="s">
        <v>727</v>
      </c>
      <c r="CP32" s="143">
        <v>1913</v>
      </c>
      <c r="CQ32" s="78">
        <v>2</v>
      </c>
      <c r="CR32" s="78">
        <v>0</v>
      </c>
      <c r="CS32" s="78">
        <v>16</v>
      </c>
      <c r="CT32" s="78">
        <v>4</v>
      </c>
      <c r="CU32" s="78">
        <v>2</v>
      </c>
      <c r="CV32" s="78">
        <v>8</v>
      </c>
      <c r="CW32" s="137">
        <v>0.61538459999999995</v>
      </c>
      <c r="CY32" s="143" t="s">
        <v>763</v>
      </c>
      <c r="CZ32" s="143" t="s">
        <v>764</v>
      </c>
      <c r="DA32" s="143" t="s">
        <v>727</v>
      </c>
      <c r="DB32" s="143">
        <v>1913</v>
      </c>
      <c r="DC32" s="78">
        <v>0</v>
      </c>
      <c r="DD32" s="137">
        <v>0</v>
      </c>
      <c r="DE32" s="137">
        <v>0</v>
      </c>
      <c r="DG32" s="143" t="s">
        <v>763</v>
      </c>
      <c r="DH32" s="143" t="s">
        <v>764</v>
      </c>
      <c r="DI32" s="143" t="s">
        <v>727</v>
      </c>
      <c r="DJ32" s="143">
        <v>1913</v>
      </c>
      <c r="DK32" s="78">
        <v>2</v>
      </c>
      <c r="DL32" s="78">
        <v>1</v>
      </c>
      <c r="DM32" s="78">
        <v>0</v>
      </c>
      <c r="DN32" s="78">
        <v>2</v>
      </c>
      <c r="DO32" s="78">
        <v>2</v>
      </c>
      <c r="DP32" s="78">
        <v>3</v>
      </c>
      <c r="DQ32" s="78">
        <v>2</v>
      </c>
      <c r="DR32" s="78">
        <v>0</v>
      </c>
      <c r="DS32" s="78">
        <v>0</v>
      </c>
      <c r="DT32" s="78">
        <v>0</v>
      </c>
      <c r="DU32" s="78">
        <v>1</v>
      </c>
      <c r="DV32" s="137">
        <v>0.4482759</v>
      </c>
      <c r="DX32" s="143" t="s">
        <v>763</v>
      </c>
      <c r="DY32" s="143" t="s">
        <v>764</v>
      </c>
      <c r="DZ32" s="143" t="s">
        <v>727</v>
      </c>
      <c r="EA32" s="143">
        <v>1913</v>
      </c>
      <c r="EB32" s="78">
        <v>0</v>
      </c>
      <c r="EC32" s="78">
        <v>8</v>
      </c>
      <c r="ED32" s="78">
        <v>1</v>
      </c>
      <c r="EE32" s="78">
        <v>4</v>
      </c>
      <c r="EF32" s="78">
        <v>1</v>
      </c>
      <c r="EG32" s="78">
        <v>1</v>
      </c>
      <c r="EH32" s="78">
        <v>0</v>
      </c>
      <c r="EI32" s="78">
        <v>1</v>
      </c>
      <c r="EJ32" s="78">
        <v>1</v>
      </c>
      <c r="EK32" s="78">
        <v>1</v>
      </c>
      <c r="EL32" s="78">
        <v>4</v>
      </c>
      <c r="EM32" s="78">
        <v>1</v>
      </c>
      <c r="EN32" s="78">
        <v>1</v>
      </c>
      <c r="EO32" s="137">
        <v>0.88888889999999998</v>
      </c>
      <c r="EQ32" s="143" t="s">
        <v>763</v>
      </c>
      <c r="ER32" s="143" t="s">
        <v>764</v>
      </c>
      <c r="ES32" s="143" t="s">
        <v>727</v>
      </c>
      <c r="ET32" s="143">
        <v>1913</v>
      </c>
      <c r="EU32" s="78">
        <v>0</v>
      </c>
      <c r="EV32" s="78">
        <v>0</v>
      </c>
      <c r="EW32" s="78">
        <v>0</v>
      </c>
      <c r="EX32" s="78">
        <v>0</v>
      </c>
      <c r="EY32" s="78">
        <v>0</v>
      </c>
      <c r="EZ32" s="78">
        <v>0</v>
      </c>
      <c r="FA32" s="78">
        <v>0</v>
      </c>
      <c r="FB32" s="78">
        <v>0</v>
      </c>
      <c r="FC32" s="137">
        <v>0</v>
      </c>
      <c r="FE32" s="137">
        <v>0.40909089999999998</v>
      </c>
    </row>
    <row r="33" spans="1:161" x14ac:dyDescent="0.25">
      <c r="A33" s="143" t="s">
        <v>763</v>
      </c>
      <c r="B33" s="143" t="s">
        <v>764</v>
      </c>
      <c r="C33" s="143" t="s">
        <v>728</v>
      </c>
      <c r="D33" s="143">
        <v>1946</v>
      </c>
      <c r="E33" s="78">
        <v>0.5</v>
      </c>
      <c r="F33" s="78">
        <v>2.5</v>
      </c>
      <c r="G33" s="78">
        <v>1</v>
      </c>
      <c r="H33" s="78">
        <v>4</v>
      </c>
      <c r="I33" s="78">
        <v>1</v>
      </c>
      <c r="J33" s="78">
        <v>0</v>
      </c>
      <c r="K33" s="78">
        <v>1</v>
      </c>
      <c r="L33" s="78">
        <v>1</v>
      </c>
      <c r="M33" s="78">
        <v>2</v>
      </c>
      <c r="N33" s="137">
        <v>0.92857140000000005</v>
      </c>
      <c r="P33" s="143" t="s">
        <v>763</v>
      </c>
      <c r="Q33" s="143" t="s">
        <v>764</v>
      </c>
      <c r="R33" s="143" t="s">
        <v>728</v>
      </c>
      <c r="S33" s="143">
        <v>1946</v>
      </c>
      <c r="T33" s="78">
        <v>1</v>
      </c>
      <c r="U33" s="78">
        <v>1</v>
      </c>
      <c r="V33" s="78">
        <v>0</v>
      </c>
      <c r="W33" s="78">
        <v>0</v>
      </c>
      <c r="X33" s="78">
        <v>9</v>
      </c>
      <c r="Y33" s="78">
        <v>1</v>
      </c>
      <c r="Z33" s="78">
        <v>3</v>
      </c>
      <c r="AA33" s="78">
        <v>0</v>
      </c>
      <c r="AB33" s="78">
        <v>6</v>
      </c>
      <c r="AC33" s="78">
        <v>0</v>
      </c>
      <c r="AD33" s="137">
        <v>0.6176471</v>
      </c>
      <c r="AF33" s="143" t="s">
        <v>763</v>
      </c>
      <c r="AG33" s="143" t="s">
        <v>764</v>
      </c>
      <c r="AH33" s="143" t="s">
        <v>728</v>
      </c>
      <c r="AI33" s="143">
        <v>1946</v>
      </c>
      <c r="AJ33" s="78">
        <v>1</v>
      </c>
      <c r="AK33" s="78">
        <v>0</v>
      </c>
      <c r="AL33" s="78">
        <v>1</v>
      </c>
      <c r="AM33" s="78">
        <v>6</v>
      </c>
      <c r="AN33" s="78">
        <v>0</v>
      </c>
      <c r="AO33" s="78">
        <v>2</v>
      </c>
      <c r="AP33" s="78">
        <v>1</v>
      </c>
      <c r="AQ33" s="78">
        <v>1</v>
      </c>
      <c r="AR33" s="78">
        <v>0</v>
      </c>
      <c r="AS33" s="78">
        <v>0</v>
      </c>
      <c r="AT33" s="78">
        <v>0</v>
      </c>
      <c r="AU33" s="78">
        <v>1</v>
      </c>
      <c r="AV33" s="78">
        <v>0</v>
      </c>
      <c r="AW33" s="78">
        <v>0</v>
      </c>
      <c r="AX33" s="78">
        <v>0</v>
      </c>
      <c r="AY33" s="78">
        <v>1</v>
      </c>
      <c r="AZ33" s="78">
        <v>2</v>
      </c>
      <c r="BA33" s="78">
        <v>0.5</v>
      </c>
      <c r="BB33" s="78">
        <v>0.5</v>
      </c>
      <c r="BC33" s="78">
        <v>0.5</v>
      </c>
      <c r="BD33" s="78">
        <v>1</v>
      </c>
      <c r="BE33" s="78">
        <v>0</v>
      </c>
      <c r="BF33" s="78">
        <v>0</v>
      </c>
      <c r="BG33" s="78">
        <v>2</v>
      </c>
      <c r="BH33" s="137">
        <v>0.46590910000000002</v>
      </c>
      <c r="BJ33" s="143" t="s">
        <v>763</v>
      </c>
      <c r="BK33" s="143" t="s">
        <v>764</v>
      </c>
      <c r="BL33" s="143" t="s">
        <v>728</v>
      </c>
      <c r="BM33" s="143">
        <v>1946</v>
      </c>
      <c r="BN33" s="78">
        <v>1</v>
      </c>
      <c r="BO33" s="78">
        <v>4</v>
      </c>
      <c r="BP33" s="78">
        <v>7</v>
      </c>
      <c r="BQ33" s="78">
        <v>0</v>
      </c>
      <c r="BR33" s="78">
        <v>0</v>
      </c>
      <c r="BS33" s="78">
        <v>0</v>
      </c>
      <c r="BT33" s="78">
        <v>2</v>
      </c>
      <c r="BU33" s="137">
        <v>0.6086956</v>
      </c>
      <c r="BW33" s="143" t="s">
        <v>763</v>
      </c>
      <c r="BX33" s="143" t="s">
        <v>764</v>
      </c>
      <c r="BY33" s="143" t="s">
        <v>728</v>
      </c>
      <c r="BZ33" s="143">
        <v>1946</v>
      </c>
      <c r="CA33" s="78">
        <v>1</v>
      </c>
      <c r="CB33" s="78">
        <v>0</v>
      </c>
      <c r="CC33" s="78">
        <v>1</v>
      </c>
      <c r="CD33" s="78">
        <v>2</v>
      </c>
      <c r="CE33" s="78">
        <v>0</v>
      </c>
      <c r="CF33" s="78">
        <v>2</v>
      </c>
      <c r="CG33" s="78">
        <v>0</v>
      </c>
      <c r="CH33" s="78">
        <v>0</v>
      </c>
      <c r="CI33" s="78">
        <v>1</v>
      </c>
      <c r="CJ33" s="78">
        <v>0</v>
      </c>
      <c r="CK33" s="137">
        <v>0.46666669999999999</v>
      </c>
      <c r="CM33" s="143" t="s">
        <v>763</v>
      </c>
      <c r="CN33" s="143" t="s">
        <v>764</v>
      </c>
      <c r="CO33" s="143" t="s">
        <v>728</v>
      </c>
      <c r="CP33" s="143">
        <v>1946</v>
      </c>
      <c r="CQ33" s="78">
        <v>2</v>
      </c>
      <c r="CR33" s="78">
        <v>0</v>
      </c>
      <c r="CS33" s="78">
        <v>0</v>
      </c>
      <c r="CT33" s="78">
        <v>4</v>
      </c>
      <c r="CU33" s="78">
        <v>2</v>
      </c>
      <c r="CV33" s="78">
        <v>0</v>
      </c>
      <c r="CW33" s="137">
        <v>0.15384619999999999</v>
      </c>
      <c r="CY33" s="143" t="s">
        <v>763</v>
      </c>
      <c r="CZ33" s="143" t="s">
        <v>764</v>
      </c>
      <c r="DA33" s="143" t="s">
        <v>728</v>
      </c>
      <c r="DB33" s="143">
        <v>1946</v>
      </c>
      <c r="DC33" s="78">
        <v>0</v>
      </c>
      <c r="DD33" s="137">
        <v>0</v>
      </c>
      <c r="DE33" s="137">
        <v>0</v>
      </c>
      <c r="DG33" s="143" t="s">
        <v>763</v>
      </c>
      <c r="DH33" s="143" t="s">
        <v>764</v>
      </c>
      <c r="DI33" s="143" t="s">
        <v>728</v>
      </c>
      <c r="DJ33" s="143">
        <v>1946</v>
      </c>
      <c r="DK33" s="78">
        <v>2</v>
      </c>
      <c r="DL33" s="78">
        <v>0</v>
      </c>
      <c r="DM33" s="78">
        <v>0</v>
      </c>
      <c r="DN33" s="78">
        <v>5</v>
      </c>
      <c r="DO33" s="78">
        <v>2</v>
      </c>
      <c r="DP33" s="78">
        <v>3</v>
      </c>
      <c r="DQ33" s="78">
        <v>5</v>
      </c>
      <c r="DR33" s="78">
        <v>1</v>
      </c>
      <c r="DS33" s="78">
        <v>1</v>
      </c>
      <c r="DT33" s="78">
        <v>0</v>
      </c>
      <c r="DU33" s="78">
        <v>0</v>
      </c>
      <c r="DV33" s="137">
        <v>0.65517239999999999</v>
      </c>
      <c r="DX33" s="143" t="s">
        <v>763</v>
      </c>
      <c r="DY33" s="143" t="s">
        <v>764</v>
      </c>
      <c r="DZ33" s="143" t="s">
        <v>728</v>
      </c>
      <c r="EA33" s="143">
        <v>1946</v>
      </c>
      <c r="EB33" s="78">
        <v>1</v>
      </c>
      <c r="EC33" s="78">
        <v>8</v>
      </c>
      <c r="ED33" s="78">
        <v>1</v>
      </c>
      <c r="EE33" s="78">
        <v>4</v>
      </c>
      <c r="EF33" s="78">
        <v>1</v>
      </c>
      <c r="EG33" s="78">
        <v>1</v>
      </c>
      <c r="EH33" s="78">
        <v>0</v>
      </c>
      <c r="EI33" s="78">
        <v>1</v>
      </c>
      <c r="EJ33" s="78">
        <v>1</v>
      </c>
      <c r="EK33" s="78">
        <v>1</v>
      </c>
      <c r="EL33" s="78">
        <v>4</v>
      </c>
      <c r="EM33" s="78">
        <v>1</v>
      </c>
      <c r="EN33" s="78">
        <v>1</v>
      </c>
      <c r="EO33" s="137">
        <v>0.92592589999999997</v>
      </c>
      <c r="EQ33" s="143" t="s">
        <v>763</v>
      </c>
      <c r="ER33" s="143" t="s">
        <v>764</v>
      </c>
      <c r="ES33" s="143" t="s">
        <v>728</v>
      </c>
      <c r="ET33" s="143">
        <v>1946</v>
      </c>
      <c r="EU33" s="78">
        <v>0.5</v>
      </c>
      <c r="EV33" s="78">
        <v>0</v>
      </c>
      <c r="EW33" s="78">
        <v>3</v>
      </c>
      <c r="EX33" s="78">
        <v>0</v>
      </c>
      <c r="EY33" s="78">
        <v>0.5</v>
      </c>
      <c r="EZ33" s="78">
        <v>3</v>
      </c>
      <c r="FA33" s="78">
        <v>2</v>
      </c>
      <c r="FB33" s="78">
        <v>1</v>
      </c>
      <c r="FC33" s="137">
        <v>0.76923079999999999</v>
      </c>
      <c r="FE33" s="137">
        <v>0.40322580000000002</v>
      </c>
    </row>
    <row r="34" spans="1:161" hidden="1" x14ac:dyDescent="0.25">
      <c r="A34" s="143" t="s">
        <v>763</v>
      </c>
      <c r="B34" s="143" t="s">
        <v>764</v>
      </c>
      <c r="C34" s="143" t="s">
        <v>729</v>
      </c>
      <c r="D34" s="143">
        <v>2018</v>
      </c>
      <c r="E34" s="78">
        <v>0</v>
      </c>
      <c r="F34" s="78">
        <v>2.5</v>
      </c>
      <c r="G34" s="78">
        <v>1</v>
      </c>
      <c r="H34" s="78">
        <v>0</v>
      </c>
      <c r="I34" s="78">
        <v>1</v>
      </c>
      <c r="J34" s="78">
        <v>0</v>
      </c>
      <c r="K34" s="78">
        <v>1</v>
      </c>
      <c r="L34" s="78">
        <v>1</v>
      </c>
      <c r="M34" s="78">
        <v>2</v>
      </c>
      <c r="N34" s="137">
        <v>0.60714290000000004</v>
      </c>
      <c r="P34" s="143" t="s">
        <v>763</v>
      </c>
      <c r="Q34" s="143" t="s">
        <v>764</v>
      </c>
      <c r="R34" s="143" t="s">
        <v>729</v>
      </c>
      <c r="S34" s="143">
        <v>2018</v>
      </c>
      <c r="T34" s="78">
        <v>1</v>
      </c>
      <c r="U34" s="78">
        <v>1</v>
      </c>
      <c r="V34" s="78">
        <v>2</v>
      </c>
      <c r="W34" s="78">
        <v>1</v>
      </c>
      <c r="X34" s="78">
        <v>9</v>
      </c>
      <c r="Y34" s="78">
        <v>0</v>
      </c>
      <c r="Z34" s="78">
        <v>0</v>
      </c>
      <c r="AA34" s="78">
        <v>0</v>
      </c>
      <c r="AB34" s="78">
        <v>6</v>
      </c>
      <c r="AC34" s="78">
        <v>3</v>
      </c>
      <c r="AD34" s="137">
        <v>0.67647060000000003</v>
      </c>
      <c r="AF34" s="143" t="s">
        <v>763</v>
      </c>
      <c r="AG34" s="143" t="s">
        <v>764</v>
      </c>
      <c r="AH34" s="143" t="s">
        <v>729</v>
      </c>
      <c r="AI34" s="143">
        <v>2018</v>
      </c>
      <c r="AJ34" s="78">
        <v>0</v>
      </c>
      <c r="AK34" s="78">
        <v>0</v>
      </c>
      <c r="AL34" s="78">
        <v>1</v>
      </c>
      <c r="AM34" s="78">
        <v>1</v>
      </c>
      <c r="AN34" s="78">
        <v>1</v>
      </c>
      <c r="AO34" s="78">
        <v>2</v>
      </c>
      <c r="AP34" s="78">
        <v>1</v>
      </c>
      <c r="AQ34" s="78">
        <v>0</v>
      </c>
      <c r="AR34" s="78">
        <v>0</v>
      </c>
      <c r="AS34" s="78">
        <v>0</v>
      </c>
      <c r="AT34" s="78">
        <v>2</v>
      </c>
      <c r="AU34" s="78">
        <v>0</v>
      </c>
      <c r="AV34" s="78">
        <v>2</v>
      </c>
      <c r="AW34" s="78">
        <v>1</v>
      </c>
      <c r="AX34" s="78">
        <v>0</v>
      </c>
      <c r="AY34" s="78">
        <v>0</v>
      </c>
      <c r="AZ34" s="78">
        <v>0</v>
      </c>
      <c r="BA34" s="78">
        <v>0.5</v>
      </c>
      <c r="BB34" s="78">
        <v>0</v>
      </c>
      <c r="BC34" s="78">
        <v>0.5</v>
      </c>
      <c r="BD34" s="78">
        <v>0</v>
      </c>
      <c r="BE34" s="78">
        <v>0.5</v>
      </c>
      <c r="BF34" s="78">
        <v>0</v>
      </c>
      <c r="BG34" s="78">
        <v>8</v>
      </c>
      <c r="BH34" s="137">
        <v>0.46590910000000002</v>
      </c>
      <c r="BJ34" s="143" t="s">
        <v>763</v>
      </c>
      <c r="BK34" s="143" t="s">
        <v>764</v>
      </c>
      <c r="BL34" s="143" t="s">
        <v>729</v>
      </c>
      <c r="BM34" s="143">
        <v>2018</v>
      </c>
      <c r="BN34" s="78">
        <v>1</v>
      </c>
      <c r="BO34" s="78">
        <v>4</v>
      </c>
      <c r="BP34" s="78">
        <v>7</v>
      </c>
      <c r="BQ34" s="78">
        <v>0</v>
      </c>
      <c r="BR34" s="78">
        <v>0</v>
      </c>
      <c r="BS34" s="78">
        <v>3</v>
      </c>
      <c r="BT34" s="78">
        <v>2</v>
      </c>
      <c r="BU34" s="137">
        <v>0.73913039999999997</v>
      </c>
      <c r="BW34" s="143" t="s">
        <v>763</v>
      </c>
      <c r="BX34" s="143" t="s">
        <v>764</v>
      </c>
      <c r="BY34" s="143" t="s">
        <v>729</v>
      </c>
      <c r="BZ34" s="143">
        <v>2018</v>
      </c>
      <c r="CA34" s="78">
        <v>1</v>
      </c>
      <c r="CB34" s="78">
        <v>1</v>
      </c>
      <c r="CC34" s="78">
        <v>1</v>
      </c>
      <c r="CD34" s="78">
        <v>2</v>
      </c>
      <c r="CE34" s="78">
        <v>0</v>
      </c>
      <c r="CF34" s="78">
        <v>2</v>
      </c>
      <c r="CG34" s="78">
        <v>1</v>
      </c>
      <c r="CH34" s="78">
        <v>2</v>
      </c>
      <c r="CI34" s="78">
        <v>1</v>
      </c>
      <c r="CJ34" s="78">
        <v>3</v>
      </c>
      <c r="CK34" s="137">
        <v>0.93333330000000003</v>
      </c>
      <c r="CM34" s="143" t="s">
        <v>763</v>
      </c>
      <c r="CN34" s="143" t="s">
        <v>764</v>
      </c>
      <c r="CO34" s="143" t="s">
        <v>729</v>
      </c>
      <c r="CP34" s="143">
        <v>2018</v>
      </c>
      <c r="CQ34" s="78">
        <v>8</v>
      </c>
      <c r="CR34" s="78">
        <v>0</v>
      </c>
      <c r="CS34" s="78">
        <v>8</v>
      </c>
      <c r="CT34" s="78">
        <v>4</v>
      </c>
      <c r="CU34" s="78">
        <v>2</v>
      </c>
      <c r="CV34" s="78">
        <v>8</v>
      </c>
      <c r="CW34" s="137">
        <v>0.57692310000000002</v>
      </c>
      <c r="CY34" s="143" t="s">
        <v>763</v>
      </c>
      <c r="CZ34" s="143" t="s">
        <v>764</v>
      </c>
      <c r="DA34" s="143" t="s">
        <v>729</v>
      </c>
      <c r="DB34" s="143">
        <v>2018</v>
      </c>
      <c r="DC34" s="78">
        <v>0</v>
      </c>
      <c r="DD34" s="137">
        <v>0</v>
      </c>
      <c r="DE34" s="137">
        <v>0</v>
      </c>
      <c r="DG34" s="143" t="s">
        <v>763</v>
      </c>
      <c r="DH34" s="143" t="s">
        <v>764</v>
      </c>
      <c r="DI34" s="143" t="s">
        <v>729</v>
      </c>
      <c r="DJ34" s="143">
        <v>2018</v>
      </c>
      <c r="DK34" s="78">
        <v>2</v>
      </c>
      <c r="DL34" s="78">
        <v>0</v>
      </c>
      <c r="DM34" s="78">
        <v>1</v>
      </c>
      <c r="DN34" s="78">
        <v>3</v>
      </c>
      <c r="DO34" s="78">
        <v>2</v>
      </c>
      <c r="DP34" s="78">
        <v>1</v>
      </c>
      <c r="DQ34" s="78">
        <v>6</v>
      </c>
      <c r="DR34" s="78">
        <v>0</v>
      </c>
      <c r="DS34" s="78">
        <v>0</v>
      </c>
      <c r="DT34" s="78">
        <v>0</v>
      </c>
      <c r="DU34" s="78">
        <v>1</v>
      </c>
      <c r="DV34" s="137">
        <v>0.55172410000000005</v>
      </c>
      <c r="DX34" s="143" t="s">
        <v>763</v>
      </c>
      <c r="DY34" s="143" t="s">
        <v>764</v>
      </c>
      <c r="DZ34" s="143" t="s">
        <v>729</v>
      </c>
      <c r="EA34" s="143">
        <v>2018</v>
      </c>
      <c r="EB34" s="78">
        <v>1</v>
      </c>
      <c r="EC34" s="78">
        <v>8</v>
      </c>
      <c r="ED34" s="78">
        <v>1</v>
      </c>
      <c r="EE34" s="78">
        <v>4</v>
      </c>
      <c r="EF34" s="78">
        <v>1</v>
      </c>
      <c r="EG34" s="78">
        <v>1</v>
      </c>
      <c r="EH34" s="78">
        <v>0</v>
      </c>
      <c r="EI34" s="78">
        <v>1</v>
      </c>
      <c r="EJ34" s="78">
        <v>1</v>
      </c>
      <c r="EK34" s="78">
        <v>1</v>
      </c>
      <c r="EL34" s="78">
        <v>4</v>
      </c>
      <c r="EM34" s="78">
        <v>1</v>
      </c>
      <c r="EN34" s="78">
        <v>1</v>
      </c>
      <c r="EO34" s="137">
        <v>0.92592589999999997</v>
      </c>
      <c r="EQ34" s="143" t="s">
        <v>763</v>
      </c>
      <c r="ER34" s="143" t="s">
        <v>764</v>
      </c>
      <c r="ES34" s="143" t="s">
        <v>729</v>
      </c>
      <c r="ET34" s="143">
        <v>2018</v>
      </c>
      <c r="EU34" s="78">
        <v>0</v>
      </c>
      <c r="EV34" s="78">
        <v>1</v>
      </c>
      <c r="EW34" s="78">
        <v>0</v>
      </c>
      <c r="EX34" s="78">
        <v>0</v>
      </c>
      <c r="EY34" s="78">
        <v>0</v>
      </c>
      <c r="EZ34" s="78">
        <v>0</v>
      </c>
      <c r="FA34" s="78">
        <v>2</v>
      </c>
      <c r="FB34" s="78">
        <v>1</v>
      </c>
      <c r="FC34" s="137">
        <v>0.30769229999999997</v>
      </c>
      <c r="FE34" s="137">
        <v>0.46334310000000001</v>
      </c>
    </row>
    <row r="35" spans="1:161" x14ac:dyDescent="0.25">
      <c r="A35" s="143" t="s">
        <v>763</v>
      </c>
      <c r="B35" s="143" t="s">
        <v>764</v>
      </c>
      <c r="C35" s="143" t="s">
        <v>728</v>
      </c>
      <c r="D35" s="143">
        <v>2154</v>
      </c>
      <c r="E35" s="78">
        <v>0</v>
      </c>
      <c r="F35" s="78">
        <v>2.5</v>
      </c>
      <c r="G35" s="78">
        <v>1</v>
      </c>
      <c r="H35" s="78">
        <v>1</v>
      </c>
      <c r="I35" s="78">
        <v>1</v>
      </c>
      <c r="J35" s="78">
        <v>0</v>
      </c>
      <c r="K35" s="78">
        <v>1</v>
      </c>
      <c r="L35" s="78">
        <v>1</v>
      </c>
      <c r="M35" s="78">
        <v>2</v>
      </c>
      <c r="N35" s="137">
        <v>0.67857140000000005</v>
      </c>
      <c r="P35" s="143" t="s">
        <v>763</v>
      </c>
      <c r="Q35" s="143" t="s">
        <v>764</v>
      </c>
      <c r="R35" s="143" t="s">
        <v>728</v>
      </c>
      <c r="S35" s="143">
        <v>2154</v>
      </c>
      <c r="T35" s="78">
        <v>0</v>
      </c>
      <c r="U35" s="78">
        <v>0</v>
      </c>
      <c r="V35" s="78">
        <v>0</v>
      </c>
      <c r="W35" s="78">
        <v>0</v>
      </c>
      <c r="X35" s="78">
        <v>9</v>
      </c>
      <c r="Y35" s="78">
        <v>1</v>
      </c>
      <c r="Z35" s="78">
        <v>0</v>
      </c>
      <c r="AA35" s="78">
        <v>0</v>
      </c>
      <c r="AB35" s="78">
        <v>0</v>
      </c>
      <c r="AC35" s="78">
        <v>0</v>
      </c>
      <c r="AD35" s="137">
        <v>0.29411769999999998</v>
      </c>
      <c r="AF35" s="143" t="s">
        <v>763</v>
      </c>
      <c r="AG35" s="143" t="s">
        <v>764</v>
      </c>
      <c r="AH35" s="143" t="s">
        <v>728</v>
      </c>
      <c r="AI35" s="143">
        <v>2154</v>
      </c>
      <c r="AJ35" s="78">
        <v>1</v>
      </c>
      <c r="AK35" s="78">
        <v>0</v>
      </c>
      <c r="AL35" s="78">
        <v>1</v>
      </c>
      <c r="AM35" s="78">
        <v>5</v>
      </c>
      <c r="AN35" s="78">
        <v>0</v>
      </c>
      <c r="AO35" s="78">
        <v>2</v>
      </c>
      <c r="AP35" s="78">
        <v>1</v>
      </c>
      <c r="AQ35" s="78">
        <v>0</v>
      </c>
      <c r="AR35" s="78">
        <v>0</v>
      </c>
      <c r="AS35" s="78">
        <v>0</v>
      </c>
      <c r="AT35" s="78">
        <v>2</v>
      </c>
      <c r="AU35" s="78">
        <v>0</v>
      </c>
      <c r="AV35" s="78">
        <v>2</v>
      </c>
      <c r="AW35" s="78">
        <v>0</v>
      </c>
      <c r="AX35" s="78">
        <v>0</v>
      </c>
      <c r="AY35" s="78">
        <v>1</v>
      </c>
      <c r="AZ35" s="78">
        <v>2</v>
      </c>
      <c r="BA35" s="78">
        <v>0.5</v>
      </c>
      <c r="BB35" s="78">
        <v>0.5</v>
      </c>
      <c r="BC35" s="78">
        <v>0.5</v>
      </c>
      <c r="BD35" s="78">
        <v>1</v>
      </c>
      <c r="BE35" s="78">
        <v>0.5</v>
      </c>
      <c r="BF35" s="78">
        <v>0</v>
      </c>
      <c r="BG35" s="78">
        <v>8</v>
      </c>
      <c r="BH35" s="137">
        <v>0.63636360000000003</v>
      </c>
      <c r="BJ35" s="143" t="s">
        <v>763</v>
      </c>
      <c r="BK35" s="143" t="s">
        <v>764</v>
      </c>
      <c r="BL35" s="143" t="s">
        <v>728</v>
      </c>
      <c r="BM35" s="143">
        <v>2154</v>
      </c>
      <c r="BN35" s="78">
        <v>1</v>
      </c>
      <c r="BO35" s="78">
        <v>4</v>
      </c>
      <c r="BP35" s="78">
        <v>7</v>
      </c>
      <c r="BQ35" s="78">
        <v>3</v>
      </c>
      <c r="BR35" s="78">
        <v>0</v>
      </c>
      <c r="BS35" s="78">
        <v>0</v>
      </c>
      <c r="BT35" s="78">
        <v>2</v>
      </c>
      <c r="BU35" s="137">
        <v>0.73913039999999997</v>
      </c>
      <c r="BW35" s="143" t="s">
        <v>763</v>
      </c>
      <c r="BX35" s="143" t="s">
        <v>764</v>
      </c>
      <c r="BY35" s="143" t="s">
        <v>728</v>
      </c>
      <c r="BZ35" s="143">
        <v>2154</v>
      </c>
      <c r="CM35" s="143" t="s">
        <v>763</v>
      </c>
      <c r="CN35" s="143" t="s">
        <v>764</v>
      </c>
      <c r="CO35" s="143" t="s">
        <v>728</v>
      </c>
      <c r="CP35" s="143">
        <v>2154</v>
      </c>
      <c r="CQ35" s="78">
        <v>6</v>
      </c>
      <c r="CR35" s="78">
        <v>0</v>
      </c>
      <c r="CS35" s="78">
        <v>16</v>
      </c>
      <c r="CT35" s="78">
        <v>4</v>
      </c>
      <c r="CU35" s="78">
        <v>2</v>
      </c>
      <c r="CV35" s="78">
        <v>8</v>
      </c>
      <c r="CW35" s="137">
        <v>0.69230769999999997</v>
      </c>
      <c r="CY35" s="143" t="s">
        <v>763</v>
      </c>
      <c r="CZ35" s="143" t="s">
        <v>764</v>
      </c>
      <c r="DA35" s="143" t="s">
        <v>728</v>
      </c>
      <c r="DB35" s="143">
        <v>2154</v>
      </c>
      <c r="DC35" s="78">
        <v>0</v>
      </c>
      <c r="DD35" s="137">
        <v>0</v>
      </c>
      <c r="DE35" s="137">
        <v>0</v>
      </c>
      <c r="DG35" s="143" t="s">
        <v>763</v>
      </c>
      <c r="DH35" s="143" t="s">
        <v>764</v>
      </c>
      <c r="DI35" s="143" t="s">
        <v>728</v>
      </c>
      <c r="DJ35" s="143">
        <v>2154</v>
      </c>
      <c r="DK35" s="78">
        <v>2</v>
      </c>
      <c r="DL35" s="78">
        <v>1</v>
      </c>
      <c r="DM35" s="78">
        <v>0</v>
      </c>
      <c r="DN35" s="78">
        <v>4</v>
      </c>
      <c r="DO35" s="78">
        <v>2</v>
      </c>
      <c r="DP35" s="78">
        <v>3</v>
      </c>
      <c r="DQ35" s="78">
        <v>2</v>
      </c>
      <c r="DR35" s="78">
        <v>0</v>
      </c>
      <c r="DS35" s="78">
        <v>1</v>
      </c>
      <c r="DT35" s="78">
        <v>0</v>
      </c>
      <c r="DU35" s="78">
        <v>0</v>
      </c>
      <c r="DV35" s="137">
        <v>0.51724139999999996</v>
      </c>
      <c r="DX35" s="143" t="s">
        <v>763</v>
      </c>
      <c r="DY35" s="143" t="s">
        <v>764</v>
      </c>
      <c r="DZ35" s="143" t="s">
        <v>728</v>
      </c>
      <c r="EA35" s="143">
        <v>2154</v>
      </c>
      <c r="EB35" s="78">
        <v>1</v>
      </c>
      <c r="EC35" s="78">
        <v>8</v>
      </c>
      <c r="ED35" s="78">
        <v>1</v>
      </c>
      <c r="EE35" s="78">
        <v>4</v>
      </c>
      <c r="EF35" s="78">
        <v>1</v>
      </c>
      <c r="EG35" s="78">
        <v>1</v>
      </c>
      <c r="EH35" s="78">
        <v>0</v>
      </c>
      <c r="EI35" s="78">
        <v>1</v>
      </c>
      <c r="EJ35" s="78">
        <v>1</v>
      </c>
      <c r="EK35" s="78">
        <v>0</v>
      </c>
      <c r="EL35" s="78">
        <v>4</v>
      </c>
      <c r="EM35" s="78">
        <v>1</v>
      </c>
      <c r="EN35" s="78">
        <v>1</v>
      </c>
      <c r="EO35" s="137">
        <v>0.88888889999999998</v>
      </c>
      <c r="EQ35" s="143" t="s">
        <v>763</v>
      </c>
      <c r="ER35" s="143" t="s">
        <v>764</v>
      </c>
      <c r="ES35" s="143" t="s">
        <v>728</v>
      </c>
      <c r="ET35" s="143">
        <v>2154</v>
      </c>
      <c r="EU35" s="78">
        <v>0</v>
      </c>
      <c r="EV35" s="78">
        <v>0</v>
      </c>
      <c r="EW35" s="78">
        <v>0</v>
      </c>
      <c r="EX35" s="78">
        <v>0</v>
      </c>
      <c r="EY35" s="78">
        <v>0</v>
      </c>
      <c r="EZ35" s="78">
        <v>3</v>
      </c>
      <c r="FA35" s="78">
        <v>2</v>
      </c>
      <c r="FB35" s="78">
        <v>0</v>
      </c>
      <c r="FC35" s="137">
        <v>0.3846154</v>
      </c>
      <c r="FE35" s="137">
        <v>0.44325150000000002</v>
      </c>
    </row>
    <row r="36" spans="1:161" x14ac:dyDescent="0.25">
      <c r="A36" s="143" t="s">
        <v>763</v>
      </c>
      <c r="B36" s="143" t="s">
        <v>764</v>
      </c>
      <c r="C36" s="143" t="s">
        <v>728</v>
      </c>
      <c r="D36" s="143">
        <v>2993</v>
      </c>
      <c r="E36" s="78">
        <v>0</v>
      </c>
      <c r="F36" s="78">
        <v>2</v>
      </c>
      <c r="G36" s="78">
        <v>1</v>
      </c>
      <c r="H36" s="78">
        <v>2</v>
      </c>
      <c r="I36" s="78">
        <v>1</v>
      </c>
      <c r="J36" s="78">
        <v>0</v>
      </c>
      <c r="K36" s="78">
        <v>1</v>
      </c>
      <c r="L36" s="78">
        <v>1</v>
      </c>
      <c r="M36" s="78">
        <v>0</v>
      </c>
      <c r="N36" s="137">
        <v>0.57142859999999995</v>
      </c>
      <c r="P36" s="143" t="s">
        <v>763</v>
      </c>
      <c r="Q36" s="143" t="s">
        <v>764</v>
      </c>
      <c r="R36" s="143" t="s">
        <v>728</v>
      </c>
      <c r="S36" s="143">
        <v>2993</v>
      </c>
      <c r="T36" s="78">
        <v>1</v>
      </c>
      <c r="U36" s="78">
        <v>1</v>
      </c>
      <c r="V36" s="78">
        <v>0</v>
      </c>
      <c r="W36" s="78">
        <v>0</v>
      </c>
      <c r="X36" s="78">
        <v>9</v>
      </c>
      <c r="Y36" s="78">
        <v>0</v>
      </c>
      <c r="Z36" s="78">
        <v>0</v>
      </c>
      <c r="AA36" s="78">
        <v>0</v>
      </c>
      <c r="AB36" s="78">
        <v>0</v>
      </c>
      <c r="AC36" s="78">
        <v>0</v>
      </c>
      <c r="AD36" s="137">
        <v>0.32352940000000002</v>
      </c>
      <c r="AF36" s="143" t="s">
        <v>763</v>
      </c>
      <c r="AG36" s="143" t="s">
        <v>764</v>
      </c>
      <c r="AH36" s="143" t="s">
        <v>728</v>
      </c>
      <c r="AI36" s="143">
        <v>2993</v>
      </c>
      <c r="AJ36" s="78">
        <v>1</v>
      </c>
      <c r="AK36" s="78">
        <v>1</v>
      </c>
      <c r="AL36" s="78">
        <v>1</v>
      </c>
      <c r="AM36" s="78">
        <v>0</v>
      </c>
      <c r="AN36" s="78">
        <v>0</v>
      </c>
      <c r="AO36" s="78">
        <v>0</v>
      </c>
      <c r="AP36" s="78">
        <v>1</v>
      </c>
      <c r="AQ36" s="78">
        <v>1</v>
      </c>
      <c r="AR36" s="78">
        <v>0</v>
      </c>
      <c r="AS36" s="78">
        <v>2</v>
      </c>
      <c r="AT36" s="78">
        <v>0</v>
      </c>
      <c r="AU36" s="78">
        <v>0</v>
      </c>
      <c r="AV36" s="78">
        <v>0</v>
      </c>
      <c r="AW36" s="78">
        <v>0</v>
      </c>
      <c r="AX36" s="78">
        <v>0</v>
      </c>
      <c r="AY36" s="78">
        <v>1</v>
      </c>
      <c r="AZ36" s="78">
        <v>2</v>
      </c>
      <c r="BA36" s="78">
        <v>0.5</v>
      </c>
      <c r="BB36" s="78">
        <v>0.5</v>
      </c>
      <c r="BC36" s="78">
        <v>0.5</v>
      </c>
      <c r="BD36" s="78">
        <v>1</v>
      </c>
      <c r="BE36" s="78">
        <v>0</v>
      </c>
      <c r="BF36" s="78">
        <v>0</v>
      </c>
      <c r="BG36" s="78">
        <v>2</v>
      </c>
      <c r="BH36" s="137">
        <v>0.32954549999999999</v>
      </c>
      <c r="BJ36" s="143" t="s">
        <v>763</v>
      </c>
      <c r="BK36" s="143" t="s">
        <v>764</v>
      </c>
      <c r="BL36" s="143" t="s">
        <v>728</v>
      </c>
      <c r="BM36" s="143">
        <v>2993</v>
      </c>
      <c r="BN36" s="78">
        <v>0</v>
      </c>
      <c r="BO36" s="78">
        <v>4</v>
      </c>
      <c r="BP36" s="78">
        <v>0</v>
      </c>
      <c r="BQ36" s="78">
        <v>0</v>
      </c>
      <c r="BR36" s="78">
        <v>0</v>
      </c>
      <c r="BS36" s="78">
        <v>0</v>
      </c>
      <c r="BT36" s="78">
        <v>2</v>
      </c>
      <c r="BU36" s="137">
        <v>0.26086959999999998</v>
      </c>
      <c r="BW36" s="143" t="s">
        <v>763</v>
      </c>
      <c r="BX36" s="143" t="s">
        <v>764</v>
      </c>
      <c r="BY36" s="143" t="s">
        <v>728</v>
      </c>
      <c r="BZ36" s="143">
        <v>2993</v>
      </c>
      <c r="CM36" s="143" t="s">
        <v>763</v>
      </c>
      <c r="CN36" s="143" t="s">
        <v>764</v>
      </c>
      <c r="CO36" s="143" t="s">
        <v>728</v>
      </c>
      <c r="CP36" s="143">
        <v>2993</v>
      </c>
      <c r="CQ36" s="78">
        <v>0</v>
      </c>
      <c r="CR36" s="78">
        <v>0</v>
      </c>
      <c r="CS36" s="78">
        <v>4</v>
      </c>
      <c r="CT36" s="78">
        <v>4</v>
      </c>
      <c r="CU36" s="78">
        <v>0</v>
      </c>
      <c r="CV36" s="78">
        <v>8</v>
      </c>
      <c r="CW36" s="137">
        <v>0.30769229999999997</v>
      </c>
      <c r="CY36" s="143" t="s">
        <v>763</v>
      </c>
      <c r="CZ36" s="143" t="s">
        <v>764</v>
      </c>
      <c r="DA36" s="143" t="s">
        <v>728</v>
      </c>
      <c r="DB36" s="143">
        <v>2993</v>
      </c>
      <c r="DC36" s="78">
        <v>0</v>
      </c>
      <c r="DD36" s="137">
        <v>0</v>
      </c>
      <c r="DE36" s="137">
        <v>0</v>
      </c>
      <c r="DG36" s="143" t="s">
        <v>763</v>
      </c>
      <c r="DH36" s="143" t="s">
        <v>764</v>
      </c>
      <c r="DI36" s="143" t="s">
        <v>728</v>
      </c>
      <c r="DJ36" s="143">
        <v>2993</v>
      </c>
      <c r="DK36" s="78">
        <v>2</v>
      </c>
      <c r="DL36" s="78">
        <v>0</v>
      </c>
      <c r="DM36" s="78">
        <v>0</v>
      </c>
      <c r="DN36" s="78">
        <v>3</v>
      </c>
      <c r="DO36" s="78">
        <v>2</v>
      </c>
      <c r="DP36" s="78">
        <v>3</v>
      </c>
      <c r="DQ36" s="78">
        <v>4</v>
      </c>
      <c r="DR36" s="78">
        <v>0</v>
      </c>
      <c r="DS36" s="78">
        <v>0</v>
      </c>
      <c r="DT36" s="78">
        <v>0</v>
      </c>
      <c r="DU36" s="78">
        <v>0</v>
      </c>
      <c r="DV36" s="137">
        <v>0.48275859999999998</v>
      </c>
      <c r="DX36" s="143" t="s">
        <v>763</v>
      </c>
      <c r="DY36" s="143" t="s">
        <v>764</v>
      </c>
      <c r="DZ36" s="143" t="s">
        <v>728</v>
      </c>
      <c r="EA36" s="143">
        <v>2993</v>
      </c>
      <c r="EB36" s="78">
        <v>1</v>
      </c>
      <c r="EC36" s="78">
        <v>8</v>
      </c>
      <c r="ED36" s="78">
        <v>1</v>
      </c>
      <c r="EE36" s="78">
        <v>4</v>
      </c>
      <c r="EF36" s="78">
        <v>1</v>
      </c>
      <c r="EG36" s="78">
        <v>1</v>
      </c>
      <c r="EH36" s="78">
        <v>0</v>
      </c>
      <c r="EI36" s="78">
        <v>1</v>
      </c>
      <c r="EJ36" s="78">
        <v>1</v>
      </c>
      <c r="EK36" s="78">
        <v>1</v>
      </c>
      <c r="EL36" s="78">
        <v>0</v>
      </c>
      <c r="EM36" s="78">
        <v>1</v>
      </c>
      <c r="EN36" s="78">
        <v>1</v>
      </c>
      <c r="EO36" s="137">
        <v>0.77777779999999996</v>
      </c>
      <c r="EQ36" s="143" t="s">
        <v>763</v>
      </c>
      <c r="ER36" s="143" t="s">
        <v>764</v>
      </c>
      <c r="ES36" s="143" t="s">
        <v>728</v>
      </c>
      <c r="ET36" s="143">
        <v>2993</v>
      </c>
      <c r="EU36" s="78">
        <v>0</v>
      </c>
      <c r="EV36" s="78">
        <v>0</v>
      </c>
      <c r="EW36" s="78">
        <v>0</v>
      </c>
      <c r="EX36" s="78">
        <v>0</v>
      </c>
      <c r="EY36" s="78">
        <v>0</v>
      </c>
      <c r="EZ36" s="78">
        <v>0</v>
      </c>
      <c r="FA36" s="78">
        <v>2</v>
      </c>
      <c r="FB36" s="78">
        <v>1</v>
      </c>
      <c r="FC36" s="137">
        <v>0.23076920000000001</v>
      </c>
      <c r="FE36" s="137">
        <v>0.2868098</v>
      </c>
    </row>
    <row r="37" spans="1:161" hidden="1" x14ac:dyDescent="0.25">
      <c r="A37" s="143" t="s">
        <v>765</v>
      </c>
      <c r="B37" s="143" t="s">
        <v>766</v>
      </c>
      <c r="C37" s="143" t="s">
        <v>727</v>
      </c>
      <c r="D37" s="143">
        <v>96</v>
      </c>
      <c r="E37" s="78">
        <v>0.5</v>
      </c>
      <c r="F37" s="78">
        <v>1.5</v>
      </c>
      <c r="G37" s="78">
        <v>1</v>
      </c>
      <c r="H37" s="78">
        <v>3</v>
      </c>
      <c r="I37" s="78">
        <v>1</v>
      </c>
      <c r="J37" s="78">
        <v>0</v>
      </c>
      <c r="K37" s="78">
        <v>1</v>
      </c>
      <c r="L37" s="78">
        <v>0</v>
      </c>
      <c r="M37" s="78">
        <v>2</v>
      </c>
      <c r="N37" s="137">
        <v>0.71428570000000002</v>
      </c>
      <c r="P37" s="143" t="s">
        <v>765</v>
      </c>
      <c r="Q37" s="143" t="s">
        <v>766</v>
      </c>
      <c r="R37" s="143" t="s">
        <v>727</v>
      </c>
      <c r="S37" s="143">
        <v>96</v>
      </c>
      <c r="T37" s="78">
        <v>0</v>
      </c>
      <c r="U37" s="78">
        <v>0</v>
      </c>
      <c r="V37" s="78">
        <v>2</v>
      </c>
      <c r="W37" s="78">
        <v>1</v>
      </c>
      <c r="X37" s="78">
        <v>9</v>
      </c>
      <c r="Y37" s="78">
        <v>0</v>
      </c>
      <c r="Z37" s="78">
        <v>0</v>
      </c>
      <c r="AA37" s="78">
        <v>0</v>
      </c>
      <c r="AB37" s="78">
        <v>0</v>
      </c>
      <c r="AC37" s="78">
        <v>3</v>
      </c>
      <c r="AD37" s="137">
        <v>0.44117650000000003</v>
      </c>
      <c r="AF37" s="143" t="s">
        <v>765</v>
      </c>
      <c r="AG37" s="143" t="s">
        <v>766</v>
      </c>
      <c r="AH37" s="143" t="s">
        <v>727</v>
      </c>
      <c r="AI37" s="143">
        <v>96</v>
      </c>
      <c r="AJ37" s="78">
        <v>1</v>
      </c>
      <c r="AK37" s="78">
        <v>1</v>
      </c>
      <c r="AL37" s="78">
        <v>1</v>
      </c>
      <c r="AM37" s="78">
        <v>6</v>
      </c>
      <c r="AN37" s="78">
        <v>0</v>
      </c>
      <c r="AO37" s="78">
        <v>0</v>
      </c>
      <c r="AP37" s="78">
        <v>1</v>
      </c>
      <c r="AQ37" s="78">
        <v>0</v>
      </c>
      <c r="AR37" s="78">
        <v>2</v>
      </c>
      <c r="AS37" s="78">
        <v>0</v>
      </c>
      <c r="AT37" s="78">
        <v>0</v>
      </c>
      <c r="AU37" s="78">
        <v>0</v>
      </c>
      <c r="AV37" s="78">
        <v>2</v>
      </c>
      <c r="AW37" s="78">
        <v>0</v>
      </c>
      <c r="AX37" s="78">
        <v>4</v>
      </c>
      <c r="AY37" s="78">
        <v>1</v>
      </c>
      <c r="AZ37" s="78">
        <v>0</v>
      </c>
      <c r="BA37" s="78">
        <v>0.5</v>
      </c>
      <c r="BB37" s="78">
        <v>0.5</v>
      </c>
      <c r="BC37" s="78">
        <v>0.5</v>
      </c>
      <c r="BD37" s="78">
        <v>1</v>
      </c>
      <c r="BE37" s="78">
        <v>0.5</v>
      </c>
      <c r="BF37" s="78">
        <v>1</v>
      </c>
      <c r="BG37" s="78">
        <v>8</v>
      </c>
      <c r="BH37" s="137">
        <v>0.70454539999999999</v>
      </c>
      <c r="BJ37" s="143" t="s">
        <v>765</v>
      </c>
      <c r="BK37" s="143" t="s">
        <v>766</v>
      </c>
      <c r="BL37" s="143" t="s">
        <v>727</v>
      </c>
      <c r="BM37" s="143">
        <v>96</v>
      </c>
      <c r="BN37" s="78">
        <v>1</v>
      </c>
      <c r="BO37" s="78">
        <v>4</v>
      </c>
      <c r="BP37" s="78">
        <v>0</v>
      </c>
      <c r="BQ37" s="78">
        <v>0</v>
      </c>
      <c r="BR37" s="78">
        <v>0</v>
      </c>
      <c r="BS37" s="78">
        <v>3</v>
      </c>
      <c r="BT37" s="78">
        <v>2</v>
      </c>
      <c r="BU37" s="137">
        <v>0.43478260000000002</v>
      </c>
      <c r="BW37" s="143" t="s">
        <v>765</v>
      </c>
      <c r="BX37" s="143" t="s">
        <v>766</v>
      </c>
      <c r="BY37" s="143" t="s">
        <v>727</v>
      </c>
      <c r="BZ37" s="143">
        <v>96</v>
      </c>
      <c r="CA37" s="78">
        <v>1</v>
      </c>
      <c r="CB37" s="78">
        <v>1</v>
      </c>
      <c r="CC37" s="78">
        <v>1</v>
      </c>
      <c r="CD37" s="78">
        <v>2</v>
      </c>
      <c r="CE37" s="78">
        <v>1</v>
      </c>
      <c r="CF37" s="78">
        <v>2</v>
      </c>
      <c r="CG37" s="78">
        <v>1</v>
      </c>
      <c r="CH37" s="78">
        <v>2</v>
      </c>
      <c r="CI37" s="78">
        <v>0</v>
      </c>
      <c r="CJ37" s="78">
        <v>0</v>
      </c>
      <c r="CK37" s="137">
        <v>0.73333329999999997</v>
      </c>
      <c r="CM37" s="143" t="s">
        <v>765</v>
      </c>
      <c r="CN37" s="143" t="s">
        <v>766</v>
      </c>
      <c r="CO37" s="143" t="s">
        <v>727</v>
      </c>
      <c r="CP37" s="143">
        <v>96</v>
      </c>
      <c r="CQ37" s="78">
        <v>8</v>
      </c>
      <c r="CR37" s="78">
        <v>6</v>
      </c>
      <c r="CS37" s="78">
        <v>20</v>
      </c>
      <c r="CT37" s="78">
        <v>4</v>
      </c>
      <c r="CU37" s="78">
        <v>0</v>
      </c>
      <c r="CV37" s="78">
        <v>8</v>
      </c>
      <c r="CW37" s="137">
        <v>0.88461540000000005</v>
      </c>
      <c r="CY37" s="143" t="s">
        <v>765</v>
      </c>
      <c r="CZ37" s="143" t="s">
        <v>766</v>
      </c>
      <c r="DA37" s="143" t="s">
        <v>727</v>
      </c>
      <c r="DB37" s="143">
        <v>96</v>
      </c>
      <c r="DC37" s="78">
        <v>84</v>
      </c>
      <c r="DD37" s="137">
        <v>0</v>
      </c>
      <c r="DE37" s="137">
        <v>0</v>
      </c>
      <c r="DG37" s="143" t="s">
        <v>765</v>
      </c>
      <c r="DH37" s="143" t="s">
        <v>766</v>
      </c>
      <c r="DI37" s="143" t="s">
        <v>727</v>
      </c>
      <c r="DJ37" s="143">
        <v>96</v>
      </c>
      <c r="DK37" s="78">
        <v>0</v>
      </c>
      <c r="DL37" s="78">
        <v>0</v>
      </c>
      <c r="DM37" s="78">
        <v>0</v>
      </c>
      <c r="DN37" s="78">
        <v>5</v>
      </c>
      <c r="DO37" s="78">
        <v>2</v>
      </c>
      <c r="DP37" s="78">
        <v>3</v>
      </c>
      <c r="DQ37" s="78">
        <v>6</v>
      </c>
      <c r="DR37" s="78">
        <v>1</v>
      </c>
      <c r="DS37" s="78">
        <v>0</v>
      </c>
      <c r="DT37" s="78">
        <v>0</v>
      </c>
      <c r="DU37" s="78">
        <v>0</v>
      </c>
      <c r="DV37" s="137">
        <v>0.58620689999999998</v>
      </c>
      <c r="DX37" s="143" t="s">
        <v>765</v>
      </c>
      <c r="DY37" s="143" t="s">
        <v>766</v>
      </c>
      <c r="DZ37" s="143" t="s">
        <v>727</v>
      </c>
      <c r="EA37" s="143">
        <v>96</v>
      </c>
      <c r="EB37" s="78">
        <v>0</v>
      </c>
      <c r="EC37" s="78">
        <v>0</v>
      </c>
      <c r="ED37" s="78">
        <v>1</v>
      </c>
      <c r="EE37" s="78">
        <v>4</v>
      </c>
      <c r="EF37" s="78">
        <v>1</v>
      </c>
      <c r="EG37" s="78">
        <v>1</v>
      </c>
      <c r="EH37" s="78">
        <v>0</v>
      </c>
      <c r="EI37" s="78">
        <v>1</v>
      </c>
      <c r="EJ37" s="78">
        <v>1</v>
      </c>
      <c r="EK37" s="78">
        <v>1</v>
      </c>
      <c r="EL37" s="78">
        <v>4</v>
      </c>
      <c r="EM37" s="78">
        <v>1</v>
      </c>
      <c r="EN37" s="78">
        <v>0</v>
      </c>
      <c r="EO37" s="137">
        <v>0.55555560000000004</v>
      </c>
      <c r="EQ37" s="143" t="s">
        <v>765</v>
      </c>
      <c r="ER37" s="143" t="s">
        <v>766</v>
      </c>
      <c r="ES37" s="143" t="s">
        <v>727</v>
      </c>
      <c r="ET37" s="143">
        <v>96</v>
      </c>
      <c r="EU37" s="78">
        <v>0</v>
      </c>
      <c r="EV37" s="78">
        <v>1</v>
      </c>
      <c r="EW37" s="78">
        <v>0</v>
      </c>
      <c r="EX37" s="78">
        <v>2</v>
      </c>
      <c r="EY37" s="78">
        <v>0</v>
      </c>
      <c r="EZ37" s="78">
        <v>0</v>
      </c>
      <c r="FA37" s="78">
        <v>0</v>
      </c>
      <c r="FB37" s="78">
        <v>1</v>
      </c>
      <c r="FC37" s="137">
        <v>0.30769229999999997</v>
      </c>
      <c r="FE37" s="137">
        <v>0.46627570000000002</v>
      </c>
    </row>
    <row r="38" spans="1:161" hidden="1" x14ac:dyDescent="0.25">
      <c r="A38" s="143" t="s">
        <v>765</v>
      </c>
      <c r="B38" s="143" t="s">
        <v>766</v>
      </c>
      <c r="C38" s="143" t="s">
        <v>727</v>
      </c>
      <c r="D38" s="143">
        <v>255</v>
      </c>
      <c r="E38" s="78">
        <v>0.5</v>
      </c>
      <c r="F38" s="78">
        <v>2</v>
      </c>
      <c r="G38" s="78">
        <v>1</v>
      </c>
      <c r="H38" s="78">
        <v>2</v>
      </c>
      <c r="I38" s="78">
        <v>1</v>
      </c>
      <c r="J38" s="78">
        <v>0</v>
      </c>
      <c r="K38" s="78">
        <v>1</v>
      </c>
      <c r="L38" s="78">
        <v>0</v>
      </c>
      <c r="M38" s="78">
        <v>2</v>
      </c>
      <c r="N38" s="137">
        <v>0.67857140000000005</v>
      </c>
      <c r="P38" s="143" t="s">
        <v>765</v>
      </c>
      <c r="Q38" s="143" t="s">
        <v>766</v>
      </c>
      <c r="R38" s="143" t="s">
        <v>727</v>
      </c>
      <c r="S38" s="143">
        <v>255</v>
      </c>
      <c r="T38" s="78">
        <v>1</v>
      </c>
      <c r="U38" s="78">
        <v>1</v>
      </c>
      <c r="V38" s="78">
        <v>2</v>
      </c>
      <c r="W38" s="78">
        <v>2</v>
      </c>
      <c r="X38" s="78">
        <v>0</v>
      </c>
      <c r="Y38" s="78">
        <v>1</v>
      </c>
      <c r="Z38" s="78">
        <v>0</v>
      </c>
      <c r="AA38" s="78">
        <v>2</v>
      </c>
      <c r="AB38" s="78">
        <v>6</v>
      </c>
      <c r="AC38" s="78">
        <v>0</v>
      </c>
      <c r="AD38" s="137">
        <v>0.44117650000000003</v>
      </c>
      <c r="AF38" s="143" t="s">
        <v>765</v>
      </c>
      <c r="AG38" s="143" t="s">
        <v>766</v>
      </c>
      <c r="AH38" s="143" t="s">
        <v>727</v>
      </c>
      <c r="AI38" s="143">
        <v>255</v>
      </c>
      <c r="AJ38" s="78">
        <v>1</v>
      </c>
      <c r="AK38" s="78">
        <v>1</v>
      </c>
      <c r="AL38" s="78">
        <v>0</v>
      </c>
      <c r="AM38" s="78">
        <v>6</v>
      </c>
      <c r="AN38" s="78">
        <v>1</v>
      </c>
      <c r="AO38" s="78">
        <v>0</v>
      </c>
      <c r="AP38" s="78">
        <v>0</v>
      </c>
      <c r="AQ38" s="78">
        <v>1</v>
      </c>
      <c r="AR38" s="78">
        <v>2</v>
      </c>
      <c r="AS38" s="78">
        <v>0</v>
      </c>
      <c r="AT38" s="78">
        <v>0</v>
      </c>
      <c r="AU38" s="78">
        <v>0</v>
      </c>
      <c r="AV38" s="78">
        <v>0</v>
      </c>
      <c r="AW38" s="78">
        <v>0</v>
      </c>
      <c r="AX38" s="78">
        <v>0</v>
      </c>
      <c r="AY38" s="78">
        <v>0</v>
      </c>
      <c r="AZ38" s="78">
        <v>2</v>
      </c>
      <c r="BA38" s="78">
        <v>0.5</v>
      </c>
      <c r="BB38" s="78">
        <v>0.5</v>
      </c>
      <c r="BC38" s="78">
        <v>0.5</v>
      </c>
      <c r="BD38" s="78">
        <v>0</v>
      </c>
      <c r="BE38" s="78">
        <v>0.5</v>
      </c>
      <c r="BF38" s="78">
        <v>0</v>
      </c>
      <c r="BG38" s="78">
        <v>8</v>
      </c>
      <c r="BH38" s="137">
        <v>0.54545460000000001</v>
      </c>
      <c r="BJ38" s="143" t="s">
        <v>765</v>
      </c>
      <c r="BK38" s="143" t="s">
        <v>766</v>
      </c>
      <c r="BL38" s="143" t="s">
        <v>727</v>
      </c>
      <c r="BM38" s="143">
        <v>255</v>
      </c>
      <c r="BN38" s="78">
        <v>1</v>
      </c>
      <c r="BO38" s="78">
        <v>4</v>
      </c>
      <c r="BP38" s="78">
        <v>0</v>
      </c>
      <c r="BQ38" s="78">
        <v>3</v>
      </c>
      <c r="BR38" s="78">
        <v>3</v>
      </c>
      <c r="BS38" s="78">
        <v>3</v>
      </c>
      <c r="BT38" s="78">
        <v>2</v>
      </c>
      <c r="BU38" s="137">
        <v>0.69565220000000005</v>
      </c>
      <c r="BW38" s="143" t="s">
        <v>765</v>
      </c>
      <c r="BX38" s="143" t="s">
        <v>766</v>
      </c>
      <c r="BY38" s="143" t="s">
        <v>727</v>
      </c>
      <c r="BZ38" s="143">
        <v>255</v>
      </c>
      <c r="CA38" s="78">
        <v>1</v>
      </c>
      <c r="CB38" s="78">
        <v>1</v>
      </c>
      <c r="CC38" s="78">
        <v>1</v>
      </c>
      <c r="CD38" s="78">
        <v>2</v>
      </c>
      <c r="CE38" s="78">
        <v>1</v>
      </c>
      <c r="CF38" s="78">
        <v>2</v>
      </c>
      <c r="CG38" s="78">
        <v>1</v>
      </c>
      <c r="CH38" s="78">
        <v>2</v>
      </c>
      <c r="CI38" s="78">
        <v>1</v>
      </c>
      <c r="CJ38" s="78">
        <v>0</v>
      </c>
      <c r="CK38" s="137">
        <v>0.8</v>
      </c>
      <c r="CM38" s="143" t="s">
        <v>765</v>
      </c>
      <c r="CN38" s="143" t="s">
        <v>766</v>
      </c>
      <c r="CO38" s="143" t="s">
        <v>727</v>
      </c>
      <c r="CP38" s="143">
        <v>255</v>
      </c>
      <c r="CQ38" s="78">
        <v>8</v>
      </c>
      <c r="CR38" s="78">
        <v>6</v>
      </c>
      <c r="CS38" s="78">
        <v>16</v>
      </c>
      <c r="CT38" s="78">
        <v>0</v>
      </c>
      <c r="CU38" s="78">
        <v>0</v>
      </c>
      <c r="CV38" s="78">
        <v>8</v>
      </c>
      <c r="CW38" s="137">
        <v>0.73076920000000001</v>
      </c>
      <c r="CY38" s="143" t="s">
        <v>765</v>
      </c>
      <c r="CZ38" s="143" t="s">
        <v>766</v>
      </c>
      <c r="DA38" s="143" t="s">
        <v>727</v>
      </c>
      <c r="DB38" s="143">
        <v>255</v>
      </c>
      <c r="DC38" s="78">
        <v>74</v>
      </c>
      <c r="DD38" s="137">
        <v>0</v>
      </c>
      <c r="DE38" s="137">
        <v>0</v>
      </c>
      <c r="DG38" s="143" t="s">
        <v>765</v>
      </c>
      <c r="DH38" s="143" t="s">
        <v>766</v>
      </c>
      <c r="DI38" s="143" t="s">
        <v>727</v>
      </c>
      <c r="DJ38" s="143">
        <v>255</v>
      </c>
      <c r="DK38" s="78">
        <v>2</v>
      </c>
      <c r="DL38" s="78">
        <v>1</v>
      </c>
      <c r="DM38" s="78">
        <v>1</v>
      </c>
      <c r="DN38" s="78">
        <v>5</v>
      </c>
      <c r="DO38" s="78">
        <v>2</v>
      </c>
      <c r="DP38" s="78">
        <v>3</v>
      </c>
      <c r="DQ38" s="78">
        <v>6</v>
      </c>
      <c r="DR38" s="78">
        <v>1</v>
      </c>
      <c r="DS38" s="78">
        <v>1</v>
      </c>
      <c r="DT38" s="78">
        <v>0</v>
      </c>
      <c r="DU38" s="78">
        <v>1</v>
      </c>
      <c r="DV38" s="137">
        <v>0.79310349999999996</v>
      </c>
      <c r="DX38" s="143" t="s">
        <v>765</v>
      </c>
      <c r="DY38" s="143" t="s">
        <v>766</v>
      </c>
      <c r="DZ38" s="143" t="s">
        <v>727</v>
      </c>
      <c r="EA38" s="143">
        <v>255</v>
      </c>
      <c r="EB38" s="78">
        <v>1</v>
      </c>
      <c r="EC38" s="78">
        <v>8</v>
      </c>
      <c r="ED38" s="78">
        <v>1</v>
      </c>
      <c r="EE38" s="78">
        <v>4</v>
      </c>
      <c r="EF38" s="78">
        <v>1</v>
      </c>
      <c r="EG38" s="78">
        <v>1</v>
      </c>
      <c r="EH38" s="78">
        <v>0</v>
      </c>
      <c r="EI38" s="78">
        <v>1</v>
      </c>
      <c r="EJ38" s="78">
        <v>1</v>
      </c>
      <c r="EK38" s="78">
        <v>1</v>
      </c>
      <c r="EL38" s="78">
        <v>4</v>
      </c>
      <c r="EM38" s="78">
        <v>1</v>
      </c>
      <c r="EN38" s="78">
        <v>0</v>
      </c>
      <c r="EO38" s="137">
        <v>0.88888889999999998</v>
      </c>
      <c r="EQ38" s="143" t="s">
        <v>765</v>
      </c>
      <c r="ER38" s="143" t="s">
        <v>766</v>
      </c>
      <c r="ES38" s="143" t="s">
        <v>727</v>
      </c>
      <c r="ET38" s="143">
        <v>255</v>
      </c>
      <c r="EU38" s="78">
        <v>0</v>
      </c>
      <c r="EV38" s="78">
        <v>0</v>
      </c>
      <c r="EW38" s="78">
        <v>0</v>
      </c>
      <c r="EX38" s="78">
        <v>2</v>
      </c>
      <c r="EY38" s="78">
        <v>0.5</v>
      </c>
      <c r="EZ38" s="78">
        <v>3</v>
      </c>
      <c r="FA38" s="78">
        <v>2</v>
      </c>
      <c r="FB38" s="78">
        <v>1</v>
      </c>
      <c r="FC38" s="137">
        <v>0.65384609999999999</v>
      </c>
      <c r="FE38" s="137">
        <v>0.49853370000000002</v>
      </c>
    </row>
    <row r="39" spans="1:161" x14ac:dyDescent="0.25">
      <c r="A39" s="143" t="s">
        <v>765</v>
      </c>
      <c r="B39" s="143" t="s">
        <v>766</v>
      </c>
      <c r="C39" s="143" t="s">
        <v>728</v>
      </c>
      <c r="D39" s="143">
        <v>263</v>
      </c>
      <c r="E39" s="78">
        <v>0</v>
      </c>
      <c r="F39" s="78">
        <v>2</v>
      </c>
      <c r="G39" s="78">
        <v>1</v>
      </c>
      <c r="H39" s="78">
        <v>2</v>
      </c>
      <c r="I39" s="78">
        <v>1</v>
      </c>
      <c r="J39" s="78">
        <v>0</v>
      </c>
      <c r="K39" s="78">
        <v>1</v>
      </c>
      <c r="L39" s="78">
        <v>0</v>
      </c>
      <c r="M39" s="78">
        <v>2</v>
      </c>
      <c r="N39" s="137">
        <v>0.64285709999999996</v>
      </c>
      <c r="P39" s="143" t="s">
        <v>765</v>
      </c>
      <c r="Q39" s="143" t="s">
        <v>766</v>
      </c>
      <c r="R39" s="143" t="s">
        <v>728</v>
      </c>
      <c r="S39" s="143">
        <v>263</v>
      </c>
      <c r="T39" s="78">
        <v>1</v>
      </c>
      <c r="U39" s="78">
        <v>1</v>
      </c>
      <c r="V39" s="78">
        <v>0</v>
      </c>
      <c r="W39" s="78">
        <v>0</v>
      </c>
      <c r="X39" s="78">
        <v>9</v>
      </c>
      <c r="Y39" s="78">
        <v>1</v>
      </c>
      <c r="Z39" s="78">
        <v>3</v>
      </c>
      <c r="AA39" s="78">
        <v>0</v>
      </c>
      <c r="AB39" s="78">
        <v>0</v>
      </c>
      <c r="AC39" s="78">
        <v>3</v>
      </c>
      <c r="AD39" s="137">
        <v>0.52941179999999999</v>
      </c>
      <c r="AF39" s="143" t="s">
        <v>765</v>
      </c>
      <c r="AG39" s="143" t="s">
        <v>766</v>
      </c>
      <c r="AH39" s="143" t="s">
        <v>728</v>
      </c>
      <c r="AI39" s="143">
        <v>263</v>
      </c>
      <c r="AJ39" s="78">
        <v>1</v>
      </c>
      <c r="AK39" s="78">
        <v>1</v>
      </c>
      <c r="AL39" s="78">
        <v>1</v>
      </c>
      <c r="AM39" s="78">
        <v>6</v>
      </c>
      <c r="AN39" s="78">
        <v>1</v>
      </c>
      <c r="AO39" s="78">
        <v>0</v>
      </c>
      <c r="AP39" s="78">
        <v>1</v>
      </c>
      <c r="AQ39" s="78">
        <v>1</v>
      </c>
      <c r="AR39" s="78">
        <v>2</v>
      </c>
      <c r="AS39" s="78">
        <v>2</v>
      </c>
      <c r="AT39" s="78">
        <v>0</v>
      </c>
      <c r="AU39" s="78">
        <v>0</v>
      </c>
      <c r="AV39" s="78">
        <v>2</v>
      </c>
      <c r="AW39" s="78">
        <v>1</v>
      </c>
      <c r="AX39" s="78">
        <v>0</v>
      </c>
      <c r="AY39" s="78">
        <v>1</v>
      </c>
      <c r="AZ39" s="78">
        <v>0</v>
      </c>
      <c r="BA39" s="78">
        <v>0.5</v>
      </c>
      <c r="BB39" s="78">
        <v>0.5</v>
      </c>
      <c r="BC39" s="78">
        <v>0.5</v>
      </c>
      <c r="BD39" s="78">
        <v>1</v>
      </c>
      <c r="BE39" s="78">
        <v>0.5</v>
      </c>
      <c r="BF39" s="78">
        <v>0</v>
      </c>
      <c r="BG39" s="78">
        <v>8</v>
      </c>
      <c r="BH39" s="137">
        <v>0.70454539999999999</v>
      </c>
      <c r="BJ39" s="143" t="s">
        <v>765</v>
      </c>
      <c r="BK39" s="143" t="s">
        <v>766</v>
      </c>
      <c r="BL39" s="143" t="s">
        <v>728</v>
      </c>
      <c r="BM39" s="143">
        <v>263</v>
      </c>
      <c r="BN39" s="78">
        <v>0</v>
      </c>
      <c r="BO39" s="78">
        <v>4</v>
      </c>
      <c r="BP39" s="78">
        <v>7</v>
      </c>
      <c r="BQ39" s="78">
        <v>0</v>
      </c>
      <c r="BR39" s="78">
        <v>0</v>
      </c>
      <c r="BS39" s="78">
        <v>0</v>
      </c>
      <c r="BT39" s="78">
        <v>2</v>
      </c>
      <c r="BU39" s="137">
        <v>0.56521739999999998</v>
      </c>
      <c r="BW39" s="143" t="s">
        <v>765</v>
      </c>
      <c r="BX39" s="143" t="s">
        <v>766</v>
      </c>
      <c r="BY39" s="143" t="s">
        <v>728</v>
      </c>
      <c r="BZ39" s="143">
        <v>263</v>
      </c>
      <c r="CM39" s="143" t="s">
        <v>765</v>
      </c>
      <c r="CN39" s="143" t="s">
        <v>766</v>
      </c>
      <c r="CO39" s="143" t="s">
        <v>728</v>
      </c>
      <c r="CP39" s="143">
        <v>263</v>
      </c>
      <c r="CQ39" s="78">
        <v>8</v>
      </c>
      <c r="CR39" s="78">
        <v>0</v>
      </c>
      <c r="CS39" s="78">
        <v>12</v>
      </c>
      <c r="CT39" s="78">
        <v>4</v>
      </c>
      <c r="CU39" s="78">
        <v>0</v>
      </c>
      <c r="CV39" s="78">
        <v>8</v>
      </c>
      <c r="CW39" s="137">
        <v>0.61538459999999995</v>
      </c>
      <c r="CY39" s="143" t="s">
        <v>765</v>
      </c>
      <c r="CZ39" s="143" t="s">
        <v>766</v>
      </c>
      <c r="DA39" s="143" t="s">
        <v>728</v>
      </c>
      <c r="DB39" s="143">
        <v>263</v>
      </c>
      <c r="DC39" s="78">
        <v>78</v>
      </c>
      <c r="DD39" s="137">
        <v>0</v>
      </c>
      <c r="DE39" s="137">
        <v>0</v>
      </c>
      <c r="DG39" s="143" t="s">
        <v>765</v>
      </c>
      <c r="DH39" s="143" t="s">
        <v>766</v>
      </c>
      <c r="DI39" s="143" t="s">
        <v>728</v>
      </c>
      <c r="DJ39" s="143">
        <v>263</v>
      </c>
      <c r="DK39" s="78">
        <v>2</v>
      </c>
      <c r="DL39" s="78">
        <v>1</v>
      </c>
      <c r="DM39" s="78">
        <v>0</v>
      </c>
      <c r="DN39" s="78">
        <v>5</v>
      </c>
      <c r="DO39" s="78">
        <v>2</v>
      </c>
      <c r="DP39" s="78">
        <v>3</v>
      </c>
      <c r="DQ39" s="78">
        <v>6</v>
      </c>
      <c r="DR39" s="78">
        <v>1</v>
      </c>
      <c r="DS39" s="78">
        <v>1</v>
      </c>
      <c r="DT39" s="78">
        <v>0</v>
      </c>
      <c r="DU39" s="78">
        <v>1</v>
      </c>
      <c r="DV39" s="137">
        <v>0.75862070000000004</v>
      </c>
      <c r="DX39" s="143" t="s">
        <v>765</v>
      </c>
      <c r="DY39" s="143" t="s">
        <v>766</v>
      </c>
      <c r="DZ39" s="143" t="s">
        <v>728</v>
      </c>
      <c r="EA39" s="143">
        <v>263</v>
      </c>
      <c r="EB39" s="78">
        <v>0</v>
      </c>
      <c r="EC39" s="78">
        <v>8</v>
      </c>
      <c r="ED39" s="78">
        <v>1</v>
      </c>
      <c r="EE39" s="78">
        <v>4</v>
      </c>
      <c r="EF39" s="78">
        <v>1</v>
      </c>
      <c r="EG39" s="78">
        <v>1</v>
      </c>
      <c r="EH39" s="78">
        <v>0</v>
      </c>
      <c r="EI39" s="78">
        <v>1</v>
      </c>
      <c r="EJ39" s="78">
        <v>1</v>
      </c>
      <c r="EK39" s="78">
        <v>1</v>
      </c>
      <c r="EL39" s="78">
        <v>4</v>
      </c>
      <c r="EM39" s="78">
        <v>1</v>
      </c>
      <c r="EN39" s="78">
        <v>0</v>
      </c>
      <c r="EO39" s="137">
        <v>0.8518519</v>
      </c>
      <c r="EQ39" s="143" t="s">
        <v>765</v>
      </c>
      <c r="ER39" s="143" t="s">
        <v>766</v>
      </c>
      <c r="ES39" s="143" t="s">
        <v>728</v>
      </c>
      <c r="ET39" s="143">
        <v>263</v>
      </c>
      <c r="EU39" s="78">
        <v>0</v>
      </c>
      <c r="EV39" s="78">
        <v>0</v>
      </c>
      <c r="EW39" s="78">
        <v>0</v>
      </c>
      <c r="EX39" s="78">
        <v>2</v>
      </c>
      <c r="EY39" s="78">
        <v>0.5</v>
      </c>
      <c r="EZ39" s="78">
        <v>3</v>
      </c>
      <c r="FA39" s="78">
        <v>2</v>
      </c>
      <c r="FB39" s="78">
        <v>1</v>
      </c>
      <c r="FC39" s="137">
        <v>0.65384609999999999</v>
      </c>
      <c r="FE39" s="137">
        <v>0.48006140000000003</v>
      </c>
    </row>
    <row r="40" spans="1:161" hidden="1" x14ac:dyDescent="0.25">
      <c r="A40" s="143" t="s">
        <v>765</v>
      </c>
      <c r="B40" s="143" t="s">
        <v>766</v>
      </c>
      <c r="C40" s="143" t="s">
        <v>729</v>
      </c>
      <c r="D40" s="143">
        <v>270</v>
      </c>
      <c r="E40" s="78">
        <v>0</v>
      </c>
      <c r="F40" s="78">
        <v>2</v>
      </c>
      <c r="G40" s="78">
        <v>0</v>
      </c>
      <c r="H40" s="78">
        <v>2</v>
      </c>
      <c r="I40" s="78">
        <v>1</v>
      </c>
      <c r="J40" s="78">
        <v>0</v>
      </c>
      <c r="K40" s="78">
        <v>1</v>
      </c>
      <c r="L40" s="78">
        <v>0</v>
      </c>
      <c r="M40" s="78">
        <v>2</v>
      </c>
      <c r="N40" s="137">
        <v>0.57142859999999995</v>
      </c>
      <c r="P40" s="143" t="s">
        <v>765</v>
      </c>
      <c r="Q40" s="143" t="s">
        <v>766</v>
      </c>
      <c r="R40" s="143" t="s">
        <v>729</v>
      </c>
      <c r="S40" s="143">
        <v>270</v>
      </c>
      <c r="T40" s="78">
        <v>1</v>
      </c>
      <c r="U40" s="78">
        <v>1</v>
      </c>
      <c r="V40" s="78">
        <v>2</v>
      </c>
      <c r="W40" s="78">
        <v>2</v>
      </c>
      <c r="X40" s="78">
        <v>0</v>
      </c>
      <c r="Y40" s="78">
        <v>1</v>
      </c>
      <c r="Z40" s="78">
        <v>0</v>
      </c>
      <c r="AA40" s="78">
        <v>0</v>
      </c>
      <c r="AB40" s="78">
        <v>6</v>
      </c>
      <c r="AC40" s="78">
        <v>0</v>
      </c>
      <c r="AD40" s="137">
        <v>0.3823529</v>
      </c>
      <c r="AF40" s="143" t="s">
        <v>765</v>
      </c>
      <c r="AG40" s="143" t="s">
        <v>766</v>
      </c>
      <c r="AH40" s="143" t="s">
        <v>729</v>
      </c>
      <c r="AI40" s="143">
        <v>270</v>
      </c>
      <c r="AJ40" s="78">
        <v>1</v>
      </c>
      <c r="AK40" s="78">
        <v>0</v>
      </c>
      <c r="AL40" s="78">
        <v>0</v>
      </c>
      <c r="AM40" s="78">
        <v>6</v>
      </c>
      <c r="AN40" s="78">
        <v>1</v>
      </c>
      <c r="AO40" s="78">
        <v>0</v>
      </c>
      <c r="AP40" s="78">
        <v>1</v>
      </c>
      <c r="AQ40" s="78">
        <v>1</v>
      </c>
      <c r="AR40" s="78">
        <v>2</v>
      </c>
      <c r="AS40" s="78">
        <v>2</v>
      </c>
      <c r="AT40" s="78">
        <v>0</v>
      </c>
      <c r="AU40" s="78">
        <v>1</v>
      </c>
      <c r="AV40" s="78">
        <v>0</v>
      </c>
      <c r="AW40" s="78">
        <v>1</v>
      </c>
      <c r="AX40" s="78">
        <v>4</v>
      </c>
      <c r="AY40" s="78">
        <v>0</v>
      </c>
      <c r="AZ40" s="78">
        <v>0</v>
      </c>
      <c r="BA40" s="78">
        <v>0.5</v>
      </c>
      <c r="BB40" s="78">
        <v>0.5</v>
      </c>
      <c r="BC40" s="78">
        <v>0.5</v>
      </c>
      <c r="BD40" s="78">
        <v>0</v>
      </c>
      <c r="BE40" s="78">
        <v>0.5</v>
      </c>
      <c r="BF40" s="78">
        <v>0</v>
      </c>
      <c r="BG40" s="78">
        <v>8</v>
      </c>
      <c r="BH40" s="137">
        <v>0.68181820000000004</v>
      </c>
      <c r="BJ40" s="143" t="s">
        <v>765</v>
      </c>
      <c r="BK40" s="143" t="s">
        <v>766</v>
      </c>
      <c r="BL40" s="143" t="s">
        <v>729</v>
      </c>
      <c r="BM40" s="143">
        <v>270</v>
      </c>
      <c r="BN40" s="78">
        <v>1</v>
      </c>
      <c r="BO40" s="78">
        <v>4</v>
      </c>
      <c r="BP40" s="78">
        <v>7</v>
      </c>
      <c r="BQ40" s="78">
        <v>3</v>
      </c>
      <c r="BR40" s="78">
        <v>3</v>
      </c>
      <c r="BS40" s="78">
        <v>3</v>
      </c>
      <c r="BT40" s="78">
        <v>2</v>
      </c>
      <c r="BU40" s="137">
        <v>1</v>
      </c>
      <c r="BW40" s="143" t="s">
        <v>765</v>
      </c>
      <c r="BX40" s="143" t="s">
        <v>766</v>
      </c>
      <c r="BY40" s="143" t="s">
        <v>729</v>
      </c>
      <c r="BZ40" s="143">
        <v>270</v>
      </c>
      <c r="CA40" s="78">
        <v>1</v>
      </c>
      <c r="CB40" s="78">
        <v>1</v>
      </c>
      <c r="CC40" s="78">
        <v>1</v>
      </c>
      <c r="CD40" s="78">
        <v>2</v>
      </c>
      <c r="CE40" s="78">
        <v>0</v>
      </c>
      <c r="CF40" s="78">
        <v>2</v>
      </c>
      <c r="CG40" s="78">
        <v>1</v>
      </c>
      <c r="CH40" s="78">
        <v>2</v>
      </c>
      <c r="CI40" s="78">
        <v>0</v>
      </c>
      <c r="CJ40" s="78">
        <v>0</v>
      </c>
      <c r="CK40" s="137">
        <v>0.66666669999999995</v>
      </c>
      <c r="CM40" s="143" t="s">
        <v>765</v>
      </c>
      <c r="CN40" s="143" t="s">
        <v>766</v>
      </c>
      <c r="CO40" s="143" t="s">
        <v>729</v>
      </c>
      <c r="CP40" s="143">
        <v>270</v>
      </c>
      <c r="CQ40" s="78">
        <v>8</v>
      </c>
      <c r="CR40" s="78">
        <v>6</v>
      </c>
      <c r="CS40" s="78">
        <v>16</v>
      </c>
      <c r="CT40" s="78">
        <v>4</v>
      </c>
      <c r="CU40" s="78">
        <v>2</v>
      </c>
      <c r="CV40" s="78">
        <v>8</v>
      </c>
      <c r="CW40" s="137">
        <v>0.84615390000000001</v>
      </c>
      <c r="CY40" s="143" t="s">
        <v>765</v>
      </c>
      <c r="CZ40" s="143" t="s">
        <v>766</v>
      </c>
      <c r="DA40" s="143" t="s">
        <v>729</v>
      </c>
      <c r="DB40" s="143">
        <v>270</v>
      </c>
      <c r="DC40" s="78">
        <v>90</v>
      </c>
      <c r="DD40" s="137">
        <v>0</v>
      </c>
      <c r="DE40" s="137">
        <v>0</v>
      </c>
      <c r="DG40" s="143" t="s">
        <v>765</v>
      </c>
      <c r="DH40" s="143" t="s">
        <v>766</v>
      </c>
      <c r="DI40" s="143" t="s">
        <v>729</v>
      </c>
      <c r="DJ40" s="143">
        <v>270</v>
      </c>
      <c r="DK40" s="78">
        <v>2</v>
      </c>
      <c r="DL40" s="78">
        <v>1</v>
      </c>
      <c r="DM40" s="78">
        <v>0</v>
      </c>
      <c r="DN40" s="78">
        <v>5</v>
      </c>
      <c r="DO40" s="78">
        <v>2</v>
      </c>
      <c r="DP40" s="78">
        <v>3</v>
      </c>
      <c r="DQ40" s="78">
        <v>6</v>
      </c>
      <c r="DR40" s="78">
        <v>1</v>
      </c>
      <c r="DS40" s="78">
        <v>1</v>
      </c>
      <c r="DT40" s="78">
        <v>0</v>
      </c>
      <c r="DU40" s="78">
        <v>1</v>
      </c>
      <c r="DV40" s="137">
        <v>0.75862070000000004</v>
      </c>
      <c r="DX40" s="143" t="s">
        <v>765</v>
      </c>
      <c r="DY40" s="143" t="s">
        <v>766</v>
      </c>
      <c r="DZ40" s="143" t="s">
        <v>729</v>
      </c>
      <c r="EA40" s="143">
        <v>270</v>
      </c>
      <c r="EB40" s="78">
        <v>1</v>
      </c>
      <c r="EC40" s="78">
        <v>8</v>
      </c>
      <c r="ED40" s="78">
        <v>1</v>
      </c>
      <c r="EE40" s="78">
        <v>4</v>
      </c>
      <c r="EF40" s="78">
        <v>1</v>
      </c>
      <c r="EG40" s="78">
        <v>1</v>
      </c>
      <c r="EH40" s="78">
        <v>0</v>
      </c>
      <c r="EI40" s="78">
        <v>1</v>
      </c>
      <c r="EJ40" s="78">
        <v>1</v>
      </c>
      <c r="EK40" s="78">
        <v>1</v>
      </c>
      <c r="EL40" s="78">
        <v>4</v>
      </c>
      <c r="EM40" s="78">
        <v>1</v>
      </c>
      <c r="EN40" s="78">
        <v>1</v>
      </c>
      <c r="EO40" s="137">
        <v>0.92592589999999997</v>
      </c>
      <c r="EQ40" s="143" t="s">
        <v>765</v>
      </c>
      <c r="ER40" s="143" t="s">
        <v>766</v>
      </c>
      <c r="ES40" s="143" t="s">
        <v>729</v>
      </c>
      <c r="ET40" s="143">
        <v>270</v>
      </c>
      <c r="EU40" s="78">
        <v>0</v>
      </c>
      <c r="EV40" s="78">
        <v>1</v>
      </c>
      <c r="EW40" s="78">
        <v>3</v>
      </c>
      <c r="EX40" s="78">
        <v>0</v>
      </c>
      <c r="EY40" s="78">
        <v>0.5</v>
      </c>
      <c r="EZ40" s="78">
        <v>3</v>
      </c>
      <c r="FA40" s="78">
        <v>2</v>
      </c>
      <c r="FB40" s="78">
        <v>1</v>
      </c>
      <c r="FC40" s="137">
        <v>0.80769230000000003</v>
      </c>
      <c r="FE40" s="137">
        <v>0.54398829999999998</v>
      </c>
    </row>
    <row r="41" spans="1:161" x14ac:dyDescent="0.25">
      <c r="A41" s="143" t="s">
        <v>765</v>
      </c>
      <c r="B41" s="143" t="s">
        <v>766</v>
      </c>
      <c r="C41" s="143" t="s">
        <v>728</v>
      </c>
      <c r="D41" s="143">
        <v>272</v>
      </c>
      <c r="E41" s="78">
        <v>0.5</v>
      </c>
      <c r="F41" s="78">
        <v>1</v>
      </c>
      <c r="G41" s="78">
        <v>1</v>
      </c>
      <c r="H41" s="78">
        <v>0</v>
      </c>
      <c r="I41" s="78">
        <v>1</v>
      </c>
      <c r="J41" s="78">
        <v>0</v>
      </c>
      <c r="K41" s="78">
        <v>1</v>
      </c>
      <c r="L41" s="78">
        <v>0</v>
      </c>
      <c r="M41" s="78">
        <v>2</v>
      </c>
      <c r="N41" s="137">
        <v>0.46428570000000002</v>
      </c>
      <c r="P41" s="143" t="s">
        <v>765</v>
      </c>
      <c r="Q41" s="143" t="s">
        <v>766</v>
      </c>
      <c r="R41" s="143" t="s">
        <v>728</v>
      </c>
      <c r="S41" s="143">
        <v>272</v>
      </c>
      <c r="T41" s="78">
        <v>1</v>
      </c>
      <c r="U41" s="78">
        <v>0</v>
      </c>
      <c r="V41" s="78">
        <v>0</v>
      </c>
      <c r="W41" s="78">
        <v>1.5</v>
      </c>
      <c r="X41" s="78">
        <v>0</v>
      </c>
      <c r="Y41" s="78">
        <v>1</v>
      </c>
      <c r="Z41" s="78">
        <v>3</v>
      </c>
      <c r="AA41" s="78">
        <v>0</v>
      </c>
      <c r="AB41" s="78">
        <v>0</v>
      </c>
      <c r="AC41" s="78">
        <v>3</v>
      </c>
      <c r="AD41" s="137">
        <v>0.27941179999999999</v>
      </c>
      <c r="AF41" s="143" t="s">
        <v>765</v>
      </c>
      <c r="AG41" s="143" t="s">
        <v>766</v>
      </c>
      <c r="AH41" s="143" t="s">
        <v>728</v>
      </c>
      <c r="AI41" s="143">
        <v>272</v>
      </c>
      <c r="AJ41" s="78">
        <v>1</v>
      </c>
      <c r="AK41" s="78">
        <v>1</v>
      </c>
      <c r="AL41" s="78">
        <v>1</v>
      </c>
      <c r="AM41" s="78">
        <v>6</v>
      </c>
      <c r="AN41" s="78">
        <v>1</v>
      </c>
      <c r="AO41" s="78">
        <v>2</v>
      </c>
      <c r="AP41" s="78">
        <v>1</v>
      </c>
      <c r="AQ41" s="78">
        <v>0</v>
      </c>
      <c r="AR41" s="78">
        <v>2</v>
      </c>
      <c r="AS41" s="78">
        <v>2</v>
      </c>
      <c r="AT41" s="78">
        <v>2</v>
      </c>
      <c r="AU41" s="78">
        <v>0</v>
      </c>
      <c r="AV41" s="78">
        <v>2</v>
      </c>
      <c r="AW41" s="78">
        <v>1</v>
      </c>
      <c r="AX41" s="78">
        <v>0</v>
      </c>
      <c r="AY41" s="78">
        <v>1</v>
      </c>
      <c r="AZ41" s="78">
        <v>2</v>
      </c>
      <c r="BA41" s="78">
        <v>0.5</v>
      </c>
      <c r="BB41" s="78">
        <v>0.5</v>
      </c>
      <c r="BC41" s="78">
        <v>0</v>
      </c>
      <c r="BD41" s="78">
        <v>1</v>
      </c>
      <c r="BE41" s="78">
        <v>0.5</v>
      </c>
      <c r="BF41" s="78">
        <v>0</v>
      </c>
      <c r="BG41" s="78">
        <v>8</v>
      </c>
      <c r="BH41" s="137">
        <v>0.80681820000000004</v>
      </c>
      <c r="BJ41" s="143" t="s">
        <v>765</v>
      </c>
      <c r="BK41" s="143" t="s">
        <v>766</v>
      </c>
      <c r="BL41" s="143" t="s">
        <v>728</v>
      </c>
      <c r="BM41" s="143">
        <v>272</v>
      </c>
      <c r="BN41" s="78">
        <v>0</v>
      </c>
      <c r="BO41" s="78">
        <v>4</v>
      </c>
      <c r="BP41" s="78">
        <v>0</v>
      </c>
      <c r="BQ41" s="78">
        <v>0</v>
      </c>
      <c r="BR41" s="78">
        <v>0</v>
      </c>
      <c r="BS41" s="78">
        <v>0</v>
      </c>
      <c r="BT41" s="78">
        <v>2</v>
      </c>
      <c r="BU41" s="137">
        <v>0.26086959999999998</v>
      </c>
      <c r="BW41" s="143" t="s">
        <v>765</v>
      </c>
      <c r="BX41" s="143" t="s">
        <v>766</v>
      </c>
      <c r="BY41" s="143" t="s">
        <v>728</v>
      </c>
      <c r="BZ41" s="143">
        <v>272</v>
      </c>
      <c r="CM41" s="143" t="s">
        <v>765</v>
      </c>
      <c r="CN41" s="143" t="s">
        <v>766</v>
      </c>
      <c r="CO41" s="143" t="s">
        <v>728</v>
      </c>
      <c r="CP41" s="143">
        <v>272</v>
      </c>
      <c r="CQ41" s="78">
        <v>2</v>
      </c>
      <c r="CR41" s="78">
        <v>0</v>
      </c>
      <c r="CS41" s="78">
        <v>16</v>
      </c>
      <c r="CT41" s="78">
        <v>4</v>
      </c>
      <c r="CU41" s="78">
        <v>0</v>
      </c>
      <c r="CV41" s="78">
        <v>8</v>
      </c>
      <c r="CW41" s="137">
        <v>0.57692310000000002</v>
      </c>
      <c r="CY41" s="143" t="s">
        <v>765</v>
      </c>
      <c r="CZ41" s="143" t="s">
        <v>766</v>
      </c>
      <c r="DA41" s="143" t="s">
        <v>728</v>
      </c>
      <c r="DB41" s="143">
        <v>272</v>
      </c>
      <c r="DC41" s="78">
        <v>72</v>
      </c>
      <c r="DD41" s="137">
        <v>0</v>
      </c>
      <c r="DE41" s="137">
        <v>0</v>
      </c>
      <c r="DG41" s="143" t="s">
        <v>765</v>
      </c>
      <c r="DH41" s="143" t="s">
        <v>766</v>
      </c>
      <c r="DI41" s="143" t="s">
        <v>728</v>
      </c>
      <c r="DJ41" s="143">
        <v>272</v>
      </c>
      <c r="DK41" s="78">
        <v>2</v>
      </c>
      <c r="DL41" s="78">
        <v>1</v>
      </c>
      <c r="DM41" s="78">
        <v>0</v>
      </c>
      <c r="DN41" s="78">
        <v>5</v>
      </c>
      <c r="DO41" s="78">
        <v>2</v>
      </c>
      <c r="DP41" s="78">
        <v>3</v>
      </c>
      <c r="DQ41" s="78">
        <v>8</v>
      </c>
      <c r="DR41" s="78">
        <v>1</v>
      </c>
      <c r="DS41" s="78">
        <v>1</v>
      </c>
      <c r="DT41" s="78">
        <v>0</v>
      </c>
      <c r="DU41" s="78">
        <v>0</v>
      </c>
      <c r="DV41" s="137">
        <v>0.79310349999999996</v>
      </c>
      <c r="DX41" s="143" t="s">
        <v>765</v>
      </c>
      <c r="DY41" s="143" t="s">
        <v>766</v>
      </c>
      <c r="DZ41" s="143" t="s">
        <v>728</v>
      </c>
      <c r="EA41" s="143">
        <v>272</v>
      </c>
      <c r="EB41" s="78">
        <v>1</v>
      </c>
      <c r="EC41" s="78">
        <v>8</v>
      </c>
      <c r="ED41" s="78">
        <v>1</v>
      </c>
      <c r="EE41" s="78">
        <v>4</v>
      </c>
      <c r="EF41" s="78">
        <v>1</v>
      </c>
      <c r="EG41" s="78">
        <v>1</v>
      </c>
      <c r="EH41" s="78">
        <v>0</v>
      </c>
      <c r="EI41" s="78">
        <v>1</v>
      </c>
      <c r="EJ41" s="78">
        <v>1</v>
      </c>
      <c r="EK41" s="78">
        <v>1</v>
      </c>
      <c r="EL41" s="78">
        <v>4</v>
      </c>
      <c r="EM41" s="78">
        <v>0</v>
      </c>
      <c r="EN41" s="78">
        <v>0</v>
      </c>
      <c r="EO41" s="137">
        <v>0.8518519</v>
      </c>
      <c r="EQ41" s="143" t="s">
        <v>765</v>
      </c>
      <c r="ER41" s="143" t="s">
        <v>766</v>
      </c>
      <c r="ES41" s="143" t="s">
        <v>728</v>
      </c>
      <c r="ET41" s="143">
        <v>272</v>
      </c>
      <c r="EU41" s="78">
        <v>0.5</v>
      </c>
      <c r="EV41" s="78">
        <v>1</v>
      </c>
      <c r="EW41" s="78">
        <v>3</v>
      </c>
      <c r="EX41" s="78">
        <v>2</v>
      </c>
      <c r="EY41" s="78">
        <v>0.5</v>
      </c>
      <c r="EZ41" s="78">
        <v>3</v>
      </c>
      <c r="FA41" s="78">
        <v>2</v>
      </c>
      <c r="FB41" s="78">
        <v>1</v>
      </c>
      <c r="FC41" s="137">
        <v>1</v>
      </c>
      <c r="FE41" s="137">
        <v>0.44938650000000002</v>
      </c>
    </row>
    <row r="42" spans="1:161" x14ac:dyDescent="0.25">
      <c r="A42" s="143" t="s">
        <v>765</v>
      </c>
      <c r="B42" s="143" t="s">
        <v>766</v>
      </c>
      <c r="C42" s="143" t="s">
        <v>728</v>
      </c>
      <c r="D42" s="143">
        <v>273</v>
      </c>
      <c r="E42" s="78">
        <v>0</v>
      </c>
      <c r="F42" s="78">
        <v>1</v>
      </c>
      <c r="G42" s="78">
        <v>1</v>
      </c>
      <c r="H42" s="78">
        <v>1</v>
      </c>
      <c r="I42" s="78">
        <v>0</v>
      </c>
      <c r="J42" s="78">
        <v>0</v>
      </c>
      <c r="K42" s="78">
        <v>1</v>
      </c>
      <c r="L42" s="78">
        <v>0</v>
      </c>
      <c r="M42" s="78">
        <v>2</v>
      </c>
      <c r="N42" s="137">
        <v>0.42857139999999999</v>
      </c>
      <c r="P42" s="143" t="s">
        <v>765</v>
      </c>
      <c r="Q42" s="143" t="s">
        <v>766</v>
      </c>
      <c r="R42" s="143" t="s">
        <v>728</v>
      </c>
      <c r="S42" s="143">
        <v>273</v>
      </c>
      <c r="T42" s="78">
        <v>1</v>
      </c>
      <c r="U42" s="78">
        <v>0</v>
      </c>
      <c r="V42" s="78">
        <v>1</v>
      </c>
      <c r="W42" s="78">
        <v>2</v>
      </c>
      <c r="X42" s="78">
        <v>9</v>
      </c>
      <c r="Y42" s="78">
        <v>1</v>
      </c>
      <c r="Z42" s="78">
        <v>0</v>
      </c>
      <c r="AA42" s="78">
        <v>0</v>
      </c>
      <c r="AB42" s="78">
        <v>0</v>
      </c>
      <c r="AC42" s="78">
        <v>0</v>
      </c>
      <c r="AD42" s="137">
        <v>0.41176469999999998</v>
      </c>
      <c r="AF42" s="143" t="s">
        <v>765</v>
      </c>
      <c r="AG42" s="143" t="s">
        <v>766</v>
      </c>
      <c r="AH42" s="143" t="s">
        <v>728</v>
      </c>
      <c r="AI42" s="143">
        <v>273</v>
      </c>
      <c r="AJ42" s="78">
        <v>1</v>
      </c>
      <c r="AK42" s="78">
        <v>1</v>
      </c>
      <c r="AL42" s="78">
        <v>0</v>
      </c>
      <c r="AM42" s="78">
        <v>0</v>
      </c>
      <c r="AN42" s="78">
        <v>1</v>
      </c>
      <c r="AO42" s="78">
        <v>0</v>
      </c>
      <c r="AP42" s="78">
        <v>1</v>
      </c>
      <c r="AQ42" s="78">
        <v>0</v>
      </c>
      <c r="AR42" s="78">
        <v>2</v>
      </c>
      <c r="AS42" s="78">
        <v>0</v>
      </c>
      <c r="AT42" s="78">
        <v>0</v>
      </c>
      <c r="AU42" s="78">
        <v>0</v>
      </c>
      <c r="AV42" s="78">
        <v>0</v>
      </c>
      <c r="AW42" s="78">
        <v>0</v>
      </c>
      <c r="AX42" s="78">
        <v>0</v>
      </c>
      <c r="AY42" s="78">
        <v>0</v>
      </c>
      <c r="AZ42" s="78">
        <v>0</v>
      </c>
      <c r="BA42" s="78">
        <v>0.5</v>
      </c>
      <c r="BB42" s="78">
        <v>0.5</v>
      </c>
      <c r="BC42" s="78">
        <v>0.5</v>
      </c>
      <c r="BD42" s="78">
        <v>1</v>
      </c>
      <c r="BE42" s="78">
        <v>0.5</v>
      </c>
      <c r="BF42" s="78">
        <v>0</v>
      </c>
      <c r="BG42" s="78">
        <v>8</v>
      </c>
      <c r="BH42" s="137">
        <v>0.38636359999999997</v>
      </c>
      <c r="BJ42" s="143" t="s">
        <v>765</v>
      </c>
      <c r="BK42" s="143" t="s">
        <v>766</v>
      </c>
      <c r="BL42" s="143" t="s">
        <v>728</v>
      </c>
      <c r="BM42" s="143">
        <v>273</v>
      </c>
      <c r="BN42" s="78">
        <v>1</v>
      </c>
      <c r="BO42" s="78">
        <v>4</v>
      </c>
      <c r="BP42" s="78">
        <v>0</v>
      </c>
      <c r="BQ42" s="78">
        <v>3</v>
      </c>
      <c r="BR42" s="78">
        <v>3</v>
      </c>
      <c r="BS42" s="78">
        <v>3</v>
      </c>
      <c r="BT42" s="78">
        <v>2</v>
      </c>
      <c r="BU42" s="137">
        <v>0.69565220000000005</v>
      </c>
      <c r="BW42" s="143" t="s">
        <v>765</v>
      </c>
      <c r="BX42" s="143" t="s">
        <v>766</v>
      </c>
      <c r="BY42" s="143" t="s">
        <v>728</v>
      </c>
      <c r="BZ42" s="143">
        <v>273</v>
      </c>
      <c r="CM42" s="143" t="s">
        <v>765</v>
      </c>
      <c r="CN42" s="143" t="s">
        <v>766</v>
      </c>
      <c r="CO42" s="143" t="s">
        <v>728</v>
      </c>
      <c r="CP42" s="143">
        <v>273</v>
      </c>
      <c r="CQ42" s="78">
        <v>2</v>
      </c>
      <c r="CR42" s="78">
        <v>0</v>
      </c>
      <c r="CS42" s="78">
        <v>0</v>
      </c>
      <c r="CT42" s="78">
        <v>4</v>
      </c>
      <c r="CU42" s="78">
        <v>0</v>
      </c>
      <c r="CV42" s="78">
        <v>8</v>
      </c>
      <c r="CW42" s="137">
        <v>0.26923079999999999</v>
      </c>
      <c r="CY42" s="143" t="s">
        <v>765</v>
      </c>
      <c r="CZ42" s="143" t="s">
        <v>766</v>
      </c>
      <c r="DA42" s="143" t="s">
        <v>728</v>
      </c>
      <c r="DB42" s="143">
        <v>273</v>
      </c>
      <c r="DC42" s="78">
        <v>0</v>
      </c>
      <c r="DD42" s="137">
        <v>0</v>
      </c>
      <c r="DE42" s="137">
        <v>0</v>
      </c>
      <c r="DG42" s="143" t="s">
        <v>765</v>
      </c>
      <c r="DH42" s="143" t="s">
        <v>766</v>
      </c>
      <c r="DI42" s="143" t="s">
        <v>728</v>
      </c>
      <c r="DJ42" s="143">
        <v>273</v>
      </c>
      <c r="DK42" s="78">
        <v>2</v>
      </c>
      <c r="DL42" s="78">
        <v>1</v>
      </c>
      <c r="DM42" s="78">
        <v>0</v>
      </c>
      <c r="DN42" s="78">
        <v>5</v>
      </c>
      <c r="DO42" s="78">
        <v>2</v>
      </c>
      <c r="DP42" s="78">
        <v>3</v>
      </c>
      <c r="DQ42" s="78">
        <v>8</v>
      </c>
      <c r="DR42" s="78">
        <v>0</v>
      </c>
      <c r="DS42" s="78">
        <v>1</v>
      </c>
      <c r="DT42" s="78">
        <v>0</v>
      </c>
      <c r="DU42" s="78">
        <v>0</v>
      </c>
      <c r="DV42" s="137">
        <v>0.75862070000000004</v>
      </c>
      <c r="DX42" s="143" t="s">
        <v>765</v>
      </c>
      <c r="DY42" s="143" t="s">
        <v>766</v>
      </c>
      <c r="DZ42" s="143" t="s">
        <v>728</v>
      </c>
      <c r="EA42" s="143">
        <v>273</v>
      </c>
      <c r="EB42" s="78">
        <v>1</v>
      </c>
      <c r="EC42" s="78">
        <v>8</v>
      </c>
      <c r="ED42" s="78">
        <v>1</v>
      </c>
      <c r="EE42" s="78">
        <v>4</v>
      </c>
      <c r="EF42" s="78">
        <v>1</v>
      </c>
      <c r="EG42" s="78">
        <v>1</v>
      </c>
      <c r="EH42" s="78">
        <v>0</v>
      </c>
      <c r="EI42" s="78">
        <v>1</v>
      </c>
      <c r="EJ42" s="78">
        <v>0</v>
      </c>
      <c r="EK42" s="78">
        <v>1</v>
      </c>
      <c r="EL42" s="78">
        <v>0</v>
      </c>
      <c r="EM42" s="78">
        <v>0</v>
      </c>
      <c r="EN42" s="78">
        <v>1</v>
      </c>
      <c r="EO42" s="137">
        <v>0.70370370000000004</v>
      </c>
      <c r="EQ42" s="143" t="s">
        <v>765</v>
      </c>
      <c r="ER42" s="143" t="s">
        <v>766</v>
      </c>
      <c r="ES42" s="143" t="s">
        <v>728</v>
      </c>
      <c r="ET42" s="143">
        <v>273</v>
      </c>
      <c r="EU42" s="78">
        <v>0</v>
      </c>
      <c r="EV42" s="78">
        <v>1</v>
      </c>
      <c r="EW42" s="78">
        <v>3</v>
      </c>
      <c r="EX42" s="78">
        <v>2</v>
      </c>
      <c r="EY42" s="78">
        <v>0.5</v>
      </c>
      <c r="EZ42" s="78">
        <v>3</v>
      </c>
      <c r="FA42" s="78">
        <v>2</v>
      </c>
      <c r="FB42" s="78">
        <v>1</v>
      </c>
      <c r="FC42" s="137">
        <v>0.96153840000000002</v>
      </c>
      <c r="FE42" s="137">
        <v>0.36963190000000001</v>
      </c>
    </row>
    <row r="43" spans="1:161" x14ac:dyDescent="0.25">
      <c r="A43" s="143" t="s">
        <v>765</v>
      </c>
      <c r="B43" s="143" t="s">
        <v>766</v>
      </c>
      <c r="C43" s="143" t="s">
        <v>728</v>
      </c>
      <c r="D43" s="143">
        <v>1606</v>
      </c>
      <c r="E43" s="78">
        <v>0.5</v>
      </c>
      <c r="F43" s="78">
        <v>2.5</v>
      </c>
      <c r="G43" s="78">
        <v>1</v>
      </c>
      <c r="H43" s="78">
        <v>4</v>
      </c>
      <c r="I43" s="78">
        <v>1</v>
      </c>
      <c r="J43" s="78">
        <v>0</v>
      </c>
      <c r="K43" s="78">
        <v>1</v>
      </c>
      <c r="L43" s="78">
        <v>0</v>
      </c>
      <c r="M43" s="78">
        <v>2</v>
      </c>
      <c r="N43" s="137">
        <v>0.85714290000000004</v>
      </c>
      <c r="P43" s="143" t="s">
        <v>765</v>
      </c>
      <c r="Q43" s="143" t="s">
        <v>766</v>
      </c>
      <c r="R43" s="143" t="s">
        <v>728</v>
      </c>
      <c r="S43" s="143">
        <v>1606</v>
      </c>
      <c r="T43" s="78">
        <v>1</v>
      </c>
      <c r="U43" s="78">
        <v>0</v>
      </c>
      <c r="V43" s="78">
        <v>0</v>
      </c>
      <c r="W43" s="78">
        <v>0.5</v>
      </c>
      <c r="X43" s="78">
        <v>12</v>
      </c>
      <c r="Y43" s="78">
        <v>1</v>
      </c>
      <c r="Z43" s="78">
        <v>3</v>
      </c>
      <c r="AA43" s="78">
        <v>0</v>
      </c>
      <c r="AB43" s="78">
        <v>6</v>
      </c>
      <c r="AC43" s="78">
        <v>3</v>
      </c>
      <c r="AD43" s="137">
        <v>0.77941179999999999</v>
      </c>
      <c r="AF43" s="143" t="s">
        <v>765</v>
      </c>
      <c r="AG43" s="143" t="s">
        <v>766</v>
      </c>
      <c r="AH43" s="143" t="s">
        <v>728</v>
      </c>
      <c r="AI43" s="143">
        <v>1606</v>
      </c>
      <c r="AJ43" s="78">
        <v>0</v>
      </c>
      <c r="AK43" s="78">
        <v>1</v>
      </c>
      <c r="AL43" s="78">
        <v>1</v>
      </c>
      <c r="AM43" s="78">
        <v>5</v>
      </c>
      <c r="AN43" s="78">
        <v>1</v>
      </c>
      <c r="AO43" s="78">
        <v>2</v>
      </c>
      <c r="AP43" s="78">
        <v>1</v>
      </c>
      <c r="AQ43" s="78">
        <v>1</v>
      </c>
      <c r="AR43" s="78">
        <v>2</v>
      </c>
      <c r="AS43" s="78">
        <v>2</v>
      </c>
      <c r="AT43" s="78">
        <v>2</v>
      </c>
      <c r="AU43" s="78">
        <v>1</v>
      </c>
      <c r="AV43" s="78">
        <v>2</v>
      </c>
      <c r="AW43" s="78">
        <v>1</v>
      </c>
      <c r="AX43" s="78">
        <v>4</v>
      </c>
      <c r="AY43" s="78">
        <v>1</v>
      </c>
      <c r="AZ43" s="78">
        <v>2</v>
      </c>
      <c r="BA43" s="78">
        <v>0.5</v>
      </c>
      <c r="BB43" s="78">
        <v>0.5</v>
      </c>
      <c r="BC43" s="78">
        <v>0.5</v>
      </c>
      <c r="BD43" s="78">
        <v>1</v>
      </c>
      <c r="BE43" s="78">
        <v>0.5</v>
      </c>
      <c r="BF43" s="78">
        <v>1</v>
      </c>
      <c r="BG43" s="78">
        <v>8</v>
      </c>
      <c r="BH43" s="137">
        <v>0.93181820000000004</v>
      </c>
      <c r="BJ43" s="143" t="s">
        <v>765</v>
      </c>
      <c r="BK43" s="143" t="s">
        <v>766</v>
      </c>
      <c r="BL43" s="143" t="s">
        <v>728</v>
      </c>
      <c r="BM43" s="143">
        <v>1606</v>
      </c>
      <c r="BN43" s="78">
        <v>1</v>
      </c>
      <c r="BO43" s="78">
        <v>4</v>
      </c>
      <c r="BP43" s="78">
        <v>7</v>
      </c>
      <c r="BQ43" s="78">
        <v>3</v>
      </c>
      <c r="BR43" s="78">
        <v>0</v>
      </c>
      <c r="BS43" s="78">
        <v>3</v>
      </c>
      <c r="BT43" s="78">
        <v>2</v>
      </c>
      <c r="BU43" s="137">
        <v>0.86956520000000004</v>
      </c>
      <c r="BW43" s="143" t="s">
        <v>765</v>
      </c>
      <c r="BX43" s="143" t="s">
        <v>766</v>
      </c>
      <c r="BY43" s="143" t="s">
        <v>728</v>
      </c>
      <c r="BZ43" s="143">
        <v>1606</v>
      </c>
      <c r="CM43" s="143" t="s">
        <v>765</v>
      </c>
      <c r="CN43" s="143" t="s">
        <v>766</v>
      </c>
      <c r="CO43" s="143" t="s">
        <v>728</v>
      </c>
      <c r="CP43" s="143">
        <v>1606</v>
      </c>
      <c r="CQ43" s="78">
        <v>8</v>
      </c>
      <c r="CR43" s="78">
        <v>0</v>
      </c>
      <c r="CS43" s="78">
        <v>24</v>
      </c>
      <c r="CT43" s="78">
        <v>4</v>
      </c>
      <c r="CU43" s="78">
        <v>2</v>
      </c>
      <c r="CV43" s="78">
        <v>8</v>
      </c>
      <c r="CW43" s="137">
        <v>0.88461540000000005</v>
      </c>
      <c r="CY43" s="143" t="s">
        <v>765</v>
      </c>
      <c r="CZ43" s="143" t="s">
        <v>766</v>
      </c>
      <c r="DA43" s="143" t="s">
        <v>728</v>
      </c>
      <c r="DB43" s="143">
        <v>1606</v>
      </c>
      <c r="DC43" s="78">
        <v>72</v>
      </c>
      <c r="DD43" s="137">
        <v>0.4</v>
      </c>
      <c r="DE43" s="137">
        <v>0.32</v>
      </c>
      <c r="DG43" s="143" t="s">
        <v>765</v>
      </c>
      <c r="DH43" s="143" t="s">
        <v>766</v>
      </c>
      <c r="DI43" s="143" t="s">
        <v>728</v>
      </c>
      <c r="DJ43" s="143">
        <v>1606</v>
      </c>
      <c r="DK43" s="78">
        <v>2</v>
      </c>
      <c r="DL43" s="78">
        <v>1</v>
      </c>
      <c r="DM43" s="78">
        <v>0</v>
      </c>
      <c r="DN43" s="78">
        <v>7</v>
      </c>
      <c r="DO43" s="78">
        <v>2</v>
      </c>
      <c r="DP43" s="78">
        <v>3</v>
      </c>
      <c r="DQ43" s="78">
        <v>7</v>
      </c>
      <c r="DR43" s="78">
        <v>1</v>
      </c>
      <c r="DS43" s="78">
        <v>1</v>
      </c>
      <c r="DT43" s="78">
        <v>2</v>
      </c>
      <c r="DU43" s="78">
        <v>0</v>
      </c>
      <c r="DV43" s="137">
        <v>0.89655169999999995</v>
      </c>
      <c r="DX43" s="143" t="s">
        <v>765</v>
      </c>
      <c r="DY43" s="143" t="s">
        <v>766</v>
      </c>
      <c r="DZ43" s="143" t="s">
        <v>728</v>
      </c>
      <c r="EA43" s="143">
        <v>1606</v>
      </c>
      <c r="EB43" s="78">
        <v>0</v>
      </c>
      <c r="EC43" s="78">
        <v>8</v>
      </c>
      <c r="ED43" s="78">
        <v>1</v>
      </c>
      <c r="EE43" s="78">
        <v>4</v>
      </c>
      <c r="EF43" s="78">
        <v>1</v>
      </c>
      <c r="EG43" s="78">
        <v>1</v>
      </c>
      <c r="EH43" s="78">
        <v>2</v>
      </c>
      <c r="EI43" s="78">
        <v>1</v>
      </c>
      <c r="EJ43" s="78">
        <v>1</v>
      </c>
      <c r="EK43" s="78">
        <v>1</v>
      </c>
      <c r="EL43" s="78">
        <v>4</v>
      </c>
      <c r="EM43" s="78">
        <v>1</v>
      </c>
      <c r="EN43" s="78">
        <v>1</v>
      </c>
      <c r="EO43" s="137">
        <v>0.96296300000000001</v>
      </c>
      <c r="EQ43" s="143" t="s">
        <v>765</v>
      </c>
      <c r="ER43" s="143" t="s">
        <v>766</v>
      </c>
      <c r="ES43" s="143" t="s">
        <v>728</v>
      </c>
      <c r="ET43" s="143">
        <v>1606</v>
      </c>
      <c r="EU43" s="78">
        <v>0</v>
      </c>
      <c r="EV43" s="78">
        <v>1</v>
      </c>
      <c r="EW43" s="78">
        <v>0</v>
      </c>
      <c r="EX43" s="78">
        <v>2</v>
      </c>
      <c r="EY43" s="78">
        <v>0.5</v>
      </c>
      <c r="EZ43" s="78">
        <v>3</v>
      </c>
      <c r="FA43" s="78">
        <v>2</v>
      </c>
      <c r="FB43" s="78">
        <v>1</v>
      </c>
      <c r="FC43" s="137">
        <v>0.73076920000000001</v>
      </c>
      <c r="FE43" s="137">
        <v>0.72331290000000004</v>
      </c>
    </row>
    <row r="44" spans="1:161" hidden="1" x14ac:dyDescent="0.25">
      <c r="A44" s="143" t="s">
        <v>765</v>
      </c>
      <c r="B44" s="143" t="s">
        <v>766</v>
      </c>
      <c r="C44" s="143" t="s">
        <v>727</v>
      </c>
      <c r="D44" s="143">
        <v>2044</v>
      </c>
      <c r="E44" s="78">
        <v>0.5</v>
      </c>
      <c r="F44" s="78">
        <v>1</v>
      </c>
      <c r="G44" s="78">
        <v>1</v>
      </c>
      <c r="H44" s="78">
        <v>1</v>
      </c>
      <c r="I44" s="78">
        <v>1</v>
      </c>
      <c r="J44" s="78">
        <v>0</v>
      </c>
      <c r="K44" s="78">
        <v>1</v>
      </c>
      <c r="L44" s="78">
        <v>0</v>
      </c>
      <c r="M44" s="78">
        <v>2</v>
      </c>
      <c r="N44" s="137">
        <v>0.53571429999999998</v>
      </c>
      <c r="P44" s="143" t="s">
        <v>765</v>
      </c>
      <c r="Q44" s="143" t="s">
        <v>766</v>
      </c>
      <c r="R44" s="143" t="s">
        <v>727</v>
      </c>
      <c r="S44" s="143">
        <v>2044</v>
      </c>
      <c r="T44" s="78">
        <v>0</v>
      </c>
      <c r="U44" s="78">
        <v>0</v>
      </c>
      <c r="V44" s="78">
        <v>3</v>
      </c>
      <c r="W44" s="78">
        <v>2</v>
      </c>
      <c r="X44" s="78">
        <v>0</v>
      </c>
      <c r="Y44" s="78">
        <v>1</v>
      </c>
      <c r="Z44" s="78">
        <v>3</v>
      </c>
      <c r="AA44" s="78">
        <v>2</v>
      </c>
      <c r="AB44" s="78">
        <v>6</v>
      </c>
      <c r="AC44" s="78">
        <v>3</v>
      </c>
      <c r="AD44" s="137">
        <v>0.58823530000000002</v>
      </c>
      <c r="AF44" s="143" t="s">
        <v>765</v>
      </c>
      <c r="AG44" s="143" t="s">
        <v>766</v>
      </c>
      <c r="AH44" s="143" t="s">
        <v>727</v>
      </c>
      <c r="AI44" s="143">
        <v>2044</v>
      </c>
      <c r="AJ44" s="78">
        <v>1</v>
      </c>
      <c r="AK44" s="78">
        <v>1</v>
      </c>
      <c r="AL44" s="78">
        <v>0</v>
      </c>
      <c r="AM44" s="78">
        <v>6</v>
      </c>
      <c r="AN44" s="78">
        <v>1</v>
      </c>
      <c r="AO44" s="78">
        <v>0</v>
      </c>
      <c r="AP44" s="78">
        <v>1</v>
      </c>
      <c r="AQ44" s="78">
        <v>0</v>
      </c>
      <c r="AR44" s="78">
        <v>2</v>
      </c>
      <c r="AS44" s="78">
        <v>2</v>
      </c>
      <c r="AT44" s="78">
        <v>0</v>
      </c>
      <c r="AU44" s="78">
        <v>0</v>
      </c>
      <c r="AV44" s="78">
        <v>0</v>
      </c>
      <c r="AW44" s="78">
        <v>0</v>
      </c>
      <c r="AX44" s="78">
        <v>0</v>
      </c>
      <c r="AY44" s="78">
        <v>1</v>
      </c>
      <c r="AZ44" s="78">
        <v>0</v>
      </c>
      <c r="BA44" s="78">
        <v>0.5</v>
      </c>
      <c r="BB44" s="78">
        <v>0</v>
      </c>
      <c r="BC44" s="78">
        <v>0.5</v>
      </c>
      <c r="BD44" s="78">
        <v>1</v>
      </c>
      <c r="BE44" s="78">
        <v>0.5</v>
      </c>
      <c r="BF44" s="78">
        <v>0</v>
      </c>
      <c r="BG44" s="78">
        <v>8</v>
      </c>
      <c r="BH44" s="137">
        <v>0.57954539999999999</v>
      </c>
      <c r="BJ44" s="143" t="s">
        <v>765</v>
      </c>
      <c r="BK44" s="143" t="s">
        <v>766</v>
      </c>
      <c r="BL44" s="143" t="s">
        <v>727</v>
      </c>
      <c r="BM44" s="143">
        <v>2044</v>
      </c>
      <c r="BN44" s="78">
        <v>0</v>
      </c>
      <c r="BO44" s="78">
        <v>4</v>
      </c>
      <c r="BP44" s="78">
        <v>0</v>
      </c>
      <c r="BQ44" s="78">
        <v>0</v>
      </c>
      <c r="BR44" s="78">
        <v>0</v>
      </c>
      <c r="BS44" s="78">
        <v>0</v>
      </c>
      <c r="BT44" s="78">
        <v>2</v>
      </c>
      <c r="BU44" s="137">
        <v>0.26086959999999998</v>
      </c>
      <c r="BW44" s="143" t="s">
        <v>765</v>
      </c>
      <c r="BX44" s="143" t="s">
        <v>766</v>
      </c>
      <c r="BY44" s="143" t="s">
        <v>727</v>
      </c>
      <c r="BZ44" s="143">
        <v>2044</v>
      </c>
      <c r="CA44" s="78">
        <v>1</v>
      </c>
      <c r="CB44" s="78">
        <v>1</v>
      </c>
      <c r="CC44" s="78">
        <v>1</v>
      </c>
      <c r="CD44" s="78">
        <v>2</v>
      </c>
      <c r="CE44" s="78">
        <v>1</v>
      </c>
      <c r="CF44" s="78">
        <v>2</v>
      </c>
      <c r="CG44" s="78">
        <v>1</v>
      </c>
      <c r="CH44" s="78">
        <v>2</v>
      </c>
      <c r="CI44" s="78">
        <v>0</v>
      </c>
      <c r="CJ44" s="78">
        <v>0</v>
      </c>
      <c r="CK44" s="137">
        <v>0.73333329999999997</v>
      </c>
      <c r="CM44" s="143" t="s">
        <v>765</v>
      </c>
      <c r="CN44" s="143" t="s">
        <v>766</v>
      </c>
      <c r="CO44" s="143" t="s">
        <v>727</v>
      </c>
      <c r="CP44" s="143">
        <v>2044</v>
      </c>
      <c r="CQ44" s="78">
        <v>8</v>
      </c>
      <c r="CR44" s="78">
        <v>6</v>
      </c>
      <c r="CS44" s="78">
        <v>24</v>
      </c>
      <c r="CT44" s="78">
        <v>4</v>
      </c>
      <c r="CU44" s="78">
        <v>0</v>
      </c>
      <c r="CV44" s="78">
        <v>8</v>
      </c>
      <c r="CW44" s="137">
        <v>0.96153840000000002</v>
      </c>
      <c r="CY44" s="143" t="s">
        <v>765</v>
      </c>
      <c r="CZ44" s="143" t="s">
        <v>766</v>
      </c>
      <c r="DA44" s="143" t="s">
        <v>727</v>
      </c>
      <c r="DB44" s="143">
        <v>2044</v>
      </c>
      <c r="DC44" s="78">
        <v>90</v>
      </c>
      <c r="DD44" s="137">
        <v>0</v>
      </c>
      <c r="DE44" s="137">
        <v>0</v>
      </c>
      <c r="DG44" s="143" t="s">
        <v>765</v>
      </c>
      <c r="DH44" s="143" t="s">
        <v>766</v>
      </c>
      <c r="DI44" s="143" t="s">
        <v>727</v>
      </c>
      <c r="DJ44" s="143">
        <v>2044</v>
      </c>
      <c r="DK44" s="78">
        <v>0</v>
      </c>
      <c r="DL44" s="78">
        <v>1</v>
      </c>
      <c r="DM44" s="78">
        <v>1</v>
      </c>
      <c r="DN44" s="78">
        <v>5</v>
      </c>
      <c r="DO44" s="78">
        <v>2</v>
      </c>
      <c r="DP44" s="78">
        <v>2</v>
      </c>
      <c r="DQ44" s="78">
        <v>4</v>
      </c>
      <c r="DR44" s="78">
        <v>1</v>
      </c>
      <c r="DS44" s="78">
        <v>1</v>
      </c>
      <c r="DT44" s="78">
        <v>0</v>
      </c>
      <c r="DU44" s="78">
        <v>0</v>
      </c>
      <c r="DV44" s="137">
        <v>0.58620689999999998</v>
      </c>
      <c r="DX44" s="143" t="s">
        <v>765</v>
      </c>
      <c r="DY44" s="143" t="s">
        <v>766</v>
      </c>
      <c r="DZ44" s="143" t="s">
        <v>727</v>
      </c>
      <c r="EA44" s="143">
        <v>2044</v>
      </c>
      <c r="EB44" s="78">
        <v>1</v>
      </c>
      <c r="EC44" s="78">
        <v>8</v>
      </c>
      <c r="ED44" s="78">
        <v>1</v>
      </c>
      <c r="EE44" s="78">
        <v>4</v>
      </c>
      <c r="EF44" s="78">
        <v>1</v>
      </c>
      <c r="EG44" s="78">
        <v>1</v>
      </c>
      <c r="EH44" s="78">
        <v>0</v>
      </c>
      <c r="EI44" s="78">
        <v>1</v>
      </c>
      <c r="EJ44" s="78">
        <v>1</v>
      </c>
      <c r="EK44" s="78">
        <v>1</v>
      </c>
      <c r="EL44" s="78">
        <v>4</v>
      </c>
      <c r="EM44" s="78">
        <v>1</v>
      </c>
      <c r="EN44" s="78">
        <v>0</v>
      </c>
      <c r="EO44" s="137">
        <v>0.88888889999999998</v>
      </c>
      <c r="EQ44" s="143" t="s">
        <v>765</v>
      </c>
      <c r="ER44" s="143" t="s">
        <v>766</v>
      </c>
      <c r="ES44" s="143" t="s">
        <v>727</v>
      </c>
      <c r="ET44" s="143">
        <v>2044</v>
      </c>
      <c r="EU44" s="78">
        <v>0.5</v>
      </c>
      <c r="EV44" s="78">
        <v>1</v>
      </c>
      <c r="EW44" s="78">
        <v>3</v>
      </c>
      <c r="EX44" s="78">
        <v>2</v>
      </c>
      <c r="EY44" s="78">
        <v>0.5</v>
      </c>
      <c r="EZ44" s="78">
        <v>3</v>
      </c>
      <c r="FA44" s="78">
        <v>2</v>
      </c>
      <c r="FB44" s="78">
        <v>1</v>
      </c>
      <c r="FC44" s="137">
        <v>1</v>
      </c>
      <c r="FE44" s="137">
        <v>0.51026389999999999</v>
      </c>
    </row>
    <row r="45" spans="1:161" hidden="1" x14ac:dyDescent="0.25">
      <c r="A45" s="143" t="s">
        <v>765</v>
      </c>
      <c r="B45" s="143" t="s">
        <v>766</v>
      </c>
      <c r="C45" s="143" t="s">
        <v>727</v>
      </c>
      <c r="D45" s="143">
        <v>2453</v>
      </c>
      <c r="E45" s="78">
        <v>0</v>
      </c>
      <c r="F45" s="78">
        <v>2</v>
      </c>
      <c r="G45" s="78">
        <v>1</v>
      </c>
      <c r="H45" s="78">
        <v>4</v>
      </c>
      <c r="I45" s="78">
        <v>1</v>
      </c>
      <c r="J45" s="78">
        <v>0</v>
      </c>
      <c r="K45" s="78">
        <v>1</v>
      </c>
      <c r="L45" s="78">
        <v>1</v>
      </c>
      <c r="M45" s="78">
        <v>2</v>
      </c>
      <c r="N45" s="137">
        <v>0.85714290000000004</v>
      </c>
      <c r="P45" s="143" t="s">
        <v>765</v>
      </c>
      <c r="Q45" s="143" t="s">
        <v>766</v>
      </c>
      <c r="R45" s="143" t="s">
        <v>727</v>
      </c>
      <c r="S45" s="143">
        <v>2453</v>
      </c>
      <c r="T45" s="78">
        <v>0</v>
      </c>
      <c r="U45" s="78">
        <v>1</v>
      </c>
      <c r="V45" s="78">
        <v>3</v>
      </c>
      <c r="W45" s="78">
        <v>2</v>
      </c>
      <c r="X45" s="78">
        <v>12</v>
      </c>
      <c r="Y45" s="78">
        <v>1</v>
      </c>
      <c r="Z45" s="78">
        <v>3</v>
      </c>
      <c r="AA45" s="78">
        <v>0</v>
      </c>
      <c r="AB45" s="78">
        <v>6</v>
      </c>
      <c r="AC45" s="78">
        <v>3</v>
      </c>
      <c r="AD45" s="137">
        <v>0.91176469999999998</v>
      </c>
      <c r="AF45" s="143" t="s">
        <v>765</v>
      </c>
      <c r="AG45" s="143" t="s">
        <v>766</v>
      </c>
      <c r="AH45" s="143" t="s">
        <v>727</v>
      </c>
      <c r="AI45" s="143">
        <v>2453</v>
      </c>
      <c r="AJ45" s="78">
        <v>1</v>
      </c>
      <c r="AK45" s="78">
        <v>1</v>
      </c>
      <c r="AL45" s="78">
        <v>1</v>
      </c>
      <c r="AM45" s="78">
        <v>6</v>
      </c>
      <c r="AN45" s="78">
        <v>1</v>
      </c>
      <c r="AO45" s="78">
        <v>2</v>
      </c>
      <c r="AP45" s="78">
        <v>1</v>
      </c>
      <c r="AQ45" s="78">
        <v>1</v>
      </c>
      <c r="AR45" s="78">
        <v>2</v>
      </c>
      <c r="AS45" s="78">
        <v>2</v>
      </c>
      <c r="AT45" s="78">
        <v>2</v>
      </c>
      <c r="AU45" s="78">
        <v>0</v>
      </c>
      <c r="AV45" s="78">
        <v>2</v>
      </c>
      <c r="AW45" s="78">
        <v>1</v>
      </c>
      <c r="AX45" s="78">
        <v>4</v>
      </c>
      <c r="AY45" s="78">
        <v>1</v>
      </c>
      <c r="AZ45" s="78">
        <v>2</v>
      </c>
      <c r="BA45" s="78">
        <v>0.5</v>
      </c>
      <c r="BB45" s="78">
        <v>0.5</v>
      </c>
      <c r="BC45" s="78">
        <v>0.5</v>
      </c>
      <c r="BD45" s="78">
        <v>1</v>
      </c>
      <c r="BE45" s="78">
        <v>0</v>
      </c>
      <c r="BF45" s="78">
        <v>1</v>
      </c>
      <c r="BG45" s="78">
        <v>4</v>
      </c>
      <c r="BH45" s="137">
        <v>0.85227269999999999</v>
      </c>
      <c r="BJ45" s="143" t="s">
        <v>765</v>
      </c>
      <c r="BK45" s="143" t="s">
        <v>766</v>
      </c>
      <c r="BL45" s="143" t="s">
        <v>727</v>
      </c>
      <c r="BM45" s="143">
        <v>2453</v>
      </c>
      <c r="BN45" s="78">
        <v>1</v>
      </c>
      <c r="BO45" s="78">
        <v>4</v>
      </c>
      <c r="BP45" s="78">
        <v>7</v>
      </c>
      <c r="BQ45" s="78">
        <v>3</v>
      </c>
      <c r="BR45" s="78">
        <v>3</v>
      </c>
      <c r="BS45" s="78">
        <v>3</v>
      </c>
      <c r="BT45" s="78">
        <v>2</v>
      </c>
      <c r="BU45" s="137">
        <v>1</v>
      </c>
      <c r="BW45" s="143" t="s">
        <v>765</v>
      </c>
      <c r="BX45" s="143" t="s">
        <v>766</v>
      </c>
      <c r="BY45" s="143" t="s">
        <v>727</v>
      </c>
      <c r="BZ45" s="143">
        <v>2453</v>
      </c>
      <c r="CA45" s="78">
        <v>1</v>
      </c>
      <c r="CB45" s="78">
        <v>1</v>
      </c>
      <c r="CC45" s="78">
        <v>1</v>
      </c>
      <c r="CD45" s="78">
        <v>2</v>
      </c>
      <c r="CE45" s="78">
        <v>1</v>
      </c>
      <c r="CF45" s="78">
        <v>2</v>
      </c>
      <c r="CG45" s="78">
        <v>1</v>
      </c>
      <c r="CH45" s="78">
        <v>2</v>
      </c>
      <c r="CI45" s="78">
        <v>1</v>
      </c>
      <c r="CJ45" s="78">
        <v>3</v>
      </c>
      <c r="CK45" s="137">
        <v>1</v>
      </c>
      <c r="CM45" s="143" t="s">
        <v>765</v>
      </c>
      <c r="CN45" s="143" t="s">
        <v>766</v>
      </c>
      <c r="CO45" s="143" t="s">
        <v>727</v>
      </c>
      <c r="CP45" s="143">
        <v>2453</v>
      </c>
      <c r="CQ45" s="78">
        <v>0</v>
      </c>
      <c r="CR45" s="78">
        <v>0</v>
      </c>
      <c r="CS45" s="78">
        <v>24</v>
      </c>
      <c r="CT45" s="78">
        <v>4</v>
      </c>
      <c r="CU45" s="78">
        <v>2</v>
      </c>
      <c r="CV45" s="78">
        <v>8</v>
      </c>
      <c r="CW45" s="137">
        <v>0.73076920000000001</v>
      </c>
      <c r="CY45" s="143" t="s">
        <v>765</v>
      </c>
      <c r="CZ45" s="143" t="s">
        <v>766</v>
      </c>
      <c r="DA45" s="143" t="s">
        <v>727</v>
      </c>
      <c r="DB45" s="143">
        <v>2453</v>
      </c>
      <c r="DC45" s="78">
        <v>46</v>
      </c>
      <c r="DD45" s="137">
        <v>0.2</v>
      </c>
      <c r="DE45" s="137">
        <v>0.1022222</v>
      </c>
      <c r="DG45" s="143" t="s">
        <v>765</v>
      </c>
      <c r="DH45" s="143" t="s">
        <v>766</v>
      </c>
      <c r="DI45" s="143" t="s">
        <v>727</v>
      </c>
      <c r="DJ45" s="143">
        <v>2453</v>
      </c>
      <c r="DK45" s="78">
        <v>2</v>
      </c>
      <c r="DL45" s="78">
        <v>1</v>
      </c>
      <c r="DM45" s="78">
        <v>0</v>
      </c>
      <c r="DN45" s="78">
        <v>7</v>
      </c>
      <c r="DO45" s="78">
        <v>2</v>
      </c>
      <c r="DP45" s="78">
        <v>3</v>
      </c>
      <c r="DQ45" s="78">
        <v>8</v>
      </c>
      <c r="DR45" s="78">
        <v>1</v>
      </c>
      <c r="DS45" s="78">
        <v>0</v>
      </c>
      <c r="DT45" s="78">
        <v>2</v>
      </c>
      <c r="DU45" s="78">
        <v>1</v>
      </c>
      <c r="DV45" s="137">
        <v>0.93103449999999999</v>
      </c>
      <c r="DX45" s="143" t="s">
        <v>765</v>
      </c>
      <c r="DY45" s="143" t="s">
        <v>766</v>
      </c>
      <c r="DZ45" s="143" t="s">
        <v>727</v>
      </c>
      <c r="EA45" s="143">
        <v>2453</v>
      </c>
      <c r="EB45" s="78">
        <v>0</v>
      </c>
      <c r="EC45" s="78">
        <v>8</v>
      </c>
      <c r="ED45" s="78">
        <v>1</v>
      </c>
      <c r="EE45" s="78">
        <v>0</v>
      </c>
      <c r="EF45" s="78">
        <v>1</v>
      </c>
      <c r="EG45" s="78">
        <v>1</v>
      </c>
      <c r="EH45" s="78">
        <v>2</v>
      </c>
      <c r="EI45" s="78">
        <v>1</v>
      </c>
      <c r="EJ45" s="78">
        <v>1</v>
      </c>
      <c r="EK45" s="78">
        <v>1</v>
      </c>
      <c r="EL45" s="78">
        <v>0</v>
      </c>
      <c r="EM45" s="78">
        <v>1</v>
      </c>
      <c r="EN45" s="78">
        <v>1</v>
      </c>
      <c r="EO45" s="137">
        <v>0.66666669999999995</v>
      </c>
      <c r="EQ45" s="143" t="s">
        <v>765</v>
      </c>
      <c r="ER45" s="143" t="s">
        <v>766</v>
      </c>
      <c r="ES45" s="143" t="s">
        <v>727</v>
      </c>
      <c r="ET45" s="143">
        <v>2453</v>
      </c>
      <c r="EU45" s="78">
        <v>0</v>
      </c>
      <c r="EV45" s="78">
        <v>0</v>
      </c>
      <c r="EW45" s="78">
        <v>3</v>
      </c>
      <c r="EX45" s="78">
        <v>2</v>
      </c>
      <c r="EY45" s="78">
        <v>0.5</v>
      </c>
      <c r="EZ45" s="78">
        <v>3</v>
      </c>
      <c r="FA45" s="78">
        <v>2</v>
      </c>
      <c r="FB45" s="78">
        <v>1</v>
      </c>
      <c r="FC45" s="137">
        <v>0.88461540000000005</v>
      </c>
      <c r="FE45" s="137">
        <v>0.65161290000000005</v>
      </c>
    </row>
    <row r="46" spans="1:161" x14ac:dyDescent="0.25">
      <c r="A46" s="143" t="s">
        <v>765</v>
      </c>
      <c r="B46" s="143" t="s">
        <v>766</v>
      </c>
      <c r="C46" s="143" t="s">
        <v>728</v>
      </c>
      <c r="D46" s="143">
        <v>2632</v>
      </c>
      <c r="E46" s="78">
        <v>0.5</v>
      </c>
      <c r="F46" s="78">
        <v>2.5</v>
      </c>
      <c r="G46" s="78">
        <v>1</v>
      </c>
      <c r="H46" s="78">
        <v>4</v>
      </c>
      <c r="I46" s="78">
        <v>1</v>
      </c>
      <c r="J46" s="78">
        <v>0</v>
      </c>
      <c r="K46" s="78">
        <v>1</v>
      </c>
      <c r="L46" s="78">
        <v>0</v>
      </c>
      <c r="M46" s="78">
        <v>2</v>
      </c>
      <c r="N46" s="137">
        <v>0.85714290000000004</v>
      </c>
      <c r="P46" s="143" t="s">
        <v>765</v>
      </c>
      <c r="Q46" s="143" t="s">
        <v>766</v>
      </c>
      <c r="R46" s="143" t="s">
        <v>728</v>
      </c>
      <c r="S46" s="143">
        <v>2632</v>
      </c>
      <c r="T46" s="78">
        <v>1</v>
      </c>
      <c r="U46" s="78">
        <v>0</v>
      </c>
      <c r="V46" s="78">
        <v>0</v>
      </c>
      <c r="W46" s="78">
        <v>0</v>
      </c>
      <c r="X46" s="78">
        <v>0</v>
      </c>
      <c r="Y46" s="78">
        <v>1</v>
      </c>
      <c r="Z46" s="78">
        <v>3</v>
      </c>
      <c r="AA46" s="78">
        <v>0</v>
      </c>
      <c r="AB46" s="78">
        <v>0</v>
      </c>
      <c r="AC46" s="78">
        <v>3</v>
      </c>
      <c r="AD46" s="137">
        <v>0.23529410000000001</v>
      </c>
      <c r="AF46" s="143" t="s">
        <v>765</v>
      </c>
      <c r="AG46" s="143" t="s">
        <v>766</v>
      </c>
      <c r="AH46" s="143" t="s">
        <v>728</v>
      </c>
      <c r="AI46" s="143">
        <v>2632</v>
      </c>
      <c r="AJ46" s="78">
        <v>1</v>
      </c>
      <c r="AK46" s="78">
        <v>1</v>
      </c>
      <c r="AL46" s="78">
        <v>1</v>
      </c>
      <c r="AM46" s="78">
        <v>5</v>
      </c>
      <c r="AN46" s="78">
        <v>1</v>
      </c>
      <c r="AO46" s="78">
        <v>2</v>
      </c>
      <c r="AP46" s="78">
        <v>1</v>
      </c>
      <c r="AQ46" s="78">
        <v>1</v>
      </c>
      <c r="AR46" s="78">
        <v>0</v>
      </c>
      <c r="AS46" s="78">
        <v>2</v>
      </c>
      <c r="AT46" s="78">
        <v>2</v>
      </c>
      <c r="AU46" s="78">
        <v>1</v>
      </c>
      <c r="AV46" s="78">
        <v>2</v>
      </c>
      <c r="AW46" s="78">
        <v>1</v>
      </c>
      <c r="AX46" s="78">
        <v>4</v>
      </c>
      <c r="AY46" s="78">
        <v>1</v>
      </c>
      <c r="AZ46" s="78">
        <v>2</v>
      </c>
      <c r="BA46" s="78">
        <v>0.5</v>
      </c>
      <c r="BB46" s="78">
        <v>0.5</v>
      </c>
      <c r="BC46" s="78">
        <v>0.5</v>
      </c>
      <c r="BD46" s="78">
        <v>1</v>
      </c>
      <c r="BE46" s="78">
        <v>0.5</v>
      </c>
      <c r="BF46" s="78">
        <v>0</v>
      </c>
      <c r="BG46" s="78">
        <v>8</v>
      </c>
      <c r="BH46" s="137">
        <v>0.88636360000000003</v>
      </c>
      <c r="BJ46" s="143" t="s">
        <v>765</v>
      </c>
      <c r="BK46" s="143" t="s">
        <v>766</v>
      </c>
      <c r="BL46" s="143" t="s">
        <v>728</v>
      </c>
      <c r="BM46" s="143">
        <v>2632</v>
      </c>
      <c r="BN46" s="78">
        <v>0</v>
      </c>
      <c r="BO46" s="78">
        <v>4</v>
      </c>
      <c r="BP46" s="78">
        <v>7</v>
      </c>
      <c r="BQ46" s="78">
        <v>3</v>
      </c>
      <c r="BR46" s="78">
        <v>0</v>
      </c>
      <c r="BS46" s="78">
        <v>0</v>
      </c>
      <c r="BT46" s="78">
        <v>2</v>
      </c>
      <c r="BU46" s="137">
        <v>0.69565220000000005</v>
      </c>
      <c r="BW46" s="143" t="s">
        <v>765</v>
      </c>
      <c r="BX46" s="143" t="s">
        <v>766</v>
      </c>
      <c r="BY46" s="143" t="s">
        <v>728</v>
      </c>
      <c r="BZ46" s="143">
        <v>2632</v>
      </c>
      <c r="CM46" s="143" t="s">
        <v>765</v>
      </c>
      <c r="CN46" s="143" t="s">
        <v>766</v>
      </c>
      <c r="CO46" s="143" t="s">
        <v>728</v>
      </c>
      <c r="CP46" s="143">
        <v>2632</v>
      </c>
      <c r="CQ46" s="78">
        <v>8</v>
      </c>
      <c r="CR46" s="78">
        <v>0</v>
      </c>
      <c r="CS46" s="78">
        <v>24</v>
      </c>
      <c r="CT46" s="78">
        <v>4</v>
      </c>
      <c r="CU46" s="78">
        <v>2</v>
      </c>
      <c r="CV46" s="78">
        <v>8</v>
      </c>
      <c r="CW46" s="137">
        <v>0.88461540000000005</v>
      </c>
      <c r="CY46" s="143" t="s">
        <v>765</v>
      </c>
      <c r="CZ46" s="143" t="s">
        <v>766</v>
      </c>
      <c r="DA46" s="143" t="s">
        <v>728</v>
      </c>
      <c r="DB46" s="143">
        <v>2632</v>
      </c>
      <c r="DC46" s="78">
        <v>0</v>
      </c>
      <c r="DD46" s="137">
        <v>0</v>
      </c>
      <c r="DE46" s="137">
        <v>0</v>
      </c>
      <c r="DG46" s="143" t="s">
        <v>765</v>
      </c>
      <c r="DH46" s="143" t="s">
        <v>766</v>
      </c>
      <c r="DI46" s="143" t="s">
        <v>728</v>
      </c>
      <c r="DJ46" s="143">
        <v>2632</v>
      </c>
      <c r="DK46" s="78">
        <v>2</v>
      </c>
      <c r="DL46" s="78">
        <v>1</v>
      </c>
      <c r="DM46" s="78">
        <v>0</v>
      </c>
      <c r="DN46" s="78">
        <v>5</v>
      </c>
      <c r="DO46" s="78">
        <v>2</v>
      </c>
      <c r="DP46" s="78">
        <v>3</v>
      </c>
      <c r="DQ46" s="78">
        <v>8</v>
      </c>
      <c r="DR46" s="78">
        <v>1</v>
      </c>
      <c r="DS46" s="78">
        <v>1</v>
      </c>
      <c r="DT46" s="78">
        <v>2</v>
      </c>
      <c r="DU46" s="78">
        <v>0</v>
      </c>
      <c r="DV46" s="137">
        <v>0.86206899999999997</v>
      </c>
      <c r="DX46" s="143" t="s">
        <v>765</v>
      </c>
      <c r="DY46" s="143" t="s">
        <v>766</v>
      </c>
      <c r="DZ46" s="143" t="s">
        <v>728</v>
      </c>
      <c r="EA46" s="143">
        <v>2632</v>
      </c>
      <c r="EB46" s="78">
        <v>1</v>
      </c>
      <c r="EC46" s="78">
        <v>0</v>
      </c>
      <c r="ED46" s="78">
        <v>1</v>
      </c>
      <c r="EE46" s="78">
        <v>4</v>
      </c>
      <c r="EF46" s="78">
        <v>1</v>
      </c>
      <c r="EG46" s="78">
        <v>1</v>
      </c>
      <c r="EH46" s="78">
        <v>2</v>
      </c>
      <c r="EI46" s="78">
        <v>1</v>
      </c>
      <c r="EJ46" s="78">
        <v>1</v>
      </c>
      <c r="EK46" s="78">
        <v>1</v>
      </c>
      <c r="EL46" s="78">
        <v>4</v>
      </c>
      <c r="EM46" s="78">
        <v>1</v>
      </c>
      <c r="EN46" s="78">
        <v>0</v>
      </c>
      <c r="EO46" s="137">
        <v>0.66666669999999995</v>
      </c>
      <c r="EQ46" s="143" t="s">
        <v>765</v>
      </c>
      <c r="ER46" s="143" t="s">
        <v>766</v>
      </c>
      <c r="ES46" s="143" t="s">
        <v>728</v>
      </c>
      <c r="ET46" s="143">
        <v>2632</v>
      </c>
      <c r="EU46" s="78">
        <v>0</v>
      </c>
      <c r="EV46" s="78">
        <v>1</v>
      </c>
      <c r="EW46" s="78">
        <v>3</v>
      </c>
      <c r="EX46" s="78">
        <v>2</v>
      </c>
      <c r="EY46" s="78">
        <v>0.5</v>
      </c>
      <c r="EZ46" s="78">
        <v>3</v>
      </c>
      <c r="FA46" s="78">
        <v>2</v>
      </c>
      <c r="FB46" s="78">
        <v>1</v>
      </c>
      <c r="FC46" s="137">
        <v>0.96153840000000002</v>
      </c>
      <c r="FE46" s="137">
        <v>0.54141099999999998</v>
      </c>
    </row>
    <row r="47" spans="1:161" hidden="1" x14ac:dyDescent="0.25">
      <c r="A47" s="143" t="s">
        <v>767</v>
      </c>
      <c r="B47" s="143" t="s">
        <v>768</v>
      </c>
      <c r="C47" s="143" t="s">
        <v>727</v>
      </c>
      <c r="D47" s="143">
        <v>794</v>
      </c>
      <c r="E47" s="78">
        <v>0</v>
      </c>
      <c r="F47" s="78">
        <v>2.5</v>
      </c>
      <c r="G47" s="78">
        <v>0</v>
      </c>
      <c r="H47" s="78">
        <v>1</v>
      </c>
      <c r="I47" s="78">
        <v>1</v>
      </c>
      <c r="J47" s="78">
        <v>0</v>
      </c>
      <c r="K47" s="78">
        <v>0</v>
      </c>
      <c r="L47" s="78">
        <v>0</v>
      </c>
      <c r="M47" s="78">
        <v>2</v>
      </c>
      <c r="N47" s="137">
        <v>0.46428570000000002</v>
      </c>
      <c r="P47" s="143" t="s">
        <v>767</v>
      </c>
      <c r="Q47" s="143" t="s">
        <v>768</v>
      </c>
      <c r="R47" s="143" t="s">
        <v>727</v>
      </c>
      <c r="S47" s="143">
        <v>794</v>
      </c>
      <c r="T47" s="78">
        <v>0</v>
      </c>
      <c r="U47" s="78">
        <v>1</v>
      </c>
      <c r="V47" s="78">
        <v>1</v>
      </c>
      <c r="W47" s="78">
        <v>0</v>
      </c>
      <c r="X47" s="78">
        <v>12</v>
      </c>
      <c r="Y47" s="78">
        <v>1</v>
      </c>
      <c r="Z47" s="78">
        <v>3</v>
      </c>
      <c r="AA47" s="78">
        <v>0</v>
      </c>
      <c r="AB47" s="78">
        <v>6</v>
      </c>
      <c r="AC47" s="78">
        <v>0</v>
      </c>
      <c r="AD47" s="137">
        <v>0.70588240000000002</v>
      </c>
      <c r="AF47" s="143" t="s">
        <v>767</v>
      </c>
      <c r="AG47" s="143" t="s">
        <v>768</v>
      </c>
      <c r="AH47" s="143" t="s">
        <v>727</v>
      </c>
      <c r="AI47" s="143">
        <v>794</v>
      </c>
      <c r="AJ47" s="78">
        <v>1</v>
      </c>
      <c r="AK47" s="78">
        <v>0</v>
      </c>
      <c r="AL47" s="78">
        <v>1</v>
      </c>
      <c r="AM47" s="78">
        <v>0</v>
      </c>
      <c r="AN47" s="78">
        <v>1</v>
      </c>
      <c r="AO47" s="78">
        <v>2</v>
      </c>
      <c r="AP47" s="78">
        <v>1</v>
      </c>
      <c r="AQ47" s="78">
        <v>1</v>
      </c>
      <c r="AR47" s="78">
        <v>2</v>
      </c>
      <c r="AS47" s="78">
        <v>0</v>
      </c>
      <c r="AT47" s="78">
        <v>2</v>
      </c>
      <c r="AU47" s="78">
        <v>0</v>
      </c>
      <c r="AV47" s="78">
        <v>2</v>
      </c>
      <c r="AW47" s="78">
        <v>0</v>
      </c>
      <c r="AX47" s="78">
        <v>0</v>
      </c>
      <c r="AY47" s="78">
        <v>1</v>
      </c>
      <c r="AZ47" s="78">
        <v>2</v>
      </c>
      <c r="BA47" s="78">
        <v>0.5</v>
      </c>
      <c r="BB47" s="78">
        <v>0.5</v>
      </c>
      <c r="BC47" s="78">
        <v>0.5</v>
      </c>
      <c r="BD47" s="78">
        <v>0</v>
      </c>
      <c r="BE47" s="78">
        <v>0.5</v>
      </c>
      <c r="BF47" s="78">
        <v>0</v>
      </c>
      <c r="BG47" s="78">
        <v>8</v>
      </c>
      <c r="BH47" s="137">
        <v>0.59090909999999996</v>
      </c>
      <c r="BJ47" s="143" t="s">
        <v>767</v>
      </c>
      <c r="BK47" s="143" t="s">
        <v>768</v>
      </c>
      <c r="BL47" s="143" t="s">
        <v>727</v>
      </c>
      <c r="BM47" s="143">
        <v>794</v>
      </c>
      <c r="BN47" s="78">
        <v>1</v>
      </c>
      <c r="BO47" s="78">
        <v>0</v>
      </c>
      <c r="BP47" s="78">
        <v>7</v>
      </c>
      <c r="BQ47" s="78">
        <v>0</v>
      </c>
      <c r="BR47" s="78">
        <v>3</v>
      </c>
      <c r="BS47" s="78">
        <v>0</v>
      </c>
      <c r="BT47" s="78">
        <v>2</v>
      </c>
      <c r="BU47" s="137">
        <v>0.56521739999999998</v>
      </c>
      <c r="BW47" s="143" t="s">
        <v>767</v>
      </c>
      <c r="BX47" s="143" t="s">
        <v>768</v>
      </c>
      <c r="BY47" s="143" t="s">
        <v>727</v>
      </c>
      <c r="BZ47" s="143">
        <v>794</v>
      </c>
      <c r="CA47" s="78">
        <v>1</v>
      </c>
      <c r="CB47" s="78">
        <v>1</v>
      </c>
      <c r="CC47" s="78">
        <v>1</v>
      </c>
      <c r="CD47" s="78">
        <v>2</v>
      </c>
      <c r="CE47" s="78">
        <v>1</v>
      </c>
      <c r="CF47" s="78">
        <v>2</v>
      </c>
      <c r="CG47" s="78">
        <v>1</v>
      </c>
      <c r="CH47" s="78">
        <v>2</v>
      </c>
      <c r="CI47" s="78">
        <v>1</v>
      </c>
      <c r="CJ47" s="78">
        <v>3</v>
      </c>
      <c r="CK47" s="137">
        <v>1</v>
      </c>
      <c r="CM47" s="143" t="s">
        <v>767</v>
      </c>
      <c r="CN47" s="143" t="s">
        <v>768</v>
      </c>
      <c r="CO47" s="143" t="s">
        <v>727</v>
      </c>
      <c r="CP47" s="143">
        <v>794</v>
      </c>
      <c r="CQ47" s="78">
        <v>8</v>
      </c>
      <c r="CR47" s="78">
        <v>0</v>
      </c>
      <c r="CS47" s="78">
        <v>0</v>
      </c>
      <c r="CT47" s="78">
        <v>4</v>
      </c>
      <c r="CU47" s="78">
        <v>0</v>
      </c>
      <c r="CV47" s="78">
        <v>8</v>
      </c>
      <c r="CW47" s="137">
        <v>0.3846154</v>
      </c>
      <c r="CY47" s="143" t="s">
        <v>767</v>
      </c>
      <c r="CZ47" s="143" t="s">
        <v>768</v>
      </c>
      <c r="DA47" s="143" t="s">
        <v>727</v>
      </c>
      <c r="DB47" s="143">
        <v>794</v>
      </c>
      <c r="DC47" s="78">
        <v>0</v>
      </c>
      <c r="DD47" s="137">
        <v>0</v>
      </c>
      <c r="DE47" s="137">
        <v>0</v>
      </c>
      <c r="DG47" s="143" t="s">
        <v>767</v>
      </c>
      <c r="DH47" s="143" t="s">
        <v>768</v>
      </c>
      <c r="DI47" s="143" t="s">
        <v>727</v>
      </c>
      <c r="DJ47" s="143">
        <v>794</v>
      </c>
      <c r="DK47" s="78">
        <v>0</v>
      </c>
      <c r="DL47" s="78">
        <v>1</v>
      </c>
      <c r="DM47" s="78">
        <v>0</v>
      </c>
      <c r="DN47" s="78">
        <v>5</v>
      </c>
      <c r="DO47" s="78">
        <v>2</v>
      </c>
      <c r="DP47" s="78">
        <v>3</v>
      </c>
      <c r="DQ47" s="78">
        <v>7</v>
      </c>
      <c r="DR47" s="78">
        <v>1</v>
      </c>
      <c r="DS47" s="78">
        <v>0</v>
      </c>
      <c r="DT47" s="78">
        <v>2</v>
      </c>
      <c r="DU47" s="78">
        <v>0</v>
      </c>
      <c r="DV47" s="137">
        <v>0.7241379</v>
      </c>
      <c r="DX47" s="143" t="s">
        <v>767</v>
      </c>
      <c r="DY47" s="143" t="s">
        <v>768</v>
      </c>
      <c r="DZ47" s="143" t="s">
        <v>727</v>
      </c>
      <c r="EA47" s="143">
        <v>794</v>
      </c>
      <c r="EB47" s="78">
        <v>0</v>
      </c>
      <c r="EC47" s="78">
        <v>0</v>
      </c>
      <c r="ED47" s="78">
        <v>1</v>
      </c>
      <c r="EE47" s="78">
        <v>4</v>
      </c>
      <c r="EF47" s="78">
        <v>1</v>
      </c>
      <c r="EG47" s="78">
        <v>1</v>
      </c>
      <c r="EH47" s="78">
        <v>0</v>
      </c>
      <c r="EI47" s="78">
        <v>1</v>
      </c>
      <c r="EJ47" s="78">
        <v>1</v>
      </c>
      <c r="EK47" s="78">
        <v>1</v>
      </c>
      <c r="EL47" s="78">
        <v>4</v>
      </c>
      <c r="EM47" s="78">
        <v>1</v>
      </c>
      <c r="EN47" s="78">
        <v>1</v>
      </c>
      <c r="EO47" s="137">
        <v>0.59259260000000002</v>
      </c>
      <c r="EQ47" s="143" t="s">
        <v>767</v>
      </c>
      <c r="ER47" s="143" t="s">
        <v>768</v>
      </c>
      <c r="ES47" s="143" t="s">
        <v>727</v>
      </c>
      <c r="ET47" s="143">
        <v>794</v>
      </c>
      <c r="EU47" s="78">
        <v>0.5</v>
      </c>
      <c r="EV47" s="78">
        <v>0</v>
      </c>
      <c r="EW47" s="78">
        <v>0</v>
      </c>
      <c r="EX47" s="78">
        <v>0</v>
      </c>
      <c r="EY47" s="78">
        <v>0.5</v>
      </c>
      <c r="EZ47" s="78">
        <v>3</v>
      </c>
      <c r="FA47" s="78">
        <v>2</v>
      </c>
      <c r="FB47" s="78">
        <v>1</v>
      </c>
      <c r="FC47" s="137">
        <v>0.53846159999999998</v>
      </c>
      <c r="FE47" s="137">
        <v>0.43548389999999998</v>
      </c>
    </row>
    <row r="48" spans="1:161" hidden="1" x14ac:dyDescent="0.25">
      <c r="A48" s="143" t="s">
        <v>767</v>
      </c>
      <c r="B48" s="143" t="s">
        <v>768</v>
      </c>
      <c r="C48" s="143" t="s">
        <v>729</v>
      </c>
      <c r="D48" s="143">
        <v>796</v>
      </c>
      <c r="E48" s="78">
        <v>0.5</v>
      </c>
      <c r="F48" s="78">
        <v>2</v>
      </c>
      <c r="G48" s="78">
        <v>1</v>
      </c>
      <c r="H48" s="78">
        <v>4</v>
      </c>
      <c r="I48" s="78">
        <v>1</v>
      </c>
      <c r="J48" s="78">
        <v>0</v>
      </c>
      <c r="K48" s="78">
        <v>1</v>
      </c>
      <c r="L48" s="78">
        <v>1</v>
      </c>
      <c r="M48" s="78">
        <v>2</v>
      </c>
      <c r="N48" s="137">
        <v>0.89285709999999996</v>
      </c>
      <c r="P48" s="143" t="s">
        <v>767</v>
      </c>
      <c r="Q48" s="143" t="s">
        <v>768</v>
      </c>
      <c r="R48" s="143" t="s">
        <v>729</v>
      </c>
      <c r="S48" s="143">
        <v>796</v>
      </c>
      <c r="T48" s="78">
        <v>1</v>
      </c>
      <c r="U48" s="78">
        <v>1</v>
      </c>
      <c r="V48" s="78">
        <v>1</v>
      </c>
      <c r="W48" s="78">
        <v>2</v>
      </c>
      <c r="X48" s="78">
        <v>12</v>
      </c>
      <c r="Y48" s="78">
        <v>1</v>
      </c>
      <c r="Z48" s="78">
        <v>0</v>
      </c>
      <c r="AA48" s="78">
        <v>0</v>
      </c>
      <c r="AB48" s="78">
        <v>6</v>
      </c>
      <c r="AC48" s="78">
        <v>3</v>
      </c>
      <c r="AD48" s="137">
        <v>0.79411759999999998</v>
      </c>
      <c r="AF48" s="143" t="s">
        <v>767</v>
      </c>
      <c r="AG48" s="143" t="s">
        <v>768</v>
      </c>
      <c r="AH48" s="143" t="s">
        <v>729</v>
      </c>
      <c r="AI48" s="143">
        <v>796</v>
      </c>
      <c r="AJ48" s="78">
        <v>1</v>
      </c>
      <c r="AK48" s="78">
        <v>1</v>
      </c>
      <c r="AL48" s="78">
        <v>1</v>
      </c>
      <c r="AM48" s="78">
        <v>6</v>
      </c>
      <c r="AN48" s="78">
        <v>1</v>
      </c>
      <c r="AO48" s="78">
        <v>2</v>
      </c>
      <c r="AP48" s="78">
        <v>1</v>
      </c>
      <c r="AQ48" s="78">
        <v>1</v>
      </c>
      <c r="AR48" s="78">
        <v>2</v>
      </c>
      <c r="AS48" s="78">
        <v>0</v>
      </c>
      <c r="AT48" s="78">
        <v>2</v>
      </c>
      <c r="AU48" s="78">
        <v>1</v>
      </c>
      <c r="AV48" s="78">
        <v>2</v>
      </c>
      <c r="AW48" s="78">
        <v>1</v>
      </c>
      <c r="AX48" s="78">
        <v>0</v>
      </c>
      <c r="AY48" s="78">
        <v>0</v>
      </c>
      <c r="AZ48" s="78">
        <v>2</v>
      </c>
      <c r="BA48" s="78">
        <v>0.5</v>
      </c>
      <c r="BB48" s="78">
        <v>0.5</v>
      </c>
      <c r="BC48" s="78">
        <v>0.5</v>
      </c>
      <c r="BD48" s="78">
        <v>1</v>
      </c>
      <c r="BE48" s="78">
        <v>0.5</v>
      </c>
      <c r="BF48" s="78">
        <v>1</v>
      </c>
      <c r="BG48" s="78">
        <v>8</v>
      </c>
      <c r="BH48" s="137">
        <v>0.81818179999999996</v>
      </c>
      <c r="BJ48" s="143" t="s">
        <v>767</v>
      </c>
      <c r="BK48" s="143" t="s">
        <v>768</v>
      </c>
      <c r="BL48" s="143" t="s">
        <v>729</v>
      </c>
      <c r="BM48" s="143">
        <v>796</v>
      </c>
      <c r="BN48" s="78">
        <v>1</v>
      </c>
      <c r="BO48" s="78">
        <v>0</v>
      </c>
      <c r="BP48" s="78">
        <v>0</v>
      </c>
      <c r="BQ48" s="78">
        <v>3</v>
      </c>
      <c r="BR48" s="78">
        <v>3</v>
      </c>
      <c r="BS48" s="78">
        <v>3</v>
      </c>
      <c r="BT48" s="78">
        <v>2</v>
      </c>
      <c r="BU48" s="137">
        <v>0.52173910000000001</v>
      </c>
      <c r="BW48" s="143" t="s">
        <v>767</v>
      </c>
      <c r="BX48" s="143" t="s">
        <v>768</v>
      </c>
      <c r="BY48" s="143" t="s">
        <v>729</v>
      </c>
      <c r="BZ48" s="143">
        <v>796</v>
      </c>
      <c r="CA48" s="78">
        <v>1</v>
      </c>
      <c r="CB48" s="78">
        <v>1</v>
      </c>
      <c r="CC48" s="78">
        <v>1</v>
      </c>
      <c r="CD48" s="78">
        <v>2</v>
      </c>
      <c r="CE48" s="78">
        <v>1</v>
      </c>
      <c r="CF48" s="78">
        <v>2</v>
      </c>
      <c r="CG48" s="78">
        <v>1</v>
      </c>
      <c r="CH48" s="78">
        <v>2</v>
      </c>
      <c r="CI48" s="78">
        <v>0</v>
      </c>
      <c r="CJ48" s="78">
        <v>0</v>
      </c>
      <c r="CK48" s="137">
        <v>0.73333329999999997</v>
      </c>
      <c r="CM48" s="143" t="s">
        <v>767</v>
      </c>
      <c r="CN48" s="143" t="s">
        <v>768</v>
      </c>
      <c r="CO48" s="143" t="s">
        <v>729</v>
      </c>
      <c r="CP48" s="143">
        <v>796</v>
      </c>
      <c r="CQ48" s="78">
        <v>8</v>
      </c>
      <c r="CR48" s="78">
        <v>6</v>
      </c>
      <c r="CS48" s="78">
        <v>24</v>
      </c>
      <c r="CT48" s="78">
        <v>0</v>
      </c>
      <c r="CU48" s="78">
        <v>2</v>
      </c>
      <c r="CV48" s="78">
        <v>8</v>
      </c>
      <c r="CW48" s="137">
        <v>0.92307689999999998</v>
      </c>
      <c r="CY48" s="143" t="s">
        <v>767</v>
      </c>
      <c r="CZ48" s="143" t="s">
        <v>768</v>
      </c>
      <c r="DA48" s="143" t="s">
        <v>729</v>
      </c>
      <c r="DB48" s="143">
        <v>796</v>
      </c>
      <c r="DC48" s="78">
        <v>84</v>
      </c>
      <c r="DD48" s="137">
        <v>1</v>
      </c>
      <c r="DE48" s="137">
        <v>0.93333330000000003</v>
      </c>
      <c r="DG48" s="143" t="s">
        <v>767</v>
      </c>
      <c r="DH48" s="143" t="s">
        <v>768</v>
      </c>
      <c r="DI48" s="143" t="s">
        <v>729</v>
      </c>
      <c r="DJ48" s="143">
        <v>796</v>
      </c>
      <c r="DK48" s="78">
        <v>0</v>
      </c>
      <c r="DL48" s="78">
        <v>1</v>
      </c>
      <c r="DM48" s="78">
        <v>0</v>
      </c>
      <c r="DN48" s="78">
        <v>5</v>
      </c>
      <c r="DO48" s="78">
        <v>2</v>
      </c>
      <c r="DP48" s="78">
        <v>3</v>
      </c>
      <c r="DQ48" s="78">
        <v>8</v>
      </c>
      <c r="DR48" s="78">
        <v>1</v>
      </c>
      <c r="DS48" s="78">
        <v>0</v>
      </c>
      <c r="DT48" s="78">
        <v>0</v>
      </c>
      <c r="DU48" s="78">
        <v>1</v>
      </c>
      <c r="DV48" s="137">
        <v>0.7241379</v>
      </c>
      <c r="DX48" s="143" t="s">
        <v>767</v>
      </c>
      <c r="DY48" s="143" t="s">
        <v>768</v>
      </c>
      <c r="DZ48" s="143" t="s">
        <v>729</v>
      </c>
      <c r="EA48" s="143">
        <v>796</v>
      </c>
      <c r="EB48" s="78">
        <v>1</v>
      </c>
      <c r="EC48" s="78">
        <v>8</v>
      </c>
      <c r="ED48" s="78">
        <v>1</v>
      </c>
      <c r="EE48" s="78">
        <v>4</v>
      </c>
      <c r="EF48" s="78">
        <v>1</v>
      </c>
      <c r="EG48" s="78">
        <v>1</v>
      </c>
      <c r="EH48" s="78">
        <v>0</v>
      </c>
      <c r="EI48" s="78">
        <v>1</v>
      </c>
      <c r="EJ48" s="78">
        <v>1</v>
      </c>
      <c r="EK48" s="78">
        <v>1</v>
      </c>
      <c r="EL48" s="78">
        <v>4</v>
      </c>
      <c r="EM48" s="78">
        <v>0</v>
      </c>
      <c r="EN48" s="78">
        <v>1</v>
      </c>
      <c r="EO48" s="137">
        <v>0.88888889999999998</v>
      </c>
      <c r="EQ48" s="143" t="s">
        <v>767</v>
      </c>
      <c r="ER48" s="143" t="s">
        <v>768</v>
      </c>
      <c r="ES48" s="143" t="s">
        <v>729</v>
      </c>
      <c r="ET48" s="143">
        <v>796</v>
      </c>
      <c r="EU48" s="78">
        <v>0</v>
      </c>
      <c r="EV48" s="78">
        <v>1</v>
      </c>
      <c r="EW48" s="78">
        <v>0</v>
      </c>
      <c r="EX48" s="78">
        <v>0</v>
      </c>
      <c r="EY48" s="78">
        <v>0</v>
      </c>
      <c r="EZ48" s="78">
        <v>3</v>
      </c>
      <c r="FA48" s="78">
        <v>2</v>
      </c>
      <c r="FB48" s="78">
        <v>0</v>
      </c>
      <c r="FC48" s="137">
        <v>0.46153850000000002</v>
      </c>
      <c r="FE48" s="137">
        <v>0.82551319999999995</v>
      </c>
    </row>
    <row r="49" spans="1:161" x14ac:dyDescent="0.25">
      <c r="A49" s="143" t="s">
        <v>767</v>
      </c>
      <c r="B49" s="143" t="s">
        <v>768</v>
      </c>
      <c r="C49" s="143" t="s">
        <v>728</v>
      </c>
      <c r="D49" s="143">
        <v>2920</v>
      </c>
      <c r="E49" s="78">
        <v>0</v>
      </c>
      <c r="F49" s="78">
        <v>1.5</v>
      </c>
      <c r="G49" s="78">
        <v>1</v>
      </c>
      <c r="H49" s="78">
        <v>0</v>
      </c>
      <c r="I49" s="78">
        <v>1</v>
      </c>
      <c r="J49" s="78">
        <v>0</v>
      </c>
      <c r="K49" s="78">
        <v>0</v>
      </c>
      <c r="L49" s="78">
        <v>0</v>
      </c>
      <c r="M49" s="78">
        <v>2</v>
      </c>
      <c r="N49" s="137">
        <v>0.39285710000000001</v>
      </c>
      <c r="P49" s="143" t="s">
        <v>767</v>
      </c>
      <c r="Q49" s="143" t="s">
        <v>768</v>
      </c>
      <c r="R49" s="143" t="s">
        <v>728</v>
      </c>
      <c r="S49" s="143">
        <v>2920</v>
      </c>
      <c r="T49" s="78">
        <v>0</v>
      </c>
      <c r="U49" s="78">
        <v>1</v>
      </c>
      <c r="V49" s="78">
        <v>0.5</v>
      </c>
      <c r="W49" s="78">
        <v>0</v>
      </c>
      <c r="X49" s="78">
        <v>0</v>
      </c>
      <c r="Y49" s="78">
        <v>1</v>
      </c>
      <c r="Z49" s="78">
        <v>3</v>
      </c>
      <c r="AA49" s="78">
        <v>0</v>
      </c>
      <c r="AB49" s="78">
        <v>0</v>
      </c>
      <c r="AC49" s="78">
        <v>0</v>
      </c>
      <c r="AD49" s="137">
        <v>0.16176470000000001</v>
      </c>
      <c r="AF49" s="143" t="s">
        <v>767</v>
      </c>
      <c r="AG49" s="143" t="s">
        <v>768</v>
      </c>
      <c r="AH49" s="143" t="s">
        <v>728</v>
      </c>
      <c r="AI49" s="143">
        <v>2920</v>
      </c>
      <c r="AJ49" s="78">
        <v>0</v>
      </c>
      <c r="AK49" s="78">
        <v>0</v>
      </c>
      <c r="AL49" s="78">
        <v>1</v>
      </c>
      <c r="AM49" s="78">
        <v>6</v>
      </c>
      <c r="AN49" s="78">
        <v>1</v>
      </c>
      <c r="AO49" s="78">
        <v>2</v>
      </c>
      <c r="AP49" s="78">
        <v>1</v>
      </c>
      <c r="AQ49" s="78">
        <v>1</v>
      </c>
      <c r="AR49" s="78">
        <v>2</v>
      </c>
      <c r="AS49" s="78">
        <v>2</v>
      </c>
      <c r="AT49" s="78">
        <v>0</v>
      </c>
      <c r="AU49" s="78">
        <v>0</v>
      </c>
      <c r="AV49" s="78">
        <v>2</v>
      </c>
      <c r="AW49" s="78">
        <v>0</v>
      </c>
      <c r="AX49" s="78">
        <v>0</v>
      </c>
      <c r="AY49" s="78">
        <v>1</v>
      </c>
      <c r="AZ49" s="78">
        <v>2</v>
      </c>
      <c r="BA49" s="78">
        <v>0.5</v>
      </c>
      <c r="BB49" s="78">
        <v>0.5</v>
      </c>
      <c r="BC49" s="78">
        <v>0</v>
      </c>
      <c r="BD49" s="78">
        <v>0</v>
      </c>
      <c r="BE49" s="78">
        <v>0</v>
      </c>
      <c r="BF49" s="78">
        <v>0</v>
      </c>
      <c r="BG49" s="78">
        <v>2</v>
      </c>
      <c r="BH49" s="137">
        <v>0.54545460000000001</v>
      </c>
      <c r="BJ49" s="143" t="s">
        <v>767</v>
      </c>
      <c r="BK49" s="143" t="s">
        <v>768</v>
      </c>
      <c r="BL49" s="143" t="s">
        <v>728</v>
      </c>
      <c r="BM49" s="143">
        <v>2920</v>
      </c>
      <c r="BN49" s="78">
        <v>1</v>
      </c>
      <c r="BO49" s="78">
        <v>4</v>
      </c>
      <c r="BP49" s="78">
        <v>7</v>
      </c>
      <c r="BQ49" s="78">
        <v>3</v>
      </c>
      <c r="BR49" s="78">
        <v>3</v>
      </c>
      <c r="BS49" s="78">
        <v>0</v>
      </c>
      <c r="BT49" s="78">
        <v>2</v>
      </c>
      <c r="BU49" s="137">
        <v>0.86956520000000004</v>
      </c>
      <c r="BW49" s="143" t="s">
        <v>767</v>
      </c>
      <c r="BX49" s="143" t="s">
        <v>768</v>
      </c>
      <c r="BY49" s="143" t="s">
        <v>728</v>
      </c>
      <c r="BZ49" s="143">
        <v>2920</v>
      </c>
      <c r="CM49" s="143" t="s">
        <v>767</v>
      </c>
      <c r="CN49" s="143" t="s">
        <v>768</v>
      </c>
      <c r="CO49" s="143" t="s">
        <v>728</v>
      </c>
      <c r="CP49" s="143">
        <v>2920</v>
      </c>
      <c r="CQ49" s="78">
        <v>2</v>
      </c>
      <c r="CR49" s="78">
        <v>6</v>
      </c>
      <c r="CS49" s="78">
        <v>4</v>
      </c>
      <c r="CT49" s="78">
        <v>4</v>
      </c>
      <c r="CU49" s="78">
        <v>0</v>
      </c>
      <c r="CV49" s="78">
        <v>8</v>
      </c>
      <c r="CW49" s="137">
        <v>0.46153850000000002</v>
      </c>
      <c r="CY49" s="143" t="s">
        <v>767</v>
      </c>
      <c r="CZ49" s="143" t="s">
        <v>768</v>
      </c>
      <c r="DA49" s="143" t="s">
        <v>728</v>
      </c>
      <c r="DB49" s="143">
        <v>2920</v>
      </c>
      <c r="DC49" s="78">
        <v>0</v>
      </c>
      <c r="DD49" s="137">
        <v>0</v>
      </c>
      <c r="DE49" s="137">
        <v>0</v>
      </c>
      <c r="DG49" s="143" t="s">
        <v>767</v>
      </c>
      <c r="DH49" s="143" t="s">
        <v>768</v>
      </c>
      <c r="DI49" s="143" t="s">
        <v>728</v>
      </c>
      <c r="DJ49" s="143">
        <v>2920</v>
      </c>
      <c r="DK49" s="78">
        <v>0</v>
      </c>
      <c r="DL49" s="78">
        <v>0</v>
      </c>
      <c r="DM49" s="78">
        <v>0</v>
      </c>
      <c r="DN49" s="78">
        <v>4</v>
      </c>
      <c r="DO49" s="78">
        <v>2</v>
      </c>
      <c r="DP49" s="78">
        <v>3</v>
      </c>
      <c r="DQ49" s="78">
        <v>6</v>
      </c>
      <c r="DR49" s="78">
        <v>0</v>
      </c>
      <c r="DS49" s="78">
        <v>0</v>
      </c>
      <c r="DT49" s="78">
        <v>0</v>
      </c>
      <c r="DU49" s="78">
        <v>0</v>
      </c>
      <c r="DV49" s="137">
        <v>0.51724139999999996</v>
      </c>
      <c r="DX49" s="143" t="s">
        <v>767</v>
      </c>
      <c r="DY49" s="143" t="s">
        <v>768</v>
      </c>
      <c r="DZ49" s="143" t="s">
        <v>728</v>
      </c>
      <c r="EA49" s="143">
        <v>2920</v>
      </c>
      <c r="EB49" s="78">
        <v>0</v>
      </c>
      <c r="EC49" s="78">
        <v>8</v>
      </c>
      <c r="ED49" s="78">
        <v>1</v>
      </c>
      <c r="EE49" s="78">
        <v>4</v>
      </c>
      <c r="EF49" s="78">
        <v>1</v>
      </c>
      <c r="EG49" s="78">
        <v>1</v>
      </c>
      <c r="EH49" s="78">
        <v>0</v>
      </c>
      <c r="EI49" s="78">
        <v>1</v>
      </c>
      <c r="EJ49" s="78">
        <v>1</v>
      </c>
      <c r="EK49" s="78">
        <v>1</v>
      </c>
      <c r="EL49" s="78">
        <v>4</v>
      </c>
      <c r="EM49" s="78">
        <v>1</v>
      </c>
      <c r="EN49" s="78">
        <v>1</v>
      </c>
      <c r="EO49" s="137">
        <v>0.88888889999999998</v>
      </c>
      <c r="EQ49" s="143" t="s">
        <v>767</v>
      </c>
      <c r="ER49" s="143" t="s">
        <v>768</v>
      </c>
      <c r="ES49" s="143" t="s">
        <v>728</v>
      </c>
      <c r="ET49" s="143">
        <v>2920</v>
      </c>
      <c r="EU49" s="78">
        <v>0.5</v>
      </c>
      <c r="EV49" s="78">
        <v>1</v>
      </c>
      <c r="EW49" s="78">
        <v>0</v>
      </c>
      <c r="EX49" s="78">
        <v>0</v>
      </c>
      <c r="EY49" s="78">
        <v>0</v>
      </c>
      <c r="EZ49" s="78">
        <v>3</v>
      </c>
      <c r="FA49" s="78">
        <v>2</v>
      </c>
      <c r="FB49" s="78">
        <v>1</v>
      </c>
      <c r="FC49" s="137">
        <v>0.57692310000000002</v>
      </c>
      <c r="FE49" s="137">
        <v>0.38496930000000001</v>
      </c>
    </row>
    <row r="50" spans="1:161" x14ac:dyDescent="0.25">
      <c r="A50" s="143" t="s">
        <v>767</v>
      </c>
      <c r="B50" s="143" t="s">
        <v>768</v>
      </c>
      <c r="C50" s="143" t="s">
        <v>728</v>
      </c>
      <c r="D50" s="143">
        <v>3972</v>
      </c>
      <c r="E50" s="78">
        <v>0</v>
      </c>
      <c r="F50" s="78">
        <v>2</v>
      </c>
      <c r="G50" s="78">
        <v>1</v>
      </c>
      <c r="H50" s="78">
        <v>3</v>
      </c>
      <c r="I50" s="78">
        <v>1</v>
      </c>
      <c r="J50" s="78">
        <v>0</v>
      </c>
      <c r="K50" s="78">
        <v>1</v>
      </c>
      <c r="L50" s="78">
        <v>0</v>
      </c>
      <c r="M50" s="78">
        <v>2</v>
      </c>
      <c r="N50" s="137">
        <v>0.71428570000000002</v>
      </c>
      <c r="P50" s="143" t="s">
        <v>767</v>
      </c>
      <c r="Q50" s="143" t="s">
        <v>768</v>
      </c>
      <c r="R50" s="143" t="s">
        <v>728</v>
      </c>
      <c r="S50" s="143">
        <v>3972</v>
      </c>
      <c r="T50" s="78">
        <v>0</v>
      </c>
      <c r="U50" s="78">
        <v>1</v>
      </c>
      <c r="V50" s="78">
        <v>0</v>
      </c>
      <c r="W50" s="78">
        <v>0</v>
      </c>
      <c r="X50" s="78">
        <v>9</v>
      </c>
      <c r="Y50" s="78">
        <v>1</v>
      </c>
      <c r="Z50" s="78">
        <v>3</v>
      </c>
      <c r="AA50" s="78">
        <v>0</v>
      </c>
      <c r="AB50" s="78">
        <v>6</v>
      </c>
      <c r="AC50" s="78">
        <v>3</v>
      </c>
      <c r="AD50" s="137">
        <v>0.67647060000000003</v>
      </c>
      <c r="AF50" s="143" t="s">
        <v>767</v>
      </c>
      <c r="AG50" s="143" t="s">
        <v>768</v>
      </c>
      <c r="AH50" s="143" t="s">
        <v>728</v>
      </c>
      <c r="AI50" s="143">
        <v>3972</v>
      </c>
      <c r="AJ50" s="78">
        <v>1</v>
      </c>
      <c r="AK50" s="78">
        <v>0</v>
      </c>
      <c r="AL50" s="78">
        <v>1</v>
      </c>
      <c r="AM50" s="78">
        <v>0</v>
      </c>
      <c r="AN50" s="78">
        <v>1</v>
      </c>
      <c r="AO50" s="78">
        <v>0</v>
      </c>
      <c r="AP50" s="78">
        <v>1</v>
      </c>
      <c r="AQ50" s="78">
        <v>1</v>
      </c>
      <c r="AR50" s="78">
        <v>2</v>
      </c>
      <c r="AS50" s="78">
        <v>0</v>
      </c>
      <c r="AT50" s="78">
        <v>0</v>
      </c>
      <c r="AU50" s="78">
        <v>0</v>
      </c>
      <c r="AV50" s="78">
        <v>0</v>
      </c>
      <c r="AW50" s="78">
        <v>0</v>
      </c>
      <c r="AX50" s="78">
        <v>0</v>
      </c>
      <c r="AY50" s="78">
        <v>1</v>
      </c>
      <c r="AZ50" s="78">
        <v>0</v>
      </c>
      <c r="BA50" s="78">
        <v>0.5</v>
      </c>
      <c r="BB50" s="78">
        <v>0.5</v>
      </c>
      <c r="BC50" s="78">
        <v>0.5</v>
      </c>
      <c r="BD50" s="78">
        <v>1</v>
      </c>
      <c r="BE50" s="78">
        <v>0.5</v>
      </c>
      <c r="BF50" s="78">
        <v>1</v>
      </c>
      <c r="BG50" s="78">
        <v>6</v>
      </c>
      <c r="BH50" s="137">
        <v>0.40909089999999998</v>
      </c>
      <c r="BJ50" s="143" t="s">
        <v>767</v>
      </c>
      <c r="BK50" s="143" t="s">
        <v>768</v>
      </c>
      <c r="BL50" s="143" t="s">
        <v>728</v>
      </c>
      <c r="BM50" s="143">
        <v>3972</v>
      </c>
      <c r="BN50" s="78">
        <v>0</v>
      </c>
      <c r="BO50" s="78">
        <v>0</v>
      </c>
      <c r="BP50" s="78">
        <v>0</v>
      </c>
      <c r="BQ50" s="78">
        <v>3</v>
      </c>
      <c r="BR50" s="78">
        <v>3</v>
      </c>
      <c r="BS50" s="78">
        <v>0</v>
      </c>
      <c r="BT50" s="78">
        <v>2</v>
      </c>
      <c r="BU50" s="137">
        <v>0.34782610000000003</v>
      </c>
      <c r="BW50" s="143" t="s">
        <v>767</v>
      </c>
      <c r="BX50" s="143" t="s">
        <v>768</v>
      </c>
      <c r="BY50" s="143" t="s">
        <v>728</v>
      </c>
      <c r="BZ50" s="143">
        <v>3972</v>
      </c>
      <c r="CM50" s="143" t="s">
        <v>767</v>
      </c>
      <c r="CN50" s="143" t="s">
        <v>768</v>
      </c>
      <c r="CO50" s="143" t="s">
        <v>728</v>
      </c>
      <c r="CP50" s="143">
        <v>3972</v>
      </c>
      <c r="CQ50" s="78">
        <v>0</v>
      </c>
      <c r="CR50" s="78">
        <v>0</v>
      </c>
      <c r="CS50" s="78">
        <v>8</v>
      </c>
      <c r="CT50" s="78">
        <v>0</v>
      </c>
      <c r="CU50" s="78">
        <v>2</v>
      </c>
      <c r="CV50" s="78">
        <v>8</v>
      </c>
      <c r="CW50" s="137">
        <v>0.34615390000000001</v>
      </c>
      <c r="CY50" s="143" t="s">
        <v>767</v>
      </c>
      <c r="CZ50" s="143" t="s">
        <v>768</v>
      </c>
      <c r="DA50" s="143" t="s">
        <v>728</v>
      </c>
      <c r="DB50" s="143">
        <v>3972</v>
      </c>
      <c r="DC50" s="78">
        <v>0</v>
      </c>
      <c r="DD50" s="137">
        <v>0</v>
      </c>
      <c r="DE50" s="137">
        <v>0</v>
      </c>
      <c r="DG50" s="143" t="s">
        <v>767</v>
      </c>
      <c r="DH50" s="143" t="s">
        <v>768</v>
      </c>
      <c r="DI50" s="143" t="s">
        <v>728</v>
      </c>
      <c r="DJ50" s="143">
        <v>3972</v>
      </c>
      <c r="DK50" s="78">
        <v>2</v>
      </c>
      <c r="DL50" s="78">
        <v>0</v>
      </c>
      <c r="DM50" s="78">
        <v>0</v>
      </c>
      <c r="DN50" s="78">
        <v>4</v>
      </c>
      <c r="DO50" s="78">
        <v>2</v>
      </c>
      <c r="DP50" s="78">
        <v>3</v>
      </c>
      <c r="DQ50" s="78">
        <v>7</v>
      </c>
      <c r="DR50" s="78">
        <v>1</v>
      </c>
      <c r="DS50" s="78">
        <v>1</v>
      </c>
      <c r="DT50" s="78">
        <v>0</v>
      </c>
      <c r="DU50" s="78">
        <v>0</v>
      </c>
      <c r="DV50" s="137">
        <v>0.68965520000000002</v>
      </c>
      <c r="DX50" s="143" t="s">
        <v>767</v>
      </c>
      <c r="DY50" s="143" t="s">
        <v>768</v>
      </c>
      <c r="DZ50" s="143" t="s">
        <v>728</v>
      </c>
      <c r="EA50" s="143">
        <v>3972</v>
      </c>
      <c r="EB50" s="78">
        <v>1</v>
      </c>
      <c r="EC50" s="78">
        <v>8</v>
      </c>
      <c r="ED50" s="78">
        <v>1</v>
      </c>
      <c r="EE50" s="78">
        <v>4</v>
      </c>
      <c r="EF50" s="78">
        <v>1</v>
      </c>
      <c r="EG50" s="78">
        <v>1</v>
      </c>
      <c r="EH50" s="78">
        <v>0</v>
      </c>
      <c r="EI50" s="78">
        <v>1</v>
      </c>
      <c r="EJ50" s="78">
        <v>1</v>
      </c>
      <c r="EK50" s="78">
        <v>1</v>
      </c>
      <c r="EL50" s="78">
        <v>4</v>
      </c>
      <c r="EM50" s="78">
        <v>1</v>
      </c>
      <c r="EN50" s="78">
        <v>1</v>
      </c>
      <c r="EO50" s="137">
        <v>0.92592589999999997</v>
      </c>
      <c r="EQ50" s="143" t="s">
        <v>767</v>
      </c>
      <c r="ER50" s="143" t="s">
        <v>768</v>
      </c>
      <c r="ES50" s="143" t="s">
        <v>728</v>
      </c>
      <c r="ET50" s="143">
        <v>3972</v>
      </c>
      <c r="EU50" s="78">
        <v>0.5</v>
      </c>
      <c r="EV50" s="78">
        <v>0</v>
      </c>
      <c r="EW50" s="78">
        <v>0</v>
      </c>
      <c r="EX50" s="78">
        <v>0</v>
      </c>
      <c r="EY50" s="78">
        <v>0.5</v>
      </c>
      <c r="EZ50" s="78">
        <v>3</v>
      </c>
      <c r="FA50" s="78">
        <v>2</v>
      </c>
      <c r="FB50" s="78">
        <v>1</v>
      </c>
      <c r="FC50" s="137">
        <v>0.53846159999999998</v>
      </c>
      <c r="FE50" s="137">
        <v>0.39570549999999999</v>
      </c>
    </row>
    <row r="51" spans="1:161" x14ac:dyDescent="0.25">
      <c r="A51" s="143" t="s">
        <v>767</v>
      </c>
      <c r="B51" s="143" t="s">
        <v>768</v>
      </c>
      <c r="C51" s="143" t="s">
        <v>728</v>
      </c>
      <c r="D51" s="143">
        <v>3974</v>
      </c>
      <c r="E51" s="78">
        <v>0</v>
      </c>
      <c r="F51" s="78">
        <v>2.5</v>
      </c>
      <c r="G51" s="78">
        <v>1</v>
      </c>
      <c r="H51" s="78">
        <v>0</v>
      </c>
      <c r="I51" s="78">
        <v>1</v>
      </c>
      <c r="J51" s="78">
        <v>0</v>
      </c>
      <c r="K51" s="78">
        <v>1</v>
      </c>
      <c r="L51" s="78">
        <v>0</v>
      </c>
      <c r="M51" s="78">
        <v>2</v>
      </c>
      <c r="N51" s="137">
        <v>0.53571429999999998</v>
      </c>
      <c r="P51" s="143" t="s">
        <v>767</v>
      </c>
      <c r="Q51" s="143" t="s">
        <v>768</v>
      </c>
      <c r="R51" s="143" t="s">
        <v>728</v>
      </c>
      <c r="S51" s="143">
        <v>3974</v>
      </c>
      <c r="T51" s="78">
        <v>1</v>
      </c>
      <c r="U51" s="78">
        <v>1</v>
      </c>
      <c r="V51" s="78">
        <v>1</v>
      </c>
      <c r="W51" s="78">
        <v>0</v>
      </c>
      <c r="X51" s="78">
        <v>12</v>
      </c>
      <c r="Y51" s="78">
        <v>1</v>
      </c>
      <c r="Z51" s="78">
        <v>3</v>
      </c>
      <c r="AA51" s="78">
        <v>0</v>
      </c>
      <c r="AB51" s="78">
        <v>0</v>
      </c>
      <c r="AC51" s="78">
        <v>0</v>
      </c>
      <c r="AD51" s="137">
        <v>0.55882350000000003</v>
      </c>
      <c r="AF51" s="143" t="s">
        <v>767</v>
      </c>
      <c r="AG51" s="143" t="s">
        <v>768</v>
      </c>
      <c r="AH51" s="143" t="s">
        <v>728</v>
      </c>
      <c r="AI51" s="143">
        <v>3974</v>
      </c>
      <c r="AJ51" s="78">
        <v>1</v>
      </c>
      <c r="AK51" s="78">
        <v>0</v>
      </c>
      <c r="AL51" s="78">
        <v>0</v>
      </c>
      <c r="AM51" s="78">
        <v>0</v>
      </c>
      <c r="AN51" s="78">
        <v>1</v>
      </c>
      <c r="AO51" s="78">
        <v>2</v>
      </c>
      <c r="AP51" s="78">
        <v>1</v>
      </c>
      <c r="AQ51" s="78">
        <v>1</v>
      </c>
      <c r="AR51" s="78">
        <v>2</v>
      </c>
      <c r="AS51" s="78">
        <v>2</v>
      </c>
      <c r="AT51" s="78">
        <v>2</v>
      </c>
      <c r="AU51" s="78">
        <v>0</v>
      </c>
      <c r="AV51" s="78">
        <v>2</v>
      </c>
      <c r="AW51" s="78">
        <v>0</v>
      </c>
      <c r="AX51" s="78">
        <v>0</v>
      </c>
      <c r="AY51" s="78">
        <v>1</v>
      </c>
      <c r="AZ51" s="78">
        <v>0</v>
      </c>
      <c r="BA51" s="78">
        <v>0.5</v>
      </c>
      <c r="BB51" s="78">
        <v>0.5</v>
      </c>
      <c r="BC51" s="78">
        <v>0</v>
      </c>
      <c r="BD51" s="78">
        <v>1</v>
      </c>
      <c r="BE51" s="78">
        <v>0</v>
      </c>
      <c r="BF51" s="78">
        <v>0</v>
      </c>
      <c r="BG51" s="78">
        <v>8</v>
      </c>
      <c r="BH51" s="137">
        <v>0.56818179999999996</v>
      </c>
      <c r="BJ51" s="143" t="s">
        <v>767</v>
      </c>
      <c r="BK51" s="143" t="s">
        <v>768</v>
      </c>
      <c r="BL51" s="143" t="s">
        <v>728</v>
      </c>
      <c r="BM51" s="143">
        <v>3974</v>
      </c>
      <c r="BN51" s="78">
        <v>1</v>
      </c>
      <c r="BO51" s="78">
        <v>0</v>
      </c>
      <c r="BP51" s="78">
        <v>7</v>
      </c>
      <c r="BQ51" s="78">
        <v>3</v>
      </c>
      <c r="BR51" s="78">
        <v>3</v>
      </c>
      <c r="BS51" s="78">
        <v>0</v>
      </c>
      <c r="BT51" s="78">
        <v>2</v>
      </c>
      <c r="BU51" s="137">
        <v>0.69565220000000005</v>
      </c>
      <c r="BW51" s="143" t="s">
        <v>767</v>
      </c>
      <c r="BX51" s="143" t="s">
        <v>768</v>
      </c>
      <c r="BY51" s="143" t="s">
        <v>728</v>
      </c>
      <c r="BZ51" s="143">
        <v>3974</v>
      </c>
      <c r="CM51" s="143" t="s">
        <v>767</v>
      </c>
      <c r="CN51" s="143" t="s">
        <v>768</v>
      </c>
      <c r="CO51" s="143" t="s">
        <v>728</v>
      </c>
      <c r="CP51" s="143">
        <v>3974</v>
      </c>
      <c r="CQ51" s="78">
        <v>8</v>
      </c>
      <c r="CR51" s="78">
        <v>0</v>
      </c>
      <c r="CS51" s="78">
        <v>12</v>
      </c>
      <c r="CT51" s="78">
        <v>0</v>
      </c>
      <c r="CU51" s="78">
        <v>0</v>
      </c>
      <c r="CV51" s="78">
        <v>8</v>
      </c>
      <c r="CW51" s="137">
        <v>0.53846159999999998</v>
      </c>
      <c r="CY51" s="143" t="s">
        <v>767</v>
      </c>
      <c r="CZ51" s="143" t="s">
        <v>768</v>
      </c>
      <c r="DA51" s="143" t="s">
        <v>728</v>
      </c>
      <c r="DB51" s="143">
        <v>3974</v>
      </c>
      <c r="DC51" s="78">
        <v>62</v>
      </c>
      <c r="DD51" s="137">
        <v>0.2</v>
      </c>
      <c r="DE51" s="137">
        <v>0.13777780000000001</v>
      </c>
      <c r="DG51" s="143" t="s">
        <v>767</v>
      </c>
      <c r="DH51" s="143" t="s">
        <v>768</v>
      </c>
      <c r="DI51" s="143" t="s">
        <v>728</v>
      </c>
      <c r="DJ51" s="143">
        <v>3974</v>
      </c>
      <c r="DK51" s="78">
        <v>2</v>
      </c>
      <c r="DL51" s="78">
        <v>1</v>
      </c>
      <c r="DM51" s="78">
        <v>0</v>
      </c>
      <c r="DN51" s="78">
        <v>5</v>
      </c>
      <c r="DO51" s="78">
        <v>2</v>
      </c>
      <c r="DP51" s="78">
        <v>3</v>
      </c>
      <c r="DQ51" s="78">
        <v>5</v>
      </c>
      <c r="DR51" s="78">
        <v>0</v>
      </c>
      <c r="DS51" s="78">
        <v>0</v>
      </c>
      <c r="DT51" s="78">
        <v>0</v>
      </c>
      <c r="DU51" s="78">
        <v>0</v>
      </c>
      <c r="DV51" s="137">
        <v>0.62068959999999995</v>
      </c>
      <c r="DX51" s="143" t="s">
        <v>767</v>
      </c>
      <c r="DY51" s="143" t="s">
        <v>768</v>
      </c>
      <c r="DZ51" s="143" t="s">
        <v>728</v>
      </c>
      <c r="EA51" s="143">
        <v>3974</v>
      </c>
      <c r="EB51" s="78">
        <v>1</v>
      </c>
      <c r="EC51" s="78">
        <v>8</v>
      </c>
      <c r="ED51" s="78">
        <v>1</v>
      </c>
      <c r="EE51" s="78">
        <v>4</v>
      </c>
      <c r="EF51" s="78">
        <v>1</v>
      </c>
      <c r="EG51" s="78">
        <v>1</v>
      </c>
      <c r="EH51" s="78">
        <v>0</v>
      </c>
      <c r="EI51" s="78">
        <v>1</v>
      </c>
      <c r="EJ51" s="78">
        <v>1</v>
      </c>
      <c r="EK51" s="78">
        <v>1</v>
      </c>
      <c r="EL51" s="78">
        <v>4</v>
      </c>
      <c r="EM51" s="78">
        <v>0</v>
      </c>
      <c r="EN51" s="78">
        <v>0</v>
      </c>
      <c r="EO51" s="137">
        <v>0.8518519</v>
      </c>
      <c r="EQ51" s="143" t="s">
        <v>767</v>
      </c>
      <c r="ER51" s="143" t="s">
        <v>768</v>
      </c>
      <c r="ES51" s="143" t="s">
        <v>728</v>
      </c>
      <c r="ET51" s="143">
        <v>3974</v>
      </c>
      <c r="EU51" s="78">
        <v>0.5</v>
      </c>
      <c r="EV51" s="78">
        <v>0</v>
      </c>
      <c r="EW51" s="78">
        <v>0</v>
      </c>
      <c r="EX51" s="78">
        <v>0</v>
      </c>
      <c r="EY51" s="78">
        <v>0</v>
      </c>
      <c r="EZ51" s="78">
        <v>3</v>
      </c>
      <c r="FA51" s="78">
        <v>2</v>
      </c>
      <c r="FB51" s="78">
        <v>0</v>
      </c>
      <c r="FC51" s="137">
        <v>0.42307689999999998</v>
      </c>
      <c r="FE51" s="137">
        <v>0.47361959999999997</v>
      </c>
    </row>
    <row r="52" spans="1:161" hidden="1" x14ac:dyDescent="0.25">
      <c r="A52" s="143" t="s">
        <v>769</v>
      </c>
      <c r="B52" s="143" t="s">
        <v>770</v>
      </c>
      <c r="C52" s="143" t="s">
        <v>729</v>
      </c>
      <c r="D52" s="143">
        <v>694</v>
      </c>
      <c r="E52" s="78">
        <v>0</v>
      </c>
      <c r="F52" s="78">
        <v>1.5</v>
      </c>
      <c r="G52" s="78">
        <v>0</v>
      </c>
      <c r="H52" s="78">
        <v>2</v>
      </c>
      <c r="I52" s="78">
        <v>1</v>
      </c>
      <c r="J52" s="78">
        <v>0</v>
      </c>
      <c r="K52" s="78">
        <v>0</v>
      </c>
      <c r="L52" s="78">
        <v>0</v>
      </c>
      <c r="M52" s="78">
        <v>2</v>
      </c>
      <c r="N52" s="137">
        <v>0.46428570000000002</v>
      </c>
      <c r="P52" s="143" t="s">
        <v>769</v>
      </c>
      <c r="Q52" s="143" t="s">
        <v>770</v>
      </c>
      <c r="R52" s="143" t="s">
        <v>729</v>
      </c>
      <c r="S52" s="143">
        <v>694</v>
      </c>
      <c r="T52" s="78">
        <v>1</v>
      </c>
      <c r="U52" s="78">
        <v>1</v>
      </c>
      <c r="V52" s="78">
        <v>0.5</v>
      </c>
      <c r="W52" s="78">
        <v>1</v>
      </c>
      <c r="X52" s="78">
        <v>9</v>
      </c>
      <c r="Y52" s="78">
        <v>1</v>
      </c>
      <c r="Z52" s="78">
        <v>0</v>
      </c>
      <c r="AA52" s="78">
        <v>0</v>
      </c>
      <c r="AB52" s="78">
        <v>0</v>
      </c>
      <c r="AC52" s="78">
        <v>3</v>
      </c>
      <c r="AD52" s="137">
        <v>0.48529410000000001</v>
      </c>
      <c r="AF52" s="143" t="s">
        <v>769</v>
      </c>
      <c r="AG52" s="143" t="s">
        <v>770</v>
      </c>
      <c r="AH52" s="143" t="s">
        <v>729</v>
      </c>
      <c r="AI52" s="143">
        <v>694</v>
      </c>
      <c r="AJ52" s="78">
        <v>1</v>
      </c>
      <c r="AK52" s="78">
        <v>0</v>
      </c>
      <c r="AL52" s="78">
        <v>1</v>
      </c>
      <c r="AM52" s="78">
        <v>6</v>
      </c>
      <c r="AN52" s="78">
        <v>1</v>
      </c>
      <c r="AO52" s="78">
        <v>0</v>
      </c>
      <c r="AP52" s="78">
        <v>1</v>
      </c>
      <c r="AQ52" s="78">
        <v>1</v>
      </c>
      <c r="AR52" s="78">
        <v>2</v>
      </c>
      <c r="AS52" s="78">
        <v>0</v>
      </c>
      <c r="AT52" s="78">
        <v>2</v>
      </c>
      <c r="AU52" s="78">
        <v>1</v>
      </c>
      <c r="AV52" s="78">
        <v>0</v>
      </c>
      <c r="AW52" s="78">
        <v>0</v>
      </c>
      <c r="AX52" s="78">
        <v>0</v>
      </c>
      <c r="AY52" s="78">
        <v>1</v>
      </c>
      <c r="AZ52" s="78">
        <v>2</v>
      </c>
      <c r="BA52" s="78">
        <v>0.5</v>
      </c>
      <c r="BB52" s="78">
        <v>0.5</v>
      </c>
      <c r="BC52" s="78">
        <v>0</v>
      </c>
      <c r="BD52" s="78">
        <v>1</v>
      </c>
      <c r="BE52" s="78">
        <v>0.5</v>
      </c>
      <c r="BF52" s="78">
        <v>1</v>
      </c>
      <c r="BG52" s="78">
        <v>2</v>
      </c>
      <c r="BH52" s="137">
        <v>0.55681820000000004</v>
      </c>
      <c r="BJ52" s="143" t="s">
        <v>769</v>
      </c>
      <c r="BK52" s="143" t="s">
        <v>770</v>
      </c>
      <c r="BL52" s="143" t="s">
        <v>729</v>
      </c>
      <c r="BM52" s="143">
        <v>694</v>
      </c>
      <c r="BN52" s="78">
        <v>0</v>
      </c>
      <c r="BO52" s="78">
        <v>0</v>
      </c>
      <c r="BP52" s="78">
        <v>0</v>
      </c>
      <c r="BQ52" s="78">
        <v>0</v>
      </c>
      <c r="BR52" s="78">
        <v>0</v>
      </c>
      <c r="BS52" s="78">
        <v>3</v>
      </c>
      <c r="BT52" s="78">
        <v>0</v>
      </c>
      <c r="BU52" s="137">
        <v>0.13043479999999999</v>
      </c>
      <c r="BW52" s="143" t="s">
        <v>769</v>
      </c>
      <c r="BX52" s="143" t="s">
        <v>770</v>
      </c>
      <c r="BY52" s="143" t="s">
        <v>729</v>
      </c>
      <c r="BZ52" s="143">
        <v>694</v>
      </c>
      <c r="CA52" s="78">
        <v>1</v>
      </c>
      <c r="CB52" s="78">
        <v>1</v>
      </c>
      <c r="CC52" s="78">
        <v>0</v>
      </c>
      <c r="CD52" s="78">
        <v>2</v>
      </c>
      <c r="CE52" s="78">
        <v>0</v>
      </c>
      <c r="CF52" s="78">
        <v>2</v>
      </c>
      <c r="CG52" s="78">
        <v>1</v>
      </c>
      <c r="CH52" s="78">
        <v>2</v>
      </c>
      <c r="CI52" s="78">
        <v>1</v>
      </c>
      <c r="CJ52" s="78">
        <v>0</v>
      </c>
      <c r="CK52" s="137">
        <v>0.66666669999999995</v>
      </c>
      <c r="CM52" s="143" t="s">
        <v>769</v>
      </c>
      <c r="CN52" s="143" t="s">
        <v>770</v>
      </c>
      <c r="CO52" s="143" t="s">
        <v>729</v>
      </c>
      <c r="CP52" s="143">
        <v>694</v>
      </c>
      <c r="CQ52" s="78">
        <v>8</v>
      </c>
      <c r="CR52" s="78">
        <v>0</v>
      </c>
      <c r="CS52" s="78">
        <v>4</v>
      </c>
      <c r="CT52" s="78">
        <v>0</v>
      </c>
      <c r="CU52" s="78">
        <v>2</v>
      </c>
      <c r="CV52" s="78">
        <v>8</v>
      </c>
      <c r="CW52" s="137">
        <v>0.42307689999999998</v>
      </c>
      <c r="CY52" s="143" t="s">
        <v>769</v>
      </c>
      <c r="CZ52" s="143" t="s">
        <v>770</v>
      </c>
      <c r="DA52" s="143" t="s">
        <v>729</v>
      </c>
      <c r="DB52" s="143">
        <v>694</v>
      </c>
      <c r="DC52" s="78">
        <v>0</v>
      </c>
      <c r="DD52" s="137">
        <v>0</v>
      </c>
      <c r="DE52" s="137">
        <v>0</v>
      </c>
      <c r="DG52" s="143" t="s">
        <v>769</v>
      </c>
      <c r="DH52" s="143" t="s">
        <v>770</v>
      </c>
      <c r="DI52" s="143" t="s">
        <v>729</v>
      </c>
      <c r="DJ52" s="143">
        <v>694</v>
      </c>
      <c r="DK52" s="78">
        <v>0</v>
      </c>
      <c r="DL52" s="78">
        <v>1</v>
      </c>
      <c r="DM52" s="78">
        <v>0</v>
      </c>
      <c r="DN52" s="78">
        <v>5</v>
      </c>
      <c r="DO52" s="78">
        <v>0</v>
      </c>
      <c r="DP52" s="78">
        <v>1</v>
      </c>
      <c r="DQ52" s="78">
        <v>3</v>
      </c>
      <c r="DR52" s="78">
        <v>1</v>
      </c>
      <c r="DS52" s="78">
        <v>1</v>
      </c>
      <c r="DT52" s="78">
        <v>0</v>
      </c>
      <c r="DU52" s="78">
        <v>0</v>
      </c>
      <c r="DV52" s="137">
        <v>0.41379310000000002</v>
      </c>
      <c r="DX52" s="143" t="s">
        <v>769</v>
      </c>
      <c r="DY52" s="143" t="s">
        <v>770</v>
      </c>
      <c r="DZ52" s="143" t="s">
        <v>729</v>
      </c>
      <c r="EA52" s="143">
        <v>694</v>
      </c>
      <c r="EB52" s="78">
        <v>1</v>
      </c>
      <c r="EC52" s="78">
        <v>8</v>
      </c>
      <c r="ED52" s="78">
        <v>1</v>
      </c>
      <c r="EE52" s="78">
        <v>4</v>
      </c>
      <c r="EF52" s="78">
        <v>1</v>
      </c>
      <c r="EG52" s="78">
        <v>1</v>
      </c>
      <c r="EH52" s="78">
        <v>0</v>
      </c>
      <c r="EI52" s="78">
        <v>1</v>
      </c>
      <c r="EJ52" s="78">
        <v>1</v>
      </c>
      <c r="EK52" s="78">
        <v>0</v>
      </c>
      <c r="EL52" s="78">
        <v>0</v>
      </c>
      <c r="EM52" s="78">
        <v>1</v>
      </c>
      <c r="EN52" s="78">
        <v>0</v>
      </c>
      <c r="EO52" s="137">
        <v>0.70370370000000004</v>
      </c>
      <c r="EQ52" s="143" t="s">
        <v>769</v>
      </c>
      <c r="ER52" s="143" t="s">
        <v>770</v>
      </c>
      <c r="ES52" s="143" t="s">
        <v>729</v>
      </c>
      <c r="ET52" s="143">
        <v>694</v>
      </c>
      <c r="EU52" s="78">
        <v>0</v>
      </c>
      <c r="EV52" s="78">
        <v>0</v>
      </c>
      <c r="EW52" s="78">
        <v>0</v>
      </c>
      <c r="EX52" s="78">
        <v>0</v>
      </c>
      <c r="EY52" s="78">
        <v>0</v>
      </c>
      <c r="EZ52" s="78">
        <v>3</v>
      </c>
      <c r="FA52" s="78">
        <v>0</v>
      </c>
      <c r="FB52" s="78">
        <v>0</v>
      </c>
      <c r="FC52" s="137">
        <v>0.23076920000000001</v>
      </c>
      <c r="FE52" s="137">
        <v>0.34164220000000001</v>
      </c>
    </row>
    <row r="53" spans="1:161" x14ac:dyDescent="0.25">
      <c r="A53" s="143" t="s">
        <v>769</v>
      </c>
      <c r="B53" s="143" t="s">
        <v>770</v>
      </c>
      <c r="C53" s="143" t="s">
        <v>728</v>
      </c>
      <c r="D53" s="143">
        <v>701</v>
      </c>
      <c r="E53" s="78">
        <v>0</v>
      </c>
      <c r="F53" s="78">
        <v>2</v>
      </c>
      <c r="G53" s="78">
        <v>1</v>
      </c>
      <c r="H53" s="78">
        <v>4</v>
      </c>
      <c r="I53" s="78">
        <v>1</v>
      </c>
      <c r="J53" s="78">
        <v>0</v>
      </c>
      <c r="K53" s="78">
        <v>0</v>
      </c>
      <c r="L53" s="78">
        <v>0</v>
      </c>
      <c r="M53" s="78">
        <v>2</v>
      </c>
      <c r="N53" s="137">
        <v>0.71428570000000002</v>
      </c>
      <c r="P53" s="143" t="s">
        <v>769</v>
      </c>
      <c r="Q53" s="143" t="s">
        <v>770</v>
      </c>
      <c r="R53" s="143" t="s">
        <v>728</v>
      </c>
      <c r="S53" s="143">
        <v>701</v>
      </c>
      <c r="T53" s="78">
        <v>1</v>
      </c>
      <c r="U53" s="78">
        <v>1</v>
      </c>
      <c r="V53" s="78">
        <v>1.5</v>
      </c>
      <c r="W53" s="78">
        <v>0</v>
      </c>
      <c r="X53" s="78">
        <v>6</v>
      </c>
      <c r="Y53" s="78">
        <v>1</v>
      </c>
      <c r="Z53" s="78">
        <v>0</v>
      </c>
      <c r="AA53" s="78">
        <v>0</v>
      </c>
      <c r="AB53" s="78">
        <v>0</v>
      </c>
      <c r="AC53" s="78">
        <v>0</v>
      </c>
      <c r="AD53" s="137">
        <v>0.30882349999999997</v>
      </c>
      <c r="AF53" s="143" t="s">
        <v>769</v>
      </c>
      <c r="AG53" s="143" t="s">
        <v>770</v>
      </c>
      <c r="AH53" s="143" t="s">
        <v>728</v>
      </c>
      <c r="AI53" s="143">
        <v>701</v>
      </c>
      <c r="AJ53" s="78">
        <v>0</v>
      </c>
      <c r="AK53" s="78">
        <v>0</v>
      </c>
      <c r="AL53" s="78">
        <v>0</v>
      </c>
      <c r="AM53" s="78">
        <v>1</v>
      </c>
      <c r="AN53" s="78">
        <v>1</v>
      </c>
      <c r="AO53" s="78">
        <v>0</v>
      </c>
      <c r="AP53" s="78">
        <v>0</v>
      </c>
      <c r="AQ53" s="78">
        <v>1</v>
      </c>
      <c r="AR53" s="78">
        <v>0</v>
      </c>
      <c r="AS53" s="78">
        <v>0</v>
      </c>
      <c r="AT53" s="78">
        <v>0</v>
      </c>
      <c r="AU53" s="78">
        <v>0</v>
      </c>
      <c r="AV53" s="78">
        <v>0</v>
      </c>
      <c r="AW53" s="78">
        <v>0</v>
      </c>
      <c r="AX53" s="78">
        <v>0</v>
      </c>
      <c r="AY53" s="78">
        <v>1</v>
      </c>
      <c r="AZ53" s="78">
        <v>2</v>
      </c>
      <c r="BA53" s="78">
        <v>0.5</v>
      </c>
      <c r="BB53" s="78">
        <v>0</v>
      </c>
      <c r="BC53" s="78">
        <v>0.5</v>
      </c>
      <c r="BD53" s="78">
        <v>1</v>
      </c>
      <c r="BE53" s="78">
        <v>0.5</v>
      </c>
      <c r="BF53" s="78">
        <v>1</v>
      </c>
      <c r="BG53" s="78">
        <v>2</v>
      </c>
      <c r="BH53" s="137">
        <v>0.26136359999999997</v>
      </c>
      <c r="BJ53" s="143" t="s">
        <v>769</v>
      </c>
      <c r="BK53" s="143" t="s">
        <v>770</v>
      </c>
      <c r="BL53" s="143" t="s">
        <v>728</v>
      </c>
      <c r="BM53" s="143">
        <v>701</v>
      </c>
      <c r="BN53" s="78">
        <v>0</v>
      </c>
      <c r="BO53" s="78">
        <v>4</v>
      </c>
      <c r="BP53" s="78">
        <v>0</v>
      </c>
      <c r="BQ53" s="78">
        <v>0</v>
      </c>
      <c r="BR53" s="78">
        <v>0</v>
      </c>
      <c r="BS53" s="78">
        <v>0</v>
      </c>
      <c r="BT53" s="78">
        <v>0</v>
      </c>
      <c r="BU53" s="137">
        <v>0.17391300000000001</v>
      </c>
      <c r="BW53" s="143" t="s">
        <v>769</v>
      </c>
      <c r="BX53" s="143" t="s">
        <v>770</v>
      </c>
      <c r="BY53" s="143" t="s">
        <v>728</v>
      </c>
      <c r="BZ53" s="143">
        <v>701</v>
      </c>
      <c r="CM53" s="143" t="s">
        <v>769</v>
      </c>
      <c r="CN53" s="143" t="s">
        <v>770</v>
      </c>
      <c r="CO53" s="143" t="s">
        <v>728</v>
      </c>
      <c r="CP53" s="143">
        <v>701</v>
      </c>
      <c r="CQ53" s="78">
        <v>8</v>
      </c>
      <c r="CR53" s="78">
        <v>0</v>
      </c>
      <c r="CS53" s="78">
        <v>0</v>
      </c>
      <c r="CT53" s="78">
        <v>0</v>
      </c>
      <c r="CU53" s="78">
        <v>0</v>
      </c>
      <c r="CV53" s="78">
        <v>8</v>
      </c>
      <c r="CW53" s="137">
        <v>0.30769229999999997</v>
      </c>
      <c r="CY53" s="143" t="s">
        <v>769</v>
      </c>
      <c r="CZ53" s="143" t="s">
        <v>770</v>
      </c>
      <c r="DA53" s="143" t="s">
        <v>728</v>
      </c>
      <c r="DB53" s="143">
        <v>701</v>
      </c>
      <c r="DC53" s="78">
        <v>0</v>
      </c>
      <c r="DD53" s="137">
        <v>0</v>
      </c>
      <c r="DE53" s="137">
        <v>0</v>
      </c>
      <c r="DG53" s="143" t="s">
        <v>769</v>
      </c>
      <c r="DH53" s="143" t="s">
        <v>770</v>
      </c>
      <c r="DI53" s="143" t="s">
        <v>728</v>
      </c>
      <c r="DJ53" s="143">
        <v>701</v>
      </c>
      <c r="DK53" s="78">
        <v>2</v>
      </c>
      <c r="DL53" s="78">
        <v>1</v>
      </c>
      <c r="DM53" s="78">
        <v>0</v>
      </c>
      <c r="DN53" s="78">
        <v>5</v>
      </c>
      <c r="DO53" s="78">
        <v>2</v>
      </c>
      <c r="DP53" s="78">
        <v>3</v>
      </c>
      <c r="DQ53" s="78">
        <v>7</v>
      </c>
      <c r="DR53" s="78">
        <v>1</v>
      </c>
      <c r="DS53" s="78">
        <v>1</v>
      </c>
      <c r="DT53" s="78">
        <v>0</v>
      </c>
      <c r="DU53" s="78">
        <v>0</v>
      </c>
      <c r="DV53" s="137">
        <v>0.75862070000000004</v>
      </c>
      <c r="DX53" s="143" t="s">
        <v>769</v>
      </c>
      <c r="DY53" s="143" t="s">
        <v>770</v>
      </c>
      <c r="DZ53" s="143" t="s">
        <v>728</v>
      </c>
      <c r="EA53" s="143">
        <v>701</v>
      </c>
      <c r="EB53" s="78">
        <v>0</v>
      </c>
      <c r="EC53" s="78">
        <v>8</v>
      </c>
      <c r="ED53" s="78">
        <v>1</v>
      </c>
      <c r="EE53" s="78">
        <v>0</v>
      </c>
      <c r="EF53" s="78">
        <v>0</v>
      </c>
      <c r="EG53" s="78">
        <v>1</v>
      </c>
      <c r="EH53" s="78">
        <v>0</v>
      </c>
      <c r="EI53" s="78">
        <v>1</v>
      </c>
      <c r="EJ53" s="78">
        <v>1</v>
      </c>
      <c r="EK53" s="78">
        <v>1</v>
      </c>
      <c r="EL53" s="78">
        <v>4</v>
      </c>
      <c r="EM53" s="78">
        <v>1</v>
      </c>
      <c r="EN53" s="78">
        <v>1</v>
      </c>
      <c r="EO53" s="137">
        <v>0.70370370000000004</v>
      </c>
      <c r="EQ53" s="143" t="s">
        <v>769</v>
      </c>
      <c r="ER53" s="143" t="s">
        <v>770</v>
      </c>
      <c r="ES53" s="143" t="s">
        <v>728</v>
      </c>
      <c r="ET53" s="143">
        <v>701</v>
      </c>
      <c r="EU53" s="78">
        <v>0</v>
      </c>
      <c r="EV53" s="78">
        <v>0</v>
      </c>
      <c r="EW53" s="78">
        <v>0</v>
      </c>
      <c r="EX53" s="78">
        <v>0</v>
      </c>
      <c r="EY53" s="78">
        <v>0.5</v>
      </c>
      <c r="EZ53" s="78">
        <v>3</v>
      </c>
      <c r="FA53" s="78">
        <v>2</v>
      </c>
      <c r="FB53" s="78">
        <v>0</v>
      </c>
      <c r="FC53" s="137">
        <v>0.42307689999999998</v>
      </c>
      <c r="FE53" s="137">
        <v>0.3021472</v>
      </c>
    </row>
    <row r="54" spans="1:161" hidden="1" x14ac:dyDescent="0.25">
      <c r="A54" s="143" t="s">
        <v>769</v>
      </c>
      <c r="B54" s="143" t="s">
        <v>770</v>
      </c>
      <c r="C54" s="143" t="s">
        <v>727</v>
      </c>
      <c r="D54" s="143">
        <v>707</v>
      </c>
      <c r="E54" s="78">
        <v>0</v>
      </c>
      <c r="F54" s="78">
        <v>1.5</v>
      </c>
      <c r="G54" s="78">
        <v>0</v>
      </c>
      <c r="H54" s="78">
        <v>2</v>
      </c>
      <c r="I54" s="78">
        <v>1</v>
      </c>
      <c r="J54" s="78">
        <v>0</v>
      </c>
      <c r="K54" s="78">
        <v>0</v>
      </c>
      <c r="L54" s="78">
        <v>0</v>
      </c>
      <c r="M54" s="78">
        <v>2</v>
      </c>
      <c r="N54" s="137">
        <v>0.46428570000000002</v>
      </c>
      <c r="P54" s="143" t="s">
        <v>769</v>
      </c>
      <c r="Q54" s="143" t="s">
        <v>770</v>
      </c>
      <c r="R54" s="143" t="s">
        <v>727</v>
      </c>
      <c r="S54" s="143">
        <v>707</v>
      </c>
      <c r="T54" s="78">
        <v>1</v>
      </c>
      <c r="U54" s="78">
        <v>1</v>
      </c>
      <c r="V54" s="78">
        <v>1</v>
      </c>
      <c r="W54" s="78">
        <v>1</v>
      </c>
      <c r="X54" s="78">
        <v>9</v>
      </c>
      <c r="Y54" s="78">
        <v>1</v>
      </c>
      <c r="Z54" s="78">
        <v>0</v>
      </c>
      <c r="AA54" s="78">
        <v>0</v>
      </c>
      <c r="AB54" s="78">
        <v>0</v>
      </c>
      <c r="AC54" s="78">
        <v>0</v>
      </c>
      <c r="AD54" s="137">
        <v>0.41176469999999998</v>
      </c>
      <c r="AF54" s="143" t="s">
        <v>769</v>
      </c>
      <c r="AG54" s="143" t="s">
        <v>770</v>
      </c>
      <c r="AH54" s="143" t="s">
        <v>727</v>
      </c>
      <c r="AI54" s="143">
        <v>707</v>
      </c>
      <c r="AJ54" s="78">
        <v>1</v>
      </c>
      <c r="AK54" s="78">
        <v>0</v>
      </c>
      <c r="AL54" s="78">
        <v>1</v>
      </c>
      <c r="AM54" s="78">
        <v>0</v>
      </c>
      <c r="AN54" s="78">
        <v>1</v>
      </c>
      <c r="AO54" s="78">
        <v>0</v>
      </c>
      <c r="AP54" s="78">
        <v>1</v>
      </c>
      <c r="AQ54" s="78">
        <v>1</v>
      </c>
      <c r="AR54" s="78">
        <v>0</v>
      </c>
      <c r="AS54" s="78">
        <v>0</v>
      </c>
      <c r="AT54" s="78">
        <v>0</v>
      </c>
      <c r="AU54" s="78">
        <v>0</v>
      </c>
      <c r="AV54" s="78">
        <v>0</v>
      </c>
      <c r="AW54" s="78">
        <v>0</v>
      </c>
      <c r="AX54" s="78">
        <v>0</v>
      </c>
      <c r="AY54" s="78">
        <v>0</v>
      </c>
      <c r="AZ54" s="78">
        <v>0</v>
      </c>
      <c r="BA54" s="78">
        <v>0.5</v>
      </c>
      <c r="BB54" s="78">
        <v>0.5</v>
      </c>
      <c r="BC54" s="78">
        <v>0.5</v>
      </c>
      <c r="BD54" s="78">
        <v>1</v>
      </c>
      <c r="BE54" s="78">
        <v>0.5</v>
      </c>
      <c r="BF54" s="78">
        <v>0</v>
      </c>
      <c r="BG54" s="78">
        <v>2</v>
      </c>
      <c r="BH54" s="137">
        <v>0.22727269999999999</v>
      </c>
      <c r="BJ54" s="143" t="s">
        <v>769</v>
      </c>
      <c r="BK54" s="143" t="s">
        <v>770</v>
      </c>
      <c r="BL54" s="143" t="s">
        <v>727</v>
      </c>
      <c r="BM54" s="143">
        <v>707</v>
      </c>
      <c r="BN54" s="78">
        <v>1</v>
      </c>
      <c r="BO54" s="78">
        <v>4</v>
      </c>
      <c r="BP54" s="78">
        <v>0</v>
      </c>
      <c r="BQ54" s="78">
        <v>0</v>
      </c>
      <c r="BR54" s="78">
        <v>0</v>
      </c>
      <c r="BS54" s="78">
        <v>3</v>
      </c>
      <c r="BT54" s="78">
        <v>0</v>
      </c>
      <c r="BU54" s="137">
        <v>0.34782610000000003</v>
      </c>
      <c r="BW54" s="143" t="s">
        <v>769</v>
      </c>
      <c r="BX54" s="143" t="s">
        <v>770</v>
      </c>
      <c r="BY54" s="143" t="s">
        <v>727</v>
      </c>
      <c r="BZ54" s="143">
        <v>707</v>
      </c>
      <c r="CA54" s="78">
        <v>1</v>
      </c>
      <c r="CB54" s="78">
        <v>0</v>
      </c>
      <c r="CC54" s="78">
        <v>0</v>
      </c>
      <c r="CD54" s="78">
        <v>0</v>
      </c>
      <c r="CE54" s="78">
        <v>0</v>
      </c>
      <c r="CF54" s="78">
        <v>2</v>
      </c>
      <c r="CG54" s="78">
        <v>1</v>
      </c>
      <c r="CH54" s="78">
        <v>2</v>
      </c>
      <c r="CI54" s="78">
        <v>1</v>
      </c>
      <c r="CJ54" s="78">
        <v>0</v>
      </c>
      <c r="CK54" s="137">
        <v>0.46666669999999999</v>
      </c>
      <c r="CM54" s="143" t="s">
        <v>769</v>
      </c>
      <c r="CN54" s="143" t="s">
        <v>770</v>
      </c>
      <c r="CO54" s="143" t="s">
        <v>727</v>
      </c>
      <c r="CP54" s="143">
        <v>707</v>
      </c>
      <c r="CQ54" s="78">
        <v>2</v>
      </c>
      <c r="CR54" s="78">
        <v>0</v>
      </c>
      <c r="CS54" s="78">
        <v>4</v>
      </c>
      <c r="CT54" s="78">
        <v>0</v>
      </c>
      <c r="CU54" s="78">
        <v>2</v>
      </c>
      <c r="CV54" s="78">
        <v>8</v>
      </c>
      <c r="CW54" s="137">
        <v>0.30769229999999997</v>
      </c>
      <c r="CY54" s="143" t="s">
        <v>769</v>
      </c>
      <c r="CZ54" s="143" t="s">
        <v>770</v>
      </c>
      <c r="DA54" s="143" t="s">
        <v>727</v>
      </c>
      <c r="DB54" s="143">
        <v>707</v>
      </c>
      <c r="DC54" s="78">
        <v>0</v>
      </c>
      <c r="DD54" s="137">
        <v>0</v>
      </c>
      <c r="DE54" s="137">
        <v>0</v>
      </c>
      <c r="DG54" s="143" t="s">
        <v>769</v>
      </c>
      <c r="DH54" s="143" t="s">
        <v>770</v>
      </c>
      <c r="DI54" s="143" t="s">
        <v>727</v>
      </c>
      <c r="DJ54" s="143">
        <v>707</v>
      </c>
      <c r="DK54" s="78">
        <v>0</v>
      </c>
      <c r="DL54" s="78">
        <v>1</v>
      </c>
      <c r="DM54" s="78">
        <v>0</v>
      </c>
      <c r="DN54" s="78">
        <v>5</v>
      </c>
      <c r="DO54" s="78">
        <v>2</v>
      </c>
      <c r="DP54" s="78">
        <v>1</v>
      </c>
      <c r="DQ54" s="78">
        <v>3</v>
      </c>
      <c r="DR54" s="78">
        <v>1</v>
      </c>
      <c r="DS54" s="78">
        <v>1</v>
      </c>
      <c r="DT54" s="78">
        <v>0</v>
      </c>
      <c r="DU54" s="78">
        <v>0</v>
      </c>
      <c r="DV54" s="137">
        <v>0.48275859999999998</v>
      </c>
      <c r="DX54" s="143" t="s">
        <v>769</v>
      </c>
      <c r="DY54" s="143" t="s">
        <v>770</v>
      </c>
      <c r="DZ54" s="143" t="s">
        <v>727</v>
      </c>
      <c r="EA54" s="143">
        <v>707</v>
      </c>
      <c r="EB54" s="78">
        <v>1</v>
      </c>
      <c r="EC54" s="78">
        <v>8</v>
      </c>
      <c r="ED54" s="78">
        <v>1</v>
      </c>
      <c r="EE54" s="78">
        <v>4</v>
      </c>
      <c r="EF54" s="78">
        <v>1</v>
      </c>
      <c r="EG54" s="78">
        <v>1</v>
      </c>
      <c r="EH54" s="78">
        <v>2</v>
      </c>
      <c r="EI54" s="78">
        <v>1</v>
      </c>
      <c r="EJ54" s="78">
        <v>1</v>
      </c>
      <c r="EK54" s="78">
        <v>0</v>
      </c>
      <c r="EL54" s="78">
        <v>4</v>
      </c>
      <c r="EM54" s="78">
        <v>1</v>
      </c>
      <c r="EN54" s="78">
        <v>1</v>
      </c>
      <c r="EO54" s="137">
        <v>0.96296300000000001</v>
      </c>
      <c r="EQ54" s="143" t="s">
        <v>769</v>
      </c>
      <c r="ER54" s="143" t="s">
        <v>770</v>
      </c>
      <c r="ES54" s="143" t="s">
        <v>727</v>
      </c>
      <c r="ET54" s="143">
        <v>707</v>
      </c>
      <c r="EU54" s="78">
        <v>0</v>
      </c>
      <c r="EV54" s="78">
        <v>0</v>
      </c>
      <c r="EW54" s="78">
        <v>0</v>
      </c>
      <c r="EX54" s="78">
        <v>0</v>
      </c>
      <c r="EY54" s="78">
        <v>0</v>
      </c>
      <c r="EZ54" s="78">
        <v>3</v>
      </c>
      <c r="FA54" s="78">
        <v>2</v>
      </c>
      <c r="FB54" s="78">
        <v>0</v>
      </c>
      <c r="FC54" s="137">
        <v>0.3846154</v>
      </c>
      <c r="FE54" s="137">
        <v>0.3123167</v>
      </c>
    </row>
    <row r="55" spans="1:161" hidden="1" x14ac:dyDescent="0.25">
      <c r="A55" s="143" t="s">
        <v>769</v>
      </c>
      <c r="B55" s="143" t="s">
        <v>770</v>
      </c>
      <c r="C55" s="143" t="s">
        <v>727</v>
      </c>
      <c r="D55" s="143">
        <v>708</v>
      </c>
      <c r="E55" s="78">
        <v>0</v>
      </c>
      <c r="F55" s="78">
        <v>2</v>
      </c>
      <c r="G55" s="78">
        <v>0</v>
      </c>
      <c r="H55" s="78">
        <v>0</v>
      </c>
      <c r="I55" s="78">
        <v>1</v>
      </c>
      <c r="J55" s="78">
        <v>0</v>
      </c>
      <c r="K55" s="78">
        <v>0</v>
      </c>
      <c r="L55" s="78">
        <v>0</v>
      </c>
      <c r="M55" s="78">
        <v>2</v>
      </c>
      <c r="N55" s="137">
        <v>0.35714289999999999</v>
      </c>
      <c r="P55" s="143" t="s">
        <v>769</v>
      </c>
      <c r="Q55" s="143" t="s">
        <v>770</v>
      </c>
      <c r="R55" s="143" t="s">
        <v>727</v>
      </c>
      <c r="S55" s="143">
        <v>708</v>
      </c>
      <c r="T55" s="78">
        <v>1</v>
      </c>
      <c r="U55" s="78">
        <v>1</v>
      </c>
      <c r="V55" s="78">
        <v>1.5</v>
      </c>
      <c r="W55" s="78">
        <v>0</v>
      </c>
      <c r="X55" s="78">
        <v>6</v>
      </c>
      <c r="Y55" s="78">
        <v>1</v>
      </c>
      <c r="Z55" s="78">
        <v>0</v>
      </c>
      <c r="AA55" s="78">
        <v>0</v>
      </c>
      <c r="AB55" s="78">
        <v>0</v>
      </c>
      <c r="AC55" s="78">
        <v>0</v>
      </c>
      <c r="AD55" s="137">
        <v>0.30882349999999997</v>
      </c>
      <c r="AF55" s="143" t="s">
        <v>769</v>
      </c>
      <c r="AG55" s="143" t="s">
        <v>770</v>
      </c>
      <c r="AH55" s="143" t="s">
        <v>727</v>
      </c>
      <c r="AI55" s="143">
        <v>708</v>
      </c>
      <c r="AJ55" s="78">
        <v>1</v>
      </c>
      <c r="AK55" s="78">
        <v>0</v>
      </c>
      <c r="AL55" s="78">
        <v>1</v>
      </c>
      <c r="AM55" s="78">
        <v>1</v>
      </c>
      <c r="AN55" s="78">
        <v>1</v>
      </c>
      <c r="AO55" s="78">
        <v>0</v>
      </c>
      <c r="AP55" s="78">
        <v>0</v>
      </c>
      <c r="AQ55" s="78">
        <v>1</v>
      </c>
      <c r="AR55" s="78">
        <v>0</v>
      </c>
      <c r="AS55" s="78">
        <v>0</v>
      </c>
      <c r="AT55" s="78">
        <v>0</v>
      </c>
      <c r="AU55" s="78">
        <v>0</v>
      </c>
      <c r="AV55" s="78">
        <v>0</v>
      </c>
      <c r="AW55" s="78">
        <v>0</v>
      </c>
      <c r="AX55" s="78">
        <v>0</v>
      </c>
      <c r="AY55" s="78">
        <v>0</v>
      </c>
      <c r="AZ55" s="78">
        <v>2</v>
      </c>
      <c r="BA55" s="78">
        <v>0</v>
      </c>
      <c r="BB55" s="78">
        <v>0.5</v>
      </c>
      <c r="BC55" s="78">
        <v>0.5</v>
      </c>
      <c r="BD55" s="78">
        <v>1</v>
      </c>
      <c r="BE55" s="78">
        <v>0.5</v>
      </c>
      <c r="BF55" s="78">
        <v>0</v>
      </c>
      <c r="BG55" s="78">
        <v>2</v>
      </c>
      <c r="BH55" s="137">
        <v>0.26136359999999997</v>
      </c>
      <c r="BJ55" s="143" t="s">
        <v>769</v>
      </c>
      <c r="BK55" s="143" t="s">
        <v>770</v>
      </c>
      <c r="BL55" s="143" t="s">
        <v>727</v>
      </c>
      <c r="BM55" s="143">
        <v>708</v>
      </c>
      <c r="BN55" s="78">
        <v>0</v>
      </c>
      <c r="BO55" s="78">
        <v>0</v>
      </c>
      <c r="BP55" s="78">
        <v>0</v>
      </c>
      <c r="BQ55" s="78">
        <v>0</v>
      </c>
      <c r="BR55" s="78">
        <v>0</v>
      </c>
      <c r="BS55" s="78">
        <v>0</v>
      </c>
      <c r="BT55" s="78">
        <v>2</v>
      </c>
      <c r="BU55" s="137">
        <v>8.6956500000000006E-2</v>
      </c>
      <c r="BW55" s="143" t="s">
        <v>769</v>
      </c>
      <c r="BX55" s="143" t="s">
        <v>770</v>
      </c>
      <c r="BY55" s="143" t="s">
        <v>727</v>
      </c>
      <c r="BZ55" s="143">
        <v>708</v>
      </c>
      <c r="CA55" s="78">
        <v>1</v>
      </c>
      <c r="CB55" s="78">
        <v>1</v>
      </c>
      <c r="CC55" s="78">
        <v>1</v>
      </c>
      <c r="CD55" s="78">
        <v>2</v>
      </c>
      <c r="CE55" s="78">
        <v>1</v>
      </c>
      <c r="CF55" s="78">
        <v>2</v>
      </c>
      <c r="CG55" s="78">
        <v>1</v>
      </c>
      <c r="CH55" s="78">
        <v>2</v>
      </c>
      <c r="CI55" s="78">
        <v>1</v>
      </c>
      <c r="CJ55" s="78">
        <v>0</v>
      </c>
      <c r="CK55" s="137">
        <v>0.8</v>
      </c>
      <c r="CM55" s="143" t="s">
        <v>769</v>
      </c>
      <c r="CN55" s="143" t="s">
        <v>770</v>
      </c>
      <c r="CO55" s="143" t="s">
        <v>727</v>
      </c>
      <c r="CP55" s="143">
        <v>708</v>
      </c>
      <c r="CQ55" s="78">
        <v>2</v>
      </c>
      <c r="CR55" s="78">
        <v>0</v>
      </c>
      <c r="CS55" s="78">
        <v>4</v>
      </c>
      <c r="CT55" s="78">
        <v>0</v>
      </c>
      <c r="CU55" s="78">
        <v>0</v>
      </c>
      <c r="CV55" s="78">
        <v>8</v>
      </c>
      <c r="CW55" s="137">
        <v>0.26923079999999999</v>
      </c>
      <c r="CY55" s="143" t="s">
        <v>769</v>
      </c>
      <c r="CZ55" s="143" t="s">
        <v>770</v>
      </c>
      <c r="DA55" s="143" t="s">
        <v>727</v>
      </c>
      <c r="DB55" s="143">
        <v>708</v>
      </c>
      <c r="DC55" s="78">
        <v>0</v>
      </c>
      <c r="DD55" s="137">
        <v>0</v>
      </c>
      <c r="DE55" s="137">
        <v>0</v>
      </c>
      <c r="DG55" s="143" t="s">
        <v>769</v>
      </c>
      <c r="DH55" s="143" t="s">
        <v>770</v>
      </c>
      <c r="DI55" s="143" t="s">
        <v>727</v>
      </c>
      <c r="DJ55" s="143">
        <v>708</v>
      </c>
      <c r="DK55" s="78">
        <v>0</v>
      </c>
      <c r="DL55" s="78">
        <v>0</v>
      </c>
      <c r="DM55" s="78">
        <v>0</v>
      </c>
      <c r="DN55" s="78">
        <v>1</v>
      </c>
      <c r="DO55" s="78">
        <v>2</v>
      </c>
      <c r="DP55" s="78">
        <v>0</v>
      </c>
      <c r="DQ55" s="78">
        <v>1</v>
      </c>
      <c r="DR55" s="78">
        <v>0</v>
      </c>
      <c r="DS55" s="78">
        <v>1</v>
      </c>
      <c r="DT55" s="78">
        <v>0</v>
      </c>
      <c r="DU55" s="78">
        <v>0</v>
      </c>
      <c r="DV55" s="137">
        <v>0.17241380000000001</v>
      </c>
      <c r="DX55" s="143" t="s">
        <v>769</v>
      </c>
      <c r="DY55" s="143" t="s">
        <v>770</v>
      </c>
      <c r="DZ55" s="143" t="s">
        <v>727</v>
      </c>
      <c r="EA55" s="143">
        <v>708</v>
      </c>
      <c r="EB55" s="78">
        <v>1</v>
      </c>
      <c r="EC55" s="78">
        <v>8</v>
      </c>
      <c r="ED55" s="78">
        <v>1</v>
      </c>
      <c r="EE55" s="78">
        <v>0</v>
      </c>
      <c r="EF55" s="78">
        <v>1</v>
      </c>
      <c r="EG55" s="78">
        <v>1</v>
      </c>
      <c r="EH55" s="78">
        <v>0</v>
      </c>
      <c r="EI55" s="78">
        <v>1</v>
      </c>
      <c r="EJ55" s="78">
        <v>1</v>
      </c>
      <c r="EK55" s="78">
        <v>0</v>
      </c>
      <c r="EL55" s="78">
        <v>4</v>
      </c>
      <c r="EM55" s="78">
        <v>1</v>
      </c>
      <c r="EN55" s="78">
        <v>1</v>
      </c>
      <c r="EO55" s="137">
        <v>0.74074070000000003</v>
      </c>
      <c r="EQ55" s="143" t="s">
        <v>769</v>
      </c>
      <c r="ER55" s="143" t="s">
        <v>770</v>
      </c>
      <c r="ES55" s="143" t="s">
        <v>727</v>
      </c>
      <c r="ET55" s="143">
        <v>708</v>
      </c>
      <c r="EU55" s="78">
        <v>0</v>
      </c>
      <c r="EV55" s="78">
        <v>0</v>
      </c>
      <c r="EW55" s="78">
        <v>0</v>
      </c>
      <c r="EX55" s="78">
        <v>0</v>
      </c>
      <c r="EY55" s="78">
        <v>0</v>
      </c>
      <c r="EZ55" s="78">
        <v>3</v>
      </c>
      <c r="FA55" s="78">
        <v>2</v>
      </c>
      <c r="FB55" s="78">
        <v>0</v>
      </c>
      <c r="FC55" s="137">
        <v>0.3846154</v>
      </c>
      <c r="FE55" s="137">
        <v>0.24926690000000001</v>
      </c>
    </row>
    <row r="56" spans="1:161" x14ac:dyDescent="0.25">
      <c r="A56" s="143" t="s">
        <v>769</v>
      </c>
      <c r="B56" s="143" t="s">
        <v>770</v>
      </c>
      <c r="C56" s="143" t="s">
        <v>728</v>
      </c>
      <c r="D56" s="143">
        <v>1847</v>
      </c>
      <c r="E56" s="78">
        <v>0</v>
      </c>
      <c r="F56" s="78">
        <v>1.5</v>
      </c>
      <c r="G56" s="78">
        <v>0</v>
      </c>
      <c r="H56" s="78">
        <v>0</v>
      </c>
      <c r="I56" s="78">
        <v>0</v>
      </c>
      <c r="J56" s="78">
        <v>0</v>
      </c>
      <c r="K56" s="78">
        <v>0</v>
      </c>
      <c r="L56" s="78">
        <v>0</v>
      </c>
      <c r="M56" s="78">
        <v>0</v>
      </c>
      <c r="N56" s="137">
        <v>0.1071429</v>
      </c>
      <c r="P56" s="143" t="s">
        <v>769</v>
      </c>
      <c r="Q56" s="143" t="s">
        <v>770</v>
      </c>
      <c r="R56" s="143" t="s">
        <v>728</v>
      </c>
      <c r="S56" s="143">
        <v>1847</v>
      </c>
      <c r="T56" s="78">
        <v>1</v>
      </c>
      <c r="U56" s="78">
        <v>1</v>
      </c>
      <c r="V56" s="78">
        <v>1</v>
      </c>
      <c r="W56" s="78">
        <v>0</v>
      </c>
      <c r="X56" s="78">
        <v>9</v>
      </c>
      <c r="Y56" s="78">
        <v>1</v>
      </c>
      <c r="Z56" s="78">
        <v>3</v>
      </c>
      <c r="AA56" s="78">
        <v>0</v>
      </c>
      <c r="AB56" s="78">
        <v>0</v>
      </c>
      <c r="AC56" s="78">
        <v>3</v>
      </c>
      <c r="AD56" s="137">
        <v>0.55882350000000003</v>
      </c>
      <c r="AF56" s="143" t="s">
        <v>769</v>
      </c>
      <c r="AG56" s="143" t="s">
        <v>770</v>
      </c>
      <c r="AH56" s="143" t="s">
        <v>728</v>
      </c>
      <c r="AI56" s="143">
        <v>1847</v>
      </c>
      <c r="AJ56" s="78">
        <v>1</v>
      </c>
      <c r="AK56" s="78">
        <v>0</v>
      </c>
      <c r="AL56" s="78">
        <v>0</v>
      </c>
      <c r="AM56" s="78">
        <v>5</v>
      </c>
      <c r="AN56" s="78">
        <v>1</v>
      </c>
      <c r="AO56" s="78">
        <v>2</v>
      </c>
      <c r="AP56" s="78">
        <v>1</v>
      </c>
      <c r="AQ56" s="78">
        <v>1</v>
      </c>
      <c r="AR56" s="78">
        <v>2</v>
      </c>
      <c r="AS56" s="78">
        <v>0</v>
      </c>
      <c r="AT56" s="78">
        <v>0</v>
      </c>
      <c r="AU56" s="78">
        <v>0</v>
      </c>
      <c r="AV56" s="78">
        <v>0</v>
      </c>
      <c r="AW56" s="78">
        <v>0</v>
      </c>
      <c r="AX56" s="78">
        <v>0</v>
      </c>
      <c r="AY56" s="78">
        <v>0</v>
      </c>
      <c r="AZ56" s="78">
        <v>2</v>
      </c>
      <c r="BA56" s="78">
        <v>0.5</v>
      </c>
      <c r="BB56" s="78">
        <v>0.5</v>
      </c>
      <c r="BC56" s="78">
        <v>0.5</v>
      </c>
      <c r="BD56" s="78">
        <v>1</v>
      </c>
      <c r="BE56" s="78">
        <v>0.5</v>
      </c>
      <c r="BF56" s="78">
        <v>0</v>
      </c>
      <c r="BG56" s="78">
        <v>6</v>
      </c>
      <c r="BH56" s="137">
        <v>0.54545460000000001</v>
      </c>
      <c r="BJ56" s="143" t="s">
        <v>769</v>
      </c>
      <c r="BK56" s="143" t="s">
        <v>770</v>
      </c>
      <c r="BL56" s="143" t="s">
        <v>728</v>
      </c>
      <c r="BM56" s="143">
        <v>1847</v>
      </c>
      <c r="BN56" s="78">
        <v>1</v>
      </c>
      <c r="BO56" s="78">
        <v>4</v>
      </c>
      <c r="BP56" s="78">
        <v>7</v>
      </c>
      <c r="BQ56" s="78">
        <v>0</v>
      </c>
      <c r="BR56" s="78">
        <v>0</v>
      </c>
      <c r="BS56" s="78">
        <v>3</v>
      </c>
      <c r="BT56" s="78">
        <v>2</v>
      </c>
      <c r="BU56" s="137">
        <v>0.73913039999999997</v>
      </c>
      <c r="BW56" s="143" t="s">
        <v>769</v>
      </c>
      <c r="BX56" s="143" t="s">
        <v>770</v>
      </c>
      <c r="BY56" s="143" t="s">
        <v>728</v>
      </c>
      <c r="BZ56" s="143">
        <v>1847</v>
      </c>
      <c r="CM56" s="143" t="s">
        <v>769</v>
      </c>
      <c r="CN56" s="143" t="s">
        <v>770</v>
      </c>
      <c r="CO56" s="143" t="s">
        <v>728</v>
      </c>
      <c r="CP56" s="143">
        <v>1847</v>
      </c>
      <c r="CQ56" s="78">
        <v>8</v>
      </c>
      <c r="CR56" s="78">
        <v>0</v>
      </c>
      <c r="CS56" s="78">
        <v>0</v>
      </c>
      <c r="CT56" s="78">
        <v>4</v>
      </c>
      <c r="CU56" s="78">
        <v>0</v>
      </c>
      <c r="CV56" s="78">
        <v>8</v>
      </c>
      <c r="CW56" s="137">
        <v>0.3846154</v>
      </c>
      <c r="CY56" s="143" t="s">
        <v>769</v>
      </c>
      <c r="CZ56" s="143" t="s">
        <v>770</v>
      </c>
      <c r="DA56" s="143" t="s">
        <v>728</v>
      </c>
      <c r="DB56" s="143">
        <v>1847</v>
      </c>
      <c r="DC56" s="78">
        <v>0</v>
      </c>
      <c r="DD56" s="137">
        <v>0</v>
      </c>
      <c r="DE56" s="137">
        <v>0</v>
      </c>
      <c r="DG56" s="143" t="s">
        <v>769</v>
      </c>
      <c r="DH56" s="143" t="s">
        <v>770</v>
      </c>
      <c r="DI56" s="143" t="s">
        <v>728</v>
      </c>
      <c r="DJ56" s="143">
        <v>1847</v>
      </c>
      <c r="DK56" s="78">
        <v>2</v>
      </c>
      <c r="DL56" s="78">
        <v>1</v>
      </c>
      <c r="DM56" s="78">
        <v>0</v>
      </c>
      <c r="DN56" s="78">
        <v>5</v>
      </c>
      <c r="DO56" s="78">
        <v>2</v>
      </c>
      <c r="DP56" s="78">
        <v>3</v>
      </c>
      <c r="DQ56" s="78">
        <v>5</v>
      </c>
      <c r="DR56" s="78">
        <v>0</v>
      </c>
      <c r="DS56" s="78">
        <v>1</v>
      </c>
      <c r="DT56" s="78">
        <v>0</v>
      </c>
      <c r="DU56" s="78">
        <v>0</v>
      </c>
      <c r="DV56" s="137">
        <v>0.65517239999999999</v>
      </c>
      <c r="DX56" s="143" t="s">
        <v>769</v>
      </c>
      <c r="DY56" s="143" t="s">
        <v>770</v>
      </c>
      <c r="DZ56" s="143" t="s">
        <v>728</v>
      </c>
      <c r="EA56" s="143">
        <v>1847</v>
      </c>
      <c r="EB56" s="78">
        <v>1</v>
      </c>
      <c r="EC56" s="78">
        <v>8</v>
      </c>
      <c r="ED56" s="78">
        <v>1</v>
      </c>
      <c r="EE56" s="78">
        <v>4</v>
      </c>
      <c r="EF56" s="78">
        <v>1</v>
      </c>
      <c r="EG56" s="78">
        <v>1</v>
      </c>
      <c r="EH56" s="78">
        <v>0</v>
      </c>
      <c r="EI56" s="78">
        <v>1</v>
      </c>
      <c r="EJ56" s="78">
        <v>1</v>
      </c>
      <c r="EK56" s="78">
        <v>1</v>
      </c>
      <c r="EL56" s="78">
        <v>4</v>
      </c>
      <c r="EM56" s="78">
        <v>1</v>
      </c>
      <c r="EN56" s="78">
        <v>1</v>
      </c>
      <c r="EO56" s="137">
        <v>0.92592589999999997</v>
      </c>
      <c r="EQ56" s="143" t="s">
        <v>769</v>
      </c>
      <c r="ER56" s="143" t="s">
        <v>770</v>
      </c>
      <c r="ES56" s="143" t="s">
        <v>728</v>
      </c>
      <c r="ET56" s="143">
        <v>1847</v>
      </c>
      <c r="EU56" s="78">
        <v>0</v>
      </c>
      <c r="EV56" s="78">
        <v>0</v>
      </c>
      <c r="EW56" s="78">
        <v>0</v>
      </c>
      <c r="EX56" s="78">
        <v>0</v>
      </c>
      <c r="EY56" s="78">
        <v>0.5</v>
      </c>
      <c r="EZ56" s="78">
        <v>3</v>
      </c>
      <c r="FA56" s="78">
        <v>2</v>
      </c>
      <c r="FB56" s="78">
        <v>1</v>
      </c>
      <c r="FC56" s="137">
        <v>0.5</v>
      </c>
      <c r="FE56" s="137">
        <v>0.40490799999999999</v>
      </c>
    </row>
    <row r="57" spans="1:161" x14ac:dyDescent="0.25">
      <c r="A57" s="143" t="s">
        <v>769</v>
      </c>
      <c r="B57" s="143" t="s">
        <v>770</v>
      </c>
      <c r="C57" s="143" t="s">
        <v>728</v>
      </c>
      <c r="D57" s="143">
        <v>2109</v>
      </c>
      <c r="E57" s="78">
        <v>0</v>
      </c>
      <c r="F57" s="78">
        <v>1</v>
      </c>
      <c r="G57" s="78">
        <v>1</v>
      </c>
      <c r="H57" s="78">
        <v>3</v>
      </c>
      <c r="I57" s="78">
        <v>1</v>
      </c>
      <c r="J57" s="78">
        <v>0</v>
      </c>
      <c r="K57" s="78">
        <v>0</v>
      </c>
      <c r="L57" s="78">
        <v>0</v>
      </c>
      <c r="M57" s="78">
        <v>2</v>
      </c>
      <c r="N57" s="137">
        <v>0.57142859999999995</v>
      </c>
      <c r="P57" s="143" t="s">
        <v>769</v>
      </c>
      <c r="Q57" s="143" t="s">
        <v>770</v>
      </c>
      <c r="R57" s="143" t="s">
        <v>728</v>
      </c>
      <c r="S57" s="143">
        <v>2109</v>
      </c>
      <c r="T57" s="78">
        <v>1</v>
      </c>
      <c r="U57" s="78">
        <v>1</v>
      </c>
      <c r="V57" s="78">
        <v>0</v>
      </c>
      <c r="W57" s="78">
        <v>0</v>
      </c>
      <c r="X57" s="78">
        <v>0</v>
      </c>
      <c r="Y57" s="78">
        <v>1</v>
      </c>
      <c r="Z57" s="78">
        <v>0</v>
      </c>
      <c r="AA57" s="78">
        <v>0</v>
      </c>
      <c r="AB57" s="78">
        <v>0</v>
      </c>
      <c r="AC57" s="78">
        <v>0</v>
      </c>
      <c r="AD57" s="137">
        <v>8.8235300000000003E-2</v>
      </c>
      <c r="AF57" s="143" t="s">
        <v>769</v>
      </c>
      <c r="AG57" s="143" t="s">
        <v>770</v>
      </c>
      <c r="AH57" s="143" t="s">
        <v>728</v>
      </c>
      <c r="AI57" s="143">
        <v>2109</v>
      </c>
      <c r="AJ57" s="78">
        <v>0</v>
      </c>
      <c r="AK57" s="78">
        <v>0</v>
      </c>
      <c r="AL57" s="78">
        <v>0</v>
      </c>
      <c r="AM57" s="78">
        <v>0</v>
      </c>
      <c r="AN57" s="78">
        <v>0</v>
      </c>
      <c r="AO57" s="78">
        <v>2</v>
      </c>
      <c r="AP57" s="78">
        <v>1</v>
      </c>
      <c r="AQ57" s="78">
        <v>1</v>
      </c>
      <c r="AR57" s="78">
        <v>0</v>
      </c>
      <c r="AS57" s="78">
        <v>0</v>
      </c>
      <c r="AT57" s="78">
        <v>0</v>
      </c>
      <c r="AU57" s="78">
        <v>0</v>
      </c>
      <c r="AV57" s="78">
        <v>0</v>
      </c>
      <c r="AW57" s="78">
        <v>0</v>
      </c>
      <c r="AX57" s="78">
        <v>0</v>
      </c>
      <c r="AY57" s="78">
        <v>1</v>
      </c>
      <c r="AZ57" s="78">
        <v>0</v>
      </c>
      <c r="BA57" s="78">
        <v>0.5</v>
      </c>
      <c r="BB57" s="78">
        <v>0.5</v>
      </c>
      <c r="BC57" s="78">
        <v>0.5</v>
      </c>
      <c r="BD57" s="78">
        <v>1</v>
      </c>
      <c r="BE57" s="78">
        <v>0.5</v>
      </c>
      <c r="BF57" s="78">
        <v>0</v>
      </c>
      <c r="BG57" s="78">
        <v>8</v>
      </c>
      <c r="BH57" s="137">
        <v>0.36363640000000003</v>
      </c>
      <c r="BJ57" s="143" t="s">
        <v>769</v>
      </c>
      <c r="BK57" s="143" t="s">
        <v>770</v>
      </c>
      <c r="BL57" s="143" t="s">
        <v>728</v>
      </c>
      <c r="BM57" s="143">
        <v>2109</v>
      </c>
      <c r="BN57" s="78">
        <v>0</v>
      </c>
      <c r="BO57" s="78">
        <v>0</v>
      </c>
      <c r="BP57" s="78">
        <v>0</v>
      </c>
      <c r="BQ57" s="78">
        <v>0</v>
      </c>
      <c r="BR57" s="78">
        <v>0</v>
      </c>
      <c r="BS57" s="78">
        <v>0</v>
      </c>
      <c r="BT57" s="78">
        <v>2</v>
      </c>
      <c r="BU57" s="137">
        <v>8.6956500000000006E-2</v>
      </c>
      <c r="BW57" s="143" t="s">
        <v>769</v>
      </c>
      <c r="BX57" s="143" t="s">
        <v>770</v>
      </c>
      <c r="BY57" s="143" t="s">
        <v>728</v>
      </c>
      <c r="BZ57" s="143">
        <v>2109</v>
      </c>
      <c r="CA57" s="78">
        <v>1</v>
      </c>
      <c r="CB57" s="78">
        <v>0</v>
      </c>
      <c r="CC57" s="78">
        <v>1</v>
      </c>
      <c r="CD57" s="78">
        <v>2</v>
      </c>
      <c r="CE57" s="78">
        <v>0</v>
      </c>
      <c r="CF57" s="78">
        <v>2</v>
      </c>
      <c r="CG57" s="78">
        <v>1</v>
      </c>
      <c r="CH57" s="78">
        <v>0</v>
      </c>
      <c r="CI57" s="78">
        <v>1</v>
      </c>
      <c r="CJ57" s="78">
        <v>0</v>
      </c>
      <c r="CK57" s="137">
        <v>0.53333339999999996</v>
      </c>
      <c r="CM57" s="143" t="s">
        <v>769</v>
      </c>
      <c r="CN57" s="143" t="s">
        <v>770</v>
      </c>
      <c r="CO57" s="143" t="s">
        <v>728</v>
      </c>
      <c r="CP57" s="143">
        <v>2109</v>
      </c>
      <c r="CQ57" s="78">
        <v>8</v>
      </c>
      <c r="CR57" s="78">
        <v>0</v>
      </c>
      <c r="CS57" s="78">
        <v>12</v>
      </c>
      <c r="CT57" s="78">
        <v>0</v>
      </c>
      <c r="CU57" s="78">
        <v>0</v>
      </c>
      <c r="CV57" s="78">
        <v>8</v>
      </c>
      <c r="CW57" s="137">
        <v>0.53846159999999998</v>
      </c>
      <c r="CY57" s="143" t="s">
        <v>769</v>
      </c>
      <c r="CZ57" s="143" t="s">
        <v>770</v>
      </c>
      <c r="DA57" s="143" t="s">
        <v>728</v>
      </c>
      <c r="DB57" s="143">
        <v>2109</v>
      </c>
      <c r="DC57" s="78">
        <v>0</v>
      </c>
      <c r="DD57" s="137">
        <v>0</v>
      </c>
      <c r="DE57" s="137">
        <v>0</v>
      </c>
      <c r="DG57" s="143" t="s">
        <v>769</v>
      </c>
      <c r="DH57" s="143" t="s">
        <v>770</v>
      </c>
      <c r="DI57" s="143" t="s">
        <v>728</v>
      </c>
      <c r="DJ57" s="143">
        <v>2109</v>
      </c>
      <c r="DK57" s="78">
        <v>2</v>
      </c>
      <c r="DL57" s="78">
        <v>1</v>
      </c>
      <c r="DM57" s="78">
        <v>0</v>
      </c>
      <c r="DN57" s="78">
        <v>4</v>
      </c>
      <c r="DO57" s="78">
        <v>2</v>
      </c>
      <c r="DP57" s="78">
        <v>3</v>
      </c>
      <c r="DQ57" s="78">
        <v>4</v>
      </c>
      <c r="DR57" s="78">
        <v>1</v>
      </c>
      <c r="DS57" s="78">
        <v>0</v>
      </c>
      <c r="DT57" s="78">
        <v>0</v>
      </c>
      <c r="DU57" s="78">
        <v>0</v>
      </c>
      <c r="DV57" s="137">
        <v>0.58620689999999998</v>
      </c>
      <c r="DX57" s="143" t="s">
        <v>769</v>
      </c>
      <c r="DY57" s="143" t="s">
        <v>770</v>
      </c>
      <c r="DZ57" s="143" t="s">
        <v>728</v>
      </c>
      <c r="EA57" s="143">
        <v>2109</v>
      </c>
      <c r="EB57" s="78">
        <v>0</v>
      </c>
      <c r="EC57" s="78">
        <v>8</v>
      </c>
      <c r="ED57" s="78">
        <v>0</v>
      </c>
      <c r="EE57" s="78">
        <v>4</v>
      </c>
      <c r="EF57" s="78">
        <v>1</v>
      </c>
      <c r="EG57" s="78">
        <v>1</v>
      </c>
      <c r="EH57" s="78">
        <v>0</v>
      </c>
      <c r="EI57" s="78">
        <v>1</v>
      </c>
      <c r="EJ57" s="78">
        <v>1</v>
      </c>
      <c r="EK57" s="78">
        <v>1</v>
      </c>
      <c r="EL57" s="78">
        <v>4</v>
      </c>
      <c r="EM57" s="78">
        <v>0</v>
      </c>
      <c r="EN57" s="78">
        <v>1</v>
      </c>
      <c r="EO57" s="137">
        <v>0.81481479999999995</v>
      </c>
      <c r="EQ57" s="143" t="s">
        <v>769</v>
      </c>
      <c r="ER57" s="143" t="s">
        <v>770</v>
      </c>
      <c r="ES57" s="143" t="s">
        <v>728</v>
      </c>
      <c r="ET57" s="143">
        <v>2109</v>
      </c>
      <c r="EU57" s="78">
        <v>0</v>
      </c>
      <c r="EV57" s="78">
        <v>0</v>
      </c>
      <c r="EW57" s="78">
        <v>0</v>
      </c>
      <c r="EX57" s="78">
        <v>0</v>
      </c>
      <c r="EY57" s="78">
        <v>0.5</v>
      </c>
      <c r="EZ57" s="78">
        <v>3</v>
      </c>
      <c r="FA57" s="78">
        <v>2</v>
      </c>
      <c r="FB57" s="78">
        <v>1</v>
      </c>
      <c r="FC57" s="137">
        <v>0.5</v>
      </c>
      <c r="FE57" s="137">
        <v>0.32404690000000003</v>
      </c>
    </row>
    <row r="58" spans="1:161" x14ac:dyDescent="0.25">
      <c r="A58" s="143" t="s">
        <v>769</v>
      </c>
      <c r="B58" s="143" t="s">
        <v>770</v>
      </c>
      <c r="C58" s="143" t="s">
        <v>728</v>
      </c>
      <c r="D58" s="143">
        <v>2443</v>
      </c>
      <c r="E58" s="78">
        <v>0</v>
      </c>
      <c r="F58" s="78">
        <v>1.5</v>
      </c>
      <c r="G58" s="78">
        <v>1</v>
      </c>
      <c r="H58" s="78">
        <v>4</v>
      </c>
      <c r="I58" s="78">
        <v>0</v>
      </c>
      <c r="J58" s="78">
        <v>0</v>
      </c>
      <c r="K58" s="78">
        <v>0</v>
      </c>
      <c r="L58" s="78">
        <v>0</v>
      </c>
      <c r="M58" s="78">
        <v>2</v>
      </c>
      <c r="N58" s="137">
        <v>0.60714290000000004</v>
      </c>
      <c r="P58" s="143" t="s">
        <v>769</v>
      </c>
      <c r="Q58" s="143" t="s">
        <v>770</v>
      </c>
      <c r="R58" s="143" t="s">
        <v>728</v>
      </c>
      <c r="S58" s="143">
        <v>2443</v>
      </c>
      <c r="T58" s="78">
        <v>1</v>
      </c>
      <c r="U58" s="78">
        <v>1</v>
      </c>
      <c r="V58" s="78">
        <v>1.5</v>
      </c>
      <c r="W58" s="78">
        <v>2</v>
      </c>
      <c r="X58" s="78">
        <v>3</v>
      </c>
      <c r="Y58" s="78">
        <v>1</v>
      </c>
      <c r="Z58" s="78">
        <v>0</v>
      </c>
      <c r="AA58" s="78">
        <v>2</v>
      </c>
      <c r="AB58" s="78">
        <v>0</v>
      </c>
      <c r="AC58" s="78">
        <v>0</v>
      </c>
      <c r="AD58" s="137">
        <v>0.33823530000000002</v>
      </c>
      <c r="AF58" s="143" t="s">
        <v>769</v>
      </c>
      <c r="AG58" s="143" t="s">
        <v>770</v>
      </c>
      <c r="AH58" s="143" t="s">
        <v>728</v>
      </c>
      <c r="AI58" s="143">
        <v>2443</v>
      </c>
      <c r="AJ58" s="78">
        <v>1</v>
      </c>
      <c r="AK58" s="78">
        <v>0</v>
      </c>
      <c r="AL58" s="78">
        <v>0</v>
      </c>
      <c r="AM58" s="78">
        <v>1</v>
      </c>
      <c r="AN58" s="78">
        <v>1</v>
      </c>
      <c r="AO58" s="78">
        <v>0</v>
      </c>
      <c r="AP58" s="78">
        <v>1</v>
      </c>
      <c r="AQ58" s="78">
        <v>1</v>
      </c>
      <c r="AR58" s="78">
        <v>2</v>
      </c>
      <c r="AS58" s="78">
        <v>0</v>
      </c>
      <c r="AT58" s="78">
        <v>0</v>
      </c>
      <c r="AU58" s="78">
        <v>0</v>
      </c>
      <c r="AV58" s="78">
        <v>0</v>
      </c>
      <c r="AW58" s="78">
        <v>0</v>
      </c>
      <c r="AX58" s="78">
        <v>0</v>
      </c>
      <c r="AY58" s="78">
        <v>1</v>
      </c>
      <c r="AZ58" s="78">
        <v>0</v>
      </c>
      <c r="BA58" s="78">
        <v>0.5</v>
      </c>
      <c r="BB58" s="78">
        <v>0.5</v>
      </c>
      <c r="BC58" s="78">
        <v>0.5</v>
      </c>
      <c r="BD58" s="78">
        <v>1</v>
      </c>
      <c r="BE58" s="78">
        <v>0</v>
      </c>
      <c r="BF58" s="78">
        <v>0</v>
      </c>
      <c r="BG58" s="78">
        <v>2</v>
      </c>
      <c r="BH58" s="137">
        <v>0.28409089999999998</v>
      </c>
      <c r="BJ58" s="143" t="s">
        <v>769</v>
      </c>
      <c r="BK58" s="143" t="s">
        <v>770</v>
      </c>
      <c r="BL58" s="143" t="s">
        <v>728</v>
      </c>
      <c r="BM58" s="143">
        <v>2443</v>
      </c>
      <c r="BN58" s="78">
        <v>1</v>
      </c>
      <c r="BO58" s="78">
        <v>4</v>
      </c>
      <c r="BP58" s="78">
        <v>7</v>
      </c>
      <c r="BQ58" s="78">
        <v>3</v>
      </c>
      <c r="BR58" s="78">
        <v>0</v>
      </c>
      <c r="BS58" s="78">
        <v>3</v>
      </c>
      <c r="BT58" s="78">
        <v>2</v>
      </c>
      <c r="BU58" s="137">
        <v>0.86956520000000004</v>
      </c>
      <c r="BW58" s="143" t="s">
        <v>769</v>
      </c>
      <c r="BX58" s="143" t="s">
        <v>770</v>
      </c>
      <c r="BY58" s="143" t="s">
        <v>728</v>
      </c>
      <c r="BZ58" s="143">
        <v>2443</v>
      </c>
      <c r="CM58" s="143" t="s">
        <v>769</v>
      </c>
      <c r="CN58" s="143" t="s">
        <v>770</v>
      </c>
      <c r="CO58" s="143" t="s">
        <v>728</v>
      </c>
      <c r="CP58" s="143">
        <v>2443</v>
      </c>
      <c r="CQ58" s="78">
        <v>0</v>
      </c>
      <c r="CR58" s="78">
        <v>0</v>
      </c>
      <c r="CS58" s="78">
        <v>0</v>
      </c>
      <c r="CT58" s="78">
        <v>0</v>
      </c>
      <c r="CU58" s="78">
        <v>2</v>
      </c>
      <c r="CV58" s="78">
        <v>8</v>
      </c>
      <c r="CW58" s="137">
        <v>0.1923077</v>
      </c>
      <c r="CY58" s="143" t="s">
        <v>769</v>
      </c>
      <c r="CZ58" s="143" t="s">
        <v>770</v>
      </c>
      <c r="DA58" s="143" t="s">
        <v>728</v>
      </c>
      <c r="DB58" s="143">
        <v>2443</v>
      </c>
      <c r="DC58" s="78">
        <v>0</v>
      </c>
      <c r="DD58" s="137">
        <v>0</v>
      </c>
      <c r="DE58" s="137">
        <v>0</v>
      </c>
      <c r="DG58" s="143" t="s">
        <v>769</v>
      </c>
      <c r="DH58" s="143" t="s">
        <v>770</v>
      </c>
      <c r="DI58" s="143" t="s">
        <v>728</v>
      </c>
      <c r="DJ58" s="143">
        <v>2443</v>
      </c>
      <c r="DK58" s="78">
        <v>2</v>
      </c>
      <c r="DL58" s="78">
        <v>1</v>
      </c>
      <c r="DM58" s="78">
        <v>0</v>
      </c>
      <c r="DN58" s="78">
        <v>5</v>
      </c>
      <c r="DO58" s="78">
        <v>2</v>
      </c>
      <c r="DP58" s="78">
        <v>3</v>
      </c>
      <c r="DQ58" s="78">
        <v>7</v>
      </c>
      <c r="DR58" s="78">
        <v>1</v>
      </c>
      <c r="DS58" s="78">
        <v>1</v>
      </c>
      <c r="DT58" s="78">
        <v>0</v>
      </c>
      <c r="DU58" s="78">
        <v>0</v>
      </c>
      <c r="DV58" s="137">
        <v>0.75862070000000004</v>
      </c>
      <c r="DX58" s="143" t="s">
        <v>769</v>
      </c>
      <c r="DY58" s="143" t="s">
        <v>770</v>
      </c>
      <c r="DZ58" s="143" t="s">
        <v>728</v>
      </c>
      <c r="EA58" s="143">
        <v>2443</v>
      </c>
      <c r="EB58" s="78">
        <v>1</v>
      </c>
      <c r="EC58" s="78">
        <v>8</v>
      </c>
      <c r="ED58" s="78">
        <v>1</v>
      </c>
      <c r="EE58" s="78">
        <v>0</v>
      </c>
      <c r="EF58" s="78">
        <v>1</v>
      </c>
      <c r="EG58" s="78">
        <v>1</v>
      </c>
      <c r="EH58" s="78">
        <v>0</v>
      </c>
      <c r="EI58" s="78">
        <v>1</v>
      </c>
      <c r="EJ58" s="78">
        <v>1</v>
      </c>
      <c r="EK58" s="78">
        <v>1</v>
      </c>
      <c r="EL58" s="78">
        <v>4</v>
      </c>
      <c r="EM58" s="78">
        <v>1</v>
      </c>
      <c r="EN58" s="78">
        <v>1</v>
      </c>
      <c r="EO58" s="137">
        <v>0.77777779999999996</v>
      </c>
      <c r="EQ58" s="143" t="s">
        <v>769</v>
      </c>
      <c r="ER58" s="143" t="s">
        <v>770</v>
      </c>
      <c r="ES58" s="143" t="s">
        <v>728</v>
      </c>
      <c r="ET58" s="143">
        <v>2443</v>
      </c>
      <c r="EU58" s="78">
        <v>0</v>
      </c>
      <c r="EV58" s="78">
        <v>0</v>
      </c>
      <c r="EW58" s="78">
        <v>0</v>
      </c>
      <c r="EX58" s="78">
        <v>0</v>
      </c>
      <c r="EY58" s="78">
        <v>0.5</v>
      </c>
      <c r="EZ58" s="78">
        <v>3</v>
      </c>
      <c r="FA58" s="78">
        <v>2</v>
      </c>
      <c r="FB58" s="78">
        <v>1</v>
      </c>
      <c r="FC58" s="137">
        <v>0.5</v>
      </c>
      <c r="FE58" s="137">
        <v>0.34355829999999998</v>
      </c>
    </row>
    <row r="59" spans="1:161" x14ac:dyDescent="0.25">
      <c r="A59" s="143" t="s">
        <v>769</v>
      </c>
      <c r="B59" s="143" t="s">
        <v>770</v>
      </c>
      <c r="C59" s="143" t="s">
        <v>728</v>
      </c>
      <c r="D59" s="143">
        <v>3721</v>
      </c>
      <c r="E59" s="78">
        <v>0</v>
      </c>
      <c r="F59" s="78">
        <v>1.5</v>
      </c>
      <c r="G59" s="78">
        <v>1</v>
      </c>
      <c r="H59" s="78">
        <v>0</v>
      </c>
      <c r="I59" s="78">
        <v>1</v>
      </c>
      <c r="J59" s="78">
        <v>0</v>
      </c>
      <c r="K59" s="78">
        <v>0</v>
      </c>
      <c r="L59" s="78">
        <v>0</v>
      </c>
      <c r="M59" s="78">
        <v>2</v>
      </c>
      <c r="N59" s="137">
        <v>0.39285710000000001</v>
      </c>
      <c r="P59" s="143" t="s">
        <v>769</v>
      </c>
      <c r="Q59" s="143" t="s">
        <v>770</v>
      </c>
      <c r="R59" s="143" t="s">
        <v>728</v>
      </c>
      <c r="S59" s="143">
        <v>3721</v>
      </c>
      <c r="T59" s="78">
        <v>1</v>
      </c>
      <c r="U59" s="78">
        <v>1</v>
      </c>
      <c r="V59" s="78">
        <v>0</v>
      </c>
      <c r="W59" s="78">
        <v>0</v>
      </c>
      <c r="X59" s="78">
        <v>6</v>
      </c>
      <c r="Y59" s="78">
        <v>1</v>
      </c>
      <c r="Z59" s="78">
        <v>0</v>
      </c>
      <c r="AA59" s="78">
        <v>0</v>
      </c>
      <c r="AB59" s="78">
        <v>0</v>
      </c>
      <c r="AC59" s="78">
        <v>0</v>
      </c>
      <c r="AD59" s="137">
        <v>0.26470589999999999</v>
      </c>
      <c r="AF59" s="143" t="s">
        <v>769</v>
      </c>
      <c r="AG59" s="143" t="s">
        <v>770</v>
      </c>
      <c r="AH59" s="143" t="s">
        <v>728</v>
      </c>
      <c r="AI59" s="143">
        <v>3721</v>
      </c>
      <c r="AJ59" s="78">
        <v>1</v>
      </c>
      <c r="AK59" s="78">
        <v>0</v>
      </c>
      <c r="AL59" s="78">
        <v>1</v>
      </c>
      <c r="AM59" s="78">
        <v>0</v>
      </c>
      <c r="AN59" s="78">
        <v>0</v>
      </c>
      <c r="AO59" s="78">
        <v>0</v>
      </c>
      <c r="AP59" s="78">
        <v>0</v>
      </c>
      <c r="AQ59" s="78">
        <v>0</v>
      </c>
      <c r="AR59" s="78">
        <v>0</v>
      </c>
      <c r="AS59" s="78">
        <v>0</v>
      </c>
      <c r="AT59" s="78">
        <v>0</v>
      </c>
      <c r="AU59" s="78">
        <v>0</v>
      </c>
      <c r="AV59" s="78">
        <v>0</v>
      </c>
      <c r="AW59" s="78">
        <v>0</v>
      </c>
      <c r="AX59" s="78">
        <v>4</v>
      </c>
      <c r="AY59" s="78">
        <v>0</v>
      </c>
      <c r="AZ59" s="78">
        <v>0</v>
      </c>
      <c r="BA59" s="78">
        <v>0.5</v>
      </c>
      <c r="BB59" s="78">
        <v>0.5</v>
      </c>
      <c r="BC59" s="78">
        <v>0</v>
      </c>
      <c r="BD59" s="78">
        <v>1</v>
      </c>
      <c r="BE59" s="78">
        <v>0</v>
      </c>
      <c r="BF59" s="78">
        <v>0</v>
      </c>
      <c r="BG59" s="78">
        <v>6</v>
      </c>
      <c r="BH59" s="137">
        <v>0.31818180000000001</v>
      </c>
      <c r="BJ59" s="143" t="s">
        <v>769</v>
      </c>
      <c r="BK59" s="143" t="s">
        <v>770</v>
      </c>
      <c r="BL59" s="143" t="s">
        <v>728</v>
      </c>
      <c r="BM59" s="143">
        <v>3721</v>
      </c>
      <c r="BN59" s="78">
        <v>0</v>
      </c>
      <c r="BO59" s="78">
        <v>0</v>
      </c>
      <c r="BP59" s="78">
        <v>0</v>
      </c>
      <c r="BQ59" s="78">
        <v>0</v>
      </c>
      <c r="BR59" s="78">
        <v>0</v>
      </c>
      <c r="BS59" s="78">
        <v>0</v>
      </c>
      <c r="BT59" s="78">
        <v>0</v>
      </c>
      <c r="BU59" s="137">
        <v>0</v>
      </c>
      <c r="BW59" s="143" t="s">
        <v>769</v>
      </c>
      <c r="BX59" s="143" t="s">
        <v>770</v>
      </c>
      <c r="BY59" s="143" t="s">
        <v>728</v>
      </c>
      <c r="BZ59" s="143">
        <v>3721</v>
      </c>
      <c r="CM59" s="143" t="s">
        <v>769</v>
      </c>
      <c r="CN59" s="143" t="s">
        <v>770</v>
      </c>
      <c r="CO59" s="143" t="s">
        <v>728</v>
      </c>
      <c r="CP59" s="143">
        <v>3721</v>
      </c>
      <c r="CQ59" s="78">
        <v>8</v>
      </c>
      <c r="CR59" s="78">
        <v>0</v>
      </c>
      <c r="CS59" s="78">
        <v>0</v>
      </c>
      <c r="CT59" s="78">
        <v>4</v>
      </c>
      <c r="CU59" s="78">
        <v>0</v>
      </c>
      <c r="CV59" s="78">
        <v>8</v>
      </c>
      <c r="CW59" s="137">
        <v>0.3846154</v>
      </c>
      <c r="CY59" s="143" t="s">
        <v>769</v>
      </c>
      <c r="CZ59" s="143" t="s">
        <v>770</v>
      </c>
      <c r="DA59" s="143" t="s">
        <v>728</v>
      </c>
      <c r="DB59" s="143">
        <v>3721</v>
      </c>
      <c r="DC59" s="78">
        <v>0</v>
      </c>
      <c r="DD59" s="137">
        <v>0</v>
      </c>
      <c r="DE59" s="137">
        <v>0</v>
      </c>
      <c r="DG59" s="143" t="s">
        <v>769</v>
      </c>
      <c r="DH59" s="143" t="s">
        <v>770</v>
      </c>
      <c r="DI59" s="143" t="s">
        <v>728</v>
      </c>
      <c r="DJ59" s="143">
        <v>3721</v>
      </c>
      <c r="DK59" s="78">
        <v>2</v>
      </c>
      <c r="DL59" s="78">
        <v>1</v>
      </c>
      <c r="DM59" s="78">
        <v>0</v>
      </c>
      <c r="DN59" s="78">
        <v>5</v>
      </c>
      <c r="DO59" s="78">
        <v>0</v>
      </c>
      <c r="DP59" s="78">
        <v>0</v>
      </c>
      <c r="DQ59" s="78">
        <v>5</v>
      </c>
      <c r="DR59" s="78">
        <v>1</v>
      </c>
      <c r="DS59" s="78">
        <v>1</v>
      </c>
      <c r="DT59" s="78">
        <v>0</v>
      </c>
      <c r="DU59" s="78">
        <v>0</v>
      </c>
      <c r="DV59" s="137">
        <v>0.51724139999999996</v>
      </c>
      <c r="DX59" s="143" t="s">
        <v>769</v>
      </c>
      <c r="DY59" s="143" t="s">
        <v>770</v>
      </c>
      <c r="DZ59" s="143" t="s">
        <v>728</v>
      </c>
      <c r="EA59" s="143">
        <v>3721</v>
      </c>
      <c r="EB59" s="78">
        <v>1</v>
      </c>
      <c r="EC59" s="78">
        <v>8</v>
      </c>
      <c r="ED59" s="78">
        <v>1</v>
      </c>
      <c r="EE59" s="78">
        <v>4</v>
      </c>
      <c r="EF59" s="78">
        <v>1</v>
      </c>
      <c r="EG59" s="78">
        <v>1</v>
      </c>
      <c r="EH59" s="78">
        <v>0</v>
      </c>
      <c r="EI59" s="78">
        <v>1</v>
      </c>
      <c r="EJ59" s="78">
        <v>1</v>
      </c>
      <c r="EK59" s="78">
        <v>1</v>
      </c>
      <c r="EL59" s="78">
        <v>4</v>
      </c>
      <c r="EM59" s="78">
        <v>1</v>
      </c>
      <c r="EN59" s="78">
        <v>1</v>
      </c>
      <c r="EO59" s="137">
        <v>0.92592589999999997</v>
      </c>
      <c r="EQ59" s="143" t="s">
        <v>769</v>
      </c>
      <c r="ER59" s="143" t="s">
        <v>770</v>
      </c>
      <c r="ES59" s="143" t="s">
        <v>728</v>
      </c>
      <c r="ET59" s="143">
        <v>3721</v>
      </c>
      <c r="EU59" s="78">
        <v>0</v>
      </c>
      <c r="EV59" s="78">
        <v>0</v>
      </c>
      <c r="EW59" s="78">
        <v>0</v>
      </c>
      <c r="EX59" s="78">
        <v>0</v>
      </c>
      <c r="EY59" s="78">
        <v>0.5</v>
      </c>
      <c r="EZ59" s="78">
        <v>0</v>
      </c>
      <c r="FA59" s="78">
        <v>0</v>
      </c>
      <c r="FB59" s="78">
        <v>0</v>
      </c>
      <c r="FC59" s="137">
        <v>3.8461500000000003E-2</v>
      </c>
      <c r="FE59" s="137">
        <v>0.27300609999999997</v>
      </c>
    </row>
    <row r="60" spans="1:161" x14ac:dyDescent="0.25">
      <c r="A60" s="143" t="s">
        <v>769</v>
      </c>
      <c r="B60" s="143" t="s">
        <v>770</v>
      </c>
      <c r="C60" s="143" t="s">
        <v>728</v>
      </c>
      <c r="D60" s="143">
        <v>3991</v>
      </c>
      <c r="E60" s="78">
        <v>0</v>
      </c>
      <c r="F60" s="78">
        <v>1</v>
      </c>
      <c r="G60" s="78">
        <v>0</v>
      </c>
      <c r="H60" s="78">
        <v>0</v>
      </c>
      <c r="I60" s="78">
        <v>1</v>
      </c>
      <c r="J60" s="78">
        <v>0</v>
      </c>
      <c r="K60" s="78">
        <v>0</v>
      </c>
      <c r="L60" s="78">
        <v>0</v>
      </c>
      <c r="M60" s="78">
        <v>0</v>
      </c>
      <c r="N60" s="137">
        <v>0.14285709999999999</v>
      </c>
      <c r="P60" s="143" t="s">
        <v>769</v>
      </c>
      <c r="Q60" s="143" t="s">
        <v>770</v>
      </c>
      <c r="R60" s="143" t="s">
        <v>728</v>
      </c>
      <c r="S60" s="143">
        <v>3991</v>
      </c>
      <c r="T60" s="78">
        <v>1</v>
      </c>
      <c r="U60" s="78">
        <v>1</v>
      </c>
      <c r="V60" s="78">
        <v>0</v>
      </c>
      <c r="W60" s="78">
        <v>0</v>
      </c>
      <c r="X60" s="78">
        <v>9</v>
      </c>
      <c r="Y60" s="78">
        <v>1</v>
      </c>
      <c r="Z60" s="78">
        <v>0</v>
      </c>
      <c r="AA60" s="78">
        <v>0</v>
      </c>
      <c r="AB60" s="78">
        <v>0</v>
      </c>
      <c r="AC60" s="78">
        <v>0</v>
      </c>
      <c r="AD60" s="137">
        <v>0.35294120000000001</v>
      </c>
      <c r="AF60" s="143" t="s">
        <v>769</v>
      </c>
      <c r="AG60" s="143" t="s">
        <v>770</v>
      </c>
      <c r="AH60" s="143" t="s">
        <v>728</v>
      </c>
      <c r="AI60" s="143">
        <v>3991</v>
      </c>
      <c r="AJ60" s="78">
        <v>0</v>
      </c>
      <c r="AK60" s="78">
        <v>0</v>
      </c>
      <c r="AL60" s="78">
        <v>1</v>
      </c>
      <c r="AM60" s="78">
        <v>0</v>
      </c>
      <c r="AN60" s="78">
        <v>0</v>
      </c>
      <c r="AO60" s="78">
        <v>2</v>
      </c>
      <c r="AP60" s="78">
        <v>1</v>
      </c>
      <c r="AQ60" s="78">
        <v>1</v>
      </c>
      <c r="AR60" s="78">
        <v>0</v>
      </c>
      <c r="AS60" s="78">
        <v>0</v>
      </c>
      <c r="AT60" s="78">
        <v>0</v>
      </c>
      <c r="AU60" s="78">
        <v>0</v>
      </c>
      <c r="AV60" s="78">
        <v>0</v>
      </c>
      <c r="AW60" s="78">
        <v>0</v>
      </c>
      <c r="AX60" s="78">
        <v>0</v>
      </c>
      <c r="AY60" s="78">
        <v>0</v>
      </c>
      <c r="AZ60" s="78">
        <v>0</v>
      </c>
      <c r="BA60" s="78">
        <v>0.5</v>
      </c>
      <c r="BB60" s="78">
        <v>0</v>
      </c>
      <c r="BC60" s="78">
        <v>0.5</v>
      </c>
      <c r="BD60" s="78">
        <v>1</v>
      </c>
      <c r="BE60" s="78">
        <v>0</v>
      </c>
      <c r="BF60" s="78">
        <v>0</v>
      </c>
      <c r="BG60" s="78">
        <v>6</v>
      </c>
      <c r="BH60" s="137">
        <v>0.29545450000000001</v>
      </c>
      <c r="BJ60" s="143" t="s">
        <v>769</v>
      </c>
      <c r="BK60" s="143" t="s">
        <v>770</v>
      </c>
      <c r="BL60" s="143" t="s">
        <v>728</v>
      </c>
      <c r="BM60" s="143">
        <v>3991</v>
      </c>
      <c r="BN60" s="78">
        <v>0</v>
      </c>
      <c r="BO60" s="78">
        <v>0</v>
      </c>
      <c r="BP60" s="78">
        <v>0</v>
      </c>
      <c r="BQ60" s="78">
        <v>0</v>
      </c>
      <c r="BR60" s="78">
        <v>0</v>
      </c>
      <c r="BS60" s="78">
        <v>0</v>
      </c>
      <c r="BT60" s="78">
        <v>2</v>
      </c>
      <c r="BU60" s="137">
        <v>8.6956500000000006E-2</v>
      </c>
      <c r="BW60" s="143" t="s">
        <v>769</v>
      </c>
      <c r="BX60" s="143" t="s">
        <v>770</v>
      </c>
      <c r="BY60" s="143" t="s">
        <v>728</v>
      </c>
      <c r="BZ60" s="143">
        <v>3991</v>
      </c>
      <c r="CM60" s="143" t="s">
        <v>769</v>
      </c>
      <c r="CN60" s="143" t="s">
        <v>770</v>
      </c>
      <c r="CO60" s="143" t="s">
        <v>728</v>
      </c>
      <c r="CP60" s="143">
        <v>3991</v>
      </c>
      <c r="CQ60" s="78">
        <v>2</v>
      </c>
      <c r="CR60" s="78">
        <v>0</v>
      </c>
      <c r="CS60" s="78">
        <v>0</v>
      </c>
      <c r="CT60" s="78">
        <v>4</v>
      </c>
      <c r="CU60" s="78">
        <v>0</v>
      </c>
      <c r="CV60" s="78">
        <v>8</v>
      </c>
      <c r="CW60" s="137">
        <v>0.26923079999999999</v>
      </c>
      <c r="CY60" s="143" t="s">
        <v>769</v>
      </c>
      <c r="CZ60" s="143" t="s">
        <v>770</v>
      </c>
      <c r="DA60" s="143" t="s">
        <v>728</v>
      </c>
      <c r="DB60" s="143">
        <v>3991</v>
      </c>
      <c r="DC60" s="78">
        <v>0</v>
      </c>
      <c r="DD60" s="137">
        <v>0</v>
      </c>
      <c r="DE60" s="137">
        <v>0</v>
      </c>
      <c r="DG60" s="143" t="s">
        <v>769</v>
      </c>
      <c r="DH60" s="143" t="s">
        <v>770</v>
      </c>
      <c r="DI60" s="143" t="s">
        <v>728</v>
      </c>
      <c r="DJ60" s="143">
        <v>3991</v>
      </c>
      <c r="DK60" s="78">
        <v>2</v>
      </c>
      <c r="DL60" s="78">
        <v>0</v>
      </c>
      <c r="DM60" s="78">
        <v>0</v>
      </c>
      <c r="DN60" s="78">
        <v>3</v>
      </c>
      <c r="DO60" s="78">
        <v>2</v>
      </c>
      <c r="DP60" s="78">
        <v>3</v>
      </c>
      <c r="DQ60" s="78">
        <v>4</v>
      </c>
      <c r="DR60" s="78">
        <v>1</v>
      </c>
      <c r="DS60" s="78">
        <v>1</v>
      </c>
      <c r="DT60" s="78">
        <v>0</v>
      </c>
      <c r="DU60" s="78">
        <v>0</v>
      </c>
      <c r="DV60" s="137">
        <v>0.55172410000000005</v>
      </c>
      <c r="DX60" s="143" t="s">
        <v>769</v>
      </c>
      <c r="DY60" s="143" t="s">
        <v>770</v>
      </c>
      <c r="DZ60" s="143" t="s">
        <v>728</v>
      </c>
      <c r="EA60" s="143">
        <v>3991</v>
      </c>
      <c r="EB60" s="78">
        <v>1</v>
      </c>
      <c r="EC60" s="78">
        <v>8</v>
      </c>
      <c r="ED60" s="78">
        <v>1</v>
      </c>
      <c r="EE60" s="78">
        <v>4</v>
      </c>
      <c r="EF60" s="78">
        <v>1</v>
      </c>
      <c r="EG60" s="78">
        <v>1</v>
      </c>
      <c r="EH60" s="78">
        <v>0</v>
      </c>
      <c r="EI60" s="78">
        <v>1</v>
      </c>
      <c r="EJ60" s="78">
        <v>1</v>
      </c>
      <c r="EK60" s="78">
        <v>1</v>
      </c>
      <c r="EL60" s="78">
        <v>4</v>
      </c>
      <c r="EM60" s="78">
        <v>0</v>
      </c>
      <c r="EN60" s="78">
        <v>1</v>
      </c>
      <c r="EO60" s="137">
        <v>0.88888889999999998</v>
      </c>
      <c r="EQ60" s="143" t="s">
        <v>769</v>
      </c>
      <c r="ER60" s="143" t="s">
        <v>770</v>
      </c>
      <c r="ES60" s="143" t="s">
        <v>728</v>
      </c>
      <c r="ET60" s="143">
        <v>3991</v>
      </c>
      <c r="EU60" s="78">
        <v>0</v>
      </c>
      <c r="EV60" s="78">
        <v>0</v>
      </c>
      <c r="EW60" s="78">
        <v>0</v>
      </c>
      <c r="EX60" s="78">
        <v>0</v>
      </c>
      <c r="EY60" s="78">
        <v>0.5</v>
      </c>
      <c r="EZ60" s="78">
        <v>3</v>
      </c>
      <c r="FA60" s="78">
        <v>2</v>
      </c>
      <c r="FB60" s="78">
        <v>1</v>
      </c>
      <c r="FC60" s="137">
        <v>0.5</v>
      </c>
      <c r="FE60" s="137">
        <v>0.2745399</v>
      </c>
    </row>
    <row r="61" spans="1:161" hidden="1" x14ac:dyDescent="0.25">
      <c r="A61" s="143" t="s">
        <v>771</v>
      </c>
      <c r="B61" s="143" t="s">
        <v>772</v>
      </c>
      <c r="C61" s="143" t="s">
        <v>727</v>
      </c>
      <c r="D61" s="143">
        <v>626</v>
      </c>
      <c r="E61" s="78">
        <v>0</v>
      </c>
      <c r="F61" s="78">
        <v>1</v>
      </c>
      <c r="G61" s="78">
        <v>0</v>
      </c>
      <c r="H61" s="78">
        <v>4</v>
      </c>
      <c r="I61" s="78">
        <v>1</v>
      </c>
      <c r="J61" s="78">
        <v>0</v>
      </c>
      <c r="K61" s="78">
        <v>1</v>
      </c>
      <c r="L61" s="78">
        <v>0</v>
      </c>
      <c r="M61" s="78">
        <v>0</v>
      </c>
      <c r="N61" s="137">
        <v>0.5</v>
      </c>
      <c r="P61" s="143" t="s">
        <v>771</v>
      </c>
      <c r="Q61" s="143" t="s">
        <v>772</v>
      </c>
      <c r="R61" s="143" t="s">
        <v>727</v>
      </c>
      <c r="S61" s="143">
        <v>626</v>
      </c>
      <c r="T61" s="78">
        <v>1</v>
      </c>
      <c r="U61" s="78">
        <v>0</v>
      </c>
      <c r="V61" s="78">
        <v>1.5</v>
      </c>
      <c r="W61" s="78">
        <v>0</v>
      </c>
      <c r="X61" s="78">
        <v>6</v>
      </c>
      <c r="Y61" s="78">
        <v>1</v>
      </c>
      <c r="Z61" s="78">
        <v>0</v>
      </c>
      <c r="AA61" s="78">
        <v>2</v>
      </c>
      <c r="AB61" s="78">
        <v>0</v>
      </c>
      <c r="AC61" s="78">
        <v>0</v>
      </c>
      <c r="AD61" s="137">
        <v>0.33823530000000002</v>
      </c>
      <c r="AF61" s="143" t="s">
        <v>771</v>
      </c>
      <c r="AG61" s="143" t="s">
        <v>772</v>
      </c>
      <c r="AH61" s="143" t="s">
        <v>727</v>
      </c>
      <c r="AI61" s="143">
        <v>626</v>
      </c>
      <c r="AJ61" s="78">
        <v>0</v>
      </c>
      <c r="AK61" s="78">
        <v>0</v>
      </c>
      <c r="AL61" s="78">
        <v>0</v>
      </c>
      <c r="AM61" s="78">
        <v>1</v>
      </c>
      <c r="AN61" s="78">
        <v>1</v>
      </c>
      <c r="AO61" s="78">
        <v>0</v>
      </c>
      <c r="AP61" s="78">
        <v>1</v>
      </c>
      <c r="AQ61" s="78">
        <v>1</v>
      </c>
      <c r="AR61" s="78">
        <v>2</v>
      </c>
      <c r="AS61" s="78">
        <v>0</v>
      </c>
      <c r="AT61" s="78">
        <v>2</v>
      </c>
      <c r="AU61" s="78">
        <v>1</v>
      </c>
      <c r="AV61" s="78">
        <v>2</v>
      </c>
      <c r="AW61" s="78">
        <v>1</v>
      </c>
      <c r="AX61" s="78">
        <v>0</v>
      </c>
      <c r="AY61" s="78">
        <v>1</v>
      </c>
      <c r="AZ61" s="78">
        <v>2</v>
      </c>
      <c r="BA61" s="78">
        <v>0.5</v>
      </c>
      <c r="BB61" s="78">
        <v>0.5</v>
      </c>
      <c r="BC61" s="78">
        <v>0.5</v>
      </c>
      <c r="BD61" s="78">
        <v>1</v>
      </c>
      <c r="BE61" s="78">
        <v>0.5</v>
      </c>
      <c r="BF61" s="78">
        <v>1</v>
      </c>
      <c r="BG61" s="78">
        <v>8</v>
      </c>
      <c r="BH61" s="137">
        <v>0.61363639999999997</v>
      </c>
      <c r="BJ61" s="143" t="s">
        <v>771</v>
      </c>
      <c r="BK61" s="143" t="s">
        <v>772</v>
      </c>
      <c r="BL61" s="143" t="s">
        <v>727</v>
      </c>
      <c r="BM61" s="143">
        <v>626</v>
      </c>
      <c r="BN61" s="78">
        <v>1</v>
      </c>
      <c r="BO61" s="78">
        <v>4</v>
      </c>
      <c r="BP61" s="78">
        <v>7</v>
      </c>
      <c r="BQ61" s="78">
        <v>0</v>
      </c>
      <c r="BR61" s="78">
        <v>0</v>
      </c>
      <c r="BS61" s="78">
        <v>0</v>
      </c>
      <c r="BT61" s="78">
        <v>2</v>
      </c>
      <c r="BU61" s="137">
        <v>0.6086956</v>
      </c>
      <c r="BW61" s="143" t="s">
        <v>771</v>
      </c>
      <c r="BX61" s="143" t="s">
        <v>772</v>
      </c>
      <c r="BY61" s="143" t="s">
        <v>727</v>
      </c>
      <c r="BZ61" s="143">
        <v>626</v>
      </c>
      <c r="CA61" s="78">
        <v>1</v>
      </c>
      <c r="CB61" s="78">
        <v>1</v>
      </c>
      <c r="CC61" s="78">
        <v>1</v>
      </c>
      <c r="CD61" s="78">
        <v>2</v>
      </c>
      <c r="CE61" s="78">
        <v>1</v>
      </c>
      <c r="CF61" s="78">
        <v>2</v>
      </c>
      <c r="CG61" s="78">
        <v>1</v>
      </c>
      <c r="CH61" s="78">
        <v>2</v>
      </c>
      <c r="CI61" s="78">
        <v>1</v>
      </c>
      <c r="CJ61" s="78">
        <v>0</v>
      </c>
      <c r="CK61" s="137">
        <v>0.8</v>
      </c>
      <c r="CM61" s="143" t="s">
        <v>771</v>
      </c>
      <c r="CN61" s="143" t="s">
        <v>772</v>
      </c>
      <c r="CO61" s="143" t="s">
        <v>727</v>
      </c>
      <c r="CP61" s="143">
        <v>626</v>
      </c>
      <c r="CQ61" s="78">
        <v>8</v>
      </c>
      <c r="CR61" s="78">
        <v>0</v>
      </c>
      <c r="CS61" s="78">
        <v>0</v>
      </c>
      <c r="CT61" s="78">
        <v>0</v>
      </c>
      <c r="CU61" s="78">
        <v>0</v>
      </c>
      <c r="CV61" s="78">
        <v>4</v>
      </c>
      <c r="CW61" s="137">
        <v>0.23076920000000001</v>
      </c>
      <c r="CY61" s="143" t="s">
        <v>771</v>
      </c>
      <c r="CZ61" s="143" t="s">
        <v>772</v>
      </c>
      <c r="DA61" s="143" t="s">
        <v>727</v>
      </c>
      <c r="DB61" s="143">
        <v>626</v>
      </c>
      <c r="DC61" s="78">
        <v>36</v>
      </c>
      <c r="DD61" s="137">
        <v>0</v>
      </c>
      <c r="DE61" s="137">
        <v>0</v>
      </c>
      <c r="DG61" s="143" t="s">
        <v>771</v>
      </c>
      <c r="DH61" s="143" t="s">
        <v>772</v>
      </c>
      <c r="DI61" s="143" t="s">
        <v>727</v>
      </c>
      <c r="DJ61" s="143">
        <v>626</v>
      </c>
      <c r="DK61" s="78">
        <v>2</v>
      </c>
      <c r="DL61" s="78">
        <v>1</v>
      </c>
      <c r="DM61" s="78">
        <v>0</v>
      </c>
      <c r="DN61" s="78">
        <v>7</v>
      </c>
      <c r="DO61" s="78">
        <v>2</v>
      </c>
      <c r="DP61" s="78">
        <v>3</v>
      </c>
      <c r="DQ61" s="78">
        <v>7</v>
      </c>
      <c r="DR61" s="78">
        <v>1</v>
      </c>
      <c r="DS61" s="78">
        <v>0</v>
      </c>
      <c r="DT61" s="78">
        <v>2</v>
      </c>
      <c r="DU61" s="78">
        <v>1</v>
      </c>
      <c r="DV61" s="137">
        <v>0.89655169999999995</v>
      </c>
      <c r="DX61" s="143" t="s">
        <v>771</v>
      </c>
      <c r="DY61" s="143" t="s">
        <v>772</v>
      </c>
      <c r="DZ61" s="143" t="s">
        <v>727</v>
      </c>
      <c r="EA61" s="143">
        <v>626</v>
      </c>
      <c r="EB61" s="78">
        <v>0</v>
      </c>
      <c r="EC61" s="78">
        <v>8</v>
      </c>
      <c r="ED61" s="78">
        <v>1</v>
      </c>
      <c r="EE61" s="78">
        <v>4</v>
      </c>
      <c r="EF61" s="78">
        <v>1</v>
      </c>
      <c r="EG61" s="78">
        <v>1</v>
      </c>
      <c r="EH61" s="78">
        <v>0</v>
      </c>
      <c r="EI61" s="78">
        <v>1</v>
      </c>
      <c r="EJ61" s="78">
        <v>1</v>
      </c>
      <c r="EK61" s="78">
        <v>0</v>
      </c>
      <c r="EL61" s="78">
        <v>4</v>
      </c>
      <c r="EM61" s="78">
        <v>1</v>
      </c>
      <c r="EN61" s="78">
        <v>1</v>
      </c>
      <c r="EO61" s="137">
        <v>0.8518519</v>
      </c>
      <c r="EQ61" s="143" t="s">
        <v>771</v>
      </c>
      <c r="ER61" s="143" t="s">
        <v>772</v>
      </c>
      <c r="ES61" s="143" t="s">
        <v>727</v>
      </c>
      <c r="ET61" s="143">
        <v>626</v>
      </c>
      <c r="EU61" s="78">
        <v>0</v>
      </c>
      <c r="EV61" s="78">
        <v>1</v>
      </c>
      <c r="EW61" s="78">
        <v>0</v>
      </c>
      <c r="EX61" s="78">
        <v>2</v>
      </c>
      <c r="EY61" s="78">
        <v>0.5</v>
      </c>
      <c r="EZ61" s="78">
        <v>3</v>
      </c>
      <c r="FA61" s="78">
        <v>2</v>
      </c>
      <c r="FB61" s="78">
        <v>1</v>
      </c>
      <c r="FC61" s="137">
        <v>0.73076920000000001</v>
      </c>
      <c r="FE61" s="137">
        <v>0.41642230000000002</v>
      </c>
    </row>
    <row r="62" spans="1:161" hidden="1" x14ac:dyDescent="0.25">
      <c r="A62" s="143" t="s">
        <v>771</v>
      </c>
      <c r="B62" s="143" t="s">
        <v>772</v>
      </c>
      <c r="C62" s="143" t="s">
        <v>727</v>
      </c>
      <c r="D62" s="143">
        <v>632</v>
      </c>
      <c r="E62" s="78">
        <v>0</v>
      </c>
      <c r="F62" s="78">
        <v>2.5</v>
      </c>
      <c r="G62" s="78">
        <v>1</v>
      </c>
      <c r="H62" s="78">
        <v>4</v>
      </c>
      <c r="I62" s="78">
        <v>1</v>
      </c>
      <c r="J62" s="78">
        <v>1</v>
      </c>
      <c r="K62" s="78">
        <v>1</v>
      </c>
      <c r="L62" s="78">
        <v>1</v>
      </c>
      <c r="M62" s="78">
        <v>2</v>
      </c>
      <c r="N62" s="137">
        <v>0.96428570000000002</v>
      </c>
      <c r="P62" s="143" t="s">
        <v>771</v>
      </c>
      <c r="Q62" s="143" t="s">
        <v>772</v>
      </c>
      <c r="R62" s="143" t="s">
        <v>727</v>
      </c>
      <c r="S62" s="143">
        <v>632</v>
      </c>
      <c r="T62" s="78">
        <v>1</v>
      </c>
      <c r="U62" s="78">
        <v>1</v>
      </c>
      <c r="V62" s="78">
        <v>3</v>
      </c>
      <c r="W62" s="78">
        <v>2</v>
      </c>
      <c r="X62" s="78">
        <v>9</v>
      </c>
      <c r="Y62" s="78">
        <v>1</v>
      </c>
      <c r="Z62" s="78">
        <v>3</v>
      </c>
      <c r="AA62" s="78">
        <v>2</v>
      </c>
      <c r="AB62" s="78">
        <v>6</v>
      </c>
      <c r="AC62" s="78">
        <v>0</v>
      </c>
      <c r="AD62" s="137">
        <v>0.82352939999999997</v>
      </c>
      <c r="AF62" s="143" t="s">
        <v>771</v>
      </c>
      <c r="AG62" s="143" t="s">
        <v>772</v>
      </c>
      <c r="AH62" s="143" t="s">
        <v>727</v>
      </c>
      <c r="AI62" s="143">
        <v>632</v>
      </c>
      <c r="AJ62" s="78">
        <v>1</v>
      </c>
      <c r="AK62" s="78">
        <v>0</v>
      </c>
      <c r="AL62" s="78">
        <v>1</v>
      </c>
      <c r="AM62" s="78">
        <v>5</v>
      </c>
      <c r="AN62" s="78">
        <v>1</v>
      </c>
      <c r="AO62" s="78">
        <v>2</v>
      </c>
      <c r="AP62" s="78">
        <v>1</v>
      </c>
      <c r="AQ62" s="78">
        <v>1</v>
      </c>
      <c r="AR62" s="78">
        <v>2</v>
      </c>
      <c r="AS62" s="78">
        <v>2</v>
      </c>
      <c r="AT62" s="78">
        <v>0</v>
      </c>
      <c r="AU62" s="78">
        <v>0</v>
      </c>
      <c r="AV62" s="78">
        <v>2</v>
      </c>
      <c r="AW62" s="78">
        <v>0</v>
      </c>
      <c r="AX62" s="78">
        <v>0</v>
      </c>
      <c r="AY62" s="78">
        <v>1</v>
      </c>
      <c r="AZ62" s="78">
        <v>2</v>
      </c>
      <c r="BA62" s="78">
        <v>0.5</v>
      </c>
      <c r="BB62" s="78">
        <v>0.5</v>
      </c>
      <c r="BC62" s="78">
        <v>0.5</v>
      </c>
      <c r="BD62" s="78">
        <v>1</v>
      </c>
      <c r="BE62" s="78">
        <v>0.5</v>
      </c>
      <c r="BF62" s="78">
        <v>1</v>
      </c>
      <c r="BG62" s="78">
        <v>8</v>
      </c>
      <c r="BH62" s="137">
        <v>0.75</v>
      </c>
      <c r="BJ62" s="143" t="s">
        <v>771</v>
      </c>
      <c r="BK62" s="143" t="s">
        <v>772</v>
      </c>
      <c r="BL62" s="143" t="s">
        <v>727</v>
      </c>
      <c r="BM62" s="143">
        <v>632</v>
      </c>
      <c r="BN62" s="78">
        <v>1</v>
      </c>
      <c r="BO62" s="78">
        <v>4</v>
      </c>
      <c r="BP62" s="78">
        <v>7</v>
      </c>
      <c r="BQ62" s="78">
        <v>0</v>
      </c>
      <c r="BR62" s="78">
        <v>0</v>
      </c>
      <c r="BS62" s="78">
        <v>3</v>
      </c>
      <c r="BT62" s="78">
        <v>2</v>
      </c>
      <c r="BU62" s="137">
        <v>0.73913039999999997</v>
      </c>
      <c r="BW62" s="143" t="s">
        <v>771</v>
      </c>
      <c r="BX62" s="143" t="s">
        <v>772</v>
      </c>
      <c r="BY62" s="143" t="s">
        <v>727</v>
      </c>
      <c r="BZ62" s="143">
        <v>632</v>
      </c>
      <c r="CA62" s="78">
        <v>1</v>
      </c>
      <c r="CB62" s="78">
        <v>0</v>
      </c>
      <c r="CC62" s="78">
        <v>1</v>
      </c>
      <c r="CD62" s="78">
        <v>2</v>
      </c>
      <c r="CE62" s="78">
        <v>1</v>
      </c>
      <c r="CF62" s="78">
        <v>2</v>
      </c>
      <c r="CG62" s="78">
        <v>1</v>
      </c>
      <c r="CH62" s="78">
        <v>2</v>
      </c>
      <c r="CI62" s="78">
        <v>1</v>
      </c>
      <c r="CJ62" s="78">
        <v>3</v>
      </c>
      <c r="CK62" s="137">
        <v>0.93333330000000003</v>
      </c>
      <c r="CM62" s="143" t="s">
        <v>771</v>
      </c>
      <c r="CN62" s="143" t="s">
        <v>772</v>
      </c>
      <c r="CO62" s="143" t="s">
        <v>727</v>
      </c>
      <c r="CP62" s="143">
        <v>632</v>
      </c>
      <c r="CQ62" s="78">
        <v>8</v>
      </c>
      <c r="CR62" s="78">
        <v>0</v>
      </c>
      <c r="CS62" s="78">
        <v>24</v>
      </c>
      <c r="CT62" s="78">
        <v>4</v>
      </c>
      <c r="CU62" s="78">
        <v>0</v>
      </c>
      <c r="CV62" s="78">
        <v>8</v>
      </c>
      <c r="CW62" s="137">
        <v>0.84615390000000001</v>
      </c>
      <c r="CY62" s="143" t="s">
        <v>771</v>
      </c>
      <c r="CZ62" s="143" t="s">
        <v>772</v>
      </c>
      <c r="DA62" s="143" t="s">
        <v>727</v>
      </c>
      <c r="DB62" s="143">
        <v>632</v>
      </c>
      <c r="DC62" s="78">
        <v>32</v>
      </c>
      <c r="DD62" s="137">
        <v>0</v>
      </c>
      <c r="DE62" s="137">
        <v>0</v>
      </c>
      <c r="DG62" s="143" t="s">
        <v>771</v>
      </c>
      <c r="DH62" s="143" t="s">
        <v>772</v>
      </c>
      <c r="DI62" s="143" t="s">
        <v>727</v>
      </c>
      <c r="DJ62" s="143">
        <v>632</v>
      </c>
      <c r="DK62" s="78">
        <v>2</v>
      </c>
      <c r="DL62" s="78">
        <v>1</v>
      </c>
      <c r="DM62" s="78">
        <v>0</v>
      </c>
      <c r="DN62" s="78">
        <v>5</v>
      </c>
      <c r="DO62" s="78">
        <v>2</v>
      </c>
      <c r="DP62" s="78">
        <v>3</v>
      </c>
      <c r="DQ62" s="78">
        <v>8</v>
      </c>
      <c r="DR62" s="78">
        <v>1</v>
      </c>
      <c r="DS62" s="78">
        <v>1</v>
      </c>
      <c r="DT62" s="78">
        <v>0</v>
      </c>
      <c r="DU62" s="78">
        <v>1</v>
      </c>
      <c r="DV62" s="137">
        <v>0.82758620000000005</v>
      </c>
      <c r="DX62" s="143" t="s">
        <v>771</v>
      </c>
      <c r="DY62" s="143" t="s">
        <v>772</v>
      </c>
      <c r="DZ62" s="143" t="s">
        <v>727</v>
      </c>
      <c r="EA62" s="143">
        <v>632</v>
      </c>
      <c r="EB62" s="78">
        <v>0</v>
      </c>
      <c r="EC62" s="78">
        <v>8</v>
      </c>
      <c r="ED62" s="78">
        <v>1</v>
      </c>
      <c r="EE62" s="78">
        <v>4</v>
      </c>
      <c r="EF62" s="78">
        <v>1</v>
      </c>
      <c r="EG62" s="78">
        <v>1</v>
      </c>
      <c r="EH62" s="78">
        <v>0</v>
      </c>
      <c r="EI62" s="78">
        <v>1</v>
      </c>
      <c r="EJ62" s="78">
        <v>1</v>
      </c>
      <c r="EK62" s="78">
        <v>1</v>
      </c>
      <c r="EL62" s="78">
        <v>4</v>
      </c>
      <c r="EM62" s="78">
        <v>1</v>
      </c>
      <c r="EN62" s="78">
        <v>0</v>
      </c>
      <c r="EO62" s="137">
        <v>0.8518519</v>
      </c>
      <c r="EQ62" s="143" t="s">
        <v>771</v>
      </c>
      <c r="ER62" s="143" t="s">
        <v>772</v>
      </c>
      <c r="ES62" s="143" t="s">
        <v>727</v>
      </c>
      <c r="ET62" s="143">
        <v>632</v>
      </c>
      <c r="EU62" s="78">
        <v>0.5</v>
      </c>
      <c r="EV62" s="78">
        <v>1</v>
      </c>
      <c r="EW62" s="78">
        <v>3</v>
      </c>
      <c r="EX62" s="78">
        <v>2</v>
      </c>
      <c r="EY62" s="78">
        <v>0.5</v>
      </c>
      <c r="EZ62" s="78">
        <v>3</v>
      </c>
      <c r="FA62" s="78">
        <v>2</v>
      </c>
      <c r="FB62" s="78">
        <v>1</v>
      </c>
      <c r="FC62" s="137">
        <v>1</v>
      </c>
      <c r="FE62" s="137">
        <v>0.61436950000000001</v>
      </c>
    </row>
    <row r="63" spans="1:161" x14ac:dyDescent="0.25">
      <c r="A63" s="143" t="s">
        <v>771</v>
      </c>
      <c r="B63" s="143" t="s">
        <v>772</v>
      </c>
      <c r="C63" s="143" t="s">
        <v>728</v>
      </c>
      <c r="D63" s="143">
        <v>651</v>
      </c>
      <c r="E63" s="78">
        <v>0.5</v>
      </c>
      <c r="F63" s="78">
        <v>2</v>
      </c>
      <c r="G63" s="78">
        <v>0</v>
      </c>
      <c r="H63" s="78">
        <v>4</v>
      </c>
      <c r="I63" s="78">
        <v>1</v>
      </c>
      <c r="J63" s="78">
        <v>0</v>
      </c>
      <c r="K63" s="78">
        <v>1</v>
      </c>
      <c r="L63" s="78">
        <v>0</v>
      </c>
      <c r="M63" s="78">
        <v>2</v>
      </c>
      <c r="N63" s="137">
        <v>0.75</v>
      </c>
      <c r="P63" s="143" t="s">
        <v>771</v>
      </c>
      <c r="Q63" s="143" t="s">
        <v>772</v>
      </c>
      <c r="R63" s="143" t="s">
        <v>728</v>
      </c>
      <c r="S63" s="143">
        <v>651</v>
      </c>
      <c r="T63" s="78">
        <v>1</v>
      </c>
      <c r="U63" s="78">
        <v>1</v>
      </c>
      <c r="V63" s="78">
        <v>0</v>
      </c>
      <c r="W63" s="78">
        <v>2</v>
      </c>
      <c r="X63" s="78">
        <v>9</v>
      </c>
      <c r="Y63" s="78">
        <v>1</v>
      </c>
      <c r="Z63" s="78">
        <v>3</v>
      </c>
      <c r="AA63" s="78">
        <v>2</v>
      </c>
      <c r="AB63" s="78">
        <v>0</v>
      </c>
      <c r="AC63" s="78">
        <v>3</v>
      </c>
      <c r="AD63" s="137">
        <v>0.64705880000000005</v>
      </c>
      <c r="AF63" s="143" t="s">
        <v>771</v>
      </c>
      <c r="AG63" s="143" t="s">
        <v>772</v>
      </c>
      <c r="AH63" s="143" t="s">
        <v>728</v>
      </c>
      <c r="AI63" s="143">
        <v>651</v>
      </c>
      <c r="AJ63" s="78">
        <v>1</v>
      </c>
      <c r="AK63" s="78">
        <v>0</v>
      </c>
      <c r="AL63" s="78">
        <v>0</v>
      </c>
      <c r="AM63" s="78">
        <v>0</v>
      </c>
      <c r="AN63" s="78">
        <v>1</v>
      </c>
      <c r="AO63" s="78">
        <v>0</v>
      </c>
      <c r="AP63" s="78">
        <v>1</v>
      </c>
      <c r="AQ63" s="78">
        <v>1</v>
      </c>
      <c r="AR63" s="78">
        <v>0</v>
      </c>
      <c r="AS63" s="78">
        <v>0</v>
      </c>
      <c r="AT63" s="78">
        <v>2</v>
      </c>
      <c r="AU63" s="78">
        <v>1</v>
      </c>
      <c r="AV63" s="78">
        <v>2</v>
      </c>
      <c r="AW63" s="78">
        <v>1</v>
      </c>
      <c r="AX63" s="78">
        <v>0</v>
      </c>
      <c r="AY63" s="78">
        <v>1</v>
      </c>
      <c r="AZ63" s="78">
        <v>2</v>
      </c>
      <c r="BA63" s="78">
        <v>0.5</v>
      </c>
      <c r="BB63" s="78">
        <v>0.5</v>
      </c>
      <c r="BC63" s="78">
        <v>0.5</v>
      </c>
      <c r="BD63" s="78">
        <v>1</v>
      </c>
      <c r="BE63" s="78">
        <v>0.5</v>
      </c>
      <c r="BF63" s="78">
        <v>1</v>
      </c>
      <c r="BG63" s="78">
        <v>8</v>
      </c>
      <c r="BH63" s="137">
        <v>0.56818179999999996</v>
      </c>
      <c r="BJ63" s="143" t="s">
        <v>771</v>
      </c>
      <c r="BK63" s="143" t="s">
        <v>772</v>
      </c>
      <c r="BL63" s="143" t="s">
        <v>728</v>
      </c>
      <c r="BM63" s="143">
        <v>651</v>
      </c>
      <c r="BN63" s="78">
        <v>1</v>
      </c>
      <c r="BO63" s="78">
        <v>0</v>
      </c>
      <c r="BP63" s="78">
        <v>0</v>
      </c>
      <c r="BQ63" s="78">
        <v>0</v>
      </c>
      <c r="BR63" s="78">
        <v>0</v>
      </c>
      <c r="BS63" s="78">
        <v>0</v>
      </c>
      <c r="BT63" s="78">
        <v>0</v>
      </c>
      <c r="BU63" s="137">
        <v>4.3478299999999998E-2</v>
      </c>
      <c r="BW63" s="143" t="s">
        <v>771</v>
      </c>
      <c r="BX63" s="143" t="s">
        <v>772</v>
      </c>
      <c r="BY63" s="143" t="s">
        <v>728</v>
      </c>
      <c r="BZ63" s="143">
        <v>651</v>
      </c>
      <c r="CA63" s="78">
        <v>1</v>
      </c>
      <c r="CB63" s="78">
        <v>0</v>
      </c>
      <c r="CC63" s="78">
        <v>1</v>
      </c>
      <c r="CD63" s="78">
        <v>0</v>
      </c>
      <c r="CE63" s="78">
        <v>0</v>
      </c>
      <c r="CF63" s="78">
        <v>0</v>
      </c>
      <c r="CG63" s="78">
        <v>0</v>
      </c>
      <c r="CH63" s="78">
        <v>2</v>
      </c>
      <c r="CI63" s="78">
        <v>0</v>
      </c>
      <c r="CJ63" s="78">
        <v>0</v>
      </c>
      <c r="CK63" s="137">
        <v>0.26666669999999998</v>
      </c>
      <c r="CM63" s="143" t="s">
        <v>771</v>
      </c>
      <c r="CN63" s="143" t="s">
        <v>772</v>
      </c>
      <c r="CO63" s="143" t="s">
        <v>728</v>
      </c>
      <c r="CP63" s="143">
        <v>651</v>
      </c>
      <c r="CQ63" s="78">
        <v>0</v>
      </c>
      <c r="CR63" s="78">
        <v>0</v>
      </c>
      <c r="CS63" s="78">
        <v>4</v>
      </c>
      <c r="CT63" s="78">
        <v>4</v>
      </c>
      <c r="CU63" s="78">
        <v>2</v>
      </c>
      <c r="CV63" s="78">
        <v>4</v>
      </c>
      <c r="CW63" s="137">
        <v>0.26923079999999999</v>
      </c>
      <c r="CY63" s="143" t="s">
        <v>771</v>
      </c>
      <c r="CZ63" s="143" t="s">
        <v>772</v>
      </c>
      <c r="DA63" s="143" t="s">
        <v>728</v>
      </c>
      <c r="DB63" s="143">
        <v>651</v>
      </c>
      <c r="DC63" s="78">
        <v>22</v>
      </c>
      <c r="DD63" s="137">
        <v>0</v>
      </c>
      <c r="DE63" s="137">
        <v>0</v>
      </c>
      <c r="DG63" s="143" t="s">
        <v>771</v>
      </c>
      <c r="DH63" s="143" t="s">
        <v>772</v>
      </c>
      <c r="DI63" s="143" t="s">
        <v>728</v>
      </c>
      <c r="DJ63" s="143">
        <v>651</v>
      </c>
      <c r="DK63" s="78">
        <v>2</v>
      </c>
      <c r="DL63" s="78">
        <v>1</v>
      </c>
      <c r="DM63" s="78">
        <v>1</v>
      </c>
      <c r="DN63" s="78">
        <v>4</v>
      </c>
      <c r="DO63" s="78">
        <v>2</v>
      </c>
      <c r="DP63" s="78">
        <v>3</v>
      </c>
      <c r="DQ63" s="78">
        <v>6</v>
      </c>
      <c r="DR63" s="78">
        <v>1</v>
      </c>
      <c r="DS63" s="78">
        <v>0</v>
      </c>
      <c r="DT63" s="78">
        <v>0</v>
      </c>
      <c r="DU63" s="78">
        <v>0</v>
      </c>
      <c r="DV63" s="137">
        <v>0.68965520000000002</v>
      </c>
      <c r="DX63" s="143" t="s">
        <v>771</v>
      </c>
      <c r="DY63" s="143" t="s">
        <v>772</v>
      </c>
      <c r="DZ63" s="143" t="s">
        <v>728</v>
      </c>
      <c r="EA63" s="143">
        <v>651</v>
      </c>
      <c r="EB63" s="78">
        <v>0</v>
      </c>
      <c r="EC63" s="78">
        <v>8</v>
      </c>
      <c r="ED63" s="78">
        <v>1</v>
      </c>
      <c r="EE63" s="78">
        <v>4</v>
      </c>
      <c r="EF63" s="78">
        <v>1</v>
      </c>
      <c r="EG63" s="78">
        <v>1</v>
      </c>
      <c r="EH63" s="78">
        <v>0</v>
      </c>
      <c r="EI63" s="78">
        <v>1</v>
      </c>
      <c r="EJ63" s="78">
        <v>1</v>
      </c>
      <c r="EK63" s="78">
        <v>0</v>
      </c>
      <c r="EL63" s="78">
        <v>4</v>
      </c>
      <c r="EM63" s="78">
        <v>1</v>
      </c>
      <c r="EN63" s="78">
        <v>1</v>
      </c>
      <c r="EO63" s="137">
        <v>0.8518519</v>
      </c>
      <c r="EQ63" s="143" t="s">
        <v>771</v>
      </c>
      <c r="ER63" s="143" t="s">
        <v>772</v>
      </c>
      <c r="ES63" s="143" t="s">
        <v>728</v>
      </c>
      <c r="ET63" s="143">
        <v>651</v>
      </c>
      <c r="EU63" s="78">
        <v>0.5</v>
      </c>
      <c r="EV63" s="78">
        <v>1</v>
      </c>
      <c r="EW63" s="78">
        <v>0</v>
      </c>
      <c r="EX63" s="78">
        <v>0</v>
      </c>
      <c r="EY63" s="78">
        <v>0.5</v>
      </c>
      <c r="EZ63" s="78">
        <v>3</v>
      </c>
      <c r="FA63" s="78">
        <v>2</v>
      </c>
      <c r="FB63" s="78">
        <v>1</v>
      </c>
      <c r="FC63" s="137">
        <v>0.61538459999999995</v>
      </c>
      <c r="FE63" s="137">
        <v>0.37390030000000002</v>
      </c>
    </row>
    <row r="64" spans="1:161" x14ac:dyDescent="0.25">
      <c r="A64" s="143" t="s">
        <v>771</v>
      </c>
      <c r="B64" s="143" t="s">
        <v>772</v>
      </c>
      <c r="C64" s="143" t="s">
        <v>728</v>
      </c>
      <c r="D64" s="143">
        <v>659</v>
      </c>
      <c r="E64" s="78">
        <v>0</v>
      </c>
      <c r="F64" s="78">
        <v>1.5</v>
      </c>
      <c r="G64" s="78">
        <v>1</v>
      </c>
      <c r="H64" s="78">
        <v>4</v>
      </c>
      <c r="I64" s="78">
        <v>1</v>
      </c>
      <c r="J64" s="78">
        <v>0</v>
      </c>
      <c r="K64" s="78">
        <v>1</v>
      </c>
      <c r="L64" s="78">
        <v>1</v>
      </c>
      <c r="M64" s="78">
        <v>2</v>
      </c>
      <c r="N64" s="137">
        <v>0.82142859999999995</v>
      </c>
      <c r="P64" s="143" t="s">
        <v>771</v>
      </c>
      <c r="Q64" s="143" t="s">
        <v>772</v>
      </c>
      <c r="R64" s="143" t="s">
        <v>728</v>
      </c>
      <c r="S64" s="143">
        <v>659</v>
      </c>
      <c r="T64" s="78">
        <v>0</v>
      </c>
      <c r="U64" s="78">
        <v>0</v>
      </c>
      <c r="V64" s="78">
        <v>2</v>
      </c>
      <c r="W64" s="78">
        <v>2</v>
      </c>
      <c r="X64" s="78">
        <v>9</v>
      </c>
      <c r="Y64" s="78">
        <v>1</v>
      </c>
      <c r="Z64" s="78">
        <v>0</v>
      </c>
      <c r="AA64" s="78">
        <v>0</v>
      </c>
      <c r="AB64" s="78">
        <v>6</v>
      </c>
      <c r="AC64" s="78">
        <v>3</v>
      </c>
      <c r="AD64" s="137">
        <v>0.67647060000000003</v>
      </c>
      <c r="AF64" s="143" t="s">
        <v>771</v>
      </c>
      <c r="AG64" s="143" t="s">
        <v>772</v>
      </c>
      <c r="AH64" s="143" t="s">
        <v>728</v>
      </c>
      <c r="AI64" s="143">
        <v>659</v>
      </c>
      <c r="AJ64" s="78">
        <v>0</v>
      </c>
      <c r="AK64" s="78">
        <v>0</v>
      </c>
      <c r="AL64" s="78">
        <v>1</v>
      </c>
      <c r="AM64" s="78">
        <v>0</v>
      </c>
      <c r="AN64" s="78">
        <v>1</v>
      </c>
      <c r="AO64" s="78">
        <v>2</v>
      </c>
      <c r="AP64" s="78">
        <v>1</v>
      </c>
      <c r="AQ64" s="78">
        <v>1</v>
      </c>
      <c r="AR64" s="78">
        <v>0</v>
      </c>
      <c r="AS64" s="78">
        <v>2</v>
      </c>
      <c r="AT64" s="78">
        <v>0</v>
      </c>
      <c r="AU64" s="78">
        <v>0</v>
      </c>
      <c r="AV64" s="78">
        <v>2</v>
      </c>
      <c r="AW64" s="78">
        <v>0</v>
      </c>
      <c r="AX64" s="78">
        <v>0</v>
      </c>
      <c r="AY64" s="78">
        <v>1</v>
      </c>
      <c r="AZ64" s="78">
        <v>2</v>
      </c>
      <c r="BA64" s="78">
        <v>0.5</v>
      </c>
      <c r="BB64" s="78">
        <v>0.5</v>
      </c>
      <c r="BC64" s="78">
        <v>0.5</v>
      </c>
      <c r="BD64" s="78">
        <v>1</v>
      </c>
      <c r="BE64" s="78">
        <v>0</v>
      </c>
      <c r="BF64" s="78">
        <v>0</v>
      </c>
      <c r="BG64" s="78">
        <v>8</v>
      </c>
      <c r="BH64" s="137">
        <v>0.53409090000000004</v>
      </c>
      <c r="BJ64" s="143" t="s">
        <v>771</v>
      </c>
      <c r="BK64" s="143" t="s">
        <v>772</v>
      </c>
      <c r="BL64" s="143" t="s">
        <v>728</v>
      </c>
      <c r="BM64" s="143">
        <v>659</v>
      </c>
      <c r="BN64" s="78">
        <v>0</v>
      </c>
      <c r="BO64" s="78">
        <v>0</v>
      </c>
      <c r="BP64" s="78">
        <v>7</v>
      </c>
      <c r="BQ64" s="78">
        <v>0</v>
      </c>
      <c r="BR64" s="78">
        <v>0</v>
      </c>
      <c r="BS64" s="78">
        <v>0</v>
      </c>
      <c r="BT64" s="78">
        <v>2</v>
      </c>
      <c r="BU64" s="137">
        <v>0.39130429999999999</v>
      </c>
      <c r="BW64" s="143" t="s">
        <v>771</v>
      </c>
      <c r="BX64" s="143" t="s">
        <v>772</v>
      </c>
      <c r="BY64" s="143" t="s">
        <v>728</v>
      </c>
      <c r="BZ64" s="143">
        <v>659</v>
      </c>
      <c r="CA64" s="78">
        <v>1</v>
      </c>
      <c r="CB64" s="78">
        <v>0</v>
      </c>
      <c r="CC64" s="78">
        <v>0</v>
      </c>
      <c r="CD64" s="78">
        <v>2</v>
      </c>
      <c r="CE64" s="78">
        <v>0</v>
      </c>
      <c r="CF64" s="78">
        <v>0</v>
      </c>
      <c r="CG64" s="78">
        <v>0</v>
      </c>
      <c r="CH64" s="78">
        <v>2</v>
      </c>
      <c r="CI64" s="78">
        <v>1</v>
      </c>
      <c r="CJ64" s="78">
        <v>0</v>
      </c>
      <c r="CK64" s="137">
        <v>0.4</v>
      </c>
      <c r="CM64" s="143" t="s">
        <v>771</v>
      </c>
      <c r="CN64" s="143" t="s">
        <v>772</v>
      </c>
      <c r="CO64" s="143" t="s">
        <v>728</v>
      </c>
      <c r="CP64" s="143">
        <v>659</v>
      </c>
      <c r="CQ64" s="78">
        <v>0</v>
      </c>
      <c r="CR64" s="78">
        <v>0</v>
      </c>
      <c r="CS64" s="78">
        <v>12</v>
      </c>
      <c r="CT64" s="78">
        <v>4</v>
      </c>
      <c r="CU64" s="78">
        <v>2</v>
      </c>
      <c r="CV64" s="78">
        <v>8</v>
      </c>
      <c r="CW64" s="137">
        <v>0.5</v>
      </c>
      <c r="CY64" s="143" t="s">
        <v>771</v>
      </c>
      <c r="CZ64" s="143" t="s">
        <v>772</v>
      </c>
      <c r="DA64" s="143" t="s">
        <v>728</v>
      </c>
      <c r="DB64" s="143">
        <v>659</v>
      </c>
      <c r="DC64" s="78">
        <v>48</v>
      </c>
      <c r="DD64" s="137">
        <v>0</v>
      </c>
      <c r="DE64" s="137">
        <v>0</v>
      </c>
      <c r="DG64" s="143" t="s">
        <v>771</v>
      </c>
      <c r="DH64" s="143" t="s">
        <v>772</v>
      </c>
      <c r="DI64" s="143" t="s">
        <v>728</v>
      </c>
      <c r="DJ64" s="143">
        <v>659</v>
      </c>
      <c r="DK64" s="78">
        <v>2</v>
      </c>
      <c r="DL64" s="78">
        <v>1</v>
      </c>
      <c r="DM64" s="78">
        <v>0</v>
      </c>
      <c r="DN64" s="78">
        <v>5</v>
      </c>
      <c r="DO64" s="78">
        <v>2</v>
      </c>
      <c r="DP64" s="78">
        <v>3</v>
      </c>
      <c r="DQ64" s="78">
        <v>6</v>
      </c>
      <c r="DR64" s="78">
        <v>1</v>
      </c>
      <c r="DS64" s="78">
        <v>1</v>
      </c>
      <c r="DT64" s="78">
        <v>0</v>
      </c>
      <c r="DU64" s="78">
        <v>0</v>
      </c>
      <c r="DV64" s="137">
        <v>0.7241379</v>
      </c>
      <c r="DX64" s="143" t="s">
        <v>771</v>
      </c>
      <c r="DY64" s="143" t="s">
        <v>772</v>
      </c>
      <c r="DZ64" s="143" t="s">
        <v>728</v>
      </c>
      <c r="EA64" s="143">
        <v>659</v>
      </c>
      <c r="EB64" s="78">
        <v>0</v>
      </c>
      <c r="EC64" s="78">
        <v>8</v>
      </c>
      <c r="ED64" s="78">
        <v>1</v>
      </c>
      <c r="EE64" s="78">
        <v>4</v>
      </c>
      <c r="EF64" s="78">
        <v>0</v>
      </c>
      <c r="EG64" s="78">
        <v>1</v>
      </c>
      <c r="EH64" s="78">
        <v>2</v>
      </c>
      <c r="EI64" s="78">
        <v>1</v>
      </c>
      <c r="EJ64" s="78">
        <v>1</v>
      </c>
      <c r="EK64" s="78">
        <v>1</v>
      </c>
      <c r="EL64" s="78">
        <v>4</v>
      </c>
      <c r="EM64" s="78">
        <v>1</v>
      </c>
      <c r="EN64" s="78">
        <v>1</v>
      </c>
      <c r="EO64" s="137">
        <v>0.92592589999999997</v>
      </c>
      <c r="EQ64" s="143" t="s">
        <v>771</v>
      </c>
      <c r="ER64" s="143" t="s">
        <v>772</v>
      </c>
      <c r="ES64" s="143" t="s">
        <v>728</v>
      </c>
      <c r="ET64" s="143">
        <v>659</v>
      </c>
      <c r="EU64" s="78">
        <v>0.5</v>
      </c>
      <c r="EV64" s="78">
        <v>1</v>
      </c>
      <c r="EW64" s="78">
        <v>3</v>
      </c>
      <c r="EX64" s="78">
        <v>2</v>
      </c>
      <c r="EY64" s="78">
        <v>0.5</v>
      </c>
      <c r="EZ64" s="78">
        <v>0</v>
      </c>
      <c r="FA64" s="78">
        <v>2</v>
      </c>
      <c r="FB64" s="78">
        <v>1</v>
      </c>
      <c r="FC64" s="137">
        <v>0.76923079999999999</v>
      </c>
      <c r="FE64" s="137">
        <v>0.45454549999999999</v>
      </c>
    </row>
    <row r="65" spans="1:161" hidden="1" x14ac:dyDescent="0.25">
      <c r="A65" s="143" t="s">
        <v>771</v>
      </c>
      <c r="B65" s="143" t="s">
        <v>772</v>
      </c>
      <c r="C65" s="143" t="s">
        <v>729</v>
      </c>
      <c r="D65" s="143">
        <v>662</v>
      </c>
      <c r="E65" s="78">
        <v>0</v>
      </c>
      <c r="F65" s="78">
        <v>2.5</v>
      </c>
      <c r="G65" s="78">
        <v>1</v>
      </c>
      <c r="H65" s="78">
        <v>4</v>
      </c>
      <c r="I65" s="78">
        <v>0</v>
      </c>
      <c r="J65" s="78">
        <v>0</v>
      </c>
      <c r="K65" s="78">
        <v>1</v>
      </c>
      <c r="L65" s="78">
        <v>0</v>
      </c>
      <c r="M65" s="78">
        <v>2</v>
      </c>
      <c r="N65" s="137">
        <v>0.75</v>
      </c>
      <c r="P65" s="143" t="s">
        <v>771</v>
      </c>
      <c r="Q65" s="143" t="s">
        <v>772</v>
      </c>
      <c r="R65" s="143" t="s">
        <v>729</v>
      </c>
      <c r="S65" s="143">
        <v>662</v>
      </c>
      <c r="T65" s="78">
        <v>1</v>
      </c>
      <c r="U65" s="78">
        <v>1</v>
      </c>
      <c r="V65" s="78">
        <v>2.5</v>
      </c>
      <c r="W65" s="78">
        <v>2</v>
      </c>
      <c r="X65" s="78">
        <v>9</v>
      </c>
      <c r="Y65" s="78">
        <v>1</v>
      </c>
      <c r="Z65" s="78">
        <v>3</v>
      </c>
      <c r="AA65" s="78">
        <v>2</v>
      </c>
      <c r="AB65" s="78">
        <v>6</v>
      </c>
      <c r="AC65" s="78">
        <v>3</v>
      </c>
      <c r="AD65" s="137">
        <v>0.89705880000000005</v>
      </c>
      <c r="AF65" s="143" t="s">
        <v>771</v>
      </c>
      <c r="AG65" s="143" t="s">
        <v>772</v>
      </c>
      <c r="AH65" s="143" t="s">
        <v>729</v>
      </c>
      <c r="AI65" s="143">
        <v>662</v>
      </c>
      <c r="AJ65" s="78">
        <v>1</v>
      </c>
      <c r="AK65" s="78">
        <v>0</v>
      </c>
      <c r="AL65" s="78">
        <v>0</v>
      </c>
      <c r="AM65" s="78">
        <v>1</v>
      </c>
      <c r="AN65" s="78">
        <v>1</v>
      </c>
      <c r="AO65" s="78">
        <v>0</v>
      </c>
      <c r="AP65" s="78">
        <v>1</v>
      </c>
      <c r="AQ65" s="78">
        <v>1</v>
      </c>
      <c r="AR65" s="78">
        <v>2</v>
      </c>
      <c r="AS65" s="78">
        <v>2</v>
      </c>
      <c r="AT65" s="78">
        <v>2</v>
      </c>
      <c r="AU65" s="78">
        <v>1</v>
      </c>
      <c r="AV65" s="78">
        <v>2</v>
      </c>
      <c r="AW65" s="78">
        <v>1</v>
      </c>
      <c r="AX65" s="78">
        <v>4</v>
      </c>
      <c r="AY65" s="78">
        <v>0</v>
      </c>
      <c r="AZ65" s="78">
        <v>2</v>
      </c>
      <c r="BA65" s="78">
        <v>0.5</v>
      </c>
      <c r="BB65" s="78">
        <v>0.5</v>
      </c>
      <c r="BC65" s="78">
        <v>0.5</v>
      </c>
      <c r="BD65" s="78">
        <v>1</v>
      </c>
      <c r="BE65" s="78">
        <v>0</v>
      </c>
      <c r="BF65" s="78">
        <v>1</v>
      </c>
      <c r="BG65" s="78">
        <v>8</v>
      </c>
      <c r="BH65" s="137">
        <v>0.73863639999999997</v>
      </c>
      <c r="BJ65" s="143" t="s">
        <v>771</v>
      </c>
      <c r="BK65" s="143" t="s">
        <v>772</v>
      </c>
      <c r="BL65" s="143" t="s">
        <v>729</v>
      </c>
      <c r="BM65" s="143">
        <v>662</v>
      </c>
      <c r="BN65" s="78">
        <v>1</v>
      </c>
      <c r="BO65" s="78">
        <v>4</v>
      </c>
      <c r="BP65" s="78">
        <v>7</v>
      </c>
      <c r="BQ65" s="78">
        <v>3</v>
      </c>
      <c r="BR65" s="78">
        <v>3</v>
      </c>
      <c r="BS65" s="78">
        <v>3</v>
      </c>
      <c r="BT65" s="78">
        <v>2</v>
      </c>
      <c r="BU65" s="137">
        <v>1</v>
      </c>
      <c r="BW65" s="143" t="s">
        <v>771</v>
      </c>
      <c r="BX65" s="143" t="s">
        <v>772</v>
      </c>
      <c r="BY65" s="143" t="s">
        <v>729</v>
      </c>
      <c r="BZ65" s="143">
        <v>662</v>
      </c>
      <c r="CA65" s="78">
        <v>1</v>
      </c>
      <c r="CB65" s="78">
        <v>1</v>
      </c>
      <c r="CC65" s="78">
        <v>1</v>
      </c>
      <c r="CD65" s="78">
        <v>2</v>
      </c>
      <c r="CE65" s="78">
        <v>1</v>
      </c>
      <c r="CF65" s="78">
        <v>2</v>
      </c>
      <c r="CG65" s="78">
        <v>1</v>
      </c>
      <c r="CH65" s="78">
        <v>2</v>
      </c>
      <c r="CI65" s="78">
        <v>1</v>
      </c>
      <c r="CJ65" s="78">
        <v>3</v>
      </c>
      <c r="CK65" s="137">
        <v>1</v>
      </c>
      <c r="CM65" s="143" t="s">
        <v>771</v>
      </c>
      <c r="CN65" s="143" t="s">
        <v>772</v>
      </c>
      <c r="CO65" s="143" t="s">
        <v>729</v>
      </c>
      <c r="CP65" s="143">
        <v>662</v>
      </c>
      <c r="CQ65" s="78">
        <v>8</v>
      </c>
      <c r="CR65" s="78">
        <v>6</v>
      </c>
      <c r="CS65" s="78">
        <v>16</v>
      </c>
      <c r="CT65" s="78">
        <v>4</v>
      </c>
      <c r="CU65" s="78">
        <v>2</v>
      </c>
      <c r="CV65" s="78">
        <v>8</v>
      </c>
      <c r="CW65" s="137">
        <v>0.84615390000000001</v>
      </c>
      <c r="CY65" s="143" t="s">
        <v>771</v>
      </c>
      <c r="CZ65" s="143" t="s">
        <v>772</v>
      </c>
      <c r="DA65" s="143" t="s">
        <v>729</v>
      </c>
      <c r="DB65" s="143">
        <v>662</v>
      </c>
      <c r="DC65" s="78">
        <v>62</v>
      </c>
      <c r="DD65" s="137">
        <v>0</v>
      </c>
      <c r="DE65" s="137">
        <v>0</v>
      </c>
      <c r="DG65" s="143" t="s">
        <v>771</v>
      </c>
      <c r="DH65" s="143" t="s">
        <v>772</v>
      </c>
      <c r="DI65" s="143" t="s">
        <v>729</v>
      </c>
      <c r="DJ65" s="143">
        <v>662</v>
      </c>
      <c r="DK65" s="78">
        <v>2</v>
      </c>
      <c r="DL65" s="78">
        <v>1</v>
      </c>
      <c r="DM65" s="78">
        <v>0</v>
      </c>
      <c r="DN65" s="78">
        <v>5</v>
      </c>
      <c r="DO65" s="78">
        <v>2</v>
      </c>
      <c r="DP65" s="78">
        <v>3</v>
      </c>
      <c r="DQ65" s="78">
        <v>8</v>
      </c>
      <c r="DR65" s="78">
        <v>1</v>
      </c>
      <c r="DS65" s="78">
        <v>1</v>
      </c>
      <c r="DT65" s="78">
        <v>2</v>
      </c>
      <c r="DU65" s="78">
        <v>1</v>
      </c>
      <c r="DV65" s="137">
        <v>0.89655169999999995</v>
      </c>
      <c r="DX65" s="143" t="s">
        <v>771</v>
      </c>
      <c r="DY65" s="143" t="s">
        <v>772</v>
      </c>
      <c r="DZ65" s="143" t="s">
        <v>729</v>
      </c>
      <c r="EA65" s="143">
        <v>662</v>
      </c>
      <c r="EB65" s="78">
        <v>1</v>
      </c>
      <c r="EC65" s="78">
        <v>8</v>
      </c>
      <c r="ED65" s="78">
        <v>1</v>
      </c>
      <c r="EE65" s="78">
        <v>4</v>
      </c>
      <c r="EF65" s="78">
        <v>1</v>
      </c>
      <c r="EG65" s="78">
        <v>1</v>
      </c>
      <c r="EH65" s="78">
        <v>2</v>
      </c>
      <c r="EI65" s="78">
        <v>1</v>
      </c>
      <c r="EJ65" s="78">
        <v>1</v>
      </c>
      <c r="EK65" s="78">
        <v>1</v>
      </c>
      <c r="EL65" s="78">
        <v>4</v>
      </c>
      <c r="EM65" s="78">
        <v>1</v>
      </c>
      <c r="EN65" s="78">
        <v>1</v>
      </c>
      <c r="EO65" s="137">
        <v>1</v>
      </c>
      <c r="EQ65" s="143" t="s">
        <v>771</v>
      </c>
      <c r="ER65" s="143" t="s">
        <v>772</v>
      </c>
      <c r="ES65" s="143" t="s">
        <v>729</v>
      </c>
      <c r="ET65" s="143">
        <v>662</v>
      </c>
      <c r="EU65" s="78">
        <v>0.5</v>
      </c>
      <c r="EV65" s="78">
        <v>1</v>
      </c>
      <c r="EW65" s="78">
        <v>3</v>
      </c>
      <c r="EX65" s="78">
        <v>2</v>
      </c>
      <c r="EY65" s="78">
        <v>0.5</v>
      </c>
      <c r="EZ65" s="78">
        <v>3</v>
      </c>
      <c r="FA65" s="78">
        <v>2</v>
      </c>
      <c r="FB65" s="78">
        <v>1</v>
      </c>
      <c r="FC65" s="137">
        <v>1</v>
      </c>
      <c r="FE65" s="137">
        <v>0.64956009999999997</v>
      </c>
    </row>
    <row r="66" spans="1:161" hidden="1" x14ac:dyDescent="0.25">
      <c r="A66" s="143" t="s">
        <v>771</v>
      </c>
      <c r="B66" s="143" t="s">
        <v>772</v>
      </c>
      <c r="C66" s="143" t="s">
        <v>727</v>
      </c>
      <c r="D66" s="143">
        <v>666</v>
      </c>
      <c r="E66" s="78">
        <v>0.5</v>
      </c>
      <c r="F66" s="78">
        <v>2.5</v>
      </c>
      <c r="G66" s="78">
        <v>1</v>
      </c>
      <c r="H66" s="78">
        <v>0</v>
      </c>
      <c r="I66" s="78">
        <v>1</v>
      </c>
      <c r="J66" s="78">
        <v>1</v>
      </c>
      <c r="K66" s="78">
        <v>1</v>
      </c>
      <c r="L66" s="78">
        <v>1</v>
      </c>
      <c r="M66" s="78">
        <v>2</v>
      </c>
      <c r="N66" s="137">
        <v>0.71428570000000002</v>
      </c>
      <c r="P66" s="143" t="s">
        <v>771</v>
      </c>
      <c r="Q66" s="143" t="s">
        <v>772</v>
      </c>
      <c r="R66" s="143" t="s">
        <v>727</v>
      </c>
      <c r="S66" s="143">
        <v>666</v>
      </c>
      <c r="T66" s="78">
        <v>1</v>
      </c>
      <c r="U66" s="78">
        <v>1</v>
      </c>
      <c r="V66" s="78">
        <v>2.5</v>
      </c>
      <c r="W66" s="78">
        <v>2</v>
      </c>
      <c r="X66" s="78">
        <v>9</v>
      </c>
      <c r="Y66" s="78">
        <v>1</v>
      </c>
      <c r="Z66" s="78">
        <v>3</v>
      </c>
      <c r="AA66" s="78">
        <v>0</v>
      </c>
      <c r="AB66" s="78">
        <v>6</v>
      </c>
      <c r="AC66" s="78">
        <v>3</v>
      </c>
      <c r="AD66" s="137">
        <v>0.83823530000000002</v>
      </c>
      <c r="AF66" s="143" t="s">
        <v>771</v>
      </c>
      <c r="AG66" s="143" t="s">
        <v>772</v>
      </c>
      <c r="AH66" s="143" t="s">
        <v>727</v>
      </c>
      <c r="AI66" s="143">
        <v>666</v>
      </c>
      <c r="AJ66" s="78">
        <v>1</v>
      </c>
      <c r="AK66" s="78">
        <v>0</v>
      </c>
      <c r="AL66" s="78">
        <v>1</v>
      </c>
      <c r="AM66" s="78">
        <v>0</v>
      </c>
      <c r="AN66" s="78">
        <v>1</v>
      </c>
      <c r="AO66" s="78">
        <v>2</v>
      </c>
      <c r="AP66" s="78">
        <v>1</v>
      </c>
      <c r="AQ66" s="78">
        <v>1</v>
      </c>
      <c r="AR66" s="78">
        <v>2</v>
      </c>
      <c r="AS66" s="78">
        <v>2</v>
      </c>
      <c r="AT66" s="78">
        <v>0</v>
      </c>
      <c r="AU66" s="78">
        <v>1</v>
      </c>
      <c r="AV66" s="78">
        <v>2</v>
      </c>
      <c r="AW66" s="78">
        <v>1</v>
      </c>
      <c r="AX66" s="78">
        <v>0</v>
      </c>
      <c r="AY66" s="78">
        <v>1</v>
      </c>
      <c r="AZ66" s="78">
        <v>2</v>
      </c>
      <c r="BA66" s="78">
        <v>0.5</v>
      </c>
      <c r="BB66" s="78">
        <v>0.5</v>
      </c>
      <c r="BC66" s="78">
        <v>0.5</v>
      </c>
      <c r="BD66" s="78">
        <v>1</v>
      </c>
      <c r="BE66" s="78">
        <v>0</v>
      </c>
      <c r="BF66" s="78">
        <v>1</v>
      </c>
      <c r="BG66" s="78">
        <v>8</v>
      </c>
      <c r="BH66" s="137">
        <v>0.67045460000000001</v>
      </c>
      <c r="BJ66" s="143" t="s">
        <v>771</v>
      </c>
      <c r="BK66" s="143" t="s">
        <v>772</v>
      </c>
      <c r="BL66" s="143" t="s">
        <v>727</v>
      </c>
      <c r="BM66" s="143">
        <v>666</v>
      </c>
      <c r="BN66" s="78">
        <v>1</v>
      </c>
      <c r="BO66" s="78">
        <v>4</v>
      </c>
      <c r="BP66" s="78">
        <v>7</v>
      </c>
      <c r="BQ66" s="78">
        <v>3</v>
      </c>
      <c r="BR66" s="78">
        <v>0</v>
      </c>
      <c r="BS66" s="78">
        <v>3</v>
      </c>
      <c r="BT66" s="78">
        <v>0</v>
      </c>
      <c r="BU66" s="137">
        <v>0.78260870000000005</v>
      </c>
      <c r="BW66" s="143" t="s">
        <v>771</v>
      </c>
      <c r="BX66" s="143" t="s">
        <v>772</v>
      </c>
      <c r="BY66" s="143" t="s">
        <v>727</v>
      </c>
      <c r="BZ66" s="143">
        <v>666</v>
      </c>
      <c r="CA66" s="78">
        <v>1</v>
      </c>
      <c r="CB66" s="78">
        <v>1</v>
      </c>
      <c r="CC66" s="78">
        <v>1</v>
      </c>
      <c r="CD66" s="78">
        <v>2</v>
      </c>
      <c r="CE66" s="78">
        <v>1</v>
      </c>
      <c r="CF66" s="78">
        <v>2</v>
      </c>
      <c r="CG66" s="78">
        <v>1</v>
      </c>
      <c r="CH66" s="78">
        <v>2</v>
      </c>
      <c r="CI66" s="78">
        <v>1</v>
      </c>
      <c r="CJ66" s="78">
        <v>3</v>
      </c>
      <c r="CK66" s="137">
        <v>1</v>
      </c>
      <c r="CM66" s="143" t="s">
        <v>771</v>
      </c>
      <c r="CN66" s="143" t="s">
        <v>772</v>
      </c>
      <c r="CO66" s="143" t="s">
        <v>727</v>
      </c>
      <c r="CP66" s="143">
        <v>666</v>
      </c>
      <c r="CQ66" s="78">
        <v>8</v>
      </c>
      <c r="CR66" s="78">
        <v>0</v>
      </c>
      <c r="CS66" s="78">
        <v>20</v>
      </c>
      <c r="CT66" s="78">
        <v>4</v>
      </c>
      <c r="CU66" s="78">
        <v>2</v>
      </c>
      <c r="CV66" s="78">
        <v>8</v>
      </c>
      <c r="CW66" s="137">
        <v>0.80769230000000003</v>
      </c>
      <c r="CY66" s="143" t="s">
        <v>771</v>
      </c>
      <c r="CZ66" s="143" t="s">
        <v>772</v>
      </c>
      <c r="DA66" s="143" t="s">
        <v>727</v>
      </c>
      <c r="DB66" s="143">
        <v>666</v>
      </c>
      <c r="DC66" s="78">
        <v>26</v>
      </c>
      <c r="DD66" s="137">
        <v>0.2</v>
      </c>
      <c r="DE66" s="137">
        <v>5.7777799999999997E-2</v>
      </c>
      <c r="DG66" s="143" t="s">
        <v>771</v>
      </c>
      <c r="DH66" s="143" t="s">
        <v>772</v>
      </c>
      <c r="DI66" s="143" t="s">
        <v>727</v>
      </c>
      <c r="DJ66" s="143">
        <v>666</v>
      </c>
      <c r="DK66" s="78">
        <v>2</v>
      </c>
      <c r="DL66" s="78">
        <v>1</v>
      </c>
      <c r="DM66" s="78">
        <v>0</v>
      </c>
      <c r="DN66" s="78">
        <v>5</v>
      </c>
      <c r="DO66" s="78">
        <v>2</v>
      </c>
      <c r="DP66" s="78">
        <v>3</v>
      </c>
      <c r="DQ66" s="78">
        <v>8</v>
      </c>
      <c r="DR66" s="78">
        <v>1</v>
      </c>
      <c r="DS66" s="78">
        <v>0</v>
      </c>
      <c r="DT66" s="78">
        <v>2</v>
      </c>
      <c r="DU66" s="78">
        <v>0</v>
      </c>
      <c r="DV66" s="137">
        <v>0.82758620000000005</v>
      </c>
      <c r="DX66" s="143" t="s">
        <v>771</v>
      </c>
      <c r="DY66" s="143" t="s">
        <v>772</v>
      </c>
      <c r="DZ66" s="143" t="s">
        <v>727</v>
      </c>
      <c r="EA66" s="143">
        <v>666</v>
      </c>
      <c r="EB66" s="78">
        <v>0</v>
      </c>
      <c r="EC66" s="78">
        <v>8</v>
      </c>
      <c r="ED66" s="78">
        <v>1</v>
      </c>
      <c r="EE66" s="78">
        <v>4</v>
      </c>
      <c r="EF66" s="78">
        <v>1</v>
      </c>
      <c r="EG66" s="78">
        <v>1</v>
      </c>
      <c r="EH66" s="78">
        <v>2</v>
      </c>
      <c r="EI66" s="78">
        <v>1</v>
      </c>
      <c r="EJ66" s="78">
        <v>1</v>
      </c>
      <c r="EK66" s="78">
        <v>1</v>
      </c>
      <c r="EL66" s="78">
        <v>4</v>
      </c>
      <c r="EM66" s="78">
        <v>1</v>
      </c>
      <c r="EN66" s="78">
        <v>1</v>
      </c>
      <c r="EO66" s="137">
        <v>0.96296300000000001</v>
      </c>
      <c r="EQ66" s="143" t="s">
        <v>771</v>
      </c>
      <c r="ER66" s="143" t="s">
        <v>772</v>
      </c>
      <c r="ES66" s="143" t="s">
        <v>727</v>
      </c>
      <c r="ET66" s="143">
        <v>666</v>
      </c>
      <c r="EU66" s="78">
        <v>0</v>
      </c>
      <c r="EV66" s="78">
        <v>0</v>
      </c>
      <c r="EW66" s="78">
        <v>3</v>
      </c>
      <c r="EX66" s="78">
        <v>0</v>
      </c>
      <c r="EY66" s="78">
        <v>0</v>
      </c>
      <c r="EZ66" s="78">
        <v>0</v>
      </c>
      <c r="FA66" s="78">
        <v>2</v>
      </c>
      <c r="FB66" s="78">
        <v>1</v>
      </c>
      <c r="FC66" s="137">
        <v>0.46153850000000002</v>
      </c>
      <c r="FE66" s="137">
        <v>0.59882690000000005</v>
      </c>
    </row>
    <row r="67" spans="1:161" hidden="1" x14ac:dyDescent="0.25">
      <c r="A67" s="143" t="s">
        <v>771</v>
      </c>
      <c r="B67" s="143" t="s">
        <v>772</v>
      </c>
      <c r="C67" s="143" t="s">
        <v>727</v>
      </c>
      <c r="D67" s="143">
        <v>1737</v>
      </c>
      <c r="E67" s="78">
        <v>0</v>
      </c>
      <c r="F67" s="78">
        <v>2</v>
      </c>
      <c r="G67" s="78">
        <v>0</v>
      </c>
      <c r="H67" s="78">
        <v>3</v>
      </c>
      <c r="I67" s="78">
        <v>1</v>
      </c>
      <c r="J67" s="78">
        <v>0</v>
      </c>
      <c r="K67" s="78">
        <v>1</v>
      </c>
      <c r="L67" s="78">
        <v>1</v>
      </c>
      <c r="M67" s="78">
        <v>2</v>
      </c>
      <c r="N67" s="137">
        <v>0.71428570000000002</v>
      </c>
      <c r="P67" s="143" t="s">
        <v>771</v>
      </c>
      <c r="Q67" s="143" t="s">
        <v>772</v>
      </c>
      <c r="R67" s="143" t="s">
        <v>727</v>
      </c>
      <c r="S67" s="143">
        <v>1737</v>
      </c>
      <c r="T67" s="78">
        <v>0</v>
      </c>
      <c r="U67" s="78">
        <v>1</v>
      </c>
      <c r="V67" s="78">
        <v>0.5</v>
      </c>
      <c r="W67" s="78">
        <v>0.5</v>
      </c>
      <c r="X67" s="78">
        <v>9</v>
      </c>
      <c r="Y67" s="78">
        <v>1</v>
      </c>
      <c r="Z67" s="78">
        <v>3</v>
      </c>
      <c r="AA67" s="78">
        <v>2</v>
      </c>
      <c r="AB67" s="78">
        <v>6</v>
      </c>
      <c r="AC67" s="78">
        <v>3</v>
      </c>
      <c r="AD67" s="137">
        <v>0.76470590000000005</v>
      </c>
      <c r="AF67" s="143" t="s">
        <v>771</v>
      </c>
      <c r="AG67" s="143" t="s">
        <v>772</v>
      </c>
      <c r="AH67" s="143" t="s">
        <v>727</v>
      </c>
      <c r="AI67" s="143">
        <v>1737</v>
      </c>
      <c r="AJ67" s="78">
        <v>1</v>
      </c>
      <c r="AK67" s="78">
        <v>0</v>
      </c>
      <c r="AL67" s="78">
        <v>0</v>
      </c>
      <c r="AM67" s="78">
        <v>1</v>
      </c>
      <c r="AN67" s="78">
        <v>1</v>
      </c>
      <c r="AO67" s="78">
        <v>0</v>
      </c>
      <c r="AP67" s="78">
        <v>1</v>
      </c>
      <c r="AQ67" s="78">
        <v>1</v>
      </c>
      <c r="AR67" s="78">
        <v>2</v>
      </c>
      <c r="AS67" s="78">
        <v>0</v>
      </c>
      <c r="AT67" s="78">
        <v>0</v>
      </c>
      <c r="AU67" s="78">
        <v>0</v>
      </c>
      <c r="AV67" s="78">
        <v>0</v>
      </c>
      <c r="AW67" s="78">
        <v>0</v>
      </c>
      <c r="AX67" s="78">
        <v>0</v>
      </c>
      <c r="AY67" s="78">
        <v>1</v>
      </c>
      <c r="AZ67" s="78">
        <v>2</v>
      </c>
      <c r="BA67" s="78">
        <v>0.5</v>
      </c>
      <c r="BB67" s="78">
        <v>0.5</v>
      </c>
      <c r="BC67" s="78">
        <v>0.5</v>
      </c>
      <c r="BD67" s="78">
        <v>1</v>
      </c>
      <c r="BE67" s="78">
        <v>0</v>
      </c>
      <c r="BF67" s="78">
        <v>1</v>
      </c>
      <c r="BG67" s="78">
        <v>2</v>
      </c>
      <c r="BH67" s="137">
        <v>0.35227269999999999</v>
      </c>
      <c r="BJ67" s="143" t="s">
        <v>771</v>
      </c>
      <c r="BK67" s="143" t="s">
        <v>772</v>
      </c>
      <c r="BL67" s="143" t="s">
        <v>727</v>
      </c>
      <c r="BM67" s="143">
        <v>1737</v>
      </c>
      <c r="BN67" s="78">
        <v>1</v>
      </c>
      <c r="BO67" s="78">
        <v>4</v>
      </c>
      <c r="BP67" s="78">
        <v>7</v>
      </c>
      <c r="BQ67" s="78">
        <v>0</v>
      </c>
      <c r="BR67" s="78">
        <v>0</v>
      </c>
      <c r="BS67" s="78">
        <v>3</v>
      </c>
      <c r="BT67" s="78">
        <v>0</v>
      </c>
      <c r="BU67" s="137">
        <v>0.65217389999999997</v>
      </c>
      <c r="BW67" s="143" t="s">
        <v>771</v>
      </c>
      <c r="BX67" s="143" t="s">
        <v>772</v>
      </c>
      <c r="BY67" s="143" t="s">
        <v>727</v>
      </c>
      <c r="BZ67" s="143">
        <v>1737</v>
      </c>
      <c r="CA67" s="78">
        <v>1</v>
      </c>
      <c r="CB67" s="78">
        <v>1</v>
      </c>
      <c r="CC67" s="78">
        <v>1</v>
      </c>
      <c r="CD67" s="78">
        <v>2</v>
      </c>
      <c r="CE67" s="78">
        <v>1</v>
      </c>
      <c r="CF67" s="78">
        <v>2</v>
      </c>
      <c r="CG67" s="78">
        <v>1</v>
      </c>
      <c r="CH67" s="78">
        <v>2</v>
      </c>
      <c r="CI67" s="78">
        <v>1</v>
      </c>
      <c r="CJ67" s="78">
        <v>3</v>
      </c>
      <c r="CK67" s="137">
        <v>1</v>
      </c>
      <c r="CM67" s="143" t="s">
        <v>771</v>
      </c>
      <c r="CN67" s="143" t="s">
        <v>772</v>
      </c>
      <c r="CO67" s="143" t="s">
        <v>727</v>
      </c>
      <c r="CP67" s="143">
        <v>1737</v>
      </c>
      <c r="CQ67" s="78">
        <v>2</v>
      </c>
      <c r="CR67" s="78">
        <v>0</v>
      </c>
      <c r="CS67" s="78">
        <v>24</v>
      </c>
      <c r="CT67" s="78">
        <v>4</v>
      </c>
      <c r="CU67" s="78">
        <v>2</v>
      </c>
      <c r="CV67" s="78">
        <v>0</v>
      </c>
      <c r="CW67" s="137">
        <v>0.61538459999999995</v>
      </c>
      <c r="CY67" s="143" t="s">
        <v>771</v>
      </c>
      <c r="CZ67" s="143" t="s">
        <v>772</v>
      </c>
      <c r="DA67" s="143" t="s">
        <v>727</v>
      </c>
      <c r="DB67" s="143">
        <v>1737</v>
      </c>
      <c r="DC67" s="78">
        <v>68</v>
      </c>
      <c r="DD67" s="137">
        <v>0</v>
      </c>
      <c r="DE67" s="137">
        <v>0</v>
      </c>
      <c r="DG67" s="143" t="s">
        <v>771</v>
      </c>
      <c r="DH67" s="143" t="s">
        <v>772</v>
      </c>
      <c r="DI67" s="143" t="s">
        <v>727</v>
      </c>
      <c r="DJ67" s="143">
        <v>1737</v>
      </c>
      <c r="DK67" s="78">
        <v>2</v>
      </c>
      <c r="DL67" s="78">
        <v>1</v>
      </c>
      <c r="DM67" s="78">
        <v>0</v>
      </c>
      <c r="DN67" s="78">
        <v>4</v>
      </c>
      <c r="DO67" s="78">
        <v>2</v>
      </c>
      <c r="DP67" s="78">
        <v>3</v>
      </c>
      <c r="DQ67" s="78">
        <v>7</v>
      </c>
      <c r="DR67" s="78">
        <v>1</v>
      </c>
      <c r="DS67" s="78">
        <v>1</v>
      </c>
      <c r="DT67" s="78">
        <v>0</v>
      </c>
      <c r="DU67" s="78">
        <v>0</v>
      </c>
      <c r="DV67" s="137">
        <v>0.7241379</v>
      </c>
      <c r="DX67" s="143" t="s">
        <v>771</v>
      </c>
      <c r="DY67" s="143" t="s">
        <v>772</v>
      </c>
      <c r="DZ67" s="143" t="s">
        <v>727</v>
      </c>
      <c r="EA67" s="143">
        <v>1737</v>
      </c>
      <c r="EB67" s="78">
        <v>0</v>
      </c>
      <c r="EC67" s="78">
        <v>8</v>
      </c>
      <c r="ED67" s="78">
        <v>1</v>
      </c>
      <c r="EE67" s="78">
        <v>4</v>
      </c>
      <c r="EF67" s="78">
        <v>1</v>
      </c>
      <c r="EG67" s="78">
        <v>1</v>
      </c>
      <c r="EH67" s="78">
        <v>0</v>
      </c>
      <c r="EI67" s="78">
        <v>1</v>
      </c>
      <c r="EJ67" s="78">
        <v>1</v>
      </c>
      <c r="EK67" s="78">
        <v>0</v>
      </c>
      <c r="EL67" s="78">
        <v>4</v>
      </c>
      <c r="EM67" s="78">
        <v>1</v>
      </c>
      <c r="EN67" s="78">
        <v>1</v>
      </c>
      <c r="EO67" s="137">
        <v>0.8518519</v>
      </c>
      <c r="EQ67" s="143" t="s">
        <v>771</v>
      </c>
      <c r="ER67" s="143" t="s">
        <v>772</v>
      </c>
      <c r="ES67" s="143" t="s">
        <v>727</v>
      </c>
      <c r="ET67" s="143">
        <v>1737</v>
      </c>
      <c r="EU67" s="78">
        <v>0.5</v>
      </c>
      <c r="EV67" s="78">
        <v>1</v>
      </c>
      <c r="EW67" s="78">
        <v>3</v>
      </c>
      <c r="EX67" s="78">
        <v>2</v>
      </c>
      <c r="EY67" s="78">
        <v>0.5</v>
      </c>
      <c r="EZ67" s="78">
        <v>3</v>
      </c>
      <c r="FA67" s="78">
        <v>2</v>
      </c>
      <c r="FB67" s="78">
        <v>1</v>
      </c>
      <c r="FC67" s="137">
        <v>1</v>
      </c>
      <c r="FE67" s="137">
        <v>0.5</v>
      </c>
    </row>
    <row r="68" spans="1:161" x14ac:dyDescent="0.25">
      <c r="A68" s="143" t="s">
        <v>771</v>
      </c>
      <c r="B68" s="143" t="s">
        <v>772</v>
      </c>
      <c r="C68" s="143" t="s">
        <v>728</v>
      </c>
      <c r="D68" s="143">
        <v>1747</v>
      </c>
      <c r="E68" s="78">
        <v>0</v>
      </c>
      <c r="F68" s="78">
        <v>2.5</v>
      </c>
      <c r="G68" s="78">
        <v>1</v>
      </c>
      <c r="H68" s="78">
        <v>1</v>
      </c>
      <c r="I68" s="78">
        <v>1</v>
      </c>
      <c r="J68" s="78">
        <v>0</v>
      </c>
      <c r="K68" s="78">
        <v>1</v>
      </c>
      <c r="L68" s="78">
        <v>1</v>
      </c>
      <c r="M68" s="78">
        <v>2</v>
      </c>
      <c r="N68" s="137">
        <v>0.67857140000000005</v>
      </c>
      <c r="P68" s="143" t="s">
        <v>771</v>
      </c>
      <c r="Q68" s="143" t="s">
        <v>772</v>
      </c>
      <c r="R68" s="143" t="s">
        <v>728</v>
      </c>
      <c r="S68" s="143">
        <v>1747</v>
      </c>
      <c r="T68" s="78">
        <v>1</v>
      </c>
      <c r="U68" s="78">
        <v>1</v>
      </c>
      <c r="V68" s="78">
        <v>3</v>
      </c>
      <c r="W68" s="78">
        <v>1</v>
      </c>
      <c r="X68" s="78">
        <v>12</v>
      </c>
      <c r="Y68" s="78">
        <v>1</v>
      </c>
      <c r="Z68" s="78">
        <v>3</v>
      </c>
      <c r="AA68" s="78">
        <v>2</v>
      </c>
      <c r="AB68" s="78">
        <v>6</v>
      </c>
      <c r="AC68" s="78">
        <v>3</v>
      </c>
      <c r="AD68" s="137">
        <v>0.97058820000000001</v>
      </c>
      <c r="AF68" s="143" t="s">
        <v>771</v>
      </c>
      <c r="AG68" s="143" t="s">
        <v>772</v>
      </c>
      <c r="AH68" s="143" t="s">
        <v>728</v>
      </c>
      <c r="AI68" s="143">
        <v>1747</v>
      </c>
      <c r="AJ68" s="78">
        <v>1</v>
      </c>
      <c r="AK68" s="78">
        <v>0</v>
      </c>
      <c r="AL68" s="78">
        <v>1</v>
      </c>
      <c r="AM68" s="78">
        <v>6</v>
      </c>
      <c r="AN68" s="78">
        <v>1</v>
      </c>
      <c r="AO68" s="78">
        <v>2</v>
      </c>
      <c r="AP68" s="78">
        <v>1</v>
      </c>
      <c r="AQ68" s="78">
        <v>1</v>
      </c>
      <c r="AR68" s="78">
        <v>2</v>
      </c>
      <c r="AS68" s="78">
        <v>2</v>
      </c>
      <c r="AT68" s="78">
        <v>0</v>
      </c>
      <c r="AU68" s="78">
        <v>0</v>
      </c>
      <c r="AV68" s="78">
        <v>2</v>
      </c>
      <c r="AW68" s="78">
        <v>0</v>
      </c>
      <c r="AX68" s="78">
        <v>0</v>
      </c>
      <c r="AY68" s="78">
        <v>1</v>
      </c>
      <c r="AZ68" s="78">
        <v>2</v>
      </c>
      <c r="BA68" s="78">
        <v>0.5</v>
      </c>
      <c r="BB68" s="78">
        <v>0.5</v>
      </c>
      <c r="BC68" s="78">
        <v>0.5</v>
      </c>
      <c r="BD68" s="78">
        <v>1</v>
      </c>
      <c r="BE68" s="78">
        <v>0.5</v>
      </c>
      <c r="BF68" s="78">
        <v>0</v>
      </c>
      <c r="BG68" s="78">
        <v>8</v>
      </c>
      <c r="BH68" s="137">
        <v>0.75</v>
      </c>
      <c r="BJ68" s="143" t="s">
        <v>771</v>
      </c>
      <c r="BK68" s="143" t="s">
        <v>772</v>
      </c>
      <c r="BL68" s="143" t="s">
        <v>728</v>
      </c>
      <c r="BM68" s="143">
        <v>1747</v>
      </c>
      <c r="BN68" s="78">
        <v>1</v>
      </c>
      <c r="BO68" s="78">
        <v>4</v>
      </c>
      <c r="BP68" s="78">
        <v>7</v>
      </c>
      <c r="BQ68" s="78">
        <v>3</v>
      </c>
      <c r="BR68" s="78">
        <v>3</v>
      </c>
      <c r="BS68" s="78">
        <v>0</v>
      </c>
      <c r="BT68" s="78">
        <v>0</v>
      </c>
      <c r="BU68" s="137">
        <v>0.78260870000000005</v>
      </c>
      <c r="BW68" s="143" t="s">
        <v>771</v>
      </c>
      <c r="BX68" s="143" t="s">
        <v>772</v>
      </c>
      <c r="BY68" s="143" t="s">
        <v>728</v>
      </c>
      <c r="BZ68" s="143">
        <v>1747</v>
      </c>
      <c r="CA68" s="78">
        <v>1</v>
      </c>
      <c r="CB68" s="78">
        <v>1</v>
      </c>
      <c r="CC68" s="78">
        <v>1</v>
      </c>
      <c r="CD68" s="78">
        <v>2</v>
      </c>
      <c r="CE68" s="78">
        <v>1</v>
      </c>
      <c r="CF68" s="78">
        <v>0</v>
      </c>
      <c r="CG68" s="78">
        <v>1</v>
      </c>
      <c r="CH68" s="78">
        <v>2</v>
      </c>
      <c r="CI68" s="78">
        <v>1</v>
      </c>
      <c r="CJ68" s="78">
        <v>3</v>
      </c>
      <c r="CK68" s="137">
        <v>0.86666670000000001</v>
      </c>
      <c r="CM68" s="143" t="s">
        <v>771</v>
      </c>
      <c r="CN68" s="143" t="s">
        <v>772</v>
      </c>
      <c r="CO68" s="143" t="s">
        <v>728</v>
      </c>
      <c r="CP68" s="143">
        <v>1747</v>
      </c>
      <c r="CQ68" s="78">
        <v>8</v>
      </c>
      <c r="CR68" s="78">
        <v>0</v>
      </c>
      <c r="CS68" s="78">
        <v>12</v>
      </c>
      <c r="CT68" s="78">
        <v>4</v>
      </c>
      <c r="CU68" s="78">
        <v>2</v>
      </c>
      <c r="CV68" s="78">
        <v>8</v>
      </c>
      <c r="CW68" s="137">
        <v>0.65384609999999999</v>
      </c>
      <c r="CY68" s="143" t="s">
        <v>771</v>
      </c>
      <c r="CZ68" s="143" t="s">
        <v>772</v>
      </c>
      <c r="DA68" s="143" t="s">
        <v>728</v>
      </c>
      <c r="DB68" s="143">
        <v>1747</v>
      </c>
      <c r="DC68" s="78">
        <v>70</v>
      </c>
      <c r="DD68" s="137">
        <v>0</v>
      </c>
      <c r="DE68" s="137">
        <v>0</v>
      </c>
      <c r="DG68" s="143" t="s">
        <v>771</v>
      </c>
      <c r="DH68" s="143" t="s">
        <v>772</v>
      </c>
      <c r="DI68" s="143" t="s">
        <v>728</v>
      </c>
      <c r="DJ68" s="143">
        <v>1747</v>
      </c>
      <c r="DK68" s="78">
        <v>2</v>
      </c>
      <c r="DL68" s="78">
        <v>1</v>
      </c>
      <c r="DM68" s="78">
        <v>0</v>
      </c>
      <c r="DN68" s="78">
        <v>5</v>
      </c>
      <c r="DO68" s="78">
        <v>2</v>
      </c>
      <c r="DP68" s="78">
        <v>3</v>
      </c>
      <c r="DQ68" s="78">
        <v>8</v>
      </c>
      <c r="DR68" s="78">
        <v>1</v>
      </c>
      <c r="DS68" s="78">
        <v>1</v>
      </c>
      <c r="DT68" s="78">
        <v>0</v>
      </c>
      <c r="DU68" s="78">
        <v>0</v>
      </c>
      <c r="DV68" s="137">
        <v>0.79310349999999996</v>
      </c>
      <c r="DX68" s="143" t="s">
        <v>771</v>
      </c>
      <c r="DY68" s="143" t="s">
        <v>772</v>
      </c>
      <c r="DZ68" s="143" t="s">
        <v>728</v>
      </c>
      <c r="EA68" s="143">
        <v>1747</v>
      </c>
      <c r="EB68" s="78">
        <v>0</v>
      </c>
      <c r="EC68" s="78">
        <v>8</v>
      </c>
      <c r="ED68" s="78">
        <v>1</v>
      </c>
      <c r="EE68" s="78">
        <v>4</v>
      </c>
      <c r="EF68" s="78">
        <v>1</v>
      </c>
      <c r="EG68" s="78">
        <v>1</v>
      </c>
      <c r="EH68" s="78">
        <v>2</v>
      </c>
      <c r="EI68" s="78">
        <v>1</v>
      </c>
      <c r="EJ68" s="78">
        <v>1</v>
      </c>
      <c r="EK68" s="78">
        <v>1</v>
      </c>
      <c r="EL68" s="78">
        <v>4</v>
      </c>
      <c r="EM68" s="78">
        <v>1</v>
      </c>
      <c r="EN68" s="78">
        <v>1</v>
      </c>
      <c r="EO68" s="137">
        <v>0.96296300000000001</v>
      </c>
      <c r="EQ68" s="143" t="s">
        <v>771</v>
      </c>
      <c r="ER68" s="143" t="s">
        <v>772</v>
      </c>
      <c r="ES68" s="143" t="s">
        <v>728</v>
      </c>
      <c r="ET68" s="143">
        <v>1747</v>
      </c>
      <c r="EU68" s="78">
        <v>0.5</v>
      </c>
      <c r="EV68" s="78">
        <v>0</v>
      </c>
      <c r="EW68" s="78">
        <v>3</v>
      </c>
      <c r="EX68" s="78">
        <v>2</v>
      </c>
      <c r="EY68" s="78">
        <v>0.5</v>
      </c>
      <c r="EZ68" s="78">
        <v>0</v>
      </c>
      <c r="FA68" s="78">
        <v>2</v>
      </c>
      <c r="FB68" s="78">
        <v>1</v>
      </c>
      <c r="FC68" s="137">
        <v>0.69230769999999997</v>
      </c>
      <c r="FE68" s="137">
        <v>0.58211139999999995</v>
      </c>
    </row>
    <row r="69" spans="1:161" x14ac:dyDescent="0.25">
      <c r="A69" s="143" t="s">
        <v>771</v>
      </c>
      <c r="B69" s="143" t="s">
        <v>772</v>
      </c>
      <c r="C69" s="143" t="s">
        <v>728</v>
      </c>
      <c r="D69" s="143">
        <v>1904</v>
      </c>
      <c r="E69" s="78">
        <v>0</v>
      </c>
      <c r="F69" s="78">
        <v>1</v>
      </c>
      <c r="G69" s="78">
        <v>1</v>
      </c>
      <c r="H69" s="78">
        <v>4</v>
      </c>
      <c r="I69" s="78">
        <v>1</v>
      </c>
      <c r="J69" s="78">
        <v>0</v>
      </c>
      <c r="K69" s="78">
        <v>0</v>
      </c>
      <c r="L69" s="78">
        <v>0</v>
      </c>
      <c r="M69" s="78">
        <v>2</v>
      </c>
      <c r="N69" s="137">
        <v>0.64285709999999996</v>
      </c>
      <c r="P69" s="143" t="s">
        <v>771</v>
      </c>
      <c r="Q69" s="143" t="s">
        <v>772</v>
      </c>
      <c r="R69" s="143" t="s">
        <v>728</v>
      </c>
      <c r="S69" s="143">
        <v>1904</v>
      </c>
      <c r="T69" s="78">
        <v>1</v>
      </c>
      <c r="U69" s="78">
        <v>1</v>
      </c>
      <c r="V69" s="78">
        <v>3</v>
      </c>
      <c r="W69" s="78">
        <v>2</v>
      </c>
      <c r="X69" s="78">
        <v>9</v>
      </c>
      <c r="Y69" s="78">
        <v>1</v>
      </c>
      <c r="Z69" s="78">
        <v>0</v>
      </c>
      <c r="AA69" s="78">
        <v>2</v>
      </c>
      <c r="AB69" s="78">
        <v>0</v>
      </c>
      <c r="AC69" s="78">
        <v>0</v>
      </c>
      <c r="AD69" s="137">
        <v>0.55882350000000003</v>
      </c>
      <c r="AF69" s="143" t="s">
        <v>771</v>
      </c>
      <c r="AG69" s="143" t="s">
        <v>772</v>
      </c>
      <c r="AH69" s="143" t="s">
        <v>728</v>
      </c>
      <c r="AI69" s="143">
        <v>1904</v>
      </c>
      <c r="AJ69" s="78">
        <v>1</v>
      </c>
      <c r="AK69" s="78">
        <v>0</v>
      </c>
      <c r="AL69" s="78">
        <v>0</v>
      </c>
      <c r="AM69" s="78">
        <v>5</v>
      </c>
      <c r="AN69" s="78">
        <v>1</v>
      </c>
      <c r="AO69" s="78">
        <v>0</v>
      </c>
      <c r="AP69" s="78">
        <v>1</v>
      </c>
      <c r="AQ69" s="78">
        <v>0</v>
      </c>
      <c r="AR69" s="78">
        <v>0</v>
      </c>
      <c r="AS69" s="78">
        <v>0</v>
      </c>
      <c r="AT69" s="78">
        <v>2</v>
      </c>
      <c r="AU69" s="78">
        <v>1</v>
      </c>
      <c r="AV69" s="78">
        <v>2</v>
      </c>
      <c r="AW69" s="78">
        <v>1</v>
      </c>
      <c r="AX69" s="78">
        <v>4</v>
      </c>
      <c r="AY69" s="78">
        <v>0</v>
      </c>
      <c r="AZ69" s="78">
        <v>0</v>
      </c>
      <c r="BA69" s="78">
        <v>0.5</v>
      </c>
      <c r="BB69" s="78">
        <v>0</v>
      </c>
      <c r="BC69" s="78">
        <v>0.5</v>
      </c>
      <c r="BD69" s="78">
        <v>1</v>
      </c>
      <c r="BE69" s="78">
        <v>0</v>
      </c>
      <c r="BF69" s="78">
        <v>1</v>
      </c>
      <c r="BG69" s="78">
        <v>8</v>
      </c>
      <c r="BH69" s="137">
        <v>0.65909090000000004</v>
      </c>
      <c r="BJ69" s="143" t="s">
        <v>771</v>
      </c>
      <c r="BK69" s="143" t="s">
        <v>772</v>
      </c>
      <c r="BL69" s="143" t="s">
        <v>728</v>
      </c>
      <c r="BM69" s="143">
        <v>1904</v>
      </c>
      <c r="BN69" s="78">
        <v>1</v>
      </c>
      <c r="BO69" s="78">
        <v>0</v>
      </c>
      <c r="BP69" s="78">
        <v>0</v>
      </c>
      <c r="BQ69" s="78">
        <v>0</v>
      </c>
      <c r="BR69" s="78">
        <v>0</v>
      </c>
      <c r="BS69" s="78">
        <v>0</v>
      </c>
      <c r="BT69" s="78">
        <v>0</v>
      </c>
      <c r="BU69" s="137">
        <v>4.3478299999999998E-2</v>
      </c>
      <c r="BW69" s="143" t="s">
        <v>771</v>
      </c>
      <c r="BX69" s="143" t="s">
        <v>772</v>
      </c>
      <c r="BY69" s="143" t="s">
        <v>728</v>
      </c>
      <c r="BZ69" s="143">
        <v>1904</v>
      </c>
      <c r="CM69" s="143" t="s">
        <v>771</v>
      </c>
      <c r="CN69" s="143" t="s">
        <v>772</v>
      </c>
      <c r="CO69" s="143" t="s">
        <v>728</v>
      </c>
      <c r="CP69" s="143">
        <v>1904</v>
      </c>
      <c r="CQ69" s="78">
        <v>2</v>
      </c>
      <c r="CR69" s="78">
        <v>0</v>
      </c>
      <c r="CS69" s="78">
        <v>16</v>
      </c>
      <c r="CT69" s="78">
        <v>4</v>
      </c>
      <c r="CU69" s="78">
        <v>0</v>
      </c>
      <c r="CV69" s="78">
        <v>4</v>
      </c>
      <c r="CW69" s="137">
        <v>0.5</v>
      </c>
      <c r="CY69" s="143" t="s">
        <v>771</v>
      </c>
      <c r="CZ69" s="143" t="s">
        <v>772</v>
      </c>
      <c r="DA69" s="143" t="s">
        <v>728</v>
      </c>
      <c r="DB69" s="143">
        <v>1904</v>
      </c>
      <c r="DC69" s="78">
        <v>58</v>
      </c>
      <c r="DD69" s="137">
        <v>0</v>
      </c>
      <c r="DE69" s="137">
        <v>0</v>
      </c>
      <c r="DG69" s="143" t="s">
        <v>771</v>
      </c>
      <c r="DH69" s="143" t="s">
        <v>772</v>
      </c>
      <c r="DI69" s="143" t="s">
        <v>728</v>
      </c>
      <c r="DJ69" s="143">
        <v>1904</v>
      </c>
      <c r="DK69" s="78">
        <v>2</v>
      </c>
      <c r="DL69" s="78">
        <v>1</v>
      </c>
      <c r="DM69" s="78">
        <v>1</v>
      </c>
      <c r="DN69" s="78">
        <v>4</v>
      </c>
      <c r="DO69" s="78">
        <v>2</v>
      </c>
      <c r="DP69" s="78">
        <v>3</v>
      </c>
      <c r="DQ69" s="78">
        <v>7</v>
      </c>
      <c r="DR69" s="78">
        <v>1</v>
      </c>
      <c r="DS69" s="78">
        <v>0</v>
      </c>
      <c r="DT69" s="78">
        <v>0</v>
      </c>
      <c r="DU69" s="78">
        <v>0</v>
      </c>
      <c r="DV69" s="137">
        <v>0.7241379</v>
      </c>
      <c r="DX69" s="143" t="s">
        <v>771</v>
      </c>
      <c r="DY69" s="143" t="s">
        <v>772</v>
      </c>
      <c r="DZ69" s="143" t="s">
        <v>728</v>
      </c>
      <c r="EA69" s="143">
        <v>1904</v>
      </c>
      <c r="EB69" s="78">
        <v>0</v>
      </c>
      <c r="EC69" s="78">
        <v>8</v>
      </c>
      <c r="ED69" s="78">
        <v>1</v>
      </c>
      <c r="EE69" s="78">
        <v>4</v>
      </c>
      <c r="EF69" s="78">
        <v>1</v>
      </c>
      <c r="EG69" s="78">
        <v>1</v>
      </c>
      <c r="EH69" s="78">
        <v>0</v>
      </c>
      <c r="EI69" s="78">
        <v>1</v>
      </c>
      <c r="EJ69" s="78">
        <v>1</v>
      </c>
      <c r="EK69" s="78">
        <v>0</v>
      </c>
      <c r="EL69" s="78">
        <v>4</v>
      </c>
      <c r="EM69" s="78">
        <v>1</v>
      </c>
      <c r="EN69" s="78">
        <v>0</v>
      </c>
      <c r="EO69" s="137">
        <v>0.81481479999999995</v>
      </c>
      <c r="EQ69" s="143" t="s">
        <v>771</v>
      </c>
      <c r="ER69" s="143" t="s">
        <v>772</v>
      </c>
      <c r="ES69" s="143" t="s">
        <v>728</v>
      </c>
      <c r="ET69" s="143">
        <v>1904</v>
      </c>
      <c r="EU69" s="78">
        <v>0.5</v>
      </c>
      <c r="EV69" s="78">
        <v>1</v>
      </c>
      <c r="EW69" s="78">
        <v>0</v>
      </c>
      <c r="EX69" s="78">
        <v>0</v>
      </c>
      <c r="EY69" s="78">
        <v>0.5</v>
      </c>
      <c r="EZ69" s="78">
        <v>3</v>
      </c>
      <c r="FA69" s="78">
        <v>2</v>
      </c>
      <c r="FB69" s="78">
        <v>1</v>
      </c>
      <c r="FC69" s="137">
        <v>0.61538459999999995</v>
      </c>
      <c r="FE69" s="137">
        <v>0.41411039999999999</v>
      </c>
    </row>
    <row r="70" spans="1:161" x14ac:dyDescent="0.25">
      <c r="A70" s="143" t="s">
        <v>771</v>
      </c>
      <c r="B70" s="143" t="s">
        <v>772</v>
      </c>
      <c r="C70" s="143" t="s">
        <v>728</v>
      </c>
      <c r="D70" s="143">
        <v>2481</v>
      </c>
      <c r="E70" s="78">
        <v>0</v>
      </c>
      <c r="F70" s="78">
        <v>1.5</v>
      </c>
      <c r="G70" s="78">
        <v>1</v>
      </c>
      <c r="H70" s="78">
        <v>0</v>
      </c>
      <c r="I70" s="78">
        <v>1</v>
      </c>
      <c r="J70" s="78">
        <v>0</v>
      </c>
      <c r="K70" s="78">
        <v>1</v>
      </c>
      <c r="L70" s="78">
        <v>0</v>
      </c>
      <c r="M70" s="78">
        <v>2</v>
      </c>
      <c r="N70" s="137">
        <v>0.46428570000000002</v>
      </c>
      <c r="P70" s="143" t="s">
        <v>771</v>
      </c>
      <c r="Q70" s="143" t="s">
        <v>772</v>
      </c>
      <c r="R70" s="143" t="s">
        <v>728</v>
      </c>
      <c r="S70" s="143">
        <v>2481</v>
      </c>
      <c r="T70" s="78">
        <v>1</v>
      </c>
      <c r="U70" s="78">
        <v>1</v>
      </c>
      <c r="V70" s="78">
        <v>2.5</v>
      </c>
      <c r="W70" s="78">
        <v>1</v>
      </c>
      <c r="X70" s="78">
        <v>12</v>
      </c>
      <c r="Y70" s="78">
        <v>1</v>
      </c>
      <c r="Z70" s="78">
        <v>0</v>
      </c>
      <c r="AA70" s="78">
        <v>2</v>
      </c>
      <c r="AB70" s="78">
        <v>0</v>
      </c>
      <c r="AC70" s="78">
        <v>3</v>
      </c>
      <c r="AD70" s="137">
        <v>0.69117649999999997</v>
      </c>
      <c r="AF70" s="143" t="s">
        <v>771</v>
      </c>
      <c r="AG70" s="143" t="s">
        <v>772</v>
      </c>
      <c r="AH70" s="143" t="s">
        <v>728</v>
      </c>
      <c r="AI70" s="143">
        <v>2481</v>
      </c>
      <c r="AJ70" s="78">
        <v>1</v>
      </c>
      <c r="AK70" s="78">
        <v>0</v>
      </c>
      <c r="AL70" s="78">
        <v>1</v>
      </c>
      <c r="AM70" s="78">
        <v>0</v>
      </c>
      <c r="AN70" s="78">
        <v>1</v>
      </c>
      <c r="AO70" s="78">
        <v>2</v>
      </c>
      <c r="AP70" s="78">
        <v>1</v>
      </c>
      <c r="AQ70" s="78">
        <v>1</v>
      </c>
      <c r="AR70" s="78">
        <v>2</v>
      </c>
      <c r="AS70" s="78">
        <v>0</v>
      </c>
      <c r="AT70" s="78">
        <v>0</v>
      </c>
      <c r="AU70" s="78">
        <v>0</v>
      </c>
      <c r="AV70" s="78">
        <v>0</v>
      </c>
      <c r="AW70" s="78">
        <v>0</v>
      </c>
      <c r="AX70" s="78">
        <v>0</v>
      </c>
      <c r="AY70" s="78">
        <v>1</v>
      </c>
      <c r="AZ70" s="78">
        <v>0</v>
      </c>
      <c r="BA70" s="78">
        <v>0.5</v>
      </c>
      <c r="BB70" s="78">
        <v>0.5</v>
      </c>
      <c r="BC70" s="78">
        <v>0.5</v>
      </c>
      <c r="BD70" s="78">
        <v>1</v>
      </c>
      <c r="BE70" s="78">
        <v>0.5</v>
      </c>
      <c r="BF70" s="78">
        <v>0</v>
      </c>
      <c r="BG70" s="78">
        <v>6</v>
      </c>
      <c r="BH70" s="137">
        <v>0.43181819999999999</v>
      </c>
      <c r="BJ70" s="143" t="s">
        <v>771</v>
      </c>
      <c r="BK70" s="143" t="s">
        <v>772</v>
      </c>
      <c r="BL70" s="143" t="s">
        <v>728</v>
      </c>
      <c r="BM70" s="143">
        <v>2481</v>
      </c>
      <c r="BN70" s="78">
        <v>1</v>
      </c>
      <c r="BO70" s="78">
        <v>4</v>
      </c>
      <c r="BP70" s="78">
        <v>7</v>
      </c>
      <c r="BQ70" s="78">
        <v>3</v>
      </c>
      <c r="BR70" s="78">
        <v>3</v>
      </c>
      <c r="BS70" s="78">
        <v>0</v>
      </c>
      <c r="BT70" s="78">
        <v>0</v>
      </c>
      <c r="BU70" s="137">
        <v>0.78260870000000005</v>
      </c>
      <c r="BW70" s="143" t="s">
        <v>771</v>
      </c>
      <c r="BX70" s="143" t="s">
        <v>772</v>
      </c>
      <c r="BY70" s="143" t="s">
        <v>728</v>
      </c>
      <c r="BZ70" s="143">
        <v>2481</v>
      </c>
      <c r="CA70" s="78">
        <v>1</v>
      </c>
      <c r="CB70" s="78">
        <v>1</v>
      </c>
      <c r="CC70" s="78">
        <v>1</v>
      </c>
      <c r="CD70" s="78">
        <v>2</v>
      </c>
      <c r="CE70" s="78">
        <v>1</v>
      </c>
      <c r="CF70" s="78">
        <v>2</v>
      </c>
      <c r="CG70" s="78">
        <v>1</v>
      </c>
      <c r="CH70" s="78">
        <v>2</v>
      </c>
      <c r="CI70" s="78">
        <v>1</v>
      </c>
      <c r="CJ70" s="78">
        <v>3</v>
      </c>
      <c r="CK70" s="137">
        <v>1</v>
      </c>
      <c r="CM70" s="143" t="s">
        <v>771</v>
      </c>
      <c r="CN70" s="143" t="s">
        <v>772</v>
      </c>
      <c r="CO70" s="143" t="s">
        <v>728</v>
      </c>
      <c r="CP70" s="143">
        <v>2481</v>
      </c>
      <c r="CQ70" s="78">
        <v>2</v>
      </c>
      <c r="CR70" s="78">
        <v>0</v>
      </c>
      <c r="CS70" s="78">
        <v>24</v>
      </c>
      <c r="CT70" s="78">
        <v>4</v>
      </c>
      <c r="CU70" s="78">
        <v>2</v>
      </c>
      <c r="CV70" s="78">
        <v>8</v>
      </c>
      <c r="CW70" s="137">
        <v>0.76923079999999999</v>
      </c>
      <c r="CY70" s="143" t="s">
        <v>771</v>
      </c>
      <c r="CZ70" s="143" t="s">
        <v>772</v>
      </c>
      <c r="DA70" s="143" t="s">
        <v>728</v>
      </c>
      <c r="DB70" s="143">
        <v>2481</v>
      </c>
      <c r="DC70" s="78">
        <v>52</v>
      </c>
      <c r="DD70" s="137">
        <v>0.2</v>
      </c>
      <c r="DE70" s="137">
        <v>0.11555559999999999</v>
      </c>
      <c r="DG70" s="143" t="s">
        <v>771</v>
      </c>
      <c r="DH70" s="143" t="s">
        <v>772</v>
      </c>
      <c r="DI70" s="143" t="s">
        <v>728</v>
      </c>
      <c r="DJ70" s="143">
        <v>2481</v>
      </c>
      <c r="DK70" s="78">
        <v>2</v>
      </c>
      <c r="DL70" s="78">
        <v>1</v>
      </c>
      <c r="DM70" s="78">
        <v>0</v>
      </c>
      <c r="DN70" s="78">
        <v>4</v>
      </c>
      <c r="DO70" s="78">
        <v>2</v>
      </c>
      <c r="DP70" s="78">
        <v>3</v>
      </c>
      <c r="DQ70" s="78">
        <v>7</v>
      </c>
      <c r="DR70" s="78">
        <v>1</v>
      </c>
      <c r="DS70" s="78">
        <v>1</v>
      </c>
      <c r="DT70" s="78">
        <v>0</v>
      </c>
      <c r="DU70" s="78">
        <v>0</v>
      </c>
      <c r="DV70" s="137">
        <v>0.7241379</v>
      </c>
      <c r="DX70" s="143" t="s">
        <v>771</v>
      </c>
      <c r="DY70" s="143" t="s">
        <v>772</v>
      </c>
      <c r="DZ70" s="143" t="s">
        <v>728</v>
      </c>
      <c r="EA70" s="143">
        <v>2481</v>
      </c>
      <c r="EB70" s="78">
        <v>1</v>
      </c>
      <c r="EC70" s="78">
        <v>8</v>
      </c>
      <c r="ED70" s="78">
        <v>1</v>
      </c>
      <c r="EE70" s="78">
        <v>4</v>
      </c>
      <c r="EF70" s="78">
        <v>1</v>
      </c>
      <c r="EG70" s="78">
        <v>1</v>
      </c>
      <c r="EH70" s="78">
        <v>0</v>
      </c>
      <c r="EI70" s="78">
        <v>1</v>
      </c>
      <c r="EJ70" s="78">
        <v>1</v>
      </c>
      <c r="EK70" s="78">
        <v>1</v>
      </c>
      <c r="EL70" s="78">
        <v>4</v>
      </c>
      <c r="EM70" s="78">
        <v>1</v>
      </c>
      <c r="EN70" s="78">
        <v>1</v>
      </c>
      <c r="EO70" s="137">
        <v>0.92592589999999997</v>
      </c>
      <c r="EQ70" s="143" t="s">
        <v>771</v>
      </c>
      <c r="ER70" s="143" t="s">
        <v>772</v>
      </c>
      <c r="ES70" s="143" t="s">
        <v>728</v>
      </c>
      <c r="ET70" s="143">
        <v>2481</v>
      </c>
      <c r="EU70" s="78">
        <v>0.5</v>
      </c>
      <c r="EV70" s="78">
        <v>1</v>
      </c>
      <c r="EW70" s="78">
        <v>3</v>
      </c>
      <c r="EX70" s="78">
        <v>2</v>
      </c>
      <c r="EY70" s="78">
        <v>0.5</v>
      </c>
      <c r="EZ70" s="78">
        <v>3</v>
      </c>
      <c r="FA70" s="78">
        <v>2</v>
      </c>
      <c r="FB70" s="78">
        <v>1</v>
      </c>
      <c r="FC70" s="137">
        <v>1</v>
      </c>
      <c r="FE70" s="137">
        <v>0.56129030000000002</v>
      </c>
    </row>
    <row r="71" spans="1:161" hidden="1" x14ac:dyDescent="0.25">
      <c r="A71" s="143" t="s">
        <v>773</v>
      </c>
      <c r="B71" s="143" t="s">
        <v>764</v>
      </c>
      <c r="C71" s="143" t="s">
        <v>729</v>
      </c>
      <c r="D71" s="143">
        <v>590</v>
      </c>
      <c r="E71" s="78">
        <v>0.5</v>
      </c>
      <c r="F71" s="78">
        <v>2.5</v>
      </c>
      <c r="G71" s="78">
        <v>1</v>
      </c>
      <c r="H71" s="78">
        <v>1</v>
      </c>
      <c r="I71" s="78">
        <v>1</v>
      </c>
      <c r="J71" s="78">
        <v>0</v>
      </c>
      <c r="K71" s="78">
        <v>1</v>
      </c>
      <c r="L71" s="78">
        <v>1</v>
      </c>
      <c r="M71" s="78">
        <v>2</v>
      </c>
      <c r="N71" s="137">
        <v>0.71428570000000002</v>
      </c>
      <c r="P71" s="143" t="s">
        <v>773</v>
      </c>
      <c r="Q71" s="143" t="s">
        <v>764</v>
      </c>
      <c r="R71" s="143" t="s">
        <v>729</v>
      </c>
      <c r="S71" s="143">
        <v>590</v>
      </c>
      <c r="T71" s="78">
        <v>0</v>
      </c>
      <c r="U71" s="78">
        <v>1</v>
      </c>
      <c r="V71" s="78">
        <v>3</v>
      </c>
      <c r="W71" s="78">
        <v>2</v>
      </c>
      <c r="X71" s="78">
        <v>12</v>
      </c>
      <c r="Y71" s="78">
        <v>1</v>
      </c>
      <c r="Z71" s="78">
        <v>3</v>
      </c>
      <c r="AA71" s="78">
        <v>0</v>
      </c>
      <c r="AB71" s="78">
        <v>6</v>
      </c>
      <c r="AC71" s="78">
        <v>3</v>
      </c>
      <c r="AD71" s="137">
        <v>0.91176469999999998</v>
      </c>
      <c r="AF71" s="143" t="s">
        <v>773</v>
      </c>
      <c r="AG71" s="143" t="s">
        <v>764</v>
      </c>
      <c r="AH71" s="143" t="s">
        <v>729</v>
      </c>
      <c r="AI71" s="143">
        <v>590</v>
      </c>
      <c r="AJ71" s="78">
        <v>1</v>
      </c>
      <c r="AK71" s="78">
        <v>1</v>
      </c>
      <c r="AL71" s="78">
        <v>0</v>
      </c>
      <c r="AM71" s="78">
        <v>0</v>
      </c>
      <c r="AN71" s="78">
        <v>1</v>
      </c>
      <c r="AO71" s="78">
        <v>2</v>
      </c>
      <c r="AP71" s="78">
        <v>1</v>
      </c>
      <c r="AQ71" s="78">
        <v>1</v>
      </c>
      <c r="AR71" s="78">
        <v>2</v>
      </c>
      <c r="AS71" s="78">
        <v>2</v>
      </c>
      <c r="AT71" s="78">
        <v>0</v>
      </c>
      <c r="AU71" s="78">
        <v>0</v>
      </c>
      <c r="AV71" s="78">
        <v>2</v>
      </c>
      <c r="AW71" s="78">
        <v>0</v>
      </c>
      <c r="AX71" s="78">
        <v>0</v>
      </c>
      <c r="AY71" s="78">
        <v>1</v>
      </c>
      <c r="AZ71" s="78">
        <v>2</v>
      </c>
      <c r="BA71" s="78">
        <v>0.5</v>
      </c>
      <c r="BB71" s="78">
        <v>0.5</v>
      </c>
      <c r="BC71" s="78">
        <v>0.5</v>
      </c>
      <c r="BD71" s="78">
        <v>1</v>
      </c>
      <c r="BE71" s="78">
        <v>0.5</v>
      </c>
      <c r="BF71" s="78">
        <v>0</v>
      </c>
      <c r="BG71" s="78">
        <v>2</v>
      </c>
      <c r="BH71" s="137">
        <v>0.47727269999999999</v>
      </c>
      <c r="BJ71" s="143" t="s">
        <v>773</v>
      </c>
      <c r="BK71" s="143" t="s">
        <v>764</v>
      </c>
      <c r="BL71" s="143" t="s">
        <v>729</v>
      </c>
      <c r="BM71" s="143">
        <v>590</v>
      </c>
      <c r="BN71" s="78">
        <v>1</v>
      </c>
      <c r="BO71" s="78">
        <v>4</v>
      </c>
      <c r="BP71" s="78">
        <v>7</v>
      </c>
      <c r="BQ71" s="78">
        <v>0</v>
      </c>
      <c r="BR71" s="78">
        <v>0</v>
      </c>
      <c r="BS71" s="78">
        <v>3</v>
      </c>
      <c r="BT71" s="78">
        <v>2</v>
      </c>
      <c r="BU71" s="137">
        <v>0.73913039999999997</v>
      </c>
      <c r="BW71" s="143" t="s">
        <v>773</v>
      </c>
      <c r="BX71" s="143" t="s">
        <v>764</v>
      </c>
      <c r="BY71" s="143" t="s">
        <v>729</v>
      </c>
      <c r="BZ71" s="143">
        <v>590</v>
      </c>
      <c r="CA71" s="78">
        <v>1</v>
      </c>
      <c r="CB71" s="78">
        <v>1</v>
      </c>
      <c r="CC71" s="78">
        <v>1</v>
      </c>
      <c r="CD71" s="78">
        <v>2</v>
      </c>
      <c r="CE71" s="78">
        <v>1</v>
      </c>
      <c r="CF71" s="78">
        <v>2</v>
      </c>
      <c r="CG71" s="78">
        <v>1</v>
      </c>
      <c r="CH71" s="78">
        <v>2</v>
      </c>
      <c r="CI71" s="78">
        <v>1</v>
      </c>
      <c r="CJ71" s="78">
        <v>3</v>
      </c>
      <c r="CK71" s="137">
        <v>1</v>
      </c>
      <c r="CM71" s="143" t="s">
        <v>773</v>
      </c>
      <c r="CN71" s="143" t="s">
        <v>764</v>
      </c>
      <c r="CO71" s="143" t="s">
        <v>729</v>
      </c>
      <c r="CP71" s="143">
        <v>590</v>
      </c>
      <c r="CQ71" s="78">
        <v>8</v>
      </c>
      <c r="CR71" s="78">
        <v>0</v>
      </c>
      <c r="CS71" s="78">
        <v>16</v>
      </c>
      <c r="CT71" s="78">
        <v>4</v>
      </c>
      <c r="CU71" s="78">
        <v>2</v>
      </c>
      <c r="CV71" s="78">
        <v>8</v>
      </c>
      <c r="CW71" s="137">
        <v>0.73076920000000001</v>
      </c>
      <c r="CY71" s="143" t="s">
        <v>773</v>
      </c>
      <c r="CZ71" s="143" t="s">
        <v>764</v>
      </c>
      <c r="DA71" s="143" t="s">
        <v>729</v>
      </c>
      <c r="DB71" s="143">
        <v>590</v>
      </c>
      <c r="DC71" s="78">
        <v>14</v>
      </c>
      <c r="DD71" s="137">
        <v>0</v>
      </c>
      <c r="DE71" s="137">
        <v>0</v>
      </c>
      <c r="DG71" s="143" t="s">
        <v>773</v>
      </c>
      <c r="DH71" s="143" t="s">
        <v>764</v>
      </c>
      <c r="DI71" s="143" t="s">
        <v>729</v>
      </c>
      <c r="DJ71" s="143">
        <v>590</v>
      </c>
      <c r="DK71" s="78">
        <v>0</v>
      </c>
      <c r="DL71" s="78">
        <v>1</v>
      </c>
      <c r="DM71" s="78">
        <v>0</v>
      </c>
      <c r="DN71" s="78">
        <v>5</v>
      </c>
      <c r="DO71" s="78">
        <v>2</v>
      </c>
      <c r="DP71" s="78">
        <v>3</v>
      </c>
      <c r="DQ71" s="78">
        <v>7</v>
      </c>
      <c r="DR71" s="78">
        <v>1</v>
      </c>
      <c r="DS71" s="78">
        <v>0</v>
      </c>
      <c r="DT71" s="78">
        <v>2</v>
      </c>
      <c r="DU71" s="78">
        <v>0</v>
      </c>
      <c r="DV71" s="137">
        <v>0.7241379</v>
      </c>
      <c r="DX71" s="143" t="s">
        <v>773</v>
      </c>
      <c r="DY71" s="143" t="s">
        <v>764</v>
      </c>
      <c r="DZ71" s="143" t="s">
        <v>729</v>
      </c>
      <c r="EA71" s="143">
        <v>590</v>
      </c>
      <c r="EB71" s="78">
        <v>0</v>
      </c>
      <c r="EC71" s="78">
        <v>8</v>
      </c>
      <c r="ED71" s="78">
        <v>1</v>
      </c>
      <c r="EE71" s="78">
        <v>4</v>
      </c>
      <c r="EF71" s="78">
        <v>1</v>
      </c>
      <c r="EG71" s="78">
        <v>1</v>
      </c>
      <c r="EH71" s="78">
        <v>0</v>
      </c>
      <c r="EI71" s="78">
        <v>1</v>
      </c>
      <c r="EJ71" s="78">
        <v>1</v>
      </c>
      <c r="EK71" s="78">
        <v>1</v>
      </c>
      <c r="EL71" s="78">
        <v>4</v>
      </c>
      <c r="EM71" s="78">
        <v>1</v>
      </c>
      <c r="EN71" s="78">
        <v>0</v>
      </c>
      <c r="EO71" s="137">
        <v>0.8518519</v>
      </c>
      <c r="EQ71" s="143" t="s">
        <v>773</v>
      </c>
      <c r="ER71" s="143" t="s">
        <v>764</v>
      </c>
      <c r="ES71" s="143" t="s">
        <v>729</v>
      </c>
      <c r="ET71" s="143">
        <v>590</v>
      </c>
      <c r="EU71" s="78">
        <v>0.5</v>
      </c>
      <c r="EV71" s="78">
        <v>1</v>
      </c>
      <c r="EW71" s="78">
        <v>3</v>
      </c>
      <c r="EX71" s="78">
        <v>0</v>
      </c>
      <c r="EY71" s="78">
        <v>0.5</v>
      </c>
      <c r="EZ71" s="78">
        <v>3</v>
      </c>
      <c r="FA71" s="78">
        <v>2</v>
      </c>
      <c r="FB71" s="78">
        <v>0</v>
      </c>
      <c r="FC71" s="137">
        <v>0.76923079999999999</v>
      </c>
      <c r="FE71" s="137">
        <v>0.54545460000000001</v>
      </c>
    </row>
    <row r="72" spans="1:161" hidden="1" x14ac:dyDescent="0.25">
      <c r="A72" s="143" t="s">
        <v>773</v>
      </c>
      <c r="B72" s="143" t="s">
        <v>764</v>
      </c>
      <c r="C72" s="143" t="s">
        <v>727</v>
      </c>
      <c r="D72" s="143">
        <v>592</v>
      </c>
      <c r="E72" s="78">
        <v>0.5</v>
      </c>
      <c r="F72" s="78">
        <v>2</v>
      </c>
      <c r="G72" s="78">
        <v>0</v>
      </c>
      <c r="H72" s="78">
        <v>0</v>
      </c>
      <c r="I72" s="78">
        <v>1</v>
      </c>
      <c r="J72" s="78">
        <v>0</v>
      </c>
      <c r="K72" s="78">
        <v>1</v>
      </c>
      <c r="L72" s="78">
        <v>1</v>
      </c>
      <c r="M72" s="78">
        <v>2</v>
      </c>
      <c r="N72" s="137">
        <v>0.53571429999999998</v>
      </c>
      <c r="P72" s="143" t="s">
        <v>773</v>
      </c>
      <c r="Q72" s="143" t="s">
        <v>764</v>
      </c>
      <c r="R72" s="143" t="s">
        <v>727</v>
      </c>
      <c r="S72" s="143">
        <v>592</v>
      </c>
      <c r="T72" s="78">
        <v>0</v>
      </c>
      <c r="U72" s="78">
        <v>1</v>
      </c>
      <c r="V72" s="78">
        <v>2</v>
      </c>
      <c r="W72" s="78">
        <v>1</v>
      </c>
      <c r="X72" s="78">
        <v>12</v>
      </c>
      <c r="Y72" s="78">
        <v>1</v>
      </c>
      <c r="Z72" s="78">
        <v>3</v>
      </c>
      <c r="AA72" s="78">
        <v>2</v>
      </c>
      <c r="AB72" s="78">
        <v>6</v>
      </c>
      <c r="AC72" s="78">
        <v>3</v>
      </c>
      <c r="AD72" s="137">
        <v>0.91176469999999998</v>
      </c>
      <c r="AF72" s="143" t="s">
        <v>773</v>
      </c>
      <c r="AG72" s="143" t="s">
        <v>764</v>
      </c>
      <c r="AH72" s="143" t="s">
        <v>727</v>
      </c>
      <c r="AI72" s="143">
        <v>592</v>
      </c>
      <c r="AJ72" s="78">
        <v>1</v>
      </c>
      <c r="AK72" s="78">
        <v>0</v>
      </c>
      <c r="AL72" s="78">
        <v>1</v>
      </c>
      <c r="AM72" s="78">
        <v>6</v>
      </c>
      <c r="AN72" s="78">
        <v>1</v>
      </c>
      <c r="AO72" s="78">
        <v>2</v>
      </c>
      <c r="AP72" s="78">
        <v>1</v>
      </c>
      <c r="AQ72" s="78">
        <v>1</v>
      </c>
      <c r="AR72" s="78">
        <v>2</v>
      </c>
      <c r="AS72" s="78">
        <v>2</v>
      </c>
      <c r="AT72" s="78">
        <v>0</v>
      </c>
      <c r="AU72" s="78">
        <v>0</v>
      </c>
      <c r="AV72" s="78">
        <v>0</v>
      </c>
      <c r="AW72" s="78">
        <v>0</v>
      </c>
      <c r="AX72" s="78">
        <v>4</v>
      </c>
      <c r="AY72" s="78">
        <v>1</v>
      </c>
      <c r="AZ72" s="78">
        <v>2</v>
      </c>
      <c r="BA72" s="78">
        <v>0.5</v>
      </c>
      <c r="BB72" s="78">
        <v>0.5</v>
      </c>
      <c r="BC72" s="78">
        <v>0.5</v>
      </c>
      <c r="BD72" s="78">
        <v>1</v>
      </c>
      <c r="BE72" s="78">
        <v>0.5</v>
      </c>
      <c r="BF72" s="78">
        <v>0</v>
      </c>
      <c r="BG72" s="78">
        <v>2</v>
      </c>
      <c r="BH72" s="137">
        <v>0.65909090000000004</v>
      </c>
      <c r="BJ72" s="143" t="s">
        <v>773</v>
      </c>
      <c r="BK72" s="143" t="s">
        <v>764</v>
      </c>
      <c r="BL72" s="143" t="s">
        <v>727</v>
      </c>
      <c r="BM72" s="143">
        <v>592</v>
      </c>
      <c r="BN72" s="78">
        <v>1</v>
      </c>
      <c r="BO72" s="78">
        <v>4</v>
      </c>
      <c r="BP72" s="78">
        <v>0</v>
      </c>
      <c r="BQ72" s="78">
        <v>0</v>
      </c>
      <c r="BR72" s="78">
        <v>0</v>
      </c>
      <c r="BS72" s="78">
        <v>0</v>
      </c>
      <c r="BT72" s="78">
        <v>0</v>
      </c>
      <c r="BU72" s="137">
        <v>0.21739130000000001</v>
      </c>
      <c r="BW72" s="143" t="s">
        <v>773</v>
      </c>
      <c r="BX72" s="143" t="s">
        <v>764</v>
      </c>
      <c r="BY72" s="143" t="s">
        <v>727</v>
      </c>
      <c r="BZ72" s="143">
        <v>592</v>
      </c>
      <c r="CA72" s="78">
        <v>1</v>
      </c>
      <c r="CB72" s="78">
        <v>0</v>
      </c>
      <c r="CC72" s="78">
        <v>0</v>
      </c>
      <c r="CD72" s="78">
        <v>0</v>
      </c>
      <c r="CE72" s="78">
        <v>1</v>
      </c>
      <c r="CF72" s="78">
        <v>0</v>
      </c>
      <c r="CG72" s="78">
        <v>1</v>
      </c>
      <c r="CH72" s="78">
        <v>2</v>
      </c>
      <c r="CI72" s="78">
        <v>1</v>
      </c>
      <c r="CJ72" s="78">
        <v>3</v>
      </c>
      <c r="CK72" s="137">
        <v>0.6</v>
      </c>
      <c r="CM72" s="143" t="s">
        <v>773</v>
      </c>
      <c r="CN72" s="143" t="s">
        <v>764</v>
      </c>
      <c r="CO72" s="143" t="s">
        <v>727</v>
      </c>
      <c r="CP72" s="143">
        <v>592</v>
      </c>
      <c r="CQ72" s="78">
        <v>8</v>
      </c>
      <c r="CR72" s="78">
        <v>0</v>
      </c>
      <c r="CS72" s="78">
        <v>4</v>
      </c>
      <c r="CT72" s="78">
        <v>4</v>
      </c>
      <c r="CU72" s="78">
        <v>2</v>
      </c>
      <c r="CV72" s="78">
        <v>8</v>
      </c>
      <c r="CW72" s="137">
        <v>0.5</v>
      </c>
      <c r="CY72" s="143" t="s">
        <v>773</v>
      </c>
      <c r="CZ72" s="143" t="s">
        <v>764</v>
      </c>
      <c r="DA72" s="143" t="s">
        <v>727</v>
      </c>
      <c r="DB72" s="143">
        <v>592</v>
      </c>
      <c r="DC72" s="78">
        <v>10</v>
      </c>
      <c r="DD72" s="137">
        <v>0</v>
      </c>
      <c r="DE72" s="137">
        <v>0</v>
      </c>
      <c r="DG72" s="143" t="s">
        <v>773</v>
      </c>
      <c r="DH72" s="143" t="s">
        <v>764</v>
      </c>
      <c r="DI72" s="143" t="s">
        <v>727</v>
      </c>
      <c r="DJ72" s="143">
        <v>592</v>
      </c>
      <c r="DK72" s="78">
        <v>2</v>
      </c>
      <c r="DL72" s="78">
        <v>1</v>
      </c>
      <c r="DM72" s="78">
        <v>1</v>
      </c>
      <c r="DN72" s="78">
        <v>5</v>
      </c>
      <c r="DO72" s="78">
        <v>2</v>
      </c>
      <c r="DP72" s="78">
        <v>3</v>
      </c>
      <c r="DQ72" s="78">
        <v>8</v>
      </c>
      <c r="DR72" s="78">
        <v>1</v>
      </c>
      <c r="DS72" s="78">
        <v>1</v>
      </c>
      <c r="DT72" s="78">
        <v>0</v>
      </c>
      <c r="DU72" s="78">
        <v>1</v>
      </c>
      <c r="DV72" s="137">
        <v>0.86206899999999997</v>
      </c>
      <c r="DX72" s="143" t="s">
        <v>773</v>
      </c>
      <c r="DY72" s="143" t="s">
        <v>764</v>
      </c>
      <c r="DZ72" s="143" t="s">
        <v>727</v>
      </c>
      <c r="EA72" s="143">
        <v>592</v>
      </c>
      <c r="EB72" s="78">
        <v>1</v>
      </c>
      <c r="EC72" s="78">
        <v>8</v>
      </c>
      <c r="ED72" s="78">
        <v>1</v>
      </c>
      <c r="EE72" s="78">
        <v>4</v>
      </c>
      <c r="EF72" s="78">
        <v>0</v>
      </c>
      <c r="EG72" s="78">
        <v>1</v>
      </c>
      <c r="EH72" s="78">
        <v>2</v>
      </c>
      <c r="EI72" s="78">
        <v>1</v>
      </c>
      <c r="EJ72" s="78">
        <v>1</v>
      </c>
      <c r="EK72" s="78">
        <v>1</v>
      </c>
      <c r="EL72" s="78">
        <v>4</v>
      </c>
      <c r="EM72" s="78">
        <v>1</v>
      </c>
      <c r="EN72" s="78">
        <v>1</v>
      </c>
      <c r="EO72" s="137">
        <v>0.96296300000000001</v>
      </c>
      <c r="EQ72" s="143" t="s">
        <v>773</v>
      </c>
      <c r="ER72" s="143" t="s">
        <v>764</v>
      </c>
      <c r="ES72" s="143" t="s">
        <v>727</v>
      </c>
      <c r="ET72" s="143">
        <v>592</v>
      </c>
      <c r="EU72" s="78">
        <v>0.5</v>
      </c>
      <c r="EV72" s="78">
        <v>1</v>
      </c>
      <c r="EW72" s="78">
        <v>3</v>
      </c>
      <c r="EX72" s="78">
        <v>0</v>
      </c>
      <c r="EY72" s="78">
        <v>0.5</v>
      </c>
      <c r="EZ72" s="78">
        <v>3</v>
      </c>
      <c r="FA72" s="78">
        <v>2</v>
      </c>
      <c r="FB72" s="78">
        <v>1</v>
      </c>
      <c r="FC72" s="137">
        <v>0.84615390000000001</v>
      </c>
      <c r="FE72" s="137">
        <v>0.4970675</v>
      </c>
    </row>
    <row r="73" spans="1:161" x14ac:dyDescent="0.25">
      <c r="A73" s="143" t="s">
        <v>773</v>
      </c>
      <c r="B73" s="143" t="s">
        <v>764</v>
      </c>
      <c r="C73" s="143" t="s">
        <v>728</v>
      </c>
      <c r="D73" s="143">
        <v>1555</v>
      </c>
      <c r="E73" s="78">
        <v>0.5</v>
      </c>
      <c r="F73" s="78">
        <v>1.5</v>
      </c>
      <c r="G73" s="78">
        <v>1</v>
      </c>
      <c r="H73" s="78">
        <v>4</v>
      </c>
      <c r="I73" s="78">
        <v>1</v>
      </c>
      <c r="J73" s="78">
        <v>0</v>
      </c>
      <c r="K73" s="78">
        <v>1</v>
      </c>
      <c r="L73" s="78">
        <v>1</v>
      </c>
      <c r="M73" s="78">
        <v>2</v>
      </c>
      <c r="N73" s="137">
        <v>0.85714290000000004</v>
      </c>
      <c r="P73" s="143" t="s">
        <v>773</v>
      </c>
      <c r="Q73" s="143" t="s">
        <v>764</v>
      </c>
      <c r="R73" s="143" t="s">
        <v>728</v>
      </c>
      <c r="S73" s="143">
        <v>1555</v>
      </c>
      <c r="T73" s="78">
        <v>1</v>
      </c>
      <c r="U73" s="78">
        <v>1</v>
      </c>
      <c r="V73" s="78">
        <v>0</v>
      </c>
      <c r="W73" s="78">
        <v>0.5</v>
      </c>
      <c r="X73" s="78">
        <v>12</v>
      </c>
      <c r="Y73" s="78">
        <v>1</v>
      </c>
      <c r="Z73" s="78">
        <v>3</v>
      </c>
      <c r="AA73" s="78">
        <v>0</v>
      </c>
      <c r="AB73" s="78">
        <v>0</v>
      </c>
      <c r="AC73" s="78">
        <v>3</v>
      </c>
      <c r="AD73" s="137">
        <v>0.6323529</v>
      </c>
      <c r="AF73" s="143" t="s">
        <v>773</v>
      </c>
      <c r="AG73" s="143" t="s">
        <v>764</v>
      </c>
      <c r="AH73" s="143" t="s">
        <v>728</v>
      </c>
      <c r="AI73" s="143">
        <v>1555</v>
      </c>
      <c r="AJ73" s="78">
        <v>0</v>
      </c>
      <c r="AK73" s="78">
        <v>1</v>
      </c>
      <c r="AL73" s="78">
        <v>1</v>
      </c>
      <c r="AM73" s="78">
        <v>0</v>
      </c>
      <c r="AN73" s="78">
        <v>1</v>
      </c>
      <c r="AO73" s="78">
        <v>0</v>
      </c>
      <c r="AP73" s="78">
        <v>1</v>
      </c>
      <c r="AQ73" s="78">
        <v>1</v>
      </c>
      <c r="AR73" s="78">
        <v>0</v>
      </c>
      <c r="AS73" s="78">
        <v>0</v>
      </c>
      <c r="AT73" s="78">
        <v>0</v>
      </c>
      <c r="AU73" s="78">
        <v>1</v>
      </c>
      <c r="AV73" s="78">
        <v>0</v>
      </c>
      <c r="AW73" s="78">
        <v>1</v>
      </c>
      <c r="AX73" s="78">
        <v>0</v>
      </c>
      <c r="AY73" s="78">
        <v>1</v>
      </c>
      <c r="AZ73" s="78">
        <v>2</v>
      </c>
      <c r="BA73" s="78">
        <v>0.5</v>
      </c>
      <c r="BB73" s="78">
        <v>0.5</v>
      </c>
      <c r="BC73" s="78">
        <v>0.5</v>
      </c>
      <c r="BD73" s="78">
        <v>1</v>
      </c>
      <c r="BE73" s="78">
        <v>0.5</v>
      </c>
      <c r="BF73" s="78">
        <v>0</v>
      </c>
      <c r="BG73" s="78">
        <v>6</v>
      </c>
      <c r="BH73" s="137">
        <v>0.43181819999999999</v>
      </c>
      <c r="BJ73" s="143" t="s">
        <v>773</v>
      </c>
      <c r="BK73" s="143" t="s">
        <v>764</v>
      </c>
      <c r="BL73" s="143" t="s">
        <v>728</v>
      </c>
      <c r="BM73" s="143">
        <v>1555</v>
      </c>
      <c r="BN73" s="78">
        <v>0</v>
      </c>
      <c r="BO73" s="78">
        <v>4</v>
      </c>
      <c r="BP73" s="78">
        <v>0</v>
      </c>
      <c r="BQ73" s="78">
        <v>0</v>
      </c>
      <c r="BR73" s="78">
        <v>0</v>
      </c>
      <c r="BS73" s="78">
        <v>0</v>
      </c>
      <c r="BT73" s="78">
        <v>2</v>
      </c>
      <c r="BU73" s="137">
        <v>0.26086959999999998</v>
      </c>
      <c r="BW73" s="143" t="s">
        <v>773</v>
      </c>
      <c r="BX73" s="143" t="s">
        <v>764</v>
      </c>
      <c r="BY73" s="143" t="s">
        <v>728</v>
      </c>
      <c r="BZ73" s="143">
        <v>1555</v>
      </c>
      <c r="CM73" s="143" t="s">
        <v>773</v>
      </c>
      <c r="CN73" s="143" t="s">
        <v>764</v>
      </c>
      <c r="CO73" s="143" t="s">
        <v>728</v>
      </c>
      <c r="CP73" s="143">
        <v>1555</v>
      </c>
      <c r="CQ73" s="78">
        <v>0</v>
      </c>
      <c r="CR73" s="78">
        <v>0</v>
      </c>
      <c r="CS73" s="78">
        <v>0</v>
      </c>
      <c r="CT73" s="78">
        <v>4</v>
      </c>
      <c r="CU73" s="78">
        <v>0</v>
      </c>
      <c r="CV73" s="78">
        <v>8</v>
      </c>
      <c r="CW73" s="137">
        <v>0.23076920000000001</v>
      </c>
      <c r="CY73" s="143" t="s">
        <v>773</v>
      </c>
      <c r="CZ73" s="143" t="s">
        <v>764</v>
      </c>
      <c r="DA73" s="143" t="s">
        <v>728</v>
      </c>
      <c r="DB73" s="143">
        <v>1555</v>
      </c>
      <c r="DC73" s="78">
        <v>0</v>
      </c>
      <c r="DD73" s="137">
        <v>0</v>
      </c>
      <c r="DE73" s="137">
        <v>0</v>
      </c>
      <c r="DG73" s="143" t="s">
        <v>773</v>
      </c>
      <c r="DH73" s="143" t="s">
        <v>764</v>
      </c>
      <c r="DI73" s="143" t="s">
        <v>728</v>
      </c>
      <c r="DJ73" s="143">
        <v>1555</v>
      </c>
      <c r="DK73" s="78">
        <v>2</v>
      </c>
      <c r="DL73" s="78">
        <v>1</v>
      </c>
      <c r="DM73" s="78">
        <v>0</v>
      </c>
      <c r="DN73" s="78">
        <v>3</v>
      </c>
      <c r="DO73" s="78">
        <v>2</v>
      </c>
      <c r="DP73" s="78">
        <v>3</v>
      </c>
      <c r="DQ73" s="78">
        <v>7</v>
      </c>
      <c r="DR73" s="78">
        <v>1</v>
      </c>
      <c r="DS73" s="78">
        <v>1</v>
      </c>
      <c r="DT73" s="78">
        <v>0</v>
      </c>
      <c r="DU73" s="78">
        <v>0</v>
      </c>
      <c r="DV73" s="137">
        <v>0.68965520000000002</v>
      </c>
      <c r="DX73" s="143" t="s">
        <v>773</v>
      </c>
      <c r="DY73" s="143" t="s">
        <v>764</v>
      </c>
      <c r="DZ73" s="143" t="s">
        <v>728</v>
      </c>
      <c r="EA73" s="143">
        <v>1555</v>
      </c>
      <c r="EB73" s="78">
        <v>1</v>
      </c>
      <c r="EC73" s="78">
        <v>8</v>
      </c>
      <c r="ED73" s="78">
        <v>1</v>
      </c>
      <c r="EE73" s="78">
        <v>4</v>
      </c>
      <c r="EF73" s="78">
        <v>1</v>
      </c>
      <c r="EG73" s="78">
        <v>1</v>
      </c>
      <c r="EH73" s="78">
        <v>0</v>
      </c>
      <c r="EI73" s="78">
        <v>1</v>
      </c>
      <c r="EJ73" s="78">
        <v>1</v>
      </c>
      <c r="EK73" s="78">
        <v>1</v>
      </c>
      <c r="EL73" s="78">
        <v>4</v>
      </c>
      <c r="EM73" s="78">
        <v>1</v>
      </c>
      <c r="EN73" s="78">
        <v>1</v>
      </c>
      <c r="EO73" s="137">
        <v>0.92592589999999997</v>
      </c>
      <c r="EQ73" s="143" t="s">
        <v>773</v>
      </c>
      <c r="ER73" s="143" t="s">
        <v>764</v>
      </c>
      <c r="ES73" s="143" t="s">
        <v>728</v>
      </c>
      <c r="ET73" s="143">
        <v>1555</v>
      </c>
      <c r="EU73" s="78">
        <v>0.5</v>
      </c>
      <c r="EV73" s="78">
        <v>1</v>
      </c>
      <c r="EW73" s="78">
        <v>3</v>
      </c>
      <c r="EX73" s="78">
        <v>0</v>
      </c>
      <c r="EY73" s="78">
        <v>0.5</v>
      </c>
      <c r="EZ73" s="78">
        <v>3</v>
      </c>
      <c r="FA73" s="78">
        <v>2</v>
      </c>
      <c r="FB73" s="78">
        <v>1</v>
      </c>
      <c r="FC73" s="137">
        <v>0.84615390000000001</v>
      </c>
      <c r="FE73" s="137">
        <v>0.38803680000000002</v>
      </c>
    </row>
    <row r="74" spans="1:161" x14ac:dyDescent="0.25">
      <c r="A74" s="143" t="s">
        <v>773</v>
      </c>
      <c r="B74" s="143" t="s">
        <v>764</v>
      </c>
      <c r="C74" s="143" t="s">
        <v>728</v>
      </c>
      <c r="D74" s="143">
        <v>1556</v>
      </c>
      <c r="E74" s="78">
        <v>0.5</v>
      </c>
      <c r="F74" s="78">
        <v>1.5</v>
      </c>
      <c r="G74" s="78">
        <v>1</v>
      </c>
      <c r="H74" s="78">
        <v>4</v>
      </c>
      <c r="I74" s="78">
        <v>1</v>
      </c>
      <c r="J74" s="78">
        <v>0</v>
      </c>
      <c r="K74" s="78">
        <v>1</v>
      </c>
      <c r="L74" s="78">
        <v>1</v>
      </c>
      <c r="M74" s="78">
        <v>2</v>
      </c>
      <c r="N74" s="137">
        <v>0.85714290000000004</v>
      </c>
      <c r="P74" s="143" t="s">
        <v>773</v>
      </c>
      <c r="Q74" s="143" t="s">
        <v>764</v>
      </c>
      <c r="R74" s="143" t="s">
        <v>728</v>
      </c>
      <c r="S74" s="143">
        <v>1556</v>
      </c>
      <c r="T74" s="78">
        <v>1</v>
      </c>
      <c r="U74" s="78">
        <v>1</v>
      </c>
      <c r="V74" s="78">
        <v>0</v>
      </c>
      <c r="W74" s="78">
        <v>2</v>
      </c>
      <c r="X74" s="78">
        <v>12</v>
      </c>
      <c r="Y74" s="78">
        <v>1</v>
      </c>
      <c r="Z74" s="78">
        <v>3</v>
      </c>
      <c r="AA74" s="78">
        <v>2</v>
      </c>
      <c r="AB74" s="78">
        <v>0</v>
      </c>
      <c r="AC74" s="78">
        <v>3</v>
      </c>
      <c r="AD74" s="137">
        <v>0.73529409999999995</v>
      </c>
      <c r="AF74" s="143" t="s">
        <v>773</v>
      </c>
      <c r="AG74" s="143" t="s">
        <v>764</v>
      </c>
      <c r="AH74" s="143" t="s">
        <v>728</v>
      </c>
      <c r="AI74" s="143">
        <v>1556</v>
      </c>
      <c r="AJ74" s="78">
        <v>0</v>
      </c>
      <c r="AK74" s="78">
        <v>1</v>
      </c>
      <c r="AL74" s="78">
        <v>1</v>
      </c>
      <c r="AM74" s="78">
        <v>5</v>
      </c>
      <c r="AN74" s="78">
        <v>1</v>
      </c>
      <c r="AO74" s="78">
        <v>2</v>
      </c>
      <c r="AP74" s="78">
        <v>0</v>
      </c>
      <c r="AQ74" s="78">
        <v>1</v>
      </c>
      <c r="AR74" s="78">
        <v>0</v>
      </c>
      <c r="AS74" s="78">
        <v>2</v>
      </c>
      <c r="AT74" s="78">
        <v>2</v>
      </c>
      <c r="AU74" s="78">
        <v>0</v>
      </c>
      <c r="AV74" s="78">
        <v>2</v>
      </c>
      <c r="AW74" s="78">
        <v>0</v>
      </c>
      <c r="AX74" s="78">
        <v>0</v>
      </c>
      <c r="AY74" s="78">
        <v>1</v>
      </c>
      <c r="AZ74" s="78">
        <v>2</v>
      </c>
      <c r="BA74" s="78">
        <v>0.5</v>
      </c>
      <c r="BB74" s="78">
        <v>0.5</v>
      </c>
      <c r="BC74" s="78">
        <v>0.5</v>
      </c>
      <c r="BD74" s="78">
        <v>1</v>
      </c>
      <c r="BE74" s="78">
        <v>0.5</v>
      </c>
      <c r="BF74" s="78">
        <v>1</v>
      </c>
      <c r="BG74" s="78">
        <v>6</v>
      </c>
      <c r="BH74" s="137">
        <v>0.68181820000000004</v>
      </c>
      <c r="BJ74" s="143" t="s">
        <v>773</v>
      </c>
      <c r="BK74" s="143" t="s">
        <v>764</v>
      </c>
      <c r="BL74" s="143" t="s">
        <v>728</v>
      </c>
      <c r="BM74" s="143">
        <v>1556</v>
      </c>
      <c r="BN74" s="78">
        <v>1</v>
      </c>
      <c r="BO74" s="78">
        <v>4</v>
      </c>
      <c r="BP74" s="78">
        <v>0</v>
      </c>
      <c r="BQ74" s="78">
        <v>0</v>
      </c>
      <c r="BR74" s="78">
        <v>0</v>
      </c>
      <c r="BS74" s="78">
        <v>0</v>
      </c>
      <c r="BT74" s="78">
        <v>2</v>
      </c>
      <c r="BU74" s="137">
        <v>0.3043478</v>
      </c>
      <c r="BW74" s="143" t="s">
        <v>773</v>
      </c>
      <c r="BX74" s="143" t="s">
        <v>764</v>
      </c>
      <c r="BY74" s="143" t="s">
        <v>728</v>
      </c>
      <c r="BZ74" s="143">
        <v>1556</v>
      </c>
      <c r="CM74" s="143" t="s">
        <v>773</v>
      </c>
      <c r="CN74" s="143" t="s">
        <v>764</v>
      </c>
      <c r="CO74" s="143" t="s">
        <v>728</v>
      </c>
      <c r="CP74" s="143">
        <v>1556</v>
      </c>
      <c r="CQ74" s="78">
        <v>6</v>
      </c>
      <c r="CR74" s="78">
        <v>0</v>
      </c>
      <c r="CS74" s="78">
        <v>16</v>
      </c>
      <c r="CT74" s="78">
        <v>0</v>
      </c>
      <c r="CU74" s="78">
        <v>0</v>
      </c>
      <c r="CV74" s="78">
        <v>8</v>
      </c>
      <c r="CW74" s="137">
        <v>0.57692310000000002</v>
      </c>
      <c r="CY74" s="143" t="s">
        <v>773</v>
      </c>
      <c r="CZ74" s="143" t="s">
        <v>764</v>
      </c>
      <c r="DA74" s="143" t="s">
        <v>728</v>
      </c>
      <c r="DB74" s="143">
        <v>1556</v>
      </c>
      <c r="DC74" s="78">
        <v>0</v>
      </c>
      <c r="DD74" s="137">
        <v>0</v>
      </c>
      <c r="DE74" s="137">
        <v>0</v>
      </c>
      <c r="DG74" s="143" t="s">
        <v>773</v>
      </c>
      <c r="DH74" s="143" t="s">
        <v>764</v>
      </c>
      <c r="DI74" s="143" t="s">
        <v>728</v>
      </c>
      <c r="DJ74" s="143">
        <v>1556</v>
      </c>
      <c r="DK74" s="78">
        <v>2</v>
      </c>
      <c r="DL74" s="78">
        <v>1</v>
      </c>
      <c r="DM74" s="78">
        <v>0</v>
      </c>
      <c r="DN74" s="78">
        <v>5</v>
      </c>
      <c r="DO74" s="78">
        <v>2</v>
      </c>
      <c r="DP74" s="78">
        <v>3</v>
      </c>
      <c r="DQ74" s="78">
        <v>7</v>
      </c>
      <c r="DR74" s="78">
        <v>1</v>
      </c>
      <c r="DS74" s="78">
        <v>1</v>
      </c>
      <c r="DT74" s="78">
        <v>0</v>
      </c>
      <c r="DU74" s="78">
        <v>1</v>
      </c>
      <c r="DV74" s="137">
        <v>0.79310349999999996</v>
      </c>
      <c r="DX74" s="143" t="s">
        <v>773</v>
      </c>
      <c r="DY74" s="143" t="s">
        <v>764</v>
      </c>
      <c r="DZ74" s="143" t="s">
        <v>728</v>
      </c>
      <c r="EA74" s="143">
        <v>1556</v>
      </c>
      <c r="EB74" s="78">
        <v>1</v>
      </c>
      <c r="EC74" s="78">
        <v>8</v>
      </c>
      <c r="ED74" s="78">
        <v>1</v>
      </c>
      <c r="EE74" s="78">
        <v>4</v>
      </c>
      <c r="EF74" s="78">
        <v>1</v>
      </c>
      <c r="EG74" s="78">
        <v>1</v>
      </c>
      <c r="EH74" s="78">
        <v>0</v>
      </c>
      <c r="EI74" s="78">
        <v>1</v>
      </c>
      <c r="EJ74" s="78">
        <v>1</v>
      </c>
      <c r="EK74" s="78">
        <v>1</v>
      </c>
      <c r="EL74" s="78">
        <v>4</v>
      </c>
      <c r="EM74" s="78">
        <v>1</v>
      </c>
      <c r="EN74" s="78">
        <v>1</v>
      </c>
      <c r="EO74" s="137">
        <v>0.92592589999999997</v>
      </c>
      <c r="EQ74" s="143" t="s">
        <v>773</v>
      </c>
      <c r="ER74" s="143" t="s">
        <v>764</v>
      </c>
      <c r="ES74" s="143" t="s">
        <v>728</v>
      </c>
      <c r="ET74" s="143">
        <v>1556</v>
      </c>
      <c r="EU74" s="78">
        <v>0.5</v>
      </c>
      <c r="EV74" s="78">
        <v>1</v>
      </c>
      <c r="EW74" s="78">
        <v>3</v>
      </c>
      <c r="EX74" s="78">
        <v>0</v>
      </c>
      <c r="EY74" s="78">
        <v>0.5</v>
      </c>
      <c r="EZ74" s="78">
        <v>3</v>
      </c>
      <c r="FA74" s="78">
        <v>2</v>
      </c>
      <c r="FB74" s="78">
        <v>1</v>
      </c>
      <c r="FC74" s="137">
        <v>0.84615390000000001</v>
      </c>
      <c r="FE74" s="137">
        <v>0.5</v>
      </c>
    </row>
    <row r="75" spans="1:161" x14ac:dyDescent="0.25">
      <c r="A75" s="143" t="s">
        <v>773</v>
      </c>
      <c r="B75" s="143" t="s">
        <v>764</v>
      </c>
      <c r="C75" s="143" t="s">
        <v>728</v>
      </c>
      <c r="D75" s="143">
        <v>1557</v>
      </c>
      <c r="E75" s="78">
        <v>0.5</v>
      </c>
      <c r="F75" s="78">
        <v>2</v>
      </c>
      <c r="G75" s="78">
        <v>1</v>
      </c>
      <c r="H75" s="78">
        <v>4</v>
      </c>
      <c r="I75" s="78">
        <v>1</v>
      </c>
      <c r="J75" s="78">
        <v>0</v>
      </c>
      <c r="K75" s="78">
        <v>1</v>
      </c>
      <c r="L75" s="78">
        <v>1</v>
      </c>
      <c r="M75" s="78">
        <v>2</v>
      </c>
      <c r="N75" s="137">
        <v>0.89285709999999996</v>
      </c>
      <c r="P75" s="143" t="s">
        <v>773</v>
      </c>
      <c r="Q75" s="143" t="s">
        <v>764</v>
      </c>
      <c r="R75" s="143" t="s">
        <v>728</v>
      </c>
      <c r="S75" s="143">
        <v>1557</v>
      </c>
      <c r="T75" s="78">
        <v>1</v>
      </c>
      <c r="U75" s="78">
        <v>1</v>
      </c>
      <c r="V75" s="78">
        <v>0</v>
      </c>
      <c r="W75" s="78">
        <v>0.5</v>
      </c>
      <c r="X75" s="78">
        <v>12</v>
      </c>
      <c r="Y75" s="78">
        <v>1</v>
      </c>
      <c r="Z75" s="78">
        <v>3</v>
      </c>
      <c r="AA75" s="78">
        <v>0</v>
      </c>
      <c r="AB75" s="78">
        <v>6</v>
      </c>
      <c r="AC75" s="78">
        <v>3</v>
      </c>
      <c r="AD75" s="137">
        <v>0.80882350000000003</v>
      </c>
      <c r="AF75" s="143" t="s">
        <v>773</v>
      </c>
      <c r="AG75" s="143" t="s">
        <v>764</v>
      </c>
      <c r="AH75" s="143" t="s">
        <v>728</v>
      </c>
      <c r="AI75" s="143">
        <v>1557</v>
      </c>
      <c r="AJ75" s="78">
        <v>1</v>
      </c>
      <c r="AK75" s="78">
        <v>1</v>
      </c>
      <c r="AL75" s="78">
        <v>1</v>
      </c>
      <c r="AM75" s="78">
        <v>5</v>
      </c>
      <c r="AN75" s="78">
        <v>1</v>
      </c>
      <c r="AO75" s="78">
        <v>2</v>
      </c>
      <c r="AP75" s="78">
        <v>1</v>
      </c>
      <c r="AQ75" s="78">
        <v>1</v>
      </c>
      <c r="AR75" s="78">
        <v>0</v>
      </c>
      <c r="AS75" s="78">
        <v>0</v>
      </c>
      <c r="AT75" s="78">
        <v>0</v>
      </c>
      <c r="AU75" s="78">
        <v>1</v>
      </c>
      <c r="AV75" s="78">
        <v>0</v>
      </c>
      <c r="AW75" s="78">
        <v>1</v>
      </c>
      <c r="AX75" s="78">
        <v>0</v>
      </c>
      <c r="AY75" s="78">
        <v>1</v>
      </c>
      <c r="AZ75" s="78">
        <v>2</v>
      </c>
      <c r="BA75" s="78">
        <v>0.5</v>
      </c>
      <c r="BB75" s="78">
        <v>0.5</v>
      </c>
      <c r="BC75" s="78">
        <v>0.5</v>
      </c>
      <c r="BD75" s="78">
        <v>1</v>
      </c>
      <c r="BE75" s="78">
        <v>0.5</v>
      </c>
      <c r="BF75" s="78">
        <v>1</v>
      </c>
      <c r="BG75" s="78">
        <v>0</v>
      </c>
      <c r="BH75" s="137">
        <v>0.5</v>
      </c>
      <c r="BJ75" s="143" t="s">
        <v>773</v>
      </c>
      <c r="BK75" s="143" t="s">
        <v>764</v>
      </c>
      <c r="BL75" s="143" t="s">
        <v>728</v>
      </c>
      <c r="BM75" s="143">
        <v>1557</v>
      </c>
      <c r="BN75" s="78">
        <v>1</v>
      </c>
      <c r="BO75" s="78">
        <v>4</v>
      </c>
      <c r="BP75" s="78">
        <v>7</v>
      </c>
      <c r="BQ75" s="78">
        <v>0</v>
      </c>
      <c r="BR75" s="78">
        <v>0</v>
      </c>
      <c r="BS75" s="78">
        <v>0</v>
      </c>
      <c r="BT75" s="78">
        <v>2</v>
      </c>
      <c r="BU75" s="137">
        <v>0.6086956</v>
      </c>
      <c r="BW75" s="143" t="s">
        <v>773</v>
      </c>
      <c r="BX75" s="143" t="s">
        <v>764</v>
      </c>
      <c r="BY75" s="143" t="s">
        <v>728</v>
      </c>
      <c r="BZ75" s="143">
        <v>1557</v>
      </c>
      <c r="CM75" s="143" t="s">
        <v>773</v>
      </c>
      <c r="CN75" s="143" t="s">
        <v>764</v>
      </c>
      <c r="CO75" s="143" t="s">
        <v>728</v>
      </c>
      <c r="CP75" s="143">
        <v>1557</v>
      </c>
      <c r="CQ75" s="78">
        <v>6</v>
      </c>
      <c r="CR75" s="78">
        <v>0</v>
      </c>
      <c r="CS75" s="78">
        <v>12</v>
      </c>
      <c r="CT75" s="78">
        <v>4</v>
      </c>
      <c r="CU75" s="78">
        <v>0</v>
      </c>
      <c r="CV75" s="78">
        <v>8</v>
      </c>
      <c r="CW75" s="137">
        <v>0.57692310000000002</v>
      </c>
      <c r="CY75" s="143" t="s">
        <v>773</v>
      </c>
      <c r="CZ75" s="143" t="s">
        <v>764</v>
      </c>
      <c r="DA75" s="143" t="s">
        <v>728</v>
      </c>
      <c r="DB75" s="143">
        <v>1557</v>
      </c>
      <c r="DC75" s="78">
        <v>0</v>
      </c>
      <c r="DD75" s="137">
        <v>0</v>
      </c>
      <c r="DE75" s="137">
        <v>0</v>
      </c>
      <c r="DG75" s="143" t="s">
        <v>773</v>
      </c>
      <c r="DH75" s="143" t="s">
        <v>764</v>
      </c>
      <c r="DI75" s="143" t="s">
        <v>728</v>
      </c>
      <c r="DJ75" s="143">
        <v>1557</v>
      </c>
      <c r="DK75" s="78">
        <v>2</v>
      </c>
      <c r="DL75" s="78">
        <v>1</v>
      </c>
      <c r="DM75" s="78">
        <v>0</v>
      </c>
      <c r="DN75" s="78">
        <v>4</v>
      </c>
      <c r="DO75" s="78">
        <v>2</v>
      </c>
      <c r="DP75" s="78">
        <v>3</v>
      </c>
      <c r="DQ75" s="78">
        <v>7</v>
      </c>
      <c r="DR75" s="78">
        <v>1</v>
      </c>
      <c r="DS75" s="78">
        <v>0</v>
      </c>
      <c r="DT75" s="78">
        <v>0</v>
      </c>
      <c r="DU75" s="78">
        <v>0</v>
      </c>
      <c r="DV75" s="137">
        <v>0.68965520000000002</v>
      </c>
      <c r="DX75" s="143" t="s">
        <v>773</v>
      </c>
      <c r="DY75" s="143" t="s">
        <v>764</v>
      </c>
      <c r="DZ75" s="143" t="s">
        <v>728</v>
      </c>
      <c r="EA75" s="143">
        <v>1557</v>
      </c>
      <c r="EB75" s="78">
        <v>1</v>
      </c>
      <c r="EC75" s="78">
        <v>8</v>
      </c>
      <c r="ED75" s="78">
        <v>1</v>
      </c>
      <c r="EE75" s="78">
        <v>4</v>
      </c>
      <c r="EF75" s="78">
        <v>1</v>
      </c>
      <c r="EG75" s="78">
        <v>1</v>
      </c>
      <c r="EH75" s="78">
        <v>0</v>
      </c>
      <c r="EI75" s="78">
        <v>1</v>
      </c>
      <c r="EJ75" s="78">
        <v>1</v>
      </c>
      <c r="EK75" s="78">
        <v>1</v>
      </c>
      <c r="EL75" s="78">
        <v>4</v>
      </c>
      <c r="EM75" s="78">
        <v>1</v>
      </c>
      <c r="EN75" s="78">
        <v>1</v>
      </c>
      <c r="EO75" s="137">
        <v>0.92592589999999997</v>
      </c>
      <c r="EQ75" s="143" t="s">
        <v>773</v>
      </c>
      <c r="ER75" s="143" t="s">
        <v>764</v>
      </c>
      <c r="ES75" s="143" t="s">
        <v>728</v>
      </c>
      <c r="ET75" s="143">
        <v>1557</v>
      </c>
      <c r="EU75" s="78">
        <v>0.5</v>
      </c>
      <c r="EV75" s="78">
        <v>1</v>
      </c>
      <c r="EW75" s="78">
        <v>3</v>
      </c>
      <c r="EX75" s="78">
        <v>0</v>
      </c>
      <c r="EY75" s="78">
        <v>0.5</v>
      </c>
      <c r="EZ75" s="78">
        <v>3</v>
      </c>
      <c r="FA75" s="78">
        <v>2</v>
      </c>
      <c r="FB75" s="78">
        <v>1</v>
      </c>
      <c r="FC75" s="137">
        <v>0.84615390000000001</v>
      </c>
      <c r="FE75" s="137">
        <v>0.4969325</v>
      </c>
    </row>
    <row r="76" spans="1:161" x14ac:dyDescent="0.25">
      <c r="A76" s="143" t="s">
        <v>773</v>
      </c>
      <c r="B76" s="143" t="s">
        <v>764</v>
      </c>
      <c r="C76" s="143" t="s">
        <v>728</v>
      </c>
      <c r="D76" s="143">
        <v>2034</v>
      </c>
      <c r="E76" s="78">
        <v>0.5</v>
      </c>
      <c r="F76" s="78">
        <v>2</v>
      </c>
      <c r="G76" s="78">
        <v>0</v>
      </c>
      <c r="H76" s="78">
        <v>0</v>
      </c>
      <c r="I76" s="78">
        <v>1</v>
      </c>
      <c r="J76" s="78">
        <v>0</v>
      </c>
      <c r="K76" s="78">
        <v>1</v>
      </c>
      <c r="L76" s="78">
        <v>1</v>
      </c>
      <c r="M76" s="78">
        <v>2</v>
      </c>
      <c r="N76" s="137">
        <v>0.53571429999999998</v>
      </c>
      <c r="P76" s="143" t="s">
        <v>773</v>
      </c>
      <c r="Q76" s="143" t="s">
        <v>764</v>
      </c>
      <c r="R76" s="143" t="s">
        <v>728</v>
      </c>
      <c r="S76" s="143">
        <v>2034</v>
      </c>
      <c r="T76" s="78">
        <v>1</v>
      </c>
      <c r="U76" s="78">
        <v>1</v>
      </c>
      <c r="V76" s="78">
        <v>1.5</v>
      </c>
      <c r="W76" s="78">
        <v>0.5</v>
      </c>
      <c r="X76" s="78">
        <v>12</v>
      </c>
      <c r="Y76" s="78">
        <v>1</v>
      </c>
      <c r="Z76" s="78">
        <v>3</v>
      </c>
      <c r="AA76" s="78">
        <v>0</v>
      </c>
      <c r="AB76" s="78">
        <v>6</v>
      </c>
      <c r="AC76" s="78">
        <v>3</v>
      </c>
      <c r="AD76" s="137">
        <v>0.85294119999999995</v>
      </c>
      <c r="AF76" s="143" t="s">
        <v>773</v>
      </c>
      <c r="AG76" s="143" t="s">
        <v>764</v>
      </c>
      <c r="AH76" s="143" t="s">
        <v>728</v>
      </c>
      <c r="AI76" s="143">
        <v>2034</v>
      </c>
      <c r="AJ76" s="78">
        <v>1</v>
      </c>
      <c r="AK76" s="78">
        <v>0</v>
      </c>
      <c r="AL76" s="78">
        <v>1</v>
      </c>
      <c r="AM76" s="78">
        <v>5</v>
      </c>
      <c r="AN76" s="78">
        <v>1</v>
      </c>
      <c r="AO76" s="78">
        <v>0</v>
      </c>
      <c r="AP76" s="78">
        <v>1</v>
      </c>
      <c r="AQ76" s="78">
        <v>1</v>
      </c>
      <c r="AR76" s="78">
        <v>0</v>
      </c>
      <c r="AS76" s="78">
        <v>0</v>
      </c>
      <c r="AT76" s="78">
        <v>2</v>
      </c>
      <c r="AU76" s="78">
        <v>0</v>
      </c>
      <c r="AV76" s="78">
        <v>2</v>
      </c>
      <c r="AW76" s="78">
        <v>0</v>
      </c>
      <c r="AX76" s="78">
        <v>0</v>
      </c>
      <c r="AY76" s="78">
        <v>1</v>
      </c>
      <c r="AZ76" s="78">
        <v>2</v>
      </c>
      <c r="BA76" s="78">
        <v>0.5</v>
      </c>
      <c r="BB76" s="78">
        <v>0.5</v>
      </c>
      <c r="BC76" s="78">
        <v>0.5</v>
      </c>
      <c r="BD76" s="78">
        <v>1</v>
      </c>
      <c r="BE76" s="78">
        <v>0.5</v>
      </c>
      <c r="BF76" s="78">
        <v>0</v>
      </c>
      <c r="BG76" s="78">
        <v>2</v>
      </c>
      <c r="BH76" s="137">
        <v>0.5</v>
      </c>
      <c r="BJ76" s="143" t="s">
        <v>773</v>
      </c>
      <c r="BK76" s="143" t="s">
        <v>764</v>
      </c>
      <c r="BL76" s="143" t="s">
        <v>728</v>
      </c>
      <c r="BM76" s="143">
        <v>2034</v>
      </c>
      <c r="BN76" s="78">
        <v>0</v>
      </c>
      <c r="BO76" s="78">
        <v>4</v>
      </c>
      <c r="BP76" s="78">
        <v>7</v>
      </c>
      <c r="BQ76" s="78">
        <v>3</v>
      </c>
      <c r="BR76" s="78">
        <v>3</v>
      </c>
      <c r="BS76" s="78">
        <v>0</v>
      </c>
      <c r="BT76" s="78">
        <v>0</v>
      </c>
      <c r="BU76" s="137">
        <v>0.73913039999999997</v>
      </c>
      <c r="BW76" s="143" t="s">
        <v>773</v>
      </c>
      <c r="BX76" s="143" t="s">
        <v>764</v>
      </c>
      <c r="BY76" s="143" t="s">
        <v>728</v>
      </c>
      <c r="BZ76" s="143">
        <v>2034</v>
      </c>
      <c r="CM76" s="143" t="s">
        <v>773</v>
      </c>
      <c r="CN76" s="143" t="s">
        <v>764</v>
      </c>
      <c r="CO76" s="143" t="s">
        <v>728</v>
      </c>
      <c r="CP76" s="143">
        <v>2034</v>
      </c>
      <c r="CQ76" s="78">
        <v>0</v>
      </c>
      <c r="CR76" s="78">
        <v>0</v>
      </c>
      <c r="CS76" s="78">
        <v>4</v>
      </c>
      <c r="CT76" s="78">
        <v>4</v>
      </c>
      <c r="CU76" s="78">
        <v>0</v>
      </c>
      <c r="CV76" s="78">
        <v>8</v>
      </c>
      <c r="CW76" s="137">
        <v>0.30769229999999997</v>
      </c>
      <c r="CY76" s="143" t="s">
        <v>773</v>
      </c>
      <c r="CZ76" s="143" t="s">
        <v>764</v>
      </c>
      <c r="DA76" s="143" t="s">
        <v>728</v>
      </c>
      <c r="DB76" s="143">
        <v>2034</v>
      </c>
      <c r="DC76" s="78">
        <v>0</v>
      </c>
      <c r="DD76" s="137">
        <v>0</v>
      </c>
      <c r="DE76" s="137">
        <v>0</v>
      </c>
      <c r="DG76" s="143" t="s">
        <v>773</v>
      </c>
      <c r="DH76" s="143" t="s">
        <v>764</v>
      </c>
      <c r="DI76" s="143" t="s">
        <v>728</v>
      </c>
      <c r="DJ76" s="143">
        <v>2034</v>
      </c>
      <c r="DK76" s="78">
        <v>2</v>
      </c>
      <c r="DL76" s="78">
        <v>1</v>
      </c>
      <c r="DM76" s="78">
        <v>1</v>
      </c>
      <c r="DN76" s="78">
        <v>5</v>
      </c>
      <c r="DO76" s="78">
        <v>2</v>
      </c>
      <c r="DP76" s="78">
        <v>3</v>
      </c>
      <c r="DQ76" s="78">
        <v>7</v>
      </c>
      <c r="DR76" s="78">
        <v>1</v>
      </c>
      <c r="DS76" s="78">
        <v>1</v>
      </c>
      <c r="DT76" s="78">
        <v>2</v>
      </c>
      <c r="DU76" s="78">
        <v>1</v>
      </c>
      <c r="DV76" s="137">
        <v>0.89655169999999995</v>
      </c>
      <c r="DX76" s="143" t="s">
        <v>773</v>
      </c>
      <c r="DY76" s="143" t="s">
        <v>764</v>
      </c>
      <c r="DZ76" s="143" t="s">
        <v>728</v>
      </c>
      <c r="EA76" s="143">
        <v>2034</v>
      </c>
      <c r="EB76" s="78">
        <v>1</v>
      </c>
      <c r="EC76" s="78">
        <v>8</v>
      </c>
      <c r="ED76" s="78">
        <v>1</v>
      </c>
      <c r="EE76" s="78">
        <v>4</v>
      </c>
      <c r="EF76" s="78">
        <v>1</v>
      </c>
      <c r="EG76" s="78">
        <v>1</v>
      </c>
      <c r="EH76" s="78">
        <v>2</v>
      </c>
      <c r="EI76" s="78">
        <v>1</v>
      </c>
      <c r="EJ76" s="78">
        <v>1</v>
      </c>
      <c r="EK76" s="78">
        <v>1</v>
      </c>
      <c r="EL76" s="78">
        <v>4</v>
      </c>
      <c r="EM76" s="78">
        <v>1</v>
      </c>
      <c r="EN76" s="78">
        <v>1</v>
      </c>
      <c r="EO76" s="137">
        <v>1</v>
      </c>
      <c r="EQ76" s="143" t="s">
        <v>773</v>
      </c>
      <c r="ER76" s="143" t="s">
        <v>764</v>
      </c>
      <c r="ES76" s="143" t="s">
        <v>728</v>
      </c>
      <c r="ET76" s="143">
        <v>2034</v>
      </c>
      <c r="EU76" s="78">
        <v>0.5</v>
      </c>
      <c r="EV76" s="78">
        <v>1</v>
      </c>
      <c r="EW76" s="78">
        <v>0</v>
      </c>
      <c r="EX76" s="78">
        <v>0</v>
      </c>
      <c r="EY76" s="78">
        <v>0.5</v>
      </c>
      <c r="EZ76" s="78">
        <v>3</v>
      </c>
      <c r="FA76" s="78">
        <v>2</v>
      </c>
      <c r="FB76" s="78">
        <v>1</v>
      </c>
      <c r="FC76" s="137">
        <v>0.61538459999999995</v>
      </c>
      <c r="FE76" s="137">
        <v>0.46779140000000002</v>
      </c>
    </row>
    <row r="77" spans="1:161" hidden="1" x14ac:dyDescent="0.25">
      <c r="A77" s="143" t="s">
        <v>774</v>
      </c>
      <c r="B77" s="143" t="s">
        <v>758</v>
      </c>
      <c r="C77" s="143" t="s">
        <v>727</v>
      </c>
      <c r="D77" s="143">
        <v>15</v>
      </c>
      <c r="E77" s="78">
        <v>0.5</v>
      </c>
      <c r="F77" s="78">
        <v>2.5</v>
      </c>
      <c r="G77" s="78">
        <v>1</v>
      </c>
      <c r="H77" s="78">
        <v>4</v>
      </c>
      <c r="I77" s="78">
        <v>1</v>
      </c>
      <c r="J77" s="78">
        <v>1</v>
      </c>
      <c r="K77" s="78">
        <v>1</v>
      </c>
      <c r="L77" s="78">
        <v>1</v>
      </c>
      <c r="M77" s="78">
        <v>2</v>
      </c>
      <c r="N77" s="137">
        <v>1</v>
      </c>
      <c r="P77" s="143" t="s">
        <v>774</v>
      </c>
      <c r="Q77" s="143" t="s">
        <v>758</v>
      </c>
      <c r="R77" s="143" t="s">
        <v>727</v>
      </c>
      <c r="S77" s="143">
        <v>15</v>
      </c>
      <c r="T77" s="78">
        <v>1</v>
      </c>
      <c r="U77" s="78">
        <v>1</v>
      </c>
      <c r="V77" s="78">
        <v>3</v>
      </c>
      <c r="W77" s="78">
        <v>2</v>
      </c>
      <c r="X77" s="78">
        <v>12</v>
      </c>
      <c r="Y77" s="78">
        <v>1</v>
      </c>
      <c r="Z77" s="78">
        <v>0</v>
      </c>
      <c r="AA77" s="78">
        <v>2</v>
      </c>
      <c r="AB77" s="78">
        <v>6</v>
      </c>
      <c r="AC77" s="78">
        <v>3</v>
      </c>
      <c r="AD77" s="137">
        <v>0.91176469999999998</v>
      </c>
      <c r="AF77" s="143" t="s">
        <v>774</v>
      </c>
      <c r="AG77" s="143" t="s">
        <v>758</v>
      </c>
      <c r="AH77" s="143" t="s">
        <v>727</v>
      </c>
      <c r="AI77" s="143">
        <v>15</v>
      </c>
      <c r="AJ77" s="78">
        <v>1</v>
      </c>
      <c r="AK77" s="78">
        <v>0</v>
      </c>
      <c r="AL77" s="78">
        <v>1</v>
      </c>
      <c r="AM77" s="78">
        <v>5</v>
      </c>
      <c r="AN77" s="78">
        <v>1</v>
      </c>
      <c r="AO77" s="78">
        <v>2</v>
      </c>
      <c r="AP77" s="78">
        <v>1</v>
      </c>
      <c r="AQ77" s="78">
        <v>1</v>
      </c>
      <c r="AR77" s="78">
        <v>2</v>
      </c>
      <c r="AS77" s="78">
        <v>2</v>
      </c>
      <c r="AT77" s="78">
        <v>0</v>
      </c>
      <c r="AU77" s="78">
        <v>0</v>
      </c>
      <c r="AV77" s="78">
        <v>0</v>
      </c>
      <c r="AW77" s="78">
        <v>0</v>
      </c>
      <c r="AX77" s="78">
        <v>0</v>
      </c>
      <c r="AY77" s="78">
        <v>1</v>
      </c>
      <c r="AZ77" s="78">
        <v>0</v>
      </c>
      <c r="BA77" s="78">
        <v>0.5</v>
      </c>
      <c r="BB77" s="78">
        <v>0.5</v>
      </c>
      <c r="BC77" s="78">
        <v>0.5</v>
      </c>
      <c r="BD77" s="78">
        <v>1</v>
      </c>
      <c r="BE77" s="78">
        <v>0.5</v>
      </c>
      <c r="BF77" s="78">
        <v>0</v>
      </c>
      <c r="BG77" s="78">
        <v>6</v>
      </c>
      <c r="BH77" s="137">
        <v>0.59090909999999996</v>
      </c>
      <c r="BJ77" s="143" t="s">
        <v>774</v>
      </c>
      <c r="BK77" s="143" t="s">
        <v>758</v>
      </c>
      <c r="BL77" s="143" t="s">
        <v>727</v>
      </c>
      <c r="BM77" s="143">
        <v>15</v>
      </c>
      <c r="BN77" s="78">
        <v>1</v>
      </c>
      <c r="BO77" s="78">
        <v>4</v>
      </c>
      <c r="BP77" s="78">
        <v>7</v>
      </c>
      <c r="BQ77" s="78">
        <v>3</v>
      </c>
      <c r="BR77" s="78">
        <v>3</v>
      </c>
      <c r="BS77" s="78">
        <v>3</v>
      </c>
      <c r="BT77" s="78">
        <v>2</v>
      </c>
      <c r="BU77" s="137">
        <v>1</v>
      </c>
      <c r="BW77" s="143" t="s">
        <v>774</v>
      </c>
      <c r="BX77" s="143" t="s">
        <v>758</v>
      </c>
      <c r="BY77" s="143" t="s">
        <v>727</v>
      </c>
      <c r="BZ77" s="143">
        <v>15</v>
      </c>
      <c r="CA77" s="78">
        <v>1</v>
      </c>
      <c r="CB77" s="78">
        <v>1</v>
      </c>
      <c r="CC77" s="78">
        <v>1</v>
      </c>
      <c r="CD77" s="78">
        <v>2</v>
      </c>
      <c r="CE77" s="78">
        <v>0</v>
      </c>
      <c r="CF77" s="78">
        <v>2</v>
      </c>
      <c r="CG77" s="78">
        <v>1</v>
      </c>
      <c r="CH77" s="78">
        <v>2</v>
      </c>
      <c r="CI77" s="78">
        <v>1</v>
      </c>
      <c r="CJ77" s="78">
        <v>3</v>
      </c>
      <c r="CK77" s="137">
        <v>0.93333330000000003</v>
      </c>
      <c r="CM77" s="143" t="s">
        <v>774</v>
      </c>
      <c r="CN77" s="143" t="s">
        <v>758</v>
      </c>
      <c r="CO77" s="143" t="s">
        <v>727</v>
      </c>
      <c r="CP77" s="143">
        <v>15</v>
      </c>
      <c r="CQ77" s="78">
        <v>8</v>
      </c>
      <c r="CR77" s="78">
        <v>0</v>
      </c>
      <c r="CS77" s="78">
        <v>20</v>
      </c>
      <c r="CT77" s="78">
        <v>4</v>
      </c>
      <c r="CU77" s="78">
        <v>2</v>
      </c>
      <c r="CV77" s="78">
        <v>8</v>
      </c>
      <c r="CW77" s="137">
        <v>0.80769230000000003</v>
      </c>
      <c r="CY77" s="143" t="s">
        <v>774</v>
      </c>
      <c r="CZ77" s="143" t="s">
        <v>758</v>
      </c>
      <c r="DA77" s="143" t="s">
        <v>727</v>
      </c>
      <c r="DB77" s="143">
        <v>15</v>
      </c>
      <c r="DC77" s="78">
        <v>62</v>
      </c>
      <c r="DD77" s="137">
        <v>0.6</v>
      </c>
      <c r="DE77" s="137">
        <v>0.41333340000000002</v>
      </c>
      <c r="DG77" s="143" t="s">
        <v>774</v>
      </c>
      <c r="DH77" s="143" t="s">
        <v>758</v>
      </c>
      <c r="DI77" s="143" t="s">
        <v>727</v>
      </c>
      <c r="DJ77" s="143">
        <v>15</v>
      </c>
      <c r="DK77" s="78">
        <v>2</v>
      </c>
      <c r="DL77" s="78">
        <v>1</v>
      </c>
      <c r="DM77" s="78">
        <v>0</v>
      </c>
      <c r="DN77" s="78">
        <v>5</v>
      </c>
      <c r="DO77" s="78">
        <v>2</v>
      </c>
      <c r="DP77" s="78">
        <v>3</v>
      </c>
      <c r="DQ77" s="78">
        <v>7</v>
      </c>
      <c r="DR77" s="78">
        <v>1</v>
      </c>
      <c r="DS77" s="78">
        <v>1</v>
      </c>
      <c r="DT77" s="78">
        <v>0</v>
      </c>
      <c r="DU77" s="78">
        <v>1</v>
      </c>
      <c r="DV77" s="137">
        <v>0.79310349999999996</v>
      </c>
      <c r="DX77" s="143" t="s">
        <v>774</v>
      </c>
      <c r="DY77" s="143" t="s">
        <v>758</v>
      </c>
      <c r="DZ77" s="143" t="s">
        <v>727</v>
      </c>
      <c r="EA77" s="143">
        <v>15</v>
      </c>
      <c r="EB77" s="78">
        <v>1</v>
      </c>
      <c r="EC77" s="78">
        <v>8</v>
      </c>
      <c r="ED77" s="78">
        <v>1</v>
      </c>
      <c r="EE77" s="78">
        <v>4</v>
      </c>
      <c r="EF77" s="78">
        <v>1</v>
      </c>
      <c r="EG77" s="78">
        <v>1</v>
      </c>
      <c r="EH77" s="78">
        <v>2</v>
      </c>
      <c r="EI77" s="78">
        <v>1</v>
      </c>
      <c r="EJ77" s="78">
        <v>1</v>
      </c>
      <c r="EK77" s="78">
        <v>1</v>
      </c>
      <c r="EL77" s="78">
        <v>4</v>
      </c>
      <c r="EM77" s="78">
        <v>1</v>
      </c>
      <c r="EN77" s="78">
        <v>1</v>
      </c>
      <c r="EO77" s="137">
        <v>1</v>
      </c>
      <c r="EQ77" s="143" t="s">
        <v>774</v>
      </c>
      <c r="ER77" s="143" t="s">
        <v>758</v>
      </c>
      <c r="ES77" s="143" t="s">
        <v>727</v>
      </c>
      <c r="ET77" s="143">
        <v>15</v>
      </c>
      <c r="EU77" s="78">
        <v>0.5</v>
      </c>
      <c r="EV77" s="78">
        <v>1</v>
      </c>
      <c r="EW77" s="78">
        <v>3</v>
      </c>
      <c r="EX77" s="78">
        <v>0</v>
      </c>
      <c r="EY77" s="78">
        <v>0.5</v>
      </c>
      <c r="EZ77" s="78">
        <v>3</v>
      </c>
      <c r="FA77" s="78">
        <v>2</v>
      </c>
      <c r="FB77" s="78">
        <v>0</v>
      </c>
      <c r="FC77" s="137">
        <v>0.76923079999999999</v>
      </c>
      <c r="FE77" s="137">
        <v>0.72492670000000003</v>
      </c>
    </row>
    <row r="78" spans="1:161" x14ac:dyDescent="0.25">
      <c r="A78" s="143" t="s">
        <v>774</v>
      </c>
      <c r="B78" s="143" t="s">
        <v>758</v>
      </c>
      <c r="C78" s="143" t="s">
        <v>728</v>
      </c>
      <c r="D78" s="143">
        <v>29</v>
      </c>
      <c r="E78" s="78">
        <v>0.5</v>
      </c>
      <c r="F78" s="78">
        <v>2.5</v>
      </c>
      <c r="G78" s="78">
        <v>1</v>
      </c>
      <c r="H78" s="78">
        <v>4</v>
      </c>
      <c r="I78" s="78">
        <v>1</v>
      </c>
      <c r="J78" s="78">
        <v>1</v>
      </c>
      <c r="K78" s="78">
        <v>1</v>
      </c>
      <c r="L78" s="78">
        <v>0</v>
      </c>
      <c r="M78" s="78">
        <v>0</v>
      </c>
      <c r="N78" s="137">
        <v>0.78571429999999998</v>
      </c>
      <c r="P78" s="143" t="s">
        <v>774</v>
      </c>
      <c r="Q78" s="143" t="s">
        <v>758</v>
      </c>
      <c r="R78" s="143" t="s">
        <v>728</v>
      </c>
      <c r="S78" s="143">
        <v>29</v>
      </c>
      <c r="T78" s="78">
        <v>1</v>
      </c>
      <c r="U78" s="78">
        <v>1</v>
      </c>
      <c r="V78" s="78">
        <v>2.5</v>
      </c>
      <c r="W78" s="78">
        <v>2</v>
      </c>
      <c r="X78" s="78">
        <v>9</v>
      </c>
      <c r="Y78" s="78">
        <v>1</v>
      </c>
      <c r="Z78" s="78">
        <v>0</v>
      </c>
      <c r="AA78" s="78">
        <v>0</v>
      </c>
      <c r="AB78" s="78">
        <v>6</v>
      </c>
      <c r="AC78" s="78">
        <v>3</v>
      </c>
      <c r="AD78" s="137">
        <v>0.75</v>
      </c>
      <c r="AF78" s="143" t="s">
        <v>774</v>
      </c>
      <c r="AG78" s="143" t="s">
        <v>758</v>
      </c>
      <c r="AH78" s="143" t="s">
        <v>728</v>
      </c>
      <c r="AI78" s="143">
        <v>29</v>
      </c>
      <c r="AJ78" s="78">
        <v>1</v>
      </c>
      <c r="AK78" s="78">
        <v>0</v>
      </c>
      <c r="AL78" s="78">
        <v>0</v>
      </c>
      <c r="AM78" s="78">
        <v>6</v>
      </c>
      <c r="AN78" s="78">
        <v>1</v>
      </c>
      <c r="AO78" s="78">
        <v>2</v>
      </c>
      <c r="AP78" s="78">
        <v>1</v>
      </c>
      <c r="AQ78" s="78">
        <v>1</v>
      </c>
      <c r="AR78" s="78">
        <v>0</v>
      </c>
      <c r="AS78" s="78">
        <v>0</v>
      </c>
      <c r="AT78" s="78">
        <v>0</v>
      </c>
      <c r="AU78" s="78">
        <v>0</v>
      </c>
      <c r="AV78" s="78">
        <v>0</v>
      </c>
      <c r="AW78" s="78">
        <v>0</v>
      </c>
      <c r="AX78" s="78">
        <v>0</v>
      </c>
      <c r="AY78" s="78">
        <v>1</v>
      </c>
      <c r="AZ78" s="78">
        <v>0</v>
      </c>
      <c r="BA78" s="78">
        <v>0.5</v>
      </c>
      <c r="BB78" s="78">
        <v>0.5</v>
      </c>
      <c r="BC78" s="78">
        <v>0.5</v>
      </c>
      <c r="BD78" s="78">
        <v>1</v>
      </c>
      <c r="BE78" s="78">
        <v>0.5</v>
      </c>
      <c r="BF78" s="78">
        <v>0</v>
      </c>
      <c r="BG78" s="78">
        <v>6</v>
      </c>
      <c r="BH78" s="137">
        <v>0.5</v>
      </c>
      <c r="BJ78" s="143" t="s">
        <v>774</v>
      </c>
      <c r="BK78" s="143" t="s">
        <v>758</v>
      </c>
      <c r="BL78" s="143" t="s">
        <v>728</v>
      </c>
      <c r="BM78" s="143">
        <v>29</v>
      </c>
      <c r="BN78" s="78">
        <v>1</v>
      </c>
      <c r="BO78" s="78">
        <v>4</v>
      </c>
      <c r="BP78" s="78">
        <v>7</v>
      </c>
      <c r="BQ78" s="78">
        <v>0</v>
      </c>
      <c r="BR78" s="78">
        <v>3</v>
      </c>
      <c r="BS78" s="78">
        <v>0</v>
      </c>
      <c r="BT78" s="78">
        <v>2</v>
      </c>
      <c r="BU78" s="137">
        <v>0.73913039999999997</v>
      </c>
      <c r="BW78" s="143" t="s">
        <v>774</v>
      </c>
      <c r="BX78" s="143" t="s">
        <v>758</v>
      </c>
      <c r="BY78" s="143" t="s">
        <v>728</v>
      </c>
      <c r="BZ78" s="143">
        <v>29</v>
      </c>
      <c r="CM78" s="143" t="s">
        <v>774</v>
      </c>
      <c r="CN78" s="143" t="s">
        <v>758</v>
      </c>
      <c r="CO78" s="143" t="s">
        <v>728</v>
      </c>
      <c r="CP78" s="143">
        <v>29</v>
      </c>
      <c r="CQ78" s="78">
        <v>8</v>
      </c>
      <c r="CR78" s="78">
        <v>0</v>
      </c>
      <c r="CS78" s="78">
        <v>4</v>
      </c>
      <c r="CT78" s="78">
        <v>0</v>
      </c>
      <c r="CU78" s="78">
        <v>2</v>
      </c>
      <c r="CV78" s="78">
        <v>8</v>
      </c>
      <c r="CW78" s="137">
        <v>0.42307689999999998</v>
      </c>
      <c r="CY78" s="143" t="s">
        <v>774</v>
      </c>
      <c r="CZ78" s="143" t="s">
        <v>758</v>
      </c>
      <c r="DA78" s="143" t="s">
        <v>728</v>
      </c>
      <c r="DB78" s="143">
        <v>29</v>
      </c>
      <c r="DC78" s="78">
        <v>6</v>
      </c>
      <c r="DD78" s="137">
        <v>0</v>
      </c>
      <c r="DE78" s="137">
        <v>0</v>
      </c>
      <c r="DG78" s="143" t="s">
        <v>774</v>
      </c>
      <c r="DH78" s="143" t="s">
        <v>758</v>
      </c>
      <c r="DI78" s="143" t="s">
        <v>728</v>
      </c>
      <c r="DJ78" s="143">
        <v>29</v>
      </c>
      <c r="DK78" s="78">
        <v>2</v>
      </c>
      <c r="DL78" s="78">
        <v>1</v>
      </c>
      <c r="DM78" s="78">
        <v>0</v>
      </c>
      <c r="DN78" s="78">
        <v>5</v>
      </c>
      <c r="DO78" s="78">
        <v>2</v>
      </c>
      <c r="DP78" s="78">
        <v>3</v>
      </c>
      <c r="DQ78" s="78">
        <v>7</v>
      </c>
      <c r="DR78" s="78">
        <v>1</v>
      </c>
      <c r="DS78" s="78">
        <v>1</v>
      </c>
      <c r="DT78" s="78">
        <v>0</v>
      </c>
      <c r="DU78" s="78">
        <v>0</v>
      </c>
      <c r="DV78" s="137">
        <v>0.75862070000000004</v>
      </c>
      <c r="DX78" s="143" t="s">
        <v>774</v>
      </c>
      <c r="DY78" s="143" t="s">
        <v>758</v>
      </c>
      <c r="DZ78" s="143" t="s">
        <v>728</v>
      </c>
      <c r="EA78" s="143">
        <v>29</v>
      </c>
      <c r="EB78" s="78">
        <v>1</v>
      </c>
      <c r="EC78" s="78">
        <v>8</v>
      </c>
      <c r="ED78" s="78">
        <v>1</v>
      </c>
      <c r="EE78" s="78">
        <v>4</v>
      </c>
      <c r="EF78" s="78">
        <v>1</v>
      </c>
      <c r="EG78" s="78">
        <v>1</v>
      </c>
      <c r="EH78" s="78">
        <v>2</v>
      </c>
      <c r="EI78" s="78">
        <v>1</v>
      </c>
      <c r="EJ78" s="78">
        <v>1</v>
      </c>
      <c r="EK78" s="78">
        <v>1</v>
      </c>
      <c r="EL78" s="78">
        <v>4</v>
      </c>
      <c r="EM78" s="78">
        <v>1</v>
      </c>
      <c r="EN78" s="78">
        <v>1</v>
      </c>
      <c r="EO78" s="137">
        <v>1</v>
      </c>
      <c r="EQ78" s="143" t="s">
        <v>774</v>
      </c>
      <c r="ER78" s="143" t="s">
        <v>758</v>
      </c>
      <c r="ES78" s="143" t="s">
        <v>728</v>
      </c>
      <c r="ET78" s="143">
        <v>29</v>
      </c>
      <c r="EU78" s="78">
        <v>0.5</v>
      </c>
      <c r="EV78" s="78">
        <v>1</v>
      </c>
      <c r="EW78" s="78">
        <v>3</v>
      </c>
      <c r="EX78" s="78">
        <v>0</v>
      </c>
      <c r="EY78" s="78">
        <v>0</v>
      </c>
      <c r="EZ78" s="78">
        <v>3</v>
      </c>
      <c r="FA78" s="78">
        <v>2</v>
      </c>
      <c r="FB78" s="78">
        <v>1</v>
      </c>
      <c r="FC78" s="137">
        <v>0.80769230000000003</v>
      </c>
      <c r="FE78" s="137">
        <v>0.4815951</v>
      </c>
    </row>
    <row r="79" spans="1:161" x14ac:dyDescent="0.25">
      <c r="A79" s="143" t="s">
        <v>774</v>
      </c>
      <c r="B79" s="143" t="s">
        <v>758</v>
      </c>
      <c r="C79" s="143" t="s">
        <v>728</v>
      </c>
      <c r="D79" s="143">
        <v>41</v>
      </c>
      <c r="E79" s="78">
        <v>0.5</v>
      </c>
      <c r="F79" s="78">
        <v>2.5</v>
      </c>
      <c r="G79" s="78">
        <v>1</v>
      </c>
      <c r="H79" s="78">
        <v>4</v>
      </c>
      <c r="I79" s="78">
        <v>1</v>
      </c>
      <c r="J79" s="78">
        <v>1</v>
      </c>
      <c r="K79" s="78">
        <v>1</v>
      </c>
      <c r="L79" s="78">
        <v>1</v>
      </c>
      <c r="M79" s="78">
        <v>2</v>
      </c>
      <c r="N79" s="137">
        <v>1</v>
      </c>
      <c r="P79" s="143" t="s">
        <v>774</v>
      </c>
      <c r="Q79" s="143" t="s">
        <v>758</v>
      </c>
      <c r="R79" s="143" t="s">
        <v>728</v>
      </c>
      <c r="S79" s="143">
        <v>41</v>
      </c>
      <c r="T79" s="78">
        <v>1</v>
      </c>
      <c r="U79" s="78">
        <v>1</v>
      </c>
      <c r="V79" s="78">
        <v>2.5</v>
      </c>
      <c r="W79" s="78">
        <v>2</v>
      </c>
      <c r="X79" s="78">
        <v>12</v>
      </c>
      <c r="Y79" s="78">
        <v>1</v>
      </c>
      <c r="Z79" s="78">
        <v>3</v>
      </c>
      <c r="AA79" s="78">
        <v>0</v>
      </c>
      <c r="AB79" s="78">
        <v>6</v>
      </c>
      <c r="AC79" s="78">
        <v>3</v>
      </c>
      <c r="AD79" s="137">
        <v>0.92647060000000003</v>
      </c>
      <c r="AF79" s="143" t="s">
        <v>774</v>
      </c>
      <c r="AG79" s="143" t="s">
        <v>758</v>
      </c>
      <c r="AH79" s="143" t="s">
        <v>728</v>
      </c>
      <c r="AI79" s="143">
        <v>41</v>
      </c>
      <c r="AJ79" s="78">
        <v>1</v>
      </c>
      <c r="AK79" s="78">
        <v>1</v>
      </c>
      <c r="AL79" s="78">
        <v>1</v>
      </c>
      <c r="AM79" s="78">
        <v>1</v>
      </c>
      <c r="AN79" s="78">
        <v>1</v>
      </c>
      <c r="AO79" s="78">
        <v>2</v>
      </c>
      <c r="AP79" s="78">
        <v>1</v>
      </c>
      <c r="AQ79" s="78">
        <v>1</v>
      </c>
      <c r="AR79" s="78">
        <v>2</v>
      </c>
      <c r="AS79" s="78">
        <v>2</v>
      </c>
      <c r="AT79" s="78">
        <v>2</v>
      </c>
      <c r="AU79" s="78">
        <v>0</v>
      </c>
      <c r="AV79" s="78">
        <v>2</v>
      </c>
      <c r="AW79" s="78">
        <v>0</v>
      </c>
      <c r="AX79" s="78">
        <v>0</v>
      </c>
      <c r="AY79" s="78">
        <v>1</v>
      </c>
      <c r="AZ79" s="78">
        <v>2</v>
      </c>
      <c r="BA79" s="78">
        <v>0.5</v>
      </c>
      <c r="BB79" s="78">
        <v>0.5</v>
      </c>
      <c r="BC79" s="78">
        <v>0.5</v>
      </c>
      <c r="BD79" s="78">
        <v>1</v>
      </c>
      <c r="BE79" s="78">
        <v>0.5</v>
      </c>
      <c r="BF79" s="78">
        <v>0</v>
      </c>
      <c r="BG79" s="78">
        <v>2</v>
      </c>
      <c r="BH79" s="137">
        <v>0.56818179999999996</v>
      </c>
      <c r="BJ79" s="143" t="s">
        <v>774</v>
      </c>
      <c r="BK79" s="143" t="s">
        <v>758</v>
      </c>
      <c r="BL79" s="143" t="s">
        <v>728</v>
      </c>
      <c r="BM79" s="143">
        <v>41</v>
      </c>
      <c r="BN79" s="78">
        <v>1</v>
      </c>
      <c r="BO79" s="78">
        <v>0</v>
      </c>
      <c r="BP79" s="78">
        <v>7</v>
      </c>
      <c r="BQ79" s="78">
        <v>0</v>
      </c>
      <c r="BR79" s="78">
        <v>0</v>
      </c>
      <c r="BS79" s="78">
        <v>0</v>
      </c>
      <c r="BT79" s="78">
        <v>2</v>
      </c>
      <c r="BU79" s="137">
        <v>0.43478260000000002</v>
      </c>
      <c r="BW79" s="143" t="s">
        <v>774</v>
      </c>
      <c r="BX79" s="143" t="s">
        <v>758</v>
      </c>
      <c r="BY79" s="143" t="s">
        <v>728</v>
      </c>
      <c r="BZ79" s="143">
        <v>41</v>
      </c>
      <c r="CM79" s="143" t="s">
        <v>774</v>
      </c>
      <c r="CN79" s="143" t="s">
        <v>758</v>
      </c>
      <c r="CO79" s="143" t="s">
        <v>728</v>
      </c>
      <c r="CP79" s="143">
        <v>41</v>
      </c>
      <c r="CQ79" s="78">
        <v>8</v>
      </c>
      <c r="CR79" s="78">
        <v>0</v>
      </c>
      <c r="CS79" s="78">
        <v>24</v>
      </c>
      <c r="CT79" s="78">
        <v>4</v>
      </c>
      <c r="CU79" s="78">
        <v>2</v>
      </c>
      <c r="CV79" s="78">
        <v>8</v>
      </c>
      <c r="CW79" s="137">
        <v>0.88461540000000005</v>
      </c>
      <c r="CY79" s="143" t="s">
        <v>774</v>
      </c>
      <c r="CZ79" s="143" t="s">
        <v>758</v>
      </c>
      <c r="DA79" s="143" t="s">
        <v>728</v>
      </c>
      <c r="DB79" s="143">
        <v>41</v>
      </c>
      <c r="DC79" s="78">
        <v>60</v>
      </c>
      <c r="DD79" s="137">
        <v>0.8</v>
      </c>
      <c r="DE79" s="137">
        <v>0.53333339999999996</v>
      </c>
      <c r="DG79" s="143" t="s">
        <v>774</v>
      </c>
      <c r="DH79" s="143" t="s">
        <v>758</v>
      </c>
      <c r="DI79" s="143" t="s">
        <v>728</v>
      </c>
      <c r="DJ79" s="143">
        <v>41</v>
      </c>
      <c r="DK79" s="78">
        <v>2</v>
      </c>
      <c r="DL79" s="78">
        <v>1</v>
      </c>
      <c r="DM79" s="78">
        <v>0</v>
      </c>
      <c r="DN79" s="78">
        <v>5</v>
      </c>
      <c r="DO79" s="78">
        <v>2</v>
      </c>
      <c r="DP79" s="78">
        <v>3</v>
      </c>
      <c r="DQ79" s="78">
        <v>8</v>
      </c>
      <c r="DR79" s="78">
        <v>1</v>
      </c>
      <c r="DS79" s="78">
        <v>1</v>
      </c>
      <c r="DT79" s="78">
        <v>2</v>
      </c>
      <c r="DU79" s="78">
        <v>0</v>
      </c>
      <c r="DV79" s="137">
        <v>0.86206899999999997</v>
      </c>
      <c r="DX79" s="143" t="s">
        <v>774</v>
      </c>
      <c r="DY79" s="143" t="s">
        <v>758</v>
      </c>
      <c r="DZ79" s="143" t="s">
        <v>728</v>
      </c>
      <c r="EA79" s="143">
        <v>41</v>
      </c>
      <c r="EB79" s="78">
        <v>1</v>
      </c>
      <c r="EC79" s="78">
        <v>8</v>
      </c>
      <c r="ED79" s="78">
        <v>1</v>
      </c>
      <c r="EE79" s="78">
        <v>4</v>
      </c>
      <c r="EF79" s="78">
        <v>1</v>
      </c>
      <c r="EG79" s="78">
        <v>1</v>
      </c>
      <c r="EH79" s="78">
        <v>2</v>
      </c>
      <c r="EI79" s="78">
        <v>1</v>
      </c>
      <c r="EJ79" s="78">
        <v>1</v>
      </c>
      <c r="EK79" s="78">
        <v>1</v>
      </c>
      <c r="EL79" s="78">
        <v>4</v>
      </c>
      <c r="EM79" s="78">
        <v>1</v>
      </c>
      <c r="EN79" s="78">
        <v>1</v>
      </c>
      <c r="EO79" s="137">
        <v>1</v>
      </c>
      <c r="EQ79" s="143" t="s">
        <v>774</v>
      </c>
      <c r="ER79" s="143" t="s">
        <v>758</v>
      </c>
      <c r="ES79" s="143" t="s">
        <v>728</v>
      </c>
      <c r="ET79" s="143">
        <v>41</v>
      </c>
      <c r="EU79" s="78">
        <v>0</v>
      </c>
      <c r="EV79" s="78">
        <v>1</v>
      </c>
      <c r="EW79" s="78">
        <v>0</v>
      </c>
      <c r="EX79" s="78">
        <v>0</v>
      </c>
      <c r="EY79" s="78">
        <v>0.5</v>
      </c>
      <c r="EZ79" s="78">
        <v>3</v>
      </c>
      <c r="FA79" s="78">
        <v>2</v>
      </c>
      <c r="FB79" s="78">
        <v>1</v>
      </c>
      <c r="FC79" s="137">
        <v>0.57692310000000002</v>
      </c>
      <c r="FE79" s="137">
        <v>0.71779139999999997</v>
      </c>
    </row>
    <row r="80" spans="1:161" x14ac:dyDescent="0.25">
      <c r="A80" s="143" t="s">
        <v>774</v>
      </c>
      <c r="B80" s="143" t="s">
        <v>758</v>
      </c>
      <c r="C80" s="143" t="s">
        <v>728</v>
      </c>
      <c r="D80" s="143">
        <v>1666</v>
      </c>
      <c r="E80" s="78">
        <v>0.5</v>
      </c>
      <c r="F80" s="78">
        <v>2.5</v>
      </c>
      <c r="G80" s="78">
        <v>1</v>
      </c>
      <c r="H80" s="78">
        <v>3</v>
      </c>
      <c r="I80" s="78">
        <v>1</v>
      </c>
      <c r="J80" s="78">
        <v>0</v>
      </c>
      <c r="K80" s="78">
        <v>1</v>
      </c>
      <c r="L80" s="78">
        <v>0</v>
      </c>
      <c r="M80" s="78">
        <v>2</v>
      </c>
      <c r="N80" s="137">
        <v>0.78571429999999998</v>
      </c>
      <c r="P80" s="143" t="s">
        <v>774</v>
      </c>
      <c r="Q80" s="143" t="s">
        <v>758</v>
      </c>
      <c r="R80" s="143" t="s">
        <v>728</v>
      </c>
      <c r="S80" s="143">
        <v>1666</v>
      </c>
      <c r="T80" s="78">
        <v>1</v>
      </c>
      <c r="U80" s="78">
        <v>1</v>
      </c>
      <c r="V80" s="78">
        <v>1.5</v>
      </c>
      <c r="W80" s="78">
        <v>2</v>
      </c>
      <c r="X80" s="78">
        <v>12</v>
      </c>
      <c r="Y80" s="78">
        <v>1</v>
      </c>
      <c r="Z80" s="78">
        <v>3</v>
      </c>
      <c r="AA80" s="78">
        <v>2</v>
      </c>
      <c r="AB80" s="78">
        <v>6</v>
      </c>
      <c r="AC80" s="78">
        <v>3</v>
      </c>
      <c r="AD80" s="137">
        <v>0.95588240000000002</v>
      </c>
      <c r="AF80" s="143" t="s">
        <v>774</v>
      </c>
      <c r="AG80" s="143" t="s">
        <v>758</v>
      </c>
      <c r="AH80" s="143" t="s">
        <v>728</v>
      </c>
      <c r="AI80" s="143">
        <v>1666</v>
      </c>
      <c r="AJ80" s="78">
        <v>1</v>
      </c>
      <c r="AK80" s="78">
        <v>0</v>
      </c>
      <c r="AL80" s="78">
        <v>1</v>
      </c>
      <c r="AM80" s="78">
        <v>6</v>
      </c>
      <c r="AN80" s="78">
        <v>1</v>
      </c>
      <c r="AO80" s="78">
        <v>0</v>
      </c>
      <c r="AP80" s="78">
        <v>1</v>
      </c>
      <c r="AQ80" s="78">
        <v>1</v>
      </c>
      <c r="AR80" s="78">
        <v>2</v>
      </c>
      <c r="AS80" s="78">
        <v>2</v>
      </c>
      <c r="AT80" s="78">
        <v>2</v>
      </c>
      <c r="AU80" s="78">
        <v>0</v>
      </c>
      <c r="AV80" s="78">
        <v>2</v>
      </c>
      <c r="AW80" s="78">
        <v>0</v>
      </c>
      <c r="AX80" s="78">
        <v>4</v>
      </c>
      <c r="AY80" s="78">
        <v>1</v>
      </c>
      <c r="AZ80" s="78">
        <v>0</v>
      </c>
      <c r="BA80" s="78">
        <v>0.5</v>
      </c>
      <c r="BB80" s="78">
        <v>0.5</v>
      </c>
      <c r="BC80" s="78">
        <v>0.5</v>
      </c>
      <c r="BD80" s="78">
        <v>1</v>
      </c>
      <c r="BE80" s="78">
        <v>0.5</v>
      </c>
      <c r="BF80" s="78">
        <v>0</v>
      </c>
      <c r="BG80" s="78">
        <v>2</v>
      </c>
      <c r="BH80" s="137">
        <v>0.65909090000000004</v>
      </c>
      <c r="BJ80" s="143" t="s">
        <v>774</v>
      </c>
      <c r="BK80" s="143" t="s">
        <v>758</v>
      </c>
      <c r="BL80" s="143" t="s">
        <v>728</v>
      </c>
      <c r="BM80" s="143">
        <v>1666</v>
      </c>
      <c r="BN80" s="78">
        <v>1</v>
      </c>
      <c r="BO80" s="78">
        <v>4</v>
      </c>
      <c r="BP80" s="78">
        <v>7</v>
      </c>
      <c r="BQ80" s="78">
        <v>3</v>
      </c>
      <c r="BR80" s="78">
        <v>3</v>
      </c>
      <c r="BS80" s="78">
        <v>3</v>
      </c>
      <c r="BT80" s="78">
        <v>2</v>
      </c>
      <c r="BU80" s="137">
        <v>1</v>
      </c>
      <c r="BW80" s="143" t="s">
        <v>774</v>
      </c>
      <c r="BX80" s="143" t="s">
        <v>758</v>
      </c>
      <c r="BY80" s="143" t="s">
        <v>728</v>
      </c>
      <c r="BZ80" s="143">
        <v>1666</v>
      </c>
      <c r="CM80" s="143" t="s">
        <v>774</v>
      </c>
      <c r="CN80" s="143" t="s">
        <v>758</v>
      </c>
      <c r="CO80" s="143" t="s">
        <v>728</v>
      </c>
      <c r="CP80" s="143">
        <v>1666</v>
      </c>
      <c r="CQ80" s="78">
        <v>8</v>
      </c>
      <c r="CR80" s="78">
        <v>0</v>
      </c>
      <c r="CS80" s="78">
        <v>8</v>
      </c>
      <c r="CT80" s="78">
        <v>4</v>
      </c>
      <c r="CU80" s="78">
        <v>2</v>
      </c>
      <c r="CV80" s="78">
        <v>8</v>
      </c>
      <c r="CW80" s="137">
        <v>0.57692310000000002</v>
      </c>
      <c r="CY80" s="143" t="s">
        <v>774</v>
      </c>
      <c r="CZ80" s="143" t="s">
        <v>758</v>
      </c>
      <c r="DA80" s="143" t="s">
        <v>728</v>
      </c>
      <c r="DB80" s="143">
        <v>1666</v>
      </c>
      <c r="DC80" s="78">
        <v>58</v>
      </c>
      <c r="DD80" s="137">
        <v>0.2</v>
      </c>
      <c r="DE80" s="137">
        <v>0.1288889</v>
      </c>
      <c r="DG80" s="143" t="s">
        <v>774</v>
      </c>
      <c r="DH80" s="143" t="s">
        <v>758</v>
      </c>
      <c r="DI80" s="143" t="s">
        <v>728</v>
      </c>
      <c r="DJ80" s="143">
        <v>1666</v>
      </c>
      <c r="DK80" s="78">
        <v>2</v>
      </c>
      <c r="DL80" s="78">
        <v>1</v>
      </c>
      <c r="DM80" s="78">
        <v>0</v>
      </c>
      <c r="DN80" s="78">
        <v>3</v>
      </c>
      <c r="DO80" s="78">
        <v>2</v>
      </c>
      <c r="DP80" s="78">
        <v>3</v>
      </c>
      <c r="DQ80" s="78">
        <v>8</v>
      </c>
      <c r="DR80" s="78">
        <v>1</v>
      </c>
      <c r="DS80" s="78">
        <v>1</v>
      </c>
      <c r="DT80" s="78">
        <v>2</v>
      </c>
      <c r="DU80" s="78">
        <v>0</v>
      </c>
      <c r="DV80" s="137">
        <v>0.79310349999999996</v>
      </c>
      <c r="DX80" s="143" t="s">
        <v>774</v>
      </c>
      <c r="DY80" s="143" t="s">
        <v>758</v>
      </c>
      <c r="DZ80" s="143" t="s">
        <v>728</v>
      </c>
      <c r="EA80" s="143">
        <v>1666</v>
      </c>
      <c r="EB80" s="78">
        <v>1</v>
      </c>
      <c r="EC80" s="78">
        <v>0</v>
      </c>
      <c r="ED80" s="78">
        <v>0</v>
      </c>
      <c r="EE80" s="78">
        <v>4</v>
      </c>
      <c r="EF80" s="78">
        <v>0</v>
      </c>
      <c r="EG80" s="78">
        <v>1</v>
      </c>
      <c r="EH80" s="78">
        <v>2</v>
      </c>
      <c r="EI80" s="78">
        <v>1</v>
      </c>
      <c r="EJ80" s="78">
        <v>1</v>
      </c>
      <c r="EK80" s="78">
        <v>1</v>
      </c>
      <c r="EL80" s="78">
        <v>4</v>
      </c>
      <c r="EM80" s="78">
        <v>1</v>
      </c>
      <c r="EN80" s="78">
        <v>1</v>
      </c>
      <c r="EO80" s="137">
        <v>0.62962960000000001</v>
      </c>
      <c r="EQ80" s="143" t="s">
        <v>774</v>
      </c>
      <c r="ER80" s="143" t="s">
        <v>758</v>
      </c>
      <c r="ES80" s="143" t="s">
        <v>728</v>
      </c>
      <c r="ET80" s="143">
        <v>1666</v>
      </c>
      <c r="EU80" s="78">
        <v>0</v>
      </c>
      <c r="EV80" s="78">
        <v>1</v>
      </c>
      <c r="EW80" s="78">
        <v>3</v>
      </c>
      <c r="EX80" s="78">
        <v>0</v>
      </c>
      <c r="EY80" s="78">
        <v>0.5</v>
      </c>
      <c r="EZ80" s="78">
        <v>3</v>
      </c>
      <c r="FA80" s="78">
        <v>2</v>
      </c>
      <c r="FB80" s="78">
        <v>1</v>
      </c>
      <c r="FC80" s="137">
        <v>0.80769230000000003</v>
      </c>
      <c r="FE80" s="137">
        <v>0.57546010000000003</v>
      </c>
    </row>
    <row r="81" spans="1:161" hidden="1" x14ac:dyDescent="0.25">
      <c r="A81" s="143" t="s">
        <v>774</v>
      </c>
      <c r="B81" s="143" t="s">
        <v>758</v>
      </c>
      <c r="C81" s="143" t="s">
        <v>727</v>
      </c>
      <c r="D81" s="143">
        <v>1672</v>
      </c>
      <c r="E81" s="78">
        <v>0.5</v>
      </c>
      <c r="F81" s="78">
        <v>2.5</v>
      </c>
      <c r="G81" s="78">
        <v>1</v>
      </c>
      <c r="H81" s="78">
        <v>4</v>
      </c>
      <c r="I81" s="78">
        <v>1</v>
      </c>
      <c r="J81" s="78">
        <v>1</v>
      </c>
      <c r="K81" s="78">
        <v>1</v>
      </c>
      <c r="L81" s="78">
        <v>1</v>
      </c>
      <c r="M81" s="78">
        <v>2</v>
      </c>
      <c r="N81" s="137">
        <v>1</v>
      </c>
      <c r="P81" s="143" t="s">
        <v>774</v>
      </c>
      <c r="Q81" s="143" t="s">
        <v>758</v>
      </c>
      <c r="R81" s="143" t="s">
        <v>727</v>
      </c>
      <c r="S81" s="143">
        <v>1672</v>
      </c>
      <c r="T81" s="78">
        <v>1</v>
      </c>
      <c r="U81" s="78">
        <v>1</v>
      </c>
      <c r="V81" s="78">
        <v>2</v>
      </c>
      <c r="W81" s="78">
        <v>0</v>
      </c>
      <c r="X81" s="78">
        <v>12</v>
      </c>
      <c r="Y81" s="78">
        <v>1</v>
      </c>
      <c r="Z81" s="78">
        <v>3</v>
      </c>
      <c r="AA81" s="78">
        <v>2</v>
      </c>
      <c r="AB81" s="78">
        <v>6</v>
      </c>
      <c r="AC81" s="78">
        <v>3</v>
      </c>
      <c r="AD81" s="137">
        <v>0.91176469999999998</v>
      </c>
      <c r="AF81" s="143" t="s">
        <v>774</v>
      </c>
      <c r="AG81" s="143" t="s">
        <v>758</v>
      </c>
      <c r="AH81" s="143" t="s">
        <v>727</v>
      </c>
      <c r="AI81" s="143">
        <v>1672</v>
      </c>
      <c r="AJ81" s="78">
        <v>1</v>
      </c>
      <c r="AK81" s="78">
        <v>1</v>
      </c>
      <c r="AL81" s="78">
        <v>1</v>
      </c>
      <c r="AM81" s="78">
        <v>0</v>
      </c>
      <c r="AN81" s="78">
        <v>1</v>
      </c>
      <c r="AO81" s="78">
        <v>0</v>
      </c>
      <c r="AP81" s="78">
        <v>1</v>
      </c>
      <c r="AQ81" s="78">
        <v>1</v>
      </c>
      <c r="AR81" s="78">
        <v>2</v>
      </c>
      <c r="AS81" s="78">
        <v>2</v>
      </c>
      <c r="AT81" s="78">
        <v>2</v>
      </c>
      <c r="AU81" s="78">
        <v>0</v>
      </c>
      <c r="AV81" s="78">
        <v>2</v>
      </c>
      <c r="AW81" s="78">
        <v>0</v>
      </c>
      <c r="AX81" s="78">
        <v>4</v>
      </c>
      <c r="AY81" s="78">
        <v>1</v>
      </c>
      <c r="AZ81" s="78">
        <v>0</v>
      </c>
      <c r="BA81" s="78">
        <v>0.5</v>
      </c>
      <c r="BB81" s="78">
        <v>0.5</v>
      </c>
      <c r="BC81" s="78">
        <v>0.5</v>
      </c>
      <c r="BD81" s="78">
        <v>1</v>
      </c>
      <c r="BE81" s="78">
        <v>0.5</v>
      </c>
      <c r="BF81" s="78">
        <v>0</v>
      </c>
      <c r="BG81" s="78">
        <v>2</v>
      </c>
      <c r="BH81" s="137">
        <v>0.54545460000000001</v>
      </c>
      <c r="BJ81" s="143" t="s">
        <v>774</v>
      </c>
      <c r="BK81" s="143" t="s">
        <v>758</v>
      </c>
      <c r="BL81" s="143" t="s">
        <v>727</v>
      </c>
      <c r="BM81" s="143">
        <v>1672</v>
      </c>
      <c r="BN81" s="78">
        <v>1</v>
      </c>
      <c r="BO81" s="78">
        <v>0</v>
      </c>
      <c r="BP81" s="78">
        <v>7</v>
      </c>
      <c r="BQ81" s="78">
        <v>0</v>
      </c>
      <c r="BR81" s="78">
        <v>0</v>
      </c>
      <c r="BS81" s="78">
        <v>0</v>
      </c>
      <c r="BT81" s="78">
        <v>2</v>
      </c>
      <c r="BU81" s="137">
        <v>0.43478260000000002</v>
      </c>
      <c r="BW81" s="143" t="s">
        <v>774</v>
      </c>
      <c r="BX81" s="143" t="s">
        <v>758</v>
      </c>
      <c r="BY81" s="143" t="s">
        <v>727</v>
      </c>
      <c r="BZ81" s="143">
        <v>1672</v>
      </c>
      <c r="CA81" s="78">
        <v>1</v>
      </c>
      <c r="CB81" s="78">
        <v>1</v>
      </c>
      <c r="CC81" s="78">
        <v>1</v>
      </c>
      <c r="CD81" s="78">
        <v>2</v>
      </c>
      <c r="CE81" s="78">
        <v>1</v>
      </c>
      <c r="CF81" s="78">
        <v>2</v>
      </c>
      <c r="CG81" s="78">
        <v>1</v>
      </c>
      <c r="CH81" s="78">
        <v>2</v>
      </c>
      <c r="CI81" s="78">
        <v>1</v>
      </c>
      <c r="CJ81" s="78">
        <v>3</v>
      </c>
      <c r="CK81" s="137">
        <v>1</v>
      </c>
      <c r="CM81" s="143" t="s">
        <v>774</v>
      </c>
      <c r="CN81" s="143" t="s">
        <v>758</v>
      </c>
      <c r="CO81" s="143" t="s">
        <v>727</v>
      </c>
      <c r="CP81" s="143">
        <v>1672</v>
      </c>
      <c r="CQ81" s="78">
        <v>8</v>
      </c>
      <c r="CR81" s="78">
        <v>0</v>
      </c>
      <c r="CS81" s="78">
        <v>8</v>
      </c>
      <c r="CT81" s="78">
        <v>4</v>
      </c>
      <c r="CU81" s="78">
        <v>2</v>
      </c>
      <c r="CV81" s="78">
        <v>8</v>
      </c>
      <c r="CW81" s="137">
        <v>0.57692310000000002</v>
      </c>
      <c r="CY81" s="143" t="s">
        <v>774</v>
      </c>
      <c r="CZ81" s="143" t="s">
        <v>758</v>
      </c>
      <c r="DA81" s="143" t="s">
        <v>727</v>
      </c>
      <c r="DB81" s="143">
        <v>1672</v>
      </c>
      <c r="DC81" s="78">
        <v>66</v>
      </c>
      <c r="DD81" s="137">
        <v>0.2</v>
      </c>
      <c r="DE81" s="137">
        <v>0.14666670000000001</v>
      </c>
      <c r="DG81" s="143" t="s">
        <v>774</v>
      </c>
      <c r="DH81" s="143" t="s">
        <v>758</v>
      </c>
      <c r="DI81" s="143" t="s">
        <v>727</v>
      </c>
      <c r="DJ81" s="143">
        <v>1672</v>
      </c>
      <c r="DK81" s="78">
        <v>2</v>
      </c>
      <c r="DL81" s="78">
        <v>1</v>
      </c>
      <c r="DM81" s="78">
        <v>0</v>
      </c>
      <c r="DN81" s="78">
        <v>7</v>
      </c>
      <c r="DO81" s="78">
        <v>2</v>
      </c>
      <c r="DP81" s="78">
        <v>3</v>
      </c>
      <c r="DQ81" s="78">
        <v>8</v>
      </c>
      <c r="DR81" s="78">
        <v>1</v>
      </c>
      <c r="DS81" s="78">
        <v>1</v>
      </c>
      <c r="DT81" s="78">
        <v>2</v>
      </c>
      <c r="DU81" s="78">
        <v>1</v>
      </c>
      <c r="DV81" s="137">
        <v>0.96551719999999996</v>
      </c>
      <c r="DX81" s="143" t="s">
        <v>774</v>
      </c>
      <c r="DY81" s="143" t="s">
        <v>758</v>
      </c>
      <c r="DZ81" s="143" t="s">
        <v>727</v>
      </c>
      <c r="EA81" s="143">
        <v>1672</v>
      </c>
      <c r="EB81" s="78">
        <v>1</v>
      </c>
      <c r="EC81" s="78">
        <v>8</v>
      </c>
      <c r="ED81" s="78">
        <v>1</v>
      </c>
      <c r="EE81" s="78">
        <v>4</v>
      </c>
      <c r="EF81" s="78">
        <v>1</v>
      </c>
      <c r="EG81" s="78">
        <v>1</v>
      </c>
      <c r="EH81" s="78">
        <v>2</v>
      </c>
      <c r="EI81" s="78">
        <v>1</v>
      </c>
      <c r="EJ81" s="78">
        <v>1</v>
      </c>
      <c r="EK81" s="78">
        <v>1</v>
      </c>
      <c r="EL81" s="78">
        <v>4</v>
      </c>
      <c r="EM81" s="78">
        <v>1</v>
      </c>
      <c r="EN81" s="78">
        <v>1</v>
      </c>
      <c r="EO81" s="137">
        <v>1</v>
      </c>
      <c r="EQ81" s="143" t="s">
        <v>774</v>
      </c>
      <c r="ER81" s="143" t="s">
        <v>758</v>
      </c>
      <c r="ES81" s="143" t="s">
        <v>727</v>
      </c>
      <c r="ET81" s="143">
        <v>1672</v>
      </c>
      <c r="EU81" s="78">
        <v>0.5</v>
      </c>
      <c r="EV81" s="78">
        <v>1</v>
      </c>
      <c r="EW81" s="78">
        <v>0</v>
      </c>
      <c r="EX81" s="78">
        <v>0</v>
      </c>
      <c r="EY81" s="78">
        <v>0.5</v>
      </c>
      <c r="EZ81" s="78">
        <v>3</v>
      </c>
      <c r="FA81" s="78">
        <v>2</v>
      </c>
      <c r="FB81" s="78">
        <v>1</v>
      </c>
      <c r="FC81" s="137">
        <v>0.61538459999999995</v>
      </c>
      <c r="FE81" s="137">
        <v>0.58709679999999997</v>
      </c>
    </row>
    <row r="82" spans="1:161" x14ac:dyDescent="0.25">
      <c r="A82" s="143" t="s">
        <v>774</v>
      </c>
      <c r="B82" s="143" t="s">
        <v>758</v>
      </c>
      <c r="C82" s="143" t="s">
        <v>728</v>
      </c>
      <c r="D82" s="143">
        <v>1714</v>
      </c>
      <c r="E82" s="78">
        <v>0.5</v>
      </c>
      <c r="F82" s="78">
        <v>2.5</v>
      </c>
      <c r="G82" s="78">
        <v>1</v>
      </c>
      <c r="H82" s="78">
        <v>3</v>
      </c>
      <c r="I82" s="78">
        <v>1</v>
      </c>
      <c r="J82" s="78">
        <v>1</v>
      </c>
      <c r="K82" s="78">
        <v>1</v>
      </c>
      <c r="L82" s="78">
        <v>1</v>
      </c>
      <c r="M82" s="78">
        <v>2</v>
      </c>
      <c r="N82" s="137">
        <v>0.92857140000000005</v>
      </c>
      <c r="P82" s="143" t="s">
        <v>774</v>
      </c>
      <c r="Q82" s="143" t="s">
        <v>758</v>
      </c>
      <c r="R82" s="143" t="s">
        <v>728</v>
      </c>
      <c r="S82" s="143">
        <v>1714</v>
      </c>
      <c r="T82" s="78">
        <v>1</v>
      </c>
      <c r="U82" s="78">
        <v>1</v>
      </c>
      <c r="V82" s="78">
        <v>1.5</v>
      </c>
      <c r="W82" s="78">
        <v>2</v>
      </c>
      <c r="X82" s="78">
        <v>12</v>
      </c>
      <c r="Y82" s="78">
        <v>1</v>
      </c>
      <c r="Z82" s="78">
        <v>3</v>
      </c>
      <c r="AA82" s="78">
        <v>2</v>
      </c>
      <c r="AB82" s="78">
        <v>6</v>
      </c>
      <c r="AC82" s="78">
        <v>3</v>
      </c>
      <c r="AD82" s="137">
        <v>0.95588240000000002</v>
      </c>
      <c r="AF82" s="143" t="s">
        <v>774</v>
      </c>
      <c r="AG82" s="143" t="s">
        <v>758</v>
      </c>
      <c r="AH82" s="143" t="s">
        <v>728</v>
      </c>
      <c r="AI82" s="143">
        <v>1714</v>
      </c>
      <c r="AJ82" s="78">
        <v>1</v>
      </c>
      <c r="AK82" s="78">
        <v>0</v>
      </c>
      <c r="AL82" s="78">
        <v>1</v>
      </c>
      <c r="AM82" s="78">
        <v>0</v>
      </c>
      <c r="AN82" s="78">
        <v>1</v>
      </c>
      <c r="AO82" s="78">
        <v>0</v>
      </c>
      <c r="AP82" s="78">
        <v>1</v>
      </c>
      <c r="AQ82" s="78">
        <v>1</v>
      </c>
      <c r="AR82" s="78">
        <v>2</v>
      </c>
      <c r="AS82" s="78">
        <v>2</v>
      </c>
      <c r="AT82" s="78">
        <v>2</v>
      </c>
      <c r="AU82" s="78">
        <v>0</v>
      </c>
      <c r="AV82" s="78">
        <v>2</v>
      </c>
      <c r="AW82" s="78">
        <v>0</v>
      </c>
      <c r="AX82" s="78">
        <v>4</v>
      </c>
      <c r="AY82" s="78">
        <v>1</v>
      </c>
      <c r="AZ82" s="78">
        <v>0</v>
      </c>
      <c r="BA82" s="78">
        <v>0.5</v>
      </c>
      <c r="BB82" s="78">
        <v>0.5</v>
      </c>
      <c r="BC82" s="78">
        <v>0.5</v>
      </c>
      <c r="BD82" s="78">
        <v>1</v>
      </c>
      <c r="BE82" s="78">
        <v>0.5</v>
      </c>
      <c r="BF82" s="78">
        <v>0</v>
      </c>
      <c r="BG82" s="78">
        <v>2</v>
      </c>
      <c r="BH82" s="137">
        <v>0.52272730000000001</v>
      </c>
      <c r="BJ82" s="143" t="s">
        <v>774</v>
      </c>
      <c r="BK82" s="143" t="s">
        <v>758</v>
      </c>
      <c r="BL82" s="143" t="s">
        <v>728</v>
      </c>
      <c r="BM82" s="143">
        <v>1714</v>
      </c>
      <c r="BN82" s="78">
        <v>0</v>
      </c>
      <c r="BO82" s="78">
        <v>4</v>
      </c>
      <c r="BP82" s="78">
        <v>7</v>
      </c>
      <c r="BQ82" s="78">
        <v>0</v>
      </c>
      <c r="BR82" s="78">
        <v>3</v>
      </c>
      <c r="BS82" s="78">
        <v>0</v>
      </c>
      <c r="BT82" s="78">
        <v>2</v>
      </c>
      <c r="BU82" s="137">
        <v>0.69565220000000005</v>
      </c>
      <c r="BW82" s="143" t="s">
        <v>774</v>
      </c>
      <c r="BX82" s="143" t="s">
        <v>758</v>
      </c>
      <c r="BY82" s="143" t="s">
        <v>728</v>
      </c>
      <c r="BZ82" s="143">
        <v>1714</v>
      </c>
      <c r="CM82" s="143" t="s">
        <v>774</v>
      </c>
      <c r="CN82" s="143" t="s">
        <v>758</v>
      </c>
      <c r="CO82" s="143" t="s">
        <v>728</v>
      </c>
      <c r="CP82" s="143">
        <v>1714</v>
      </c>
      <c r="CQ82" s="78">
        <v>8</v>
      </c>
      <c r="CR82" s="78">
        <v>0</v>
      </c>
      <c r="CS82" s="78">
        <v>24</v>
      </c>
      <c r="CT82" s="78">
        <v>4</v>
      </c>
      <c r="CU82" s="78">
        <v>2</v>
      </c>
      <c r="CV82" s="78">
        <v>8</v>
      </c>
      <c r="CW82" s="137">
        <v>0.88461540000000005</v>
      </c>
      <c r="CY82" s="143" t="s">
        <v>774</v>
      </c>
      <c r="CZ82" s="143" t="s">
        <v>758</v>
      </c>
      <c r="DA82" s="143" t="s">
        <v>728</v>
      </c>
      <c r="DB82" s="143">
        <v>1714</v>
      </c>
      <c r="DC82" s="78">
        <v>62</v>
      </c>
      <c r="DD82" s="137">
        <v>0.2</v>
      </c>
      <c r="DE82" s="137">
        <v>0.13777780000000001</v>
      </c>
      <c r="DG82" s="143" t="s">
        <v>774</v>
      </c>
      <c r="DH82" s="143" t="s">
        <v>758</v>
      </c>
      <c r="DI82" s="143" t="s">
        <v>728</v>
      </c>
      <c r="DJ82" s="143">
        <v>1714</v>
      </c>
      <c r="DK82" s="78">
        <v>2</v>
      </c>
      <c r="DL82" s="78">
        <v>1</v>
      </c>
      <c r="DM82" s="78">
        <v>1</v>
      </c>
      <c r="DN82" s="78">
        <v>5</v>
      </c>
      <c r="DO82" s="78">
        <v>2</v>
      </c>
      <c r="DP82" s="78">
        <v>3</v>
      </c>
      <c r="DQ82" s="78">
        <v>8</v>
      </c>
      <c r="DR82" s="78">
        <v>1</v>
      </c>
      <c r="DS82" s="78">
        <v>1</v>
      </c>
      <c r="DT82" s="78">
        <v>2</v>
      </c>
      <c r="DU82" s="78">
        <v>0</v>
      </c>
      <c r="DV82" s="137">
        <v>0.89655169999999995</v>
      </c>
      <c r="DX82" s="143" t="s">
        <v>774</v>
      </c>
      <c r="DY82" s="143" t="s">
        <v>758</v>
      </c>
      <c r="DZ82" s="143" t="s">
        <v>728</v>
      </c>
      <c r="EA82" s="143">
        <v>1714</v>
      </c>
      <c r="EB82" s="78">
        <v>1</v>
      </c>
      <c r="EC82" s="78">
        <v>8</v>
      </c>
      <c r="ED82" s="78">
        <v>1</v>
      </c>
      <c r="EE82" s="78">
        <v>4</v>
      </c>
      <c r="EF82" s="78">
        <v>1</v>
      </c>
      <c r="EG82" s="78">
        <v>1</v>
      </c>
      <c r="EH82" s="78">
        <v>2</v>
      </c>
      <c r="EI82" s="78">
        <v>1</v>
      </c>
      <c r="EJ82" s="78">
        <v>1</v>
      </c>
      <c r="EK82" s="78">
        <v>1</v>
      </c>
      <c r="EL82" s="78">
        <v>4</v>
      </c>
      <c r="EM82" s="78">
        <v>1</v>
      </c>
      <c r="EN82" s="78">
        <v>1</v>
      </c>
      <c r="EO82" s="137">
        <v>1</v>
      </c>
      <c r="EQ82" s="143" t="s">
        <v>774</v>
      </c>
      <c r="ER82" s="143" t="s">
        <v>758</v>
      </c>
      <c r="ES82" s="143" t="s">
        <v>728</v>
      </c>
      <c r="ET82" s="143">
        <v>1714</v>
      </c>
      <c r="EU82" s="78">
        <v>0.5</v>
      </c>
      <c r="EV82" s="78">
        <v>1</v>
      </c>
      <c r="EW82" s="78">
        <v>0</v>
      </c>
      <c r="EX82" s="78">
        <v>0</v>
      </c>
      <c r="EY82" s="78">
        <v>0.5</v>
      </c>
      <c r="EZ82" s="78">
        <v>3</v>
      </c>
      <c r="FA82" s="78">
        <v>2</v>
      </c>
      <c r="FB82" s="78">
        <v>1</v>
      </c>
      <c r="FC82" s="137">
        <v>0.61538459999999995</v>
      </c>
      <c r="FE82" s="137">
        <v>0.62546009999999996</v>
      </c>
    </row>
    <row r="83" spans="1:161" x14ac:dyDescent="0.25">
      <c r="A83" s="143" t="s">
        <v>774</v>
      </c>
      <c r="B83" s="143" t="s">
        <v>758</v>
      </c>
      <c r="C83" s="143" t="s">
        <v>728</v>
      </c>
      <c r="D83" s="143">
        <v>1743</v>
      </c>
      <c r="E83" s="78">
        <v>0</v>
      </c>
      <c r="F83" s="78">
        <v>2.5</v>
      </c>
      <c r="G83" s="78">
        <v>1</v>
      </c>
      <c r="H83" s="78">
        <v>3</v>
      </c>
      <c r="I83" s="78">
        <v>1</v>
      </c>
      <c r="J83" s="78">
        <v>1</v>
      </c>
      <c r="K83" s="78">
        <v>1</v>
      </c>
      <c r="L83" s="78">
        <v>1</v>
      </c>
      <c r="M83" s="78">
        <v>0</v>
      </c>
      <c r="N83" s="137">
        <v>0.75</v>
      </c>
      <c r="P83" s="143" t="s">
        <v>774</v>
      </c>
      <c r="Q83" s="143" t="s">
        <v>758</v>
      </c>
      <c r="R83" s="143" t="s">
        <v>728</v>
      </c>
      <c r="S83" s="143">
        <v>1743</v>
      </c>
      <c r="T83" s="78">
        <v>1</v>
      </c>
      <c r="U83" s="78">
        <v>1</v>
      </c>
      <c r="V83" s="78">
        <v>3</v>
      </c>
      <c r="W83" s="78">
        <v>2</v>
      </c>
      <c r="X83" s="78">
        <v>9</v>
      </c>
      <c r="Y83" s="78">
        <v>1</v>
      </c>
      <c r="Z83" s="78">
        <v>3</v>
      </c>
      <c r="AA83" s="78">
        <v>2</v>
      </c>
      <c r="AB83" s="78">
        <v>6</v>
      </c>
      <c r="AC83" s="78">
        <v>3</v>
      </c>
      <c r="AD83" s="137">
        <v>0.91176469999999998</v>
      </c>
      <c r="AF83" s="143" t="s">
        <v>774</v>
      </c>
      <c r="AG83" s="143" t="s">
        <v>758</v>
      </c>
      <c r="AH83" s="143" t="s">
        <v>728</v>
      </c>
      <c r="AI83" s="143">
        <v>1743</v>
      </c>
      <c r="AJ83" s="78">
        <v>1</v>
      </c>
      <c r="AK83" s="78">
        <v>1</v>
      </c>
      <c r="AL83" s="78">
        <v>1</v>
      </c>
      <c r="AM83" s="78">
        <v>6</v>
      </c>
      <c r="AN83" s="78">
        <v>0</v>
      </c>
      <c r="AO83" s="78">
        <v>2</v>
      </c>
      <c r="AP83" s="78">
        <v>1</v>
      </c>
      <c r="AQ83" s="78">
        <v>1</v>
      </c>
      <c r="AR83" s="78">
        <v>2</v>
      </c>
      <c r="AS83" s="78">
        <v>2</v>
      </c>
      <c r="AT83" s="78">
        <v>2</v>
      </c>
      <c r="AU83" s="78">
        <v>0</v>
      </c>
      <c r="AV83" s="78">
        <v>2</v>
      </c>
      <c r="AW83" s="78">
        <v>0</v>
      </c>
      <c r="AX83" s="78">
        <v>0</v>
      </c>
      <c r="AY83" s="78">
        <v>1</v>
      </c>
      <c r="AZ83" s="78">
        <v>0</v>
      </c>
      <c r="BA83" s="78">
        <v>0.5</v>
      </c>
      <c r="BB83" s="78">
        <v>0.5</v>
      </c>
      <c r="BC83" s="78">
        <v>0.5</v>
      </c>
      <c r="BD83" s="78">
        <v>1</v>
      </c>
      <c r="BE83" s="78">
        <v>0.5</v>
      </c>
      <c r="BF83" s="78">
        <v>0</v>
      </c>
      <c r="BG83" s="78">
        <v>6</v>
      </c>
      <c r="BH83" s="137">
        <v>0.70454539999999999</v>
      </c>
      <c r="BJ83" s="143" t="s">
        <v>774</v>
      </c>
      <c r="BK83" s="143" t="s">
        <v>758</v>
      </c>
      <c r="BL83" s="143" t="s">
        <v>728</v>
      </c>
      <c r="BM83" s="143">
        <v>1743</v>
      </c>
      <c r="BN83" s="78">
        <v>0</v>
      </c>
      <c r="BO83" s="78">
        <v>4</v>
      </c>
      <c r="BP83" s="78">
        <v>7</v>
      </c>
      <c r="BQ83" s="78">
        <v>3</v>
      </c>
      <c r="BR83" s="78">
        <v>3</v>
      </c>
      <c r="BS83" s="78">
        <v>0</v>
      </c>
      <c r="BT83" s="78">
        <v>2</v>
      </c>
      <c r="BU83" s="137">
        <v>0.82608689999999996</v>
      </c>
      <c r="BW83" s="143" t="s">
        <v>774</v>
      </c>
      <c r="BX83" s="143" t="s">
        <v>758</v>
      </c>
      <c r="BY83" s="143" t="s">
        <v>728</v>
      </c>
      <c r="BZ83" s="143">
        <v>1743</v>
      </c>
      <c r="CM83" s="143" t="s">
        <v>774</v>
      </c>
      <c r="CN83" s="143" t="s">
        <v>758</v>
      </c>
      <c r="CO83" s="143" t="s">
        <v>728</v>
      </c>
      <c r="CP83" s="143">
        <v>1743</v>
      </c>
      <c r="CQ83" s="78">
        <v>6</v>
      </c>
      <c r="CR83" s="78">
        <v>0</v>
      </c>
      <c r="CS83" s="78">
        <v>16</v>
      </c>
      <c r="CT83" s="78">
        <v>4</v>
      </c>
      <c r="CU83" s="78">
        <v>2</v>
      </c>
      <c r="CV83" s="78">
        <v>8</v>
      </c>
      <c r="CW83" s="137">
        <v>0.69230769999999997</v>
      </c>
      <c r="CY83" s="143" t="s">
        <v>774</v>
      </c>
      <c r="CZ83" s="143" t="s">
        <v>758</v>
      </c>
      <c r="DA83" s="143" t="s">
        <v>728</v>
      </c>
      <c r="DB83" s="143">
        <v>1743</v>
      </c>
      <c r="DC83" s="78">
        <v>54</v>
      </c>
      <c r="DD83" s="137">
        <v>0.8</v>
      </c>
      <c r="DE83" s="137">
        <v>0.48</v>
      </c>
      <c r="DG83" s="143" t="s">
        <v>774</v>
      </c>
      <c r="DH83" s="143" t="s">
        <v>758</v>
      </c>
      <c r="DI83" s="143" t="s">
        <v>728</v>
      </c>
      <c r="DJ83" s="143">
        <v>1743</v>
      </c>
      <c r="DK83" s="78">
        <v>2</v>
      </c>
      <c r="DL83" s="78">
        <v>1</v>
      </c>
      <c r="DM83" s="78">
        <v>0</v>
      </c>
      <c r="DN83" s="78">
        <v>5</v>
      </c>
      <c r="DO83" s="78">
        <v>2</v>
      </c>
      <c r="DP83" s="78">
        <v>3</v>
      </c>
      <c r="DQ83" s="78">
        <v>7</v>
      </c>
      <c r="DR83" s="78">
        <v>1</v>
      </c>
      <c r="DS83" s="78">
        <v>1</v>
      </c>
      <c r="DT83" s="78">
        <v>0</v>
      </c>
      <c r="DU83" s="78">
        <v>1</v>
      </c>
      <c r="DV83" s="137">
        <v>0.79310349999999996</v>
      </c>
      <c r="DX83" s="143" t="s">
        <v>774</v>
      </c>
      <c r="DY83" s="143" t="s">
        <v>758</v>
      </c>
      <c r="DZ83" s="143" t="s">
        <v>728</v>
      </c>
      <c r="EA83" s="143">
        <v>1743</v>
      </c>
      <c r="EB83" s="78">
        <v>0</v>
      </c>
      <c r="EC83" s="78">
        <v>8</v>
      </c>
      <c r="ED83" s="78">
        <v>1</v>
      </c>
      <c r="EE83" s="78">
        <v>4</v>
      </c>
      <c r="EF83" s="78">
        <v>1</v>
      </c>
      <c r="EG83" s="78">
        <v>1</v>
      </c>
      <c r="EH83" s="78">
        <v>2</v>
      </c>
      <c r="EI83" s="78">
        <v>1</v>
      </c>
      <c r="EJ83" s="78">
        <v>1</v>
      </c>
      <c r="EK83" s="78">
        <v>1</v>
      </c>
      <c r="EL83" s="78">
        <v>4</v>
      </c>
      <c r="EM83" s="78">
        <v>1</v>
      </c>
      <c r="EN83" s="78">
        <v>0</v>
      </c>
      <c r="EO83" s="137">
        <v>0.92592589999999997</v>
      </c>
      <c r="EQ83" s="143" t="s">
        <v>774</v>
      </c>
      <c r="ER83" s="143" t="s">
        <v>758</v>
      </c>
      <c r="ES83" s="143" t="s">
        <v>728</v>
      </c>
      <c r="ET83" s="143">
        <v>1743</v>
      </c>
      <c r="EU83" s="78">
        <v>0.5</v>
      </c>
      <c r="EV83" s="78">
        <v>1</v>
      </c>
      <c r="EW83" s="78">
        <v>0</v>
      </c>
      <c r="EX83" s="78">
        <v>0</v>
      </c>
      <c r="EY83" s="78">
        <v>0.5</v>
      </c>
      <c r="EZ83" s="78">
        <v>3</v>
      </c>
      <c r="FA83" s="78">
        <v>2</v>
      </c>
      <c r="FB83" s="78">
        <v>0</v>
      </c>
      <c r="FC83" s="137">
        <v>0.53846159999999998</v>
      </c>
      <c r="FE83" s="137">
        <v>0.69233129999999998</v>
      </c>
    </row>
    <row r="84" spans="1:161" x14ac:dyDescent="0.25">
      <c r="A84" s="143" t="s">
        <v>774</v>
      </c>
      <c r="B84" s="143" t="s">
        <v>758</v>
      </c>
      <c r="C84" s="143" t="s">
        <v>728</v>
      </c>
      <c r="D84" s="143">
        <v>2148</v>
      </c>
      <c r="E84" s="78">
        <v>0</v>
      </c>
      <c r="F84" s="78">
        <v>2.5</v>
      </c>
      <c r="G84" s="78">
        <v>1</v>
      </c>
      <c r="H84" s="78">
        <v>2</v>
      </c>
      <c r="I84" s="78">
        <v>1</v>
      </c>
      <c r="J84" s="78">
        <v>1</v>
      </c>
      <c r="K84" s="78">
        <v>1</v>
      </c>
      <c r="L84" s="78">
        <v>1</v>
      </c>
      <c r="M84" s="78">
        <v>0</v>
      </c>
      <c r="N84" s="137">
        <v>0.67857140000000005</v>
      </c>
      <c r="P84" s="143" t="s">
        <v>774</v>
      </c>
      <c r="Q84" s="143" t="s">
        <v>758</v>
      </c>
      <c r="R84" s="143" t="s">
        <v>728</v>
      </c>
      <c r="S84" s="143">
        <v>2148</v>
      </c>
      <c r="T84" s="78">
        <v>1</v>
      </c>
      <c r="U84" s="78">
        <v>1</v>
      </c>
      <c r="V84" s="78">
        <v>2.5</v>
      </c>
      <c r="W84" s="78">
        <v>2</v>
      </c>
      <c r="X84" s="78">
        <v>9</v>
      </c>
      <c r="Y84" s="78">
        <v>1</v>
      </c>
      <c r="Z84" s="78">
        <v>3</v>
      </c>
      <c r="AA84" s="78">
        <v>2</v>
      </c>
      <c r="AB84" s="78">
        <v>6</v>
      </c>
      <c r="AC84" s="78">
        <v>3</v>
      </c>
      <c r="AD84" s="137">
        <v>0.89705880000000005</v>
      </c>
      <c r="AF84" s="143" t="s">
        <v>774</v>
      </c>
      <c r="AG84" s="143" t="s">
        <v>758</v>
      </c>
      <c r="AH84" s="143" t="s">
        <v>728</v>
      </c>
      <c r="AI84" s="143">
        <v>2148</v>
      </c>
      <c r="AJ84" s="78">
        <v>0</v>
      </c>
      <c r="AK84" s="78">
        <v>1</v>
      </c>
      <c r="AL84" s="78">
        <v>1</v>
      </c>
      <c r="AM84" s="78">
        <v>6</v>
      </c>
      <c r="AN84" s="78">
        <v>0</v>
      </c>
      <c r="AO84" s="78">
        <v>2</v>
      </c>
      <c r="AP84" s="78">
        <v>1</v>
      </c>
      <c r="AQ84" s="78">
        <v>1</v>
      </c>
      <c r="AR84" s="78">
        <v>2</v>
      </c>
      <c r="AS84" s="78">
        <v>0</v>
      </c>
      <c r="AT84" s="78">
        <v>0</v>
      </c>
      <c r="AU84" s="78">
        <v>0</v>
      </c>
      <c r="AV84" s="78">
        <v>0</v>
      </c>
      <c r="AW84" s="78">
        <v>0</v>
      </c>
      <c r="AX84" s="78">
        <v>0</v>
      </c>
      <c r="AY84" s="78">
        <v>1</v>
      </c>
      <c r="AZ84" s="78">
        <v>0</v>
      </c>
      <c r="BA84" s="78">
        <v>0.5</v>
      </c>
      <c r="BB84" s="78">
        <v>0.5</v>
      </c>
      <c r="BC84" s="78">
        <v>0.5</v>
      </c>
      <c r="BD84" s="78">
        <v>1</v>
      </c>
      <c r="BE84" s="78">
        <v>0.5</v>
      </c>
      <c r="BF84" s="78">
        <v>0</v>
      </c>
      <c r="BG84" s="78">
        <v>6</v>
      </c>
      <c r="BH84" s="137">
        <v>0.54545460000000001</v>
      </c>
      <c r="BJ84" s="143" t="s">
        <v>774</v>
      </c>
      <c r="BK84" s="143" t="s">
        <v>758</v>
      </c>
      <c r="BL84" s="143" t="s">
        <v>728</v>
      </c>
      <c r="BM84" s="143">
        <v>2148</v>
      </c>
      <c r="BN84" s="78">
        <v>0</v>
      </c>
      <c r="BO84" s="78">
        <v>4</v>
      </c>
      <c r="BP84" s="78">
        <v>7</v>
      </c>
      <c r="BQ84" s="78">
        <v>0</v>
      </c>
      <c r="BR84" s="78">
        <v>0</v>
      </c>
      <c r="BS84" s="78">
        <v>0</v>
      </c>
      <c r="BT84" s="78">
        <v>2</v>
      </c>
      <c r="BU84" s="137">
        <v>0.56521739999999998</v>
      </c>
      <c r="BW84" s="143" t="s">
        <v>774</v>
      </c>
      <c r="BX84" s="143" t="s">
        <v>758</v>
      </c>
      <c r="BY84" s="143" t="s">
        <v>728</v>
      </c>
      <c r="BZ84" s="143">
        <v>2148</v>
      </c>
      <c r="CM84" s="143" t="s">
        <v>774</v>
      </c>
      <c r="CN84" s="143" t="s">
        <v>758</v>
      </c>
      <c r="CO84" s="143" t="s">
        <v>728</v>
      </c>
      <c r="CP84" s="143">
        <v>2148</v>
      </c>
      <c r="CQ84" s="78">
        <v>8</v>
      </c>
      <c r="CR84" s="78">
        <v>6</v>
      </c>
      <c r="CS84" s="78">
        <v>16</v>
      </c>
      <c r="CT84" s="78">
        <v>4</v>
      </c>
      <c r="CU84" s="78">
        <v>2</v>
      </c>
      <c r="CV84" s="78">
        <v>8</v>
      </c>
      <c r="CW84" s="137">
        <v>0.84615390000000001</v>
      </c>
      <c r="CY84" s="143" t="s">
        <v>774</v>
      </c>
      <c r="CZ84" s="143" t="s">
        <v>758</v>
      </c>
      <c r="DA84" s="143" t="s">
        <v>728</v>
      </c>
      <c r="DB84" s="143">
        <v>2148</v>
      </c>
      <c r="DC84" s="78">
        <v>54</v>
      </c>
      <c r="DD84" s="137">
        <v>0.2</v>
      </c>
      <c r="DE84" s="137">
        <v>0.12</v>
      </c>
      <c r="DG84" s="143" t="s">
        <v>774</v>
      </c>
      <c r="DH84" s="143" t="s">
        <v>758</v>
      </c>
      <c r="DI84" s="143" t="s">
        <v>728</v>
      </c>
      <c r="DJ84" s="143">
        <v>2148</v>
      </c>
      <c r="DK84" s="78">
        <v>2</v>
      </c>
      <c r="DL84" s="78">
        <v>1</v>
      </c>
      <c r="DM84" s="78">
        <v>0</v>
      </c>
      <c r="DN84" s="78">
        <v>5</v>
      </c>
      <c r="DO84" s="78">
        <v>2</v>
      </c>
      <c r="DP84" s="78">
        <v>3</v>
      </c>
      <c r="DQ84" s="78">
        <v>8</v>
      </c>
      <c r="DR84" s="78">
        <v>0</v>
      </c>
      <c r="DS84" s="78">
        <v>1</v>
      </c>
      <c r="DT84" s="78">
        <v>0</v>
      </c>
      <c r="DU84" s="78">
        <v>0</v>
      </c>
      <c r="DV84" s="137">
        <v>0.75862070000000004</v>
      </c>
      <c r="DX84" s="143" t="s">
        <v>774</v>
      </c>
      <c r="DY84" s="143" t="s">
        <v>758</v>
      </c>
      <c r="DZ84" s="143" t="s">
        <v>728</v>
      </c>
      <c r="EA84" s="143">
        <v>2148</v>
      </c>
      <c r="EB84" s="78">
        <v>1</v>
      </c>
      <c r="EC84" s="78">
        <v>8</v>
      </c>
      <c r="ED84" s="78">
        <v>1</v>
      </c>
      <c r="EE84" s="78">
        <v>4</v>
      </c>
      <c r="EF84" s="78">
        <v>1</v>
      </c>
      <c r="EG84" s="78">
        <v>0</v>
      </c>
      <c r="EH84" s="78">
        <v>2</v>
      </c>
      <c r="EI84" s="78">
        <v>1</v>
      </c>
      <c r="EJ84" s="78">
        <v>1</v>
      </c>
      <c r="EK84" s="78">
        <v>1</v>
      </c>
      <c r="EL84" s="78">
        <v>4</v>
      </c>
      <c r="EM84" s="78">
        <v>1</v>
      </c>
      <c r="EN84" s="78">
        <v>0</v>
      </c>
      <c r="EO84" s="137">
        <v>0.92592589999999997</v>
      </c>
      <c r="EQ84" s="143" t="s">
        <v>774</v>
      </c>
      <c r="ER84" s="143" t="s">
        <v>758</v>
      </c>
      <c r="ES84" s="143" t="s">
        <v>728</v>
      </c>
      <c r="ET84" s="143">
        <v>2148</v>
      </c>
      <c r="EU84" s="78">
        <v>0.5</v>
      </c>
      <c r="EV84" s="78">
        <v>1</v>
      </c>
      <c r="EW84" s="78">
        <v>3</v>
      </c>
      <c r="EX84" s="78">
        <v>0</v>
      </c>
      <c r="EY84" s="78">
        <v>0.5</v>
      </c>
      <c r="EZ84" s="78">
        <v>3</v>
      </c>
      <c r="FA84" s="78">
        <v>2</v>
      </c>
      <c r="FB84" s="78">
        <v>0</v>
      </c>
      <c r="FC84" s="137">
        <v>0.76923079999999999</v>
      </c>
      <c r="FE84" s="137">
        <v>0.57914109999999996</v>
      </c>
    </row>
    <row r="85" spans="1:161" hidden="1" x14ac:dyDescent="0.25">
      <c r="A85" s="143" t="s">
        <v>774</v>
      </c>
      <c r="B85" s="143" t="s">
        <v>758</v>
      </c>
      <c r="C85" s="143" t="s">
        <v>729</v>
      </c>
      <c r="D85" s="143">
        <v>4018</v>
      </c>
      <c r="E85" s="78">
        <v>0.5</v>
      </c>
      <c r="F85" s="78">
        <v>2</v>
      </c>
      <c r="G85" s="78">
        <v>1</v>
      </c>
      <c r="H85" s="78">
        <v>3</v>
      </c>
      <c r="I85" s="78">
        <v>1</v>
      </c>
      <c r="J85" s="78">
        <v>1</v>
      </c>
      <c r="K85" s="78">
        <v>1</v>
      </c>
      <c r="L85" s="78">
        <v>1</v>
      </c>
      <c r="M85" s="78">
        <v>2</v>
      </c>
      <c r="N85" s="137">
        <v>0.89285709999999996</v>
      </c>
      <c r="P85" s="143" t="s">
        <v>774</v>
      </c>
      <c r="Q85" s="143" t="s">
        <v>758</v>
      </c>
      <c r="R85" s="143" t="s">
        <v>729</v>
      </c>
      <c r="S85" s="143">
        <v>4018</v>
      </c>
      <c r="T85" s="78">
        <v>1</v>
      </c>
      <c r="U85" s="78">
        <v>1</v>
      </c>
      <c r="V85" s="78">
        <v>2</v>
      </c>
      <c r="W85" s="78">
        <v>2</v>
      </c>
      <c r="X85" s="78">
        <v>12</v>
      </c>
      <c r="Y85" s="78">
        <v>1</v>
      </c>
      <c r="Z85" s="78">
        <v>3</v>
      </c>
      <c r="AA85" s="78">
        <v>2</v>
      </c>
      <c r="AB85" s="78">
        <v>6</v>
      </c>
      <c r="AC85" s="78">
        <v>3</v>
      </c>
      <c r="AD85" s="137">
        <v>0.97058820000000001</v>
      </c>
      <c r="AF85" s="143" t="s">
        <v>774</v>
      </c>
      <c r="AG85" s="143" t="s">
        <v>758</v>
      </c>
      <c r="AH85" s="143" t="s">
        <v>729</v>
      </c>
      <c r="AI85" s="143">
        <v>4018</v>
      </c>
      <c r="AJ85" s="78">
        <v>1</v>
      </c>
      <c r="AK85" s="78">
        <v>0</v>
      </c>
      <c r="AL85" s="78">
        <v>1</v>
      </c>
      <c r="AM85" s="78">
        <v>6</v>
      </c>
      <c r="AN85" s="78">
        <v>1</v>
      </c>
      <c r="AO85" s="78">
        <v>0</v>
      </c>
      <c r="AP85" s="78">
        <v>1</v>
      </c>
      <c r="AQ85" s="78">
        <v>1</v>
      </c>
      <c r="AR85" s="78">
        <v>2</v>
      </c>
      <c r="AS85" s="78">
        <v>2</v>
      </c>
      <c r="AT85" s="78">
        <v>2</v>
      </c>
      <c r="AU85" s="78">
        <v>0</v>
      </c>
      <c r="AV85" s="78">
        <v>2</v>
      </c>
      <c r="AW85" s="78">
        <v>0</v>
      </c>
      <c r="AX85" s="78">
        <v>0</v>
      </c>
      <c r="AY85" s="78">
        <v>1</v>
      </c>
      <c r="AZ85" s="78">
        <v>0</v>
      </c>
      <c r="BA85" s="78">
        <v>0.5</v>
      </c>
      <c r="BB85" s="78">
        <v>0.5</v>
      </c>
      <c r="BC85" s="78">
        <v>0.5</v>
      </c>
      <c r="BD85" s="78">
        <v>1</v>
      </c>
      <c r="BE85" s="78">
        <v>0</v>
      </c>
      <c r="BF85" s="78">
        <v>0</v>
      </c>
      <c r="BG85" s="78">
        <v>2</v>
      </c>
      <c r="BH85" s="137">
        <v>0.55681820000000004</v>
      </c>
      <c r="BJ85" s="143" t="s">
        <v>774</v>
      </c>
      <c r="BK85" s="143" t="s">
        <v>758</v>
      </c>
      <c r="BL85" s="143" t="s">
        <v>729</v>
      </c>
      <c r="BM85" s="143">
        <v>4018</v>
      </c>
      <c r="BN85" s="78">
        <v>1</v>
      </c>
      <c r="BO85" s="78">
        <v>4</v>
      </c>
      <c r="BP85" s="78">
        <v>7</v>
      </c>
      <c r="BQ85" s="78">
        <v>0</v>
      </c>
      <c r="BR85" s="78">
        <v>0</v>
      </c>
      <c r="BS85" s="78">
        <v>0</v>
      </c>
      <c r="BT85" s="78">
        <v>2</v>
      </c>
      <c r="BU85" s="137">
        <v>0.6086956</v>
      </c>
      <c r="BW85" s="143" t="s">
        <v>774</v>
      </c>
      <c r="BX85" s="143" t="s">
        <v>758</v>
      </c>
      <c r="BY85" s="143" t="s">
        <v>729</v>
      </c>
      <c r="BZ85" s="143">
        <v>4018</v>
      </c>
      <c r="CA85" s="78">
        <v>1</v>
      </c>
      <c r="CB85" s="78">
        <v>1</v>
      </c>
      <c r="CC85" s="78">
        <v>1</v>
      </c>
      <c r="CD85" s="78">
        <v>2</v>
      </c>
      <c r="CE85" s="78">
        <v>1</v>
      </c>
      <c r="CF85" s="78">
        <v>2</v>
      </c>
      <c r="CG85" s="78">
        <v>1</v>
      </c>
      <c r="CH85" s="78">
        <v>2</v>
      </c>
      <c r="CI85" s="78">
        <v>1</v>
      </c>
      <c r="CJ85" s="78">
        <v>3</v>
      </c>
      <c r="CK85" s="137">
        <v>1</v>
      </c>
      <c r="CM85" s="143" t="s">
        <v>774</v>
      </c>
      <c r="CN85" s="143" t="s">
        <v>758</v>
      </c>
      <c r="CO85" s="143" t="s">
        <v>729</v>
      </c>
      <c r="CP85" s="143">
        <v>4018</v>
      </c>
      <c r="CQ85" s="78">
        <v>8</v>
      </c>
      <c r="CR85" s="78">
        <v>0</v>
      </c>
      <c r="CS85" s="78">
        <v>20</v>
      </c>
      <c r="CT85" s="78">
        <v>4</v>
      </c>
      <c r="CU85" s="78">
        <v>2</v>
      </c>
      <c r="CV85" s="78">
        <v>8</v>
      </c>
      <c r="CW85" s="137">
        <v>0.80769230000000003</v>
      </c>
      <c r="CY85" s="143" t="s">
        <v>774</v>
      </c>
      <c r="CZ85" s="143" t="s">
        <v>758</v>
      </c>
      <c r="DA85" s="143" t="s">
        <v>729</v>
      </c>
      <c r="DB85" s="143">
        <v>4018</v>
      </c>
      <c r="DC85" s="78">
        <v>70</v>
      </c>
      <c r="DD85" s="137">
        <v>0.5</v>
      </c>
      <c r="DE85" s="137">
        <v>0.38888889999999998</v>
      </c>
      <c r="DG85" s="143" t="s">
        <v>774</v>
      </c>
      <c r="DH85" s="143" t="s">
        <v>758</v>
      </c>
      <c r="DI85" s="143" t="s">
        <v>729</v>
      </c>
      <c r="DJ85" s="143">
        <v>4018</v>
      </c>
      <c r="DK85" s="78">
        <v>2</v>
      </c>
      <c r="DL85" s="78">
        <v>1</v>
      </c>
      <c r="DM85" s="78">
        <v>1</v>
      </c>
      <c r="DN85" s="78">
        <v>7</v>
      </c>
      <c r="DO85" s="78">
        <v>2</v>
      </c>
      <c r="DP85" s="78">
        <v>3</v>
      </c>
      <c r="DQ85" s="78">
        <v>8</v>
      </c>
      <c r="DR85" s="78">
        <v>1</v>
      </c>
      <c r="DS85" s="78">
        <v>1</v>
      </c>
      <c r="DT85" s="78">
        <v>2</v>
      </c>
      <c r="DU85" s="78">
        <v>1</v>
      </c>
      <c r="DV85" s="137">
        <v>1</v>
      </c>
      <c r="DX85" s="143" t="s">
        <v>774</v>
      </c>
      <c r="DY85" s="143" t="s">
        <v>758</v>
      </c>
      <c r="DZ85" s="143" t="s">
        <v>729</v>
      </c>
      <c r="EA85" s="143">
        <v>4018</v>
      </c>
      <c r="EB85" s="78">
        <v>1</v>
      </c>
      <c r="EC85" s="78">
        <v>8</v>
      </c>
      <c r="ED85" s="78">
        <v>1</v>
      </c>
      <c r="EE85" s="78">
        <v>4</v>
      </c>
      <c r="EF85" s="78">
        <v>1</v>
      </c>
      <c r="EG85" s="78">
        <v>1</v>
      </c>
      <c r="EH85" s="78">
        <v>2</v>
      </c>
      <c r="EI85" s="78">
        <v>1</v>
      </c>
      <c r="EJ85" s="78">
        <v>1</v>
      </c>
      <c r="EK85" s="78">
        <v>1</v>
      </c>
      <c r="EL85" s="78">
        <v>4</v>
      </c>
      <c r="EM85" s="78">
        <v>1</v>
      </c>
      <c r="EN85" s="78">
        <v>1</v>
      </c>
      <c r="EO85" s="137">
        <v>1</v>
      </c>
      <c r="EQ85" s="143" t="s">
        <v>774</v>
      </c>
      <c r="ER85" s="143" t="s">
        <v>758</v>
      </c>
      <c r="ES85" s="143" t="s">
        <v>729</v>
      </c>
      <c r="ET85" s="143">
        <v>4018</v>
      </c>
      <c r="EU85" s="78">
        <v>0.5</v>
      </c>
      <c r="EV85" s="78">
        <v>1</v>
      </c>
      <c r="EW85" s="78">
        <v>3</v>
      </c>
      <c r="EX85" s="78">
        <v>2</v>
      </c>
      <c r="EY85" s="78">
        <v>0.5</v>
      </c>
      <c r="EZ85" s="78">
        <v>3</v>
      </c>
      <c r="FA85" s="78">
        <v>2</v>
      </c>
      <c r="FB85" s="78">
        <v>1</v>
      </c>
      <c r="FC85" s="137">
        <v>1</v>
      </c>
      <c r="FE85" s="137">
        <v>0.71847499999999997</v>
      </c>
    </row>
    <row r="86" spans="1:161" hidden="1" x14ac:dyDescent="0.25">
      <c r="A86" s="143" t="s">
        <v>775</v>
      </c>
      <c r="B86" s="143" t="s">
        <v>766</v>
      </c>
      <c r="C86" s="143" t="s">
        <v>727</v>
      </c>
      <c r="D86" s="143">
        <v>741</v>
      </c>
      <c r="E86" s="78">
        <v>0</v>
      </c>
      <c r="F86" s="78">
        <v>1.5</v>
      </c>
      <c r="G86" s="78">
        <v>1</v>
      </c>
      <c r="H86" s="78">
        <v>3</v>
      </c>
      <c r="I86" s="78">
        <v>1</v>
      </c>
      <c r="J86" s="78">
        <v>0</v>
      </c>
      <c r="K86" s="78">
        <v>1</v>
      </c>
      <c r="L86" s="78">
        <v>0</v>
      </c>
      <c r="M86" s="78">
        <v>2</v>
      </c>
      <c r="N86" s="137">
        <v>0.67857140000000005</v>
      </c>
      <c r="P86" s="143" t="s">
        <v>775</v>
      </c>
      <c r="Q86" s="143" t="s">
        <v>766</v>
      </c>
      <c r="R86" s="143" t="s">
        <v>727</v>
      </c>
      <c r="S86" s="143">
        <v>741</v>
      </c>
      <c r="T86" s="78">
        <v>1</v>
      </c>
      <c r="U86" s="78">
        <v>1</v>
      </c>
      <c r="V86" s="78">
        <v>3</v>
      </c>
      <c r="W86" s="78">
        <v>2</v>
      </c>
      <c r="X86" s="78">
        <v>9</v>
      </c>
      <c r="Y86" s="78">
        <v>1</v>
      </c>
      <c r="Z86" s="78">
        <v>3</v>
      </c>
      <c r="AA86" s="78">
        <v>0</v>
      </c>
      <c r="AB86" s="78">
        <v>0</v>
      </c>
      <c r="AC86" s="78">
        <v>0</v>
      </c>
      <c r="AD86" s="137">
        <v>0.58823530000000002</v>
      </c>
      <c r="AF86" s="143" t="s">
        <v>775</v>
      </c>
      <c r="AG86" s="143" t="s">
        <v>766</v>
      </c>
      <c r="AH86" s="143" t="s">
        <v>727</v>
      </c>
      <c r="AI86" s="143">
        <v>741</v>
      </c>
      <c r="AJ86" s="78">
        <v>1</v>
      </c>
      <c r="AK86" s="78">
        <v>0</v>
      </c>
      <c r="AL86" s="78">
        <v>1</v>
      </c>
      <c r="AM86" s="78">
        <v>1</v>
      </c>
      <c r="AN86" s="78">
        <v>1</v>
      </c>
      <c r="AO86" s="78">
        <v>0</v>
      </c>
      <c r="AP86" s="78">
        <v>1</v>
      </c>
      <c r="AQ86" s="78">
        <v>1</v>
      </c>
      <c r="AR86" s="78">
        <v>2</v>
      </c>
      <c r="AS86" s="78">
        <v>0</v>
      </c>
      <c r="AT86" s="78">
        <v>2</v>
      </c>
      <c r="AU86" s="78">
        <v>0</v>
      </c>
      <c r="AV86" s="78">
        <v>2</v>
      </c>
      <c r="AW86" s="78">
        <v>0</v>
      </c>
      <c r="AX86" s="78">
        <v>0</v>
      </c>
      <c r="AY86" s="78">
        <v>1</v>
      </c>
      <c r="AZ86" s="78">
        <v>2</v>
      </c>
      <c r="BA86" s="78">
        <v>0.5</v>
      </c>
      <c r="BB86" s="78">
        <v>0.5</v>
      </c>
      <c r="BC86" s="78">
        <v>0</v>
      </c>
      <c r="BD86" s="78">
        <v>0</v>
      </c>
      <c r="BE86" s="78">
        <v>0</v>
      </c>
      <c r="BF86" s="78">
        <v>0</v>
      </c>
      <c r="BG86" s="78">
        <v>2</v>
      </c>
      <c r="BH86" s="137">
        <v>0.40909089999999998</v>
      </c>
      <c r="BJ86" s="143" t="s">
        <v>775</v>
      </c>
      <c r="BK86" s="143" t="s">
        <v>766</v>
      </c>
      <c r="BL86" s="143" t="s">
        <v>727</v>
      </c>
      <c r="BM86" s="143">
        <v>741</v>
      </c>
      <c r="BN86" s="78">
        <v>0</v>
      </c>
      <c r="BO86" s="78">
        <v>4</v>
      </c>
      <c r="BP86" s="78">
        <v>0</v>
      </c>
      <c r="BQ86" s="78">
        <v>0</v>
      </c>
      <c r="BR86" s="78">
        <v>0</v>
      </c>
      <c r="BS86" s="78">
        <v>0</v>
      </c>
      <c r="BT86" s="78">
        <v>2</v>
      </c>
      <c r="BU86" s="137">
        <v>0.26086959999999998</v>
      </c>
      <c r="BW86" s="143" t="s">
        <v>775</v>
      </c>
      <c r="BX86" s="143" t="s">
        <v>766</v>
      </c>
      <c r="BY86" s="143" t="s">
        <v>727</v>
      </c>
      <c r="BZ86" s="143">
        <v>741</v>
      </c>
      <c r="CA86" s="78">
        <v>1</v>
      </c>
      <c r="CB86" s="78">
        <v>0</v>
      </c>
      <c r="CC86" s="78">
        <v>1</v>
      </c>
      <c r="CD86" s="78">
        <v>2</v>
      </c>
      <c r="CE86" s="78">
        <v>1</v>
      </c>
      <c r="CF86" s="78">
        <v>2</v>
      </c>
      <c r="CG86" s="78">
        <v>1</v>
      </c>
      <c r="CH86" s="78">
        <v>2</v>
      </c>
      <c r="CI86" s="78">
        <v>1</v>
      </c>
      <c r="CJ86" s="78">
        <v>3</v>
      </c>
      <c r="CK86" s="137">
        <v>0.93333330000000003</v>
      </c>
      <c r="CM86" s="143" t="s">
        <v>775</v>
      </c>
      <c r="CN86" s="143" t="s">
        <v>766</v>
      </c>
      <c r="CO86" s="143" t="s">
        <v>727</v>
      </c>
      <c r="CP86" s="143">
        <v>741</v>
      </c>
      <c r="CQ86" s="78">
        <v>2</v>
      </c>
      <c r="CR86" s="78">
        <v>0</v>
      </c>
      <c r="CS86" s="78">
        <v>0</v>
      </c>
      <c r="CT86" s="78">
        <v>4</v>
      </c>
      <c r="CU86" s="78">
        <v>2</v>
      </c>
      <c r="CV86" s="78">
        <v>8</v>
      </c>
      <c r="CW86" s="137">
        <v>0.30769229999999997</v>
      </c>
      <c r="CY86" s="143" t="s">
        <v>775</v>
      </c>
      <c r="CZ86" s="143" t="s">
        <v>766</v>
      </c>
      <c r="DA86" s="143" t="s">
        <v>727</v>
      </c>
      <c r="DB86" s="143">
        <v>741</v>
      </c>
      <c r="DC86" s="78">
        <v>14</v>
      </c>
      <c r="DD86" s="137">
        <v>0</v>
      </c>
      <c r="DE86" s="137">
        <v>0</v>
      </c>
      <c r="DG86" s="143" t="s">
        <v>775</v>
      </c>
      <c r="DH86" s="143" t="s">
        <v>766</v>
      </c>
      <c r="DI86" s="143" t="s">
        <v>727</v>
      </c>
      <c r="DJ86" s="143">
        <v>741</v>
      </c>
      <c r="DK86" s="78">
        <v>2</v>
      </c>
      <c r="DL86" s="78">
        <v>1</v>
      </c>
      <c r="DM86" s="78">
        <v>0</v>
      </c>
      <c r="DN86" s="78">
        <v>5</v>
      </c>
      <c r="DO86" s="78">
        <v>2</v>
      </c>
      <c r="DP86" s="78">
        <v>3</v>
      </c>
      <c r="DQ86" s="78">
        <v>5</v>
      </c>
      <c r="DR86" s="78">
        <v>0</v>
      </c>
      <c r="DS86" s="78">
        <v>1</v>
      </c>
      <c r="DT86" s="78">
        <v>0</v>
      </c>
      <c r="DU86" s="78">
        <v>0</v>
      </c>
      <c r="DV86" s="137">
        <v>0.65517239999999999</v>
      </c>
      <c r="DX86" s="143" t="s">
        <v>775</v>
      </c>
      <c r="DY86" s="143" t="s">
        <v>766</v>
      </c>
      <c r="DZ86" s="143" t="s">
        <v>727</v>
      </c>
      <c r="EA86" s="143">
        <v>741</v>
      </c>
      <c r="EB86" s="78">
        <v>1</v>
      </c>
      <c r="EC86" s="78">
        <v>8</v>
      </c>
      <c r="ED86" s="78">
        <v>1</v>
      </c>
      <c r="EE86" s="78">
        <v>4</v>
      </c>
      <c r="EF86" s="78">
        <v>1</v>
      </c>
      <c r="EG86" s="78">
        <v>1</v>
      </c>
      <c r="EH86" s="78">
        <v>0</v>
      </c>
      <c r="EI86" s="78">
        <v>1</v>
      </c>
      <c r="EJ86" s="78">
        <v>1</v>
      </c>
      <c r="EK86" s="78">
        <v>1</v>
      </c>
      <c r="EL86" s="78">
        <v>4</v>
      </c>
      <c r="EM86" s="78">
        <v>1</v>
      </c>
      <c r="EN86" s="78">
        <v>1</v>
      </c>
      <c r="EO86" s="137">
        <v>0.92592589999999997</v>
      </c>
      <c r="EQ86" s="143" t="s">
        <v>775</v>
      </c>
      <c r="ER86" s="143" t="s">
        <v>766</v>
      </c>
      <c r="ES86" s="143" t="s">
        <v>727</v>
      </c>
      <c r="ET86" s="143">
        <v>741</v>
      </c>
      <c r="EU86" s="78">
        <v>0.5</v>
      </c>
      <c r="EV86" s="78">
        <v>0</v>
      </c>
      <c r="EW86" s="78">
        <v>0</v>
      </c>
      <c r="EX86" s="78">
        <v>0</v>
      </c>
      <c r="EY86" s="78">
        <v>0.5</v>
      </c>
      <c r="EZ86" s="78">
        <v>3</v>
      </c>
      <c r="FA86" s="78">
        <v>2</v>
      </c>
      <c r="FB86" s="78">
        <v>1</v>
      </c>
      <c r="FC86" s="137">
        <v>0.53846159999999998</v>
      </c>
      <c r="FE86" s="137">
        <v>0.39442820000000001</v>
      </c>
    </row>
    <row r="87" spans="1:161" hidden="1" x14ac:dyDescent="0.25">
      <c r="A87" s="143" t="s">
        <v>775</v>
      </c>
      <c r="B87" s="143" t="s">
        <v>766</v>
      </c>
      <c r="C87" s="143" t="s">
        <v>727</v>
      </c>
      <c r="D87" s="143">
        <v>747</v>
      </c>
      <c r="E87" s="78">
        <v>0</v>
      </c>
      <c r="F87" s="78">
        <v>2.5</v>
      </c>
      <c r="G87" s="78">
        <v>1</v>
      </c>
      <c r="H87" s="78">
        <v>3</v>
      </c>
      <c r="I87" s="78">
        <v>1</v>
      </c>
      <c r="J87" s="78">
        <v>0</v>
      </c>
      <c r="K87" s="78">
        <v>1</v>
      </c>
      <c r="L87" s="78">
        <v>0</v>
      </c>
      <c r="M87" s="78">
        <v>2</v>
      </c>
      <c r="N87" s="137">
        <v>0.75</v>
      </c>
      <c r="P87" s="143" t="s">
        <v>775</v>
      </c>
      <c r="Q87" s="143" t="s">
        <v>766</v>
      </c>
      <c r="R87" s="143" t="s">
        <v>727</v>
      </c>
      <c r="S87" s="143">
        <v>747</v>
      </c>
      <c r="T87" s="78">
        <v>1</v>
      </c>
      <c r="U87" s="78">
        <v>1</v>
      </c>
      <c r="V87" s="78">
        <v>3</v>
      </c>
      <c r="W87" s="78">
        <v>2</v>
      </c>
      <c r="X87" s="78">
        <v>9</v>
      </c>
      <c r="Y87" s="78">
        <v>1</v>
      </c>
      <c r="Z87" s="78">
        <v>3</v>
      </c>
      <c r="AA87" s="78">
        <v>0</v>
      </c>
      <c r="AB87" s="78">
        <v>0</v>
      </c>
      <c r="AC87" s="78">
        <v>0</v>
      </c>
      <c r="AD87" s="137">
        <v>0.58823530000000002</v>
      </c>
      <c r="AF87" s="143" t="s">
        <v>775</v>
      </c>
      <c r="AG87" s="143" t="s">
        <v>766</v>
      </c>
      <c r="AH87" s="143" t="s">
        <v>727</v>
      </c>
      <c r="AI87" s="143">
        <v>747</v>
      </c>
      <c r="AJ87" s="78">
        <v>1</v>
      </c>
      <c r="AK87" s="78">
        <v>0</v>
      </c>
      <c r="AL87" s="78">
        <v>1</v>
      </c>
      <c r="AM87" s="78">
        <v>1</v>
      </c>
      <c r="AN87" s="78">
        <v>1</v>
      </c>
      <c r="AO87" s="78">
        <v>0</v>
      </c>
      <c r="AP87" s="78">
        <v>1</v>
      </c>
      <c r="AQ87" s="78">
        <v>1</v>
      </c>
      <c r="AR87" s="78">
        <v>2</v>
      </c>
      <c r="AS87" s="78">
        <v>2</v>
      </c>
      <c r="AT87" s="78">
        <v>2</v>
      </c>
      <c r="AU87" s="78">
        <v>0</v>
      </c>
      <c r="AV87" s="78">
        <v>2</v>
      </c>
      <c r="AW87" s="78">
        <v>0</v>
      </c>
      <c r="AX87" s="78">
        <v>4</v>
      </c>
      <c r="AY87" s="78">
        <v>1</v>
      </c>
      <c r="AZ87" s="78">
        <v>2</v>
      </c>
      <c r="BA87" s="78">
        <v>0.5</v>
      </c>
      <c r="BB87" s="78">
        <v>0.5</v>
      </c>
      <c r="BC87" s="78">
        <v>0</v>
      </c>
      <c r="BD87" s="78">
        <v>1</v>
      </c>
      <c r="BE87" s="78">
        <v>0.5</v>
      </c>
      <c r="BF87" s="78">
        <v>0</v>
      </c>
      <c r="BG87" s="78">
        <v>2</v>
      </c>
      <c r="BH87" s="137">
        <v>0.57954539999999999</v>
      </c>
      <c r="BJ87" s="143" t="s">
        <v>775</v>
      </c>
      <c r="BK87" s="143" t="s">
        <v>766</v>
      </c>
      <c r="BL87" s="143" t="s">
        <v>727</v>
      </c>
      <c r="BM87" s="143">
        <v>747</v>
      </c>
      <c r="BN87" s="78">
        <v>0</v>
      </c>
      <c r="BO87" s="78">
        <v>4</v>
      </c>
      <c r="BP87" s="78">
        <v>7</v>
      </c>
      <c r="BQ87" s="78">
        <v>0</v>
      </c>
      <c r="BR87" s="78">
        <v>0</v>
      </c>
      <c r="BS87" s="78">
        <v>0</v>
      </c>
      <c r="BT87" s="78">
        <v>2</v>
      </c>
      <c r="BU87" s="137">
        <v>0.56521739999999998</v>
      </c>
      <c r="BW87" s="143" t="s">
        <v>775</v>
      </c>
      <c r="BX87" s="143" t="s">
        <v>766</v>
      </c>
      <c r="BY87" s="143" t="s">
        <v>727</v>
      </c>
      <c r="BZ87" s="143">
        <v>747</v>
      </c>
      <c r="CA87" s="78">
        <v>1</v>
      </c>
      <c r="CB87" s="78">
        <v>1</v>
      </c>
      <c r="CC87" s="78">
        <v>1</v>
      </c>
      <c r="CD87" s="78">
        <v>2</v>
      </c>
      <c r="CE87" s="78">
        <v>1</v>
      </c>
      <c r="CF87" s="78">
        <v>2</v>
      </c>
      <c r="CG87" s="78">
        <v>1</v>
      </c>
      <c r="CH87" s="78">
        <v>2</v>
      </c>
      <c r="CI87" s="78">
        <v>1</v>
      </c>
      <c r="CJ87" s="78">
        <v>3</v>
      </c>
      <c r="CK87" s="137">
        <v>1</v>
      </c>
      <c r="CM87" s="143" t="s">
        <v>775</v>
      </c>
      <c r="CN87" s="143" t="s">
        <v>766</v>
      </c>
      <c r="CO87" s="143" t="s">
        <v>727</v>
      </c>
      <c r="CP87" s="143">
        <v>747</v>
      </c>
      <c r="CQ87" s="78">
        <v>8</v>
      </c>
      <c r="CR87" s="78">
        <v>0</v>
      </c>
      <c r="CS87" s="78">
        <v>12</v>
      </c>
      <c r="CT87" s="78">
        <v>4</v>
      </c>
      <c r="CU87" s="78">
        <v>2</v>
      </c>
      <c r="CV87" s="78">
        <v>8</v>
      </c>
      <c r="CW87" s="137">
        <v>0.65384609999999999</v>
      </c>
      <c r="CY87" s="143" t="s">
        <v>775</v>
      </c>
      <c r="CZ87" s="143" t="s">
        <v>766</v>
      </c>
      <c r="DA87" s="143" t="s">
        <v>727</v>
      </c>
      <c r="DB87" s="143">
        <v>747</v>
      </c>
      <c r="DC87" s="78">
        <v>50</v>
      </c>
      <c r="DD87" s="137">
        <v>0.2</v>
      </c>
      <c r="DE87" s="137">
        <v>0.1111111</v>
      </c>
      <c r="DG87" s="143" t="s">
        <v>775</v>
      </c>
      <c r="DH87" s="143" t="s">
        <v>766</v>
      </c>
      <c r="DI87" s="143" t="s">
        <v>727</v>
      </c>
      <c r="DJ87" s="143">
        <v>747</v>
      </c>
      <c r="DK87" s="78">
        <v>2</v>
      </c>
      <c r="DL87" s="78">
        <v>1</v>
      </c>
      <c r="DM87" s="78">
        <v>0</v>
      </c>
      <c r="DN87" s="78">
        <v>7</v>
      </c>
      <c r="DO87" s="78">
        <v>2</v>
      </c>
      <c r="DP87" s="78">
        <v>3</v>
      </c>
      <c r="DQ87" s="78">
        <v>8</v>
      </c>
      <c r="DR87" s="78">
        <v>1</v>
      </c>
      <c r="DS87" s="78">
        <v>1</v>
      </c>
      <c r="DT87" s="78">
        <v>0</v>
      </c>
      <c r="DU87" s="78">
        <v>0</v>
      </c>
      <c r="DV87" s="137">
        <v>0.86206899999999997</v>
      </c>
      <c r="DX87" s="143" t="s">
        <v>775</v>
      </c>
      <c r="DY87" s="143" t="s">
        <v>766</v>
      </c>
      <c r="DZ87" s="143" t="s">
        <v>727</v>
      </c>
      <c r="EA87" s="143">
        <v>747</v>
      </c>
      <c r="EB87" s="78">
        <v>0</v>
      </c>
      <c r="EC87" s="78">
        <v>8</v>
      </c>
      <c r="ED87" s="78">
        <v>1</v>
      </c>
      <c r="EE87" s="78">
        <v>4</v>
      </c>
      <c r="EF87" s="78">
        <v>1</v>
      </c>
      <c r="EG87" s="78">
        <v>1</v>
      </c>
      <c r="EH87" s="78">
        <v>0</v>
      </c>
      <c r="EI87" s="78">
        <v>1</v>
      </c>
      <c r="EJ87" s="78">
        <v>1</v>
      </c>
      <c r="EK87" s="78">
        <v>1</v>
      </c>
      <c r="EL87" s="78">
        <v>4</v>
      </c>
      <c r="EM87" s="78">
        <v>1</v>
      </c>
      <c r="EN87" s="78">
        <v>1</v>
      </c>
      <c r="EO87" s="137">
        <v>0.88888889999999998</v>
      </c>
      <c r="EQ87" s="143" t="s">
        <v>775</v>
      </c>
      <c r="ER87" s="143" t="s">
        <v>766</v>
      </c>
      <c r="ES87" s="143" t="s">
        <v>727</v>
      </c>
      <c r="ET87" s="143">
        <v>747</v>
      </c>
      <c r="EU87" s="78">
        <v>0.5</v>
      </c>
      <c r="EV87" s="78">
        <v>0</v>
      </c>
      <c r="EW87" s="78">
        <v>0</v>
      </c>
      <c r="EX87" s="78">
        <v>0</v>
      </c>
      <c r="EY87" s="78">
        <v>0.5</v>
      </c>
      <c r="EZ87" s="78">
        <v>3</v>
      </c>
      <c r="FA87" s="78">
        <v>2</v>
      </c>
      <c r="FB87" s="78">
        <v>1</v>
      </c>
      <c r="FC87" s="137">
        <v>0.53846159999999998</v>
      </c>
      <c r="FE87" s="137">
        <v>0.53958950000000006</v>
      </c>
    </row>
    <row r="88" spans="1:161" hidden="1" x14ac:dyDescent="0.25">
      <c r="A88" s="143" t="s">
        <v>775</v>
      </c>
      <c r="B88" s="143" t="s">
        <v>766</v>
      </c>
      <c r="C88" s="143" t="s">
        <v>729</v>
      </c>
      <c r="D88" s="143">
        <v>751</v>
      </c>
      <c r="E88" s="78">
        <v>0</v>
      </c>
      <c r="F88" s="78">
        <v>2.5</v>
      </c>
      <c r="G88" s="78">
        <v>1</v>
      </c>
      <c r="H88" s="78">
        <v>4</v>
      </c>
      <c r="I88" s="78">
        <v>1</v>
      </c>
      <c r="J88" s="78">
        <v>0</v>
      </c>
      <c r="K88" s="78">
        <v>1</v>
      </c>
      <c r="L88" s="78">
        <v>0</v>
      </c>
      <c r="M88" s="78">
        <v>2</v>
      </c>
      <c r="N88" s="137">
        <v>0.82142859999999995</v>
      </c>
      <c r="P88" s="143" t="s">
        <v>775</v>
      </c>
      <c r="Q88" s="143" t="s">
        <v>766</v>
      </c>
      <c r="R88" s="143" t="s">
        <v>729</v>
      </c>
      <c r="S88" s="143">
        <v>751</v>
      </c>
      <c r="T88" s="78">
        <v>1</v>
      </c>
      <c r="U88" s="78">
        <v>1</v>
      </c>
      <c r="V88" s="78">
        <v>2.5</v>
      </c>
      <c r="W88" s="78">
        <v>2</v>
      </c>
      <c r="X88" s="78">
        <v>9</v>
      </c>
      <c r="Y88" s="78">
        <v>1</v>
      </c>
      <c r="Z88" s="78">
        <v>3</v>
      </c>
      <c r="AA88" s="78">
        <v>0</v>
      </c>
      <c r="AB88" s="78">
        <v>0</v>
      </c>
      <c r="AC88" s="78">
        <v>0</v>
      </c>
      <c r="AD88" s="137">
        <v>0.57352939999999997</v>
      </c>
      <c r="AF88" s="143" t="s">
        <v>775</v>
      </c>
      <c r="AG88" s="143" t="s">
        <v>766</v>
      </c>
      <c r="AH88" s="143" t="s">
        <v>729</v>
      </c>
      <c r="AI88" s="143">
        <v>751</v>
      </c>
      <c r="AJ88" s="78">
        <v>0</v>
      </c>
      <c r="AK88" s="78">
        <v>0</v>
      </c>
      <c r="AL88" s="78">
        <v>1</v>
      </c>
      <c r="AM88" s="78">
        <v>1</v>
      </c>
      <c r="AN88" s="78">
        <v>1</v>
      </c>
      <c r="AO88" s="78">
        <v>0</v>
      </c>
      <c r="AP88" s="78">
        <v>1</v>
      </c>
      <c r="AQ88" s="78">
        <v>1</v>
      </c>
      <c r="AR88" s="78">
        <v>2</v>
      </c>
      <c r="AS88" s="78">
        <v>2</v>
      </c>
      <c r="AT88" s="78">
        <v>2</v>
      </c>
      <c r="AU88" s="78">
        <v>0</v>
      </c>
      <c r="AV88" s="78">
        <v>2</v>
      </c>
      <c r="AW88" s="78">
        <v>0</v>
      </c>
      <c r="AX88" s="78">
        <v>4</v>
      </c>
      <c r="AY88" s="78">
        <v>1</v>
      </c>
      <c r="AZ88" s="78">
        <v>2</v>
      </c>
      <c r="BA88" s="78">
        <v>0.5</v>
      </c>
      <c r="BB88" s="78">
        <v>0.5</v>
      </c>
      <c r="BC88" s="78">
        <v>0.5</v>
      </c>
      <c r="BD88" s="78">
        <v>1</v>
      </c>
      <c r="BE88" s="78">
        <v>0.5</v>
      </c>
      <c r="BF88" s="78">
        <v>0</v>
      </c>
      <c r="BG88" s="78">
        <v>8</v>
      </c>
      <c r="BH88" s="137">
        <v>0.70454539999999999</v>
      </c>
      <c r="BJ88" s="143" t="s">
        <v>775</v>
      </c>
      <c r="BK88" s="143" t="s">
        <v>766</v>
      </c>
      <c r="BL88" s="143" t="s">
        <v>729</v>
      </c>
      <c r="BM88" s="143">
        <v>751</v>
      </c>
      <c r="BN88" s="78">
        <v>1</v>
      </c>
      <c r="BO88" s="78">
        <v>4</v>
      </c>
      <c r="BP88" s="78">
        <v>7</v>
      </c>
      <c r="BQ88" s="78">
        <v>0</v>
      </c>
      <c r="BR88" s="78">
        <v>3</v>
      </c>
      <c r="BS88" s="78">
        <v>0</v>
      </c>
      <c r="BT88" s="78">
        <v>2</v>
      </c>
      <c r="BU88" s="137">
        <v>0.73913039999999997</v>
      </c>
      <c r="BW88" s="143" t="s">
        <v>775</v>
      </c>
      <c r="BX88" s="143" t="s">
        <v>766</v>
      </c>
      <c r="BY88" s="143" t="s">
        <v>729</v>
      </c>
      <c r="BZ88" s="143">
        <v>751</v>
      </c>
      <c r="CA88" s="78">
        <v>1</v>
      </c>
      <c r="CB88" s="78">
        <v>1</v>
      </c>
      <c r="CC88" s="78">
        <v>1</v>
      </c>
      <c r="CD88" s="78">
        <v>2</v>
      </c>
      <c r="CE88" s="78">
        <v>1</v>
      </c>
      <c r="CF88" s="78">
        <v>2</v>
      </c>
      <c r="CG88" s="78">
        <v>1</v>
      </c>
      <c r="CH88" s="78">
        <v>2</v>
      </c>
      <c r="CI88" s="78">
        <v>1</v>
      </c>
      <c r="CJ88" s="78">
        <v>3</v>
      </c>
      <c r="CK88" s="137">
        <v>1</v>
      </c>
      <c r="CM88" s="143" t="s">
        <v>775</v>
      </c>
      <c r="CN88" s="143" t="s">
        <v>766</v>
      </c>
      <c r="CO88" s="143" t="s">
        <v>729</v>
      </c>
      <c r="CP88" s="143">
        <v>751</v>
      </c>
      <c r="CQ88" s="78">
        <v>8</v>
      </c>
      <c r="CR88" s="78">
        <v>0</v>
      </c>
      <c r="CS88" s="78">
        <v>16</v>
      </c>
      <c r="CT88" s="78">
        <v>4</v>
      </c>
      <c r="CU88" s="78">
        <v>2</v>
      </c>
      <c r="CV88" s="78">
        <v>8</v>
      </c>
      <c r="CW88" s="137">
        <v>0.73076920000000001</v>
      </c>
      <c r="CY88" s="143" t="s">
        <v>775</v>
      </c>
      <c r="CZ88" s="143" t="s">
        <v>766</v>
      </c>
      <c r="DA88" s="143" t="s">
        <v>729</v>
      </c>
      <c r="DB88" s="143">
        <v>751</v>
      </c>
      <c r="DC88" s="78">
        <v>60</v>
      </c>
      <c r="DD88" s="137">
        <v>0.4</v>
      </c>
      <c r="DE88" s="137">
        <v>0.26666669999999998</v>
      </c>
      <c r="DG88" s="143" t="s">
        <v>775</v>
      </c>
      <c r="DH88" s="143" t="s">
        <v>766</v>
      </c>
      <c r="DI88" s="143" t="s">
        <v>729</v>
      </c>
      <c r="DJ88" s="143">
        <v>751</v>
      </c>
      <c r="DK88" s="78">
        <v>2</v>
      </c>
      <c r="DL88" s="78">
        <v>1</v>
      </c>
      <c r="DM88" s="78">
        <v>0</v>
      </c>
      <c r="DN88" s="78">
        <v>7</v>
      </c>
      <c r="DO88" s="78">
        <v>2</v>
      </c>
      <c r="DP88" s="78">
        <v>3</v>
      </c>
      <c r="DQ88" s="78">
        <v>7</v>
      </c>
      <c r="DR88" s="78">
        <v>1</v>
      </c>
      <c r="DS88" s="78">
        <v>1</v>
      </c>
      <c r="DT88" s="78">
        <v>2</v>
      </c>
      <c r="DU88" s="78">
        <v>0</v>
      </c>
      <c r="DV88" s="137">
        <v>0.89655169999999995</v>
      </c>
      <c r="DX88" s="143" t="s">
        <v>775</v>
      </c>
      <c r="DY88" s="143" t="s">
        <v>766</v>
      </c>
      <c r="DZ88" s="143" t="s">
        <v>729</v>
      </c>
      <c r="EA88" s="143">
        <v>751</v>
      </c>
      <c r="EB88" s="78">
        <v>1</v>
      </c>
      <c r="EC88" s="78">
        <v>0</v>
      </c>
      <c r="ED88" s="78">
        <v>1</v>
      </c>
      <c r="EE88" s="78">
        <v>4</v>
      </c>
      <c r="EF88" s="78">
        <v>0</v>
      </c>
      <c r="EG88" s="78">
        <v>1</v>
      </c>
      <c r="EH88" s="78">
        <v>2</v>
      </c>
      <c r="EI88" s="78">
        <v>1</v>
      </c>
      <c r="EJ88" s="78">
        <v>1</v>
      </c>
      <c r="EK88" s="78">
        <v>1</v>
      </c>
      <c r="EL88" s="78">
        <v>4</v>
      </c>
      <c r="EM88" s="78">
        <v>1</v>
      </c>
      <c r="EN88" s="78">
        <v>1</v>
      </c>
      <c r="EO88" s="137">
        <v>0.66666669999999995</v>
      </c>
      <c r="EQ88" s="143" t="s">
        <v>775</v>
      </c>
      <c r="ER88" s="143" t="s">
        <v>766</v>
      </c>
      <c r="ES88" s="143" t="s">
        <v>729</v>
      </c>
      <c r="ET88" s="143">
        <v>751</v>
      </c>
      <c r="EU88" s="78">
        <v>0.5</v>
      </c>
      <c r="EV88" s="78">
        <v>1</v>
      </c>
      <c r="EW88" s="78">
        <v>3</v>
      </c>
      <c r="EX88" s="78">
        <v>2</v>
      </c>
      <c r="EY88" s="78">
        <v>0.5</v>
      </c>
      <c r="EZ88" s="78">
        <v>3</v>
      </c>
      <c r="FA88" s="78">
        <v>2</v>
      </c>
      <c r="FB88" s="78">
        <v>1</v>
      </c>
      <c r="FC88" s="137">
        <v>1</v>
      </c>
      <c r="FE88" s="137">
        <v>0.62463340000000001</v>
      </c>
    </row>
    <row r="89" spans="1:161" hidden="1" x14ac:dyDescent="0.25">
      <c r="A89" s="143" t="s">
        <v>775</v>
      </c>
      <c r="B89" s="143" t="s">
        <v>766</v>
      </c>
      <c r="C89" s="143" t="s">
        <v>727</v>
      </c>
      <c r="D89" s="143">
        <v>2185</v>
      </c>
      <c r="E89" s="78">
        <v>0</v>
      </c>
      <c r="F89" s="78">
        <v>2</v>
      </c>
      <c r="G89" s="78">
        <v>1</v>
      </c>
      <c r="H89" s="78">
        <v>3</v>
      </c>
      <c r="I89" s="78">
        <v>1</v>
      </c>
      <c r="J89" s="78">
        <v>0</v>
      </c>
      <c r="K89" s="78">
        <v>1</v>
      </c>
      <c r="L89" s="78">
        <v>0</v>
      </c>
      <c r="M89" s="78">
        <v>2</v>
      </c>
      <c r="N89" s="137">
        <v>0.71428570000000002</v>
      </c>
      <c r="P89" s="143" t="s">
        <v>775</v>
      </c>
      <c r="Q89" s="143" t="s">
        <v>766</v>
      </c>
      <c r="R89" s="143" t="s">
        <v>727</v>
      </c>
      <c r="S89" s="143">
        <v>2185</v>
      </c>
      <c r="T89" s="78">
        <v>1</v>
      </c>
      <c r="U89" s="78">
        <v>1</v>
      </c>
      <c r="V89" s="78">
        <v>1.5</v>
      </c>
      <c r="W89" s="78">
        <v>2</v>
      </c>
      <c r="X89" s="78">
        <v>9</v>
      </c>
      <c r="Y89" s="78">
        <v>1</v>
      </c>
      <c r="Z89" s="78">
        <v>3</v>
      </c>
      <c r="AA89" s="78">
        <v>0</v>
      </c>
      <c r="AB89" s="78">
        <v>0</v>
      </c>
      <c r="AC89" s="78">
        <v>0</v>
      </c>
      <c r="AD89" s="137">
        <v>0.54411759999999998</v>
      </c>
      <c r="AF89" s="143" t="s">
        <v>775</v>
      </c>
      <c r="AG89" s="143" t="s">
        <v>766</v>
      </c>
      <c r="AH89" s="143" t="s">
        <v>727</v>
      </c>
      <c r="AI89" s="143">
        <v>2185</v>
      </c>
      <c r="AJ89" s="78">
        <v>0</v>
      </c>
      <c r="AK89" s="78">
        <v>0</v>
      </c>
      <c r="AL89" s="78">
        <v>0</v>
      </c>
      <c r="AM89" s="78">
        <v>1</v>
      </c>
      <c r="AN89" s="78">
        <v>1</v>
      </c>
      <c r="AO89" s="78">
        <v>0</v>
      </c>
      <c r="AP89" s="78">
        <v>1</v>
      </c>
      <c r="AQ89" s="78">
        <v>1</v>
      </c>
      <c r="AR89" s="78">
        <v>2</v>
      </c>
      <c r="AS89" s="78">
        <v>2</v>
      </c>
      <c r="AT89" s="78">
        <v>2</v>
      </c>
      <c r="AU89" s="78">
        <v>1</v>
      </c>
      <c r="AV89" s="78">
        <v>2</v>
      </c>
      <c r="AW89" s="78">
        <v>0</v>
      </c>
      <c r="AX89" s="78">
        <v>4</v>
      </c>
      <c r="AY89" s="78">
        <v>1</v>
      </c>
      <c r="AZ89" s="78">
        <v>2</v>
      </c>
      <c r="BA89" s="78">
        <v>0.5</v>
      </c>
      <c r="BB89" s="78">
        <v>0.5</v>
      </c>
      <c r="BC89" s="78">
        <v>0.5</v>
      </c>
      <c r="BD89" s="78">
        <v>1</v>
      </c>
      <c r="BE89" s="78">
        <v>0.5</v>
      </c>
      <c r="BF89" s="78">
        <v>0</v>
      </c>
      <c r="BG89" s="78">
        <v>2</v>
      </c>
      <c r="BH89" s="137">
        <v>0.56818179999999996</v>
      </c>
      <c r="BJ89" s="143" t="s">
        <v>775</v>
      </c>
      <c r="BK89" s="143" t="s">
        <v>766</v>
      </c>
      <c r="BL89" s="143" t="s">
        <v>727</v>
      </c>
      <c r="BM89" s="143">
        <v>2185</v>
      </c>
      <c r="BN89" s="78">
        <v>0</v>
      </c>
      <c r="BO89" s="78">
        <v>4</v>
      </c>
      <c r="BP89" s="78">
        <v>7</v>
      </c>
      <c r="BQ89" s="78">
        <v>0</v>
      </c>
      <c r="BR89" s="78">
        <v>0</v>
      </c>
      <c r="BS89" s="78">
        <v>0</v>
      </c>
      <c r="BT89" s="78">
        <v>2</v>
      </c>
      <c r="BU89" s="137">
        <v>0.56521739999999998</v>
      </c>
      <c r="BW89" s="143" t="s">
        <v>775</v>
      </c>
      <c r="BX89" s="143" t="s">
        <v>766</v>
      </c>
      <c r="BY89" s="143" t="s">
        <v>727</v>
      </c>
      <c r="BZ89" s="143">
        <v>2185</v>
      </c>
      <c r="CA89" s="78">
        <v>1</v>
      </c>
      <c r="CB89" s="78">
        <v>1</v>
      </c>
      <c r="CC89" s="78">
        <v>1</v>
      </c>
      <c r="CD89" s="78">
        <v>2</v>
      </c>
      <c r="CE89" s="78">
        <v>1</v>
      </c>
      <c r="CF89" s="78">
        <v>2</v>
      </c>
      <c r="CG89" s="78">
        <v>1</v>
      </c>
      <c r="CH89" s="78">
        <v>2</v>
      </c>
      <c r="CI89" s="78">
        <v>1</v>
      </c>
      <c r="CJ89" s="78">
        <v>3</v>
      </c>
      <c r="CK89" s="137">
        <v>1</v>
      </c>
      <c r="CM89" s="143" t="s">
        <v>775</v>
      </c>
      <c r="CN89" s="143" t="s">
        <v>766</v>
      </c>
      <c r="CO89" s="143" t="s">
        <v>727</v>
      </c>
      <c r="CP89" s="143">
        <v>2185</v>
      </c>
      <c r="CQ89" s="78">
        <v>2</v>
      </c>
      <c r="CR89" s="78">
        <v>0</v>
      </c>
      <c r="CS89" s="78">
        <v>0</v>
      </c>
      <c r="CT89" s="78">
        <v>4</v>
      </c>
      <c r="CU89" s="78">
        <v>2</v>
      </c>
      <c r="CV89" s="78">
        <v>4</v>
      </c>
      <c r="CW89" s="137">
        <v>0.23076920000000001</v>
      </c>
      <c r="CY89" s="143" t="s">
        <v>775</v>
      </c>
      <c r="CZ89" s="143" t="s">
        <v>766</v>
      </c>
      <c r="DA89" s="143" t="s">
        <v>727</v>
      </c>
      <c r="DB89" s="143">
        <v>2185</v>
      </c>
      <c r="DC89" s="78">
        <v>26</v>
      </c>
      <c r="DD89" s="137">
        <v>0</v>
      </c>
      <c r="DE89" s="137">
        <v>0</v>
      </c>
      <c r="DG89" s="143" t="s">
        <v>775</v>
      </c>
      <c r="DH89" s="143" t="s">
        <v>766</v>
      </c>
      <c r="DI89" s="143" t="s">
        <v>727</v>
      </c>
      <c r="DJ89" s="143">
        <v>2185</v>
      </c>
      <c r="DK89" s="78">
        <v>2</v>
      </c>
      <c r="DL89" s="78">
        <v>1</v>
      </c>
      <c r="DM89" s="78">
        <v>0</v>
      </c>
      <c r="DN89" s="78">
        <v>5</v>
      </c>
      <c r="DO89" s="78">
        <v>2</v>
      </c>
      <c r="DP89" s="78">
        <v>3</v>
      </c>
      <c r="DQ89" s="78">
        <v>5</v>
      </c>
      <c r="DR89" s="78">
        <v>1</v>
      </c>
      <c r="DS89" s="78">
        <v>1</v>
      </c>
      <c r="DT89" s="78">
        <v>0</v>
      </c>
      <c r="DU89" s="78">
        <v>0</v>
      </c>
      <c r="DV89" s="137">
        <v>0.68965520000000002</v>
      </c>
      <c r="DX89" s="143" t="s">
        <v>775</v>
      </c>
      <c r="DY89" s="143" t="s">
        <v>766</v>
      </c>
      <c r="DZ89" s="143" t="s">
        <v>727</v>
      </c>
      <c r="EA89" s="143">
        <v>2185</v>
      </c>
      <c r="EB89" s="78">
        <v>0</v>
      </c>
      <c r="EC89" s="78">
        <v>8</v>
      </c>
      <c r="ED89" s="78">
        <v>1</v>
      </c>
      <c r="EE89" s="78">
        <v>4</v>
      </c>
      <c r="EF89" s="78">
        <v>0</v>
      </c>
      <c r="EG89" s="78">
        <v>1</v>
      </c>
      <c r="EH89" s="78">
        <v>0</v>
      </c>
      <c r="EI89" s="78">
        <v>1</v>
      </c>
      <c r="EJ89" s="78">
        <v>1</v>
      </c>
      <c r="EK89" s="78">
        <v>1</v>
      </c>
      <c r="EL89" s="78">
        <v>4</v>
      </c>
      <c r="EM89" s="78">
        <v>1</v>
      </c>
      <c r="EN89" s="78">
        <v>1</v>
      </c>
      <c r="EO89" s="137">
        <v>0.8518519</v>
      </c>
      <c r="EQ89" s="143" t="s">
        <v>775</v>
      </c>
      <c r="ER89" s="143" t="s">
        <v>766</v>
      </c>
      <c r="ES89" s="143" t="s">
        <v>727</v>
      </c>
      <c r="ET89" s="143">
        <v>2185</v>
      </c>
      <c r="EU89" s="78">
        <v>0</v>
      </c>
      <c r="EV89" s="78">
        <v>0</v>
      </c>
      <c r="EW89" s="78">
        <v>3</v>
      </c>
      <c r="EX89" s="78">
        <v>0</v>
      </c>
      <c r="EY89" s="78">
        <v>0</v>
      </c>
      <c r="EZ89" s="78">
        <v>3</v>
      </c>
      <c r="FA89" s="78">
        <v>2</v>
      </c>
      <c r="FB89" s="78">
        <v>1</v>
      </c>
      <c r="FC89" s="137">
        <v>0.69230769999999997</v>
      </c>
      <c r="FE89" s="137">
        <v>0.42668620000000002</v>
      </c>
    </row>
    <row r="90" spans="1:161" x14ac:dyDescent="0.25">
      <c r="A90" s="143" t="s">
        <v>775</v>
      </c>
      <c r="B90" s="143" t="s">
        <v>766</v>
      </c>
      <c r="C90" s="143" t="s">
        <v>728</v>
      </c>
      <c r="D90" s="143">
        <v>2896</v>
      </c>
      <c r="E90" s="78">
        <v>0</v>
      </c>
      <c r="F90" s="78">
        <v>2.5</v>
      </c>
      <c r="G90" s="78">
        <v>1</v>
      </c>
      <c r="H90" s="78">
        <v>2</v>
      </c>
      <c r="I90" s="78">
        <v>1</v>
      </c>
      <c r="J90" s="78">
        <v>0</v>
      </c>
      <c r="K90" s="78">
        <v>1</v>
      </c>
      <c r="L90" s="78">
        <v>0</v>
      </c>
      <c r="M90" s="78">
        <v>2</v>
      </c>
      <c r="N90" s="137">
        <v>0.67857140000000005</v>
      </c>
      <c r="P90" s="143" t="s">
        <v>775</v>
      </c>
      <c r="Q90" s="143" t="s">
        <v>766</v>
      </c>
      <c r="R90" s="143" t="s">
        <v>728</v>
      </c>
      <c r="S90" s="143">
        <v>2896</v>
      </c>
      <c r="T90" s="78">
        <v>1</v>
      </c>
      <c r="U90" s="78">
        <v>1</v>
      </c>
      <c r="V90" s="78">
        <v>2.5</v>
      </c>
      <c r="W90" s="78">
        <v>2</v>
      </c>
      <c r="X90" s="78">
        <v>6</v>
      </c>
      <c r="Y90" s="78">
        <v>1</v>
      </c>
      <c r="Z90" s="78">
        <v>3</v>
      </c>
      <c r="AA90" s="78">
        <v>0</v>
      </c>
      <c r="AB90" s="78">
        <v>0</v>
      </c>
      <c r="AC90" s="78">
        <v>0</v>
      </c>
      <c r="AD90" s="137">
        <v>0.48529410000000001</v>
      </c>
      <c r="AF90" s="143" t="s">
        <v>775</v>
      </c>
      <c r="AG90" s="143" t="s">
        <v>766</v>
      </c>
      <c r="AH90" s="143" t="s">
        <v>728</v>
      </c>
      <c r="AI90" s="143">
        <v>2896</v>
      </c>
      <c r="AJ90" s="78">
        <v>0</v>
      </c>
      <c r="AK90" s="78">
        <v>0</v>
      </c>
      <c r="AL90" s="78">
        <v>1</v>
      </c>
      <c r="AM90" s="78">
        <v>0</v>
      </c>
      <c r="AN90" s="78">
        <v>1</v>
      </c>
      <c r="AO90" s="78">
        <v>0</v>
      </c>
      <c r="AP90" s="78">
        <v>1</v>
      </c>
      <c r="AQ90" s="78">
        <v>1</v>
      </c>
      <c r="AR90" s="78">
        <v>0</v>
      </c>
      <c r="AS90" s="78">
        <v>0</v>
      </c>
      <c r="AT90" s="78">
        <v>2</v>
      </c>
      <c r="AU90" s="78">
        <v>0</v>
      </c>
      <c r="AV90" s="78">
        <v>0</v>
      </c>
      <c r="AW90" s="78">
        <v>0</v>
      </c>
      <c r="AX90" s="78">
        <v>0</v>
      </c>
      <c r="AY90" s="78">
        <v>1</v>
      </c>
      <c r="AZ90" s="78">
        <v>0</v>
      </c>
      <c r="BA90" s="78">
        <v>0.5</v>
      </c>
      <c r="BB90" s="78">
        <v>0.5</v>
      </c>
      <c r="BC90" s="78">
        <v>0.5</v>
      </c>
      <c r="BD90" s="78">
        <v>1</v>
      </c>
      <c r="BE90" s="78">
        <v>0.5</v>
      </c>
      <c r="BF90" s="78">
        <v>0</v>
      </c>
      <c r="BG90" s="78">
        <v>2</v>
      </c>
      <c r="BH90" s="137">
        <v>0.27272730000000001</v>
      </c>
      <c r="BJ90" s="143" t="s">
        <v>775</v>
      </c>
      <c r="BK90" s="143" t="s">
        <v>766</v>
      </c>
      <c r="BL90" s="143" t="s">
        <v>728</v>
      </c>
      <c r="BM90" s="143">
        <v>2896</v>
      </c>
      <c r="BN90" s="78">
        <v>0</v>
      </c>
      <c r="BO90" s="78">
        <v>4</v>
      </c>
      <c r="BP90" s="78">
        <v>0</v>
      </c>
      <c r="BQ90" s="78">
        <v>0</v>
      </c>
      <c r="BR90" s="78">
        <v>0</v>
      </c>
      <c r="BS90" s="78">
        <v>0</v>
      </c>
      <c r="BT90" s="78">
        <v>2</v>
      </c>
      <c r="BU90" s="137">
        <v>0.26086959999999998</v>
      </c>
      <c r="BW90" s="143" t="s">
        <v>775</v>
      </c>
      <c r="BX90" s="143" t="s">
        <v>766</v>
      </c>
      <c r="BY90" s="143" t="s">
        <v>728</v>
      </c>
      <c r="BZ90" s="143">
        <v>2896</v>
      </c>
      <c r="CM90" s="143" t="s">
        <v>775</v>
      </c>
      <c r="CN90" s="143" t="s">
        <v>766</v>
      </c>
      <c r="CO90" s="143" t="s">
        <v>728</v>
      </c>
      <c r="CP90" s="143">
        <v>2896</v>
      </c>
      <c r="CQ90" s="78">
        <v>8</v>
      </c>
      <c r="CR90" s="78">
        <v>0</v>
      </c>
      <c r="CS90" s="78">
        <v>16</v>
      </c>
      <c r="CT90" s="78">
        <v>4</v>
      </c>
      <c r="CU90" s="78">
        <v>0</v>
      </c>
      <c r="CV90" s="78">
        <v>8</v>
      </c>
      <c r="CW90" s="137">
        <v>0.69230769999999997</v>
      </c>
      <c r="CY90" s="143" t="s">
        <v>775</v>
      </c>
      <c r="CZ90" s="143" t="s">
        <v>766</v>
      </c>
      <c r="DA90" s="143" t="s">
        <v>728</v>
      </c>
      <c r="DB90" s="143">
        <v>2896</v>
      </c>
      <c r="DC90" s="78">
        <v>44</v>
      </c>
      <c r="DD90" s="137">
        <v>0</v>
      </c>
      <c r="DE90" s="137">
        <v>0</v>
      </c>
      <c r="DG90" s="143" t="s">
        <v>775</v>
      </c>
      <c r="DH90" s="143" t="s">
        <v>766</v>
      </c>
      <c r="DI90" s="143" t="s">
        <v>728</v>
      </c>
      <c r="DJ90" s="143">
        <v>2896</v>
      </c>
      <c r="DK90" s="78">
        <v>2</v>
      </c>
      <c r="DL90" s="78">
        <v>1</v>
      </c>
      <c r="DM90" s="78">
        <v>0</v>
      </c>
      <c r="DN90" s="78">
        <v>5</v>
      </c>
      <c r="DO90" s="78">
        <v>2</v>
      </c>
      <c r="DP90" s="78">
        <v>3</v>
      </c>
      <c r="DQ90" s="78">
        <v>7</v>
      </c>
      <c r="DR90" s="78">
        <v>0</v>
      </c>
      <c r="DS90" s="78">
        <v>1</v>
      </c>
      <c r="DT90" s="78">
        <v>0</v>
      </c>
      <c r="DU90" s="78">
        <v>0</v>
      </c>
      <c r="DV90" s="137">
        <v>0.7241379</v>
      </c>
      <c r="DX90" s="143" t="s">
        <v>775</v>
      </c>
      <c r="DY90" s="143" t="s">
        <v>766</v>
      </c>
      <c r="DZ90" s="143" t="s">
        <v>728</v>
      </c>
      <c r="EA90" s="143">
        <v>2896</v>
      </c>
      <c r="EB90" s="78">
        <v>1</v>
      </c>
      <c r="EC90" s="78">
        <v>8</v>
      </c>
      <c r="ED90" s="78">
        <v>1</v>
      </c>
      <c r="EE90" s="78">
        <v>4</v>
      </c>
      <c r="EF90" s="78">
        <v>1</v>
      </c>
      <c r="EG90" s="78">
        <v>1</v>
      </c>
      <c r="EH90" s="78">
        <v>0</v>
      </c>
      <c r="EI90" s="78">
        <v>1</v>
      </c>
      <c r="EJ90" s="78">
        <v>1</v>
      </c>
      <c r="EK90" s="78">
        <v>1</v>
      </c>
      <c r="EL90" s="78">
        <v>4</v>
      </c>
      <c r="EM90" s="78">
        <v>1</v>
      </c>
      <c r="EN90" s="78">
        <v>1</v>
      </c>
      <c r="EO90" s="137">
        <v>0.92592589999999997</v>
      </c>
      <c r="EQ90" s="143" t="s">
        <v>775</v>
      </c>
      <c r="ER90" s="143" t="s">
        <v>766</v>
      </c>
      <c r="ES90" s="143" t="s">
        <v>728</v>
      </c>
      <c r="ET90" s="143">
        <v>2896</v>
      </c>
      <c r="EU90" s="78">
        <v>0</v>
      </c>
      <c r="EV90" s="78">
        <v>0</v>
      </c>
      <c r="EW90" s="78">
        <v>0</v>
      </c>
      <c r="EX90" s="78">
        <v>0</v>
      </c>
      <c r="EY90" s="78">
        <v>0.5</v>
      </c>
      <c r="EZ90" s="78">
        <v>3</v>
      </c>
      <c r="FA90" s="78">
        <v>2</v>
      </c>
      <c r="FB90" s="78">
        <v>1</v>
      </c>
      <c r="FC90" s="137">
        <v>0.5</v>
      </c>
      <c r="FE90" s="137">
        <v>0.40644170000000002</v>
      </c>
    </row>
    <row r="91" spans="1:161" x14ac:dyDescent="0.25">
      <c r="A91" s="143" t="s">
        <v>775</v>
      </c>
      <c r="B91" s="143" t="s">
        <v>766</v>
      </c>
      <c r="C91" s="143" t="s">
        <v>728</v>
      </c>
      <c r="D91" s="143">
        <v>10312</v>
      </c>
      <c r="E91" s="78">
        <v>0</v>
      </c>
      <c r="F91" s="78">
        <v>2</v>
      </c>
      <c r="G91" s="78">
        <v>1</v>
      </c>
      <c r="H91" s="78">
        <v>2</v>
      </c>
      <c r="I91" s="78">
        <v>1</v>
      </c>
      <c r="J91" s="78">
        <v>0</v>
      </c>
      <c r="K91" s="78">
        <v>1</v>
      </c>
      <c r="L91" s="78">
        <v>0</v>
      </c>
      <c r="M91" s="78">
        <v>2</v>
      </c>
      <c r="N91" s="137">
        <v>0.64285709999999996</v>
      </c>
      <c r="P91" s="143" t="s">
        <v>775</v>
      </c>
      <c r="Q91" s="143" t="s">
        <v>766</v>
      </c>
      <c r="R91" s="143" t="s">
        <v>728</v>
      </c>
      <c r="S91" s="143">
        <v>10312</v>
      </c>
      <c r="T91" s="78">
        <v>1</v>
      </c>
      <c r="U91" s="78">
        <v>1</v>
      </c>
      <c r="V91" s="78">
        <v>1</v>
      </c>
      <c r="W91" s="78">
        <v>2</v>
      </c>
      <c r="X91" s="78">
        <v>6</v>
      </c>
      <c r="Y91" s="78">
        <v>1</v>
      </c>
      <c r="Z91" s="78">
        <v>3</v>
      </c>
      <c r="AA91" s="78">
        <v>0</v>
      </c>
      <c r="AB91" s="78">
        <v>0</v>
      </c>
      <c r="AC91" s="78">
        <v>0</v>
      </c>
      <c r="AD91" s="137">
        <v>0.44117650000000003</v>
      </c>
      <c r="AF91" s="143" t="s">
        <v>775</v>
      </c>
      <c r="AG91" s="143" t="s">
        <v>766</v>
      </c>
      <c r="AH91" s="143" t="s">
        <v>728</v>
      </c>
      <c r="AI91" s="143">
        <v>10312</v>
      </c>
      <c r="AJ91" s="78">
        <v>0</v>
      </c>
      <c r="AK91" s="78">
        <v>0</v>
      </c>
      <c r="AL91" s="78">
        <v>1</v>
      </c>
      <c r="AM91" s="78">
        <v>0</v>
      </c>
      <c r="AN91" s="78">
        <v>1</v>
      </c>
      <c r="AO91" s="78">
        <v>0</v>
      </c>
      <c r="AP91" s="78">
        <v>1</v>
      </c>
      <c r="AQ91" s="78">
        <v>1</v>
      </c>
      <c r="AR91" s="78">
        <v>0</v>
      </c>
      <c r="AS91" s="78">
        <v>0</v>
      </c>
      <c r="AT91" s="78">
        <v>2</v>
      </c>
      <c r="AU91" s="78">
        <v>0</v>
      </c>
      <c r="AV91" s="78">
        <v>2</v>
      </c>
      <c r="AW91" s="78">
        <v>0</v>
      </c>
      <c r="AX91" s="78">
        <v>0</v>
      </c>
      <c r="AY91" s="78">
        <v>1</v>
      </c>
      <c r="AZ91" s="78">
        <v>2</v>
      </c>
      <c r="BA91" s="78">
        <v>0.5</v>
      </c>
      <c r="BB91" s="78">
        <v>0.5</v>
      </c>
      <c r="BC91" s="78">
        <v>0.5</v>
      </c>
      <c r="BD91" s="78">
        <v>1</v>
      </c>
      <c r="BE91" s="78">
        <v>0.5</v>
      </c>
      <c r="BF91" s="78">
        <v>0</v>
      </c>
      <c r="BG91" s="78">
        <v>2</v>
      </c>
      <c r="BH91" s="137">
        <v>0.36363640000000003</v>
      </c>
      <c r="BJ91" s="143" t="s">
        <v>775</v>
      </c>
      <c r="BK91" s="143" t="s">
        <v>766</v>
      </c>
      <c r="BL91" s="143" t="s">
        <v>728</v>
      </c>
      <c r="BM91" s="143">
        <v>10312</v>
      </c>
      <c r="BN91" s="78">
        <v>1</v>
      </c>
      <c r="BO91" s="78">
        <v>0</v>
      </c>
      <c r="BP91" s="78">
        <v>0</v>
      </c>
      <c r="BQ91" s="78">
        <v>0</v>
      </c>
      <c r="BR91" s="78">
        <v>0</v>
      </c>
      <c r="BS91" s="78">
        <v>0</v>
      </c>
      <c r="BT91" s="78">
        <v>0</v>
      </c>
      <c r="BU91" s="137">
        <v>4.3478299999999998E-2</v>
      </c>
      <c r="BW91" s="143" t="s">
        <v>775</v>
      </c>
      <c r="BX91" s="143" t="s">
        <v>766</v>
      </c>
      <c r="BY91" s="143" t="s">
        <v>728</v>
      </c>
      <c r="BZ91" s="143">
        <v>10312</v>
      </c>
      <c r="CM91" s="143" t="s">
        <v>775</v>
      </c>
      <c r="CN91" s="143" t="s">
        <v>766</v>
      </c>
      <c r="CO91" s="143" t="s">
        <v>728</v>
      </c>
      <c r="CP91" s="143">
        <v>10312</v>
      </c>
      <c r="CQ91" s="78">
        <v>2</v>
      </c>
      <c r="CR91" s="78">
        <v>0</v>
      </c>
      <c r="CS91" s="78">
        <v>12</v>
      </c>
      <c r="CT91" s="78">
        <v>4</v>
      </c>
      <c r="CU91" s="78">
        <v>2</v>
      </c>
      <c r="CV91" s="78">
        <v>8</v>
      </c>
      <c r="CW91" s="137">
        <v>0.53846159999999998</v>
      </c>
      <c r="CY91" s="143" t="s">
        <v>775</v>
      </c>
      <c r="CZ91" s="143" t="s">
        <v>766</v>
      </c>
      <c r="DA91" s="143" t="s">
        <v>728</v>
      </c>
      <c r="DB91" s="143">
        <v>10312</v>
      </c>
      <c r="DC91" s="78">
        <v>38</v>
      </c>
      <c r="DD91" s="137">
        <v>0</v>
      </c>
      <c r="DE91" s="137">
        <v>0</v>
      </c>
      <c r="DG91" s="143" t="s">
        <v>775</v>
      </c>
      <c r="DH91" s="143" t="s">
        <v>766</v>
      </c>
      <c r="DI91" s="143" t="s">
        <v>728</v>
      </c>
      <c r="DJ91" s="143">
        <v>10312</v>
      </c>
      <c r="DK91" s="78">
        <v>2</v>
      </c>
      <c r="DL91" s="78">
        <v>1</v>
      </c>
      <c r="DM91" s="78">
        <v>0</v>
      </c>
      <c r="DN91" s="78">
        <v>5</v>
      </c>
      <c r="DO91" s="78">
        <v>2</v>
      </c>
      <c r="DP91" s="78">
        <v>3</v>
      </c>
      <c r="DQ91" s="78">
        <v>5</v>
      </c>
      <c r="DR91" s="78">
        <v>1</v>
      </c>
      <c r="DS91" s="78">
        <v>1</v>
      </c>
      <c r="DT91" s="78">
        <v>0</v>
      </c>
      <c r="DU91" s="78">
        <v>0</v>
      </c>
      <c r="DV91" s="137">
        <v>0.68965520000000002</v>
      </c>
      <c r="DX91" s="143" t="s">
        <v>775</v>
      </c>
      <c r="DY91" s="143" t="s">
        <v>766</v>
      </c>
      <c r="DZ91" s="143" t="s">
        <v>728</v>
      </c>
      <c r="EA91" s="143">
        <v>10312</v>
      </c>
      <c r="EB91" s="78">
        <v>1</v>
      </c>
      <c r="EC91" s="78">
        <v>8</v>
      </c>
      <c r="ED91" s="78">
        <v>1</v>
      </c>
      <c r="EE91" s="78">
        <v>4</v>
      </c>
      <c r="EF91" s="78">
        <v>1</v>
      </c>
      <c r="EG91" s="78">
        <v>1</v>
      </c>
      <c r="EH91" s="78">
        <v>0</v>
      </c>
      <c r="EI91" s="78">
        <v>1</v>
      </c>
      <c r="EJ91" s="78">
        <v>1</v>
      </c>
      <c r="EK91" s="78">
        <v>1</v>
      </c>
      <c r="EL91" s="78">
        <v>4</v>
      </c>
      <c r="EM91" s="78">
        <v>0</v>
      </c>
      <c r="EN91" s="78">
        <v>1</v>
      </c>
      <c r="EO91" s="137">
        <v>0.88888889999999998</v>
      </c>
      <c r="EQ91" s="143" t="s">
        <v>775</v>
      </c>
      <c r="ER91" s="143" t="s">
        <v>766</v>
      </c>
      <c r="ES91" s="143" t="s">
        <v>728</v>
      </c>
      <c r="ET91" s="143">
        <v>10312</v>
      </c>
      <c r="EU91" s="78">
        <v>0.5</v>
      </c>
      <c r="EV91" s="78">
        <v>0</v>
      </c>
      <c r="EW91" s="78">
        <v>0</v>
      </c>
      <c r="EX91" s="78">
        <v>0</v>
      </c>
      <c r="EY91" s="78">
        <v>0.5</v>
      </c>
      <c r="EZ91" s="78">
        <v>0</v>
      </c>
      <c r="FA91" s="78">
        <v>2</v>
      </c>
      <c r="FB91" s="78">
        <v>1</v>
      </c>
      <c r="FC91" s="137">
        <v>0.30769229999999997</v>
      </c>
      <c r="FE91" s="137">
        <v>0.35889569999999998</v>
      </c>
    </row>
    <row r="92" spans="1:161" x14ac:dyDescent="0.25">
      <c r="A92" s="143" t="s">
        <v>775</v>
      </c>
      <c r="B92" s="143" t="s">
        <v>766</v>
      </c>
      <c r="C92" s="143" t="s">
        <v>728</v>
      </c>
      <c r="D92" s="143">
        <v>10318</v>
      </c>
      <c r="E92" s="78">
        <v>0</v>
      </c>
      <c r="F92" s="78">
        <v>2</v>
      </c>
      <c r="G92" s="78">
        <v>1</v>
      </c>
      <c r="H92" s="78">
        <v>0</v>
      </c>
      <c r="I92" s="78">
        <v>1</v>
      </c>
      <c r="J92" s="78">
        <v>0</v>
      </c>
      <c r="K92" s="78">
        <v>1</v>
      </c>
      <c r="L92" s="78">
        <v>0</v>
      </c>
      <c r="M92" s="78">
        <v>0</v>
      </c>
      <c r="N92" s="137">
        <v>0.35714289999999999</v>
      </c>
      <c r="P92" s="143" t="s">
        <v>775</v>
      </c>
      <c r="Q92" s="143" t="s">
        <v>766</v>
      </c>
      <c r="R92" s="143" t="s">
        <v>728</v>
      </c>
      <c r="S92" s="143">
        <v>10318</v>
      </c>
      <c r="T92" s="78">
        <v>1</v>
      </c>
      <c r="U92" s="78">
        <v>1</v>
      </c>
      <c r="V92" s="78">
        <v>1.5</v>
      </c>
      <c r="W92" s="78">
        <v>0</v>
      </c>
      <c r="X92" s="78">
        <v>0</v>
      </c>
      <c r="Y92" s="78">
        <v>1</v>
      </c>
      <c r="Z92" s="78">
        <v>0</v>
      </c>
      <c r="AA92" s="78">
        <v>2</v>
      </c>
      <c r="AB92" s="78">
        <v>0</v>
      </c>
      <c r="AC92" s="78">
        <v>0</v>
      </c>
      <c r="AD92" s="137">
        <v>0.1911765</v>
      </c>
      <c r="AF92" s="143" t="s">
        <v>775</v>
      </c>
      <c r="AG92" s="143" t="s">
        <v>766</v>
      </c>
      <c r="AH92" s="143" t="s">
        <v>728</v>
      </c>
      <c r="AI92" s="143">
        <v>10318</v>
      </c>
      <c r="AJ92" s="78">
        <v>0</v>
      </c>
      <c r="AK92" s="78">
        <v>0</v>
      </c>
      <c r="AL92" s="78">
        <v>1</v>
      </c>
      <c r="AM92" s="78">
        <v>0</v>
      </c>
      <c r="AN92" s="78">
        <v>0</v>
      </c>
      <c r="AO92" s="78">
        <v>2</v>
      </c>
      <c r="AP92" s="78">
        <v>1</v>
      </c>
      <c r="AQ92" s="78">
        <v>1</v>
      </c>
      <c r="AR92" s="78">
        <v>0</v>
      </c>
      <c r="AS92" s="78">
        <v>0</v>
      </c>
      <c r="AT92" s="78">
        <v>0</v>
      </c>
      <c r="AU92" s="78">
        <v>0</v>
      </c>
      <c r="AV92" s="78">
        <v>0</v>
      </c>
      <c r="AW92" s="78">
        <v>0</v>
      </c>
      <c r="AX92" s="78">
        <v>4</v>
      </c>
      <c r="AY92" s="78">
        <v>0</v>
      </c>
      <c r="AZ92" s="78">
        <v>0</v>
      </c>
      <c r="BA92" s="78">
        <v>0.5</v>
      </c>
      <c r="BB92" s="78">
        <v>0.5</v>
      </c>
      <c r="BC92" s="78">
        <v>0.5</v>
      </c>
      <c r="BD92" s="78">
        <v>1</v>
      </c>
      <c r="BE92" s="78">
        <v>0</v>
      </c>
      <c r="BF92" s="78">
        <v>0</v>
      </c>
      <c r="BG92" s="78">
        <v>8</v>
      </c>
      <c r="BH92" s="137">
        <v>0.44318180000000001</v>
      </c>
      <c r="BJ92" s="143" t="s">
        <v>775</v>
      </c>
      <c r="BK92" s="143" t="s">
        <v>766</v>
      </c>
      <c r="BL92" s="143" t="s">
        <v>728</v>
      </c>
      <c r="BM92" s="143">
        <v>10318</v>
      </c>
      <c r="BN92" s="78">
        <v>1</v>
      </c>
      <c r="BO92" s="78">
        <v>4</v>
      </c>
      <c r="BP92" s="78">
        <v>0</v>
      </c>
      <c r="BQ92" s="78">
        <v>3</v>
      </c>
      <c r="BR92" s="78">
        <v>3</v>
      </c>
      <c r="BS92" s="78">
        <v>3</v>
      </c>
      <c r="BT92" s="78">
        <v>2</v>
      </c>
      <c r="BU92" s="137">
        <v>0.69565220000000005</v>
      </c>
      <c r="BW92" s="143" t="s">
        <v>775</v>
      </c>
      <c r="BX92" s="143" t="s">
        <v>766</v>
      </c>
      <c r="BY92" s="143" t="s">
        <v>728</v>
      </c>
      <c r="BZ92" s="143">
        <v>10318</v>
      </c>
      <c r="CM92" s="143" t="s">
        <v>775</v>
      </c>
      <c r="CN92" s="143" t="s">
        <v>766</v>
      </c>
      <c r="CO92" s="143" t="s">
        <v>728</v>
      </c>
      <c r="CP92" s="143">
        <v>10318</v>
      </c>
      <c r="CQ92" s="78">
        <v>2</v>
      </c>
      <c r="CR92" s="78">
        <v>0</v>
      </c>
      <c r="CS92" s="78">
        <v>12</v>
      </c>
      <c r="CT92" s="78">
        <v>4</v>
      </c>
      <c r="CU92" s="78">
        <v>2</v>
      </c>
      <c r="CV92" s="78">
        <v>4</v>
      </c>
      <c r="CW92" s="137">
        <v>0.46153850000000002</v>
      </c>
      <c r="CY92" s="143" t="s">
        <v>775</v>
      </c>
      <c r="CZ92" s="143" t="s">
        <v>766</v>
      </c>
      <c r="DA92" s="143" t="s">
        <v>728</v>
      </c>
      <c r="DB92" s="143">
        <v>10318</v>
      </c>
      <c r="DC92" s="78">
        <v>0</v>
      </c>
      <c r="DD92" s="137">
        <v>0</v>
      </c>
      <c r="DE92" s="137">
        <v>0</v>
      </c>
      <c r="DG92" s="143" t="s">
        <v>775</v>
      </c>
      <c r="DH92" s="143" t="s">
        <v>766</v>
      </c>
      <c r="DI92" s="143" t="s">
        <v>728</v>
      </c>
      <c r="DJ92" s="143">
        <v>10318</v>
      </c>
      <c r="DK92" s="78">
        <v>2</v>
      </c>
      <c r="DL92" s="78">
        <v>1</v>
      </c>
      <c r="DM92" s="78">
        <v>0</v>
      </c>
      <c r="DN92" s="78">
        <v>3</v>
      </c>
      <c r="DO92" s="78">
        <v>2</v>
      </c>
      <c r="DP92" s="78">
        <v>3</v>
      </c>
      <c r="DQ92" s="78">
        <v>6</v>
      </c>
      <c r="DR92" s="78">
        <v>1</v>
      </c>
      <c r="DS92" s="78">
        <v>0</v>
      </c>
      <c r="DT92" s="78">
        <v>0</v>
      </c>
      <c r="DU92" s="78">
        <v>0</v>
      </c>
      <c r="DV92" s="137">
        <v>0.62068959999999995</v>
      </c>
      <c r="DX92" s="143" t="s">
        <v>775</v>
      </c>
      <c r="DY92" s="143" t="s">
        <v>766</v>
      </c>
      <c r="DZ92" s="143" t="s">
        <v>728</v>
      </c>
      <c r="EA92" s="143">
        <v>10318</v>
      </c>
      <c r="EB92" s="78">
        <v>0</v>
      </c>
      <c r="EC92" s="78">
        <v>0</v>
      </c>
      <c r="ED92" s="78">
        <v>1</v>
      </c>
      <c r="EE92" s="78">
        <v>0</v>
      </c>
      <c r="EF92" s="78">
        <v>1</v>
      </c>
      <c r="EG92" s="78">
        <v>1</v>
      </c>
      <c r="EH92" s="78">
        <v>0</v>
      </c>
      <c r="EI92" s="78">
        <v>1</v>
      </c>
      <c r="EJ92" s="78">
        <v>1</v>
      </c>
      <c r="EK92" s="78">
        <v>1</v>
      </c>
      <c r="EL92" s="78">
        <v>4</v>
      </c>
      <c r="EM92" s="78">
        <v>0</v>
      </c>
      <c r="EN92" s="78">
        <v>0</v>
      </c>
      <c r="EO92" s="137">
        <v>0.37037039999999999</v>
      </c>
      <c r="EQ92" s="143" t="s">
        <v>775</v>
      </c>
      <c r="ER92" s="143" t="s">
        <v>766</v>
      </c>
      <c r="ES92" s="143" t="s">
        <v>728</v>
      </c>
      <c r="ET92" s="143">
        <v>10318</v>
      </c>
      <c r="EU92" s="78">
        <v>0</v>
      </c>
      <c r="EV92" s="78">
        <v>0</v>
      </c>
      <c r="EW92" s="78">
        <v>0</v>
      </c>
      <c r="EX92" s="78">
        <v>0</v>
      </c>
      <c r="EY92" s="78">
        <v>0.5</v>
      </c>
      <c r="EZ92" s="78">
        <v>0</v>
      </c>
      <c r="FA92" s="78">
        <v>2</v>
      </c>
      <c r="FB92" s="78">
        <v>1</v>
      </c>
      <c r="FC92" s="137">
        <v>0.26923079999999999</v>
      </c>
      <c r="FE92" s="137">
        <v>0.31441720000000001</v>
      </c>
    </row>
    <row r="93" spans="1:161" x14ac:dyDescent="0.25">
      <c r="A93" s="143" t="s">
        <v>775</v>
      </c>
      <c r="B93" s="143" t="s">
        <v>766</v>
      </c>
      <c r="C93" s="143" t="s">
        <v>728</v>
      </c>
      <c r="D93" s="143">
        <v>10320</v>
      </c>
      <c r="E93" s="78">
        <v>0.5</v>
      </c>
      <c r="F93" s="78">
        <v>1.5</v>
      </c>
      <c r="G93" s="78">
        <v>1</v>
      </c>
      <c r="H93" s="78">
        <v>0</v>
      </c>
      <c r="I93" s="78">
        <v>1</v>
      </c>
      <c r="J93" s="78">
        <v>0</v>
      </c>
      <c r="K93" s="78">
        <v>1</v>
      </c>
      <c r="L93" s="78">
        <v>0</v>
      </c>
      <c r="M93" s="78">
        <v>0</v>
      </c>
      <c r="N93" s="137">
        <v>0.35714289999999999</v>
      </c>
      <c r="P93" s="143" t="s">
        <v>775</v>
      </c>
      <c r="Q93" s="143" t="s">
        <v>766</v>
      </c>
      <c r="R93" s="143" t="s">
        <v>728</v>
      </c>
      <c r="S93" s="143">
        <v>10320</v>
      </c>
      <c r="T93" s="78">
        <v>1</v>
      </c>
      <c r="U93" s="78">
        <v>0</v>
      </c>
      <c r="V93" s="78">
        <v>2</v>
      </c>
      <c r="W93" s="78">
        <v>1</v>
      </c>
      <c r="X93" s="78">
        <v>12</v>
      </c>
      <c r="Y93" s="78">
        <v>1</v>
      </c>
      <c r="Z93" s="78">
        <v>0</v>
      </c>
      <c r="AA93" s="78">
        <v>2</v>
      </c>
      <c r="AB93" s="78">
        <v>6</v>
      </c>
      <c r="AC93" s="78">
        <v>0</v>
      </c>
      <c r="AD93" s="137">
        <v>0.73529409999999995</v>
      </c>
      <c r="AF93" s="143" t="s">
        <v>775</v>
      </c>
      <c r="AG93" s="143" t="s">
        <v>766</v>
      </c>
      <c r="AH93" s="143" t="s">
        <v>728</v>
      </c>
      <c r="AI93" s="143">
        <v>10320</v>
      </c>
      <c r="AJ93" s="78">
        <v>1</v>
      </c>
      <c r="AK93" s="78">
        <v>0</v>
      </c>
      <c r="AL93" s="78">
        <v>1</v>
      </c>
      <c r="AM93" s="78">
        <v>0</v>
      </c>
      <c r="AN93" s="78">
        <v>1</v>
      </c>
      <c r="AO93" s="78">
        <v>2</v>
      </c>
      <c r="AP93" s="78">
        <v>1</v>
      </c>
      <c r="AQ93" s="78">
        <v>0</v>
      </c>
      <c r="AR93" s="78">
        <v>0</v>
      </c>
      <c r="AS93" s="78">
        <v>0</v>
      </c>
      <c r="AT93" s="78">
        <v>0</v>
      </c>
      <c r="AU93" s="78">
        <v>0</v>
      </c>
      <c r="AV93" s="78">
        <v>2</v>
      </c>
      <c r="AW93" s="78">
        <v>0</v>
      </c>
      <c r="AX93" s="78">
        <v>4</v>
      </c>
      <c r="AY93" s="78">
        <v>1</v>
      </c>
      <c r="AZ93" s="78">
        <v>0</v>
      </c>
      <c r="BA93" s="78">
        <v>0.5</v>
      </c>
      <c r="BB93" s="78">
        <v>0.5</v>
      </c>
      <c r="BC93" s="78">
        <v>0.5</v>
      </c>
      <c r="BD93" s="78">
        <v>1</v>
      </c>
      <c r="BE93" s="78">
        <v>0</v>
      </c>
      <c r="BF93" s="78">
        <v>0</v>
      </c>
      <c r="BG93" s="78">
        <v>8</v>
      </c>
      <c r="BH93" s="137">
        <v>0.53409090000000004</v>
      </c>
      <c r="BJ93" s="143" t="s">
        <v>775</v>
      </c>
      <c r="BK93" s="143" t="s">
        <v>766</v>
      </c>
      <c r="BL93" s="143" t="s">
        <v>728</v>
      </c>
      <c r="BM93" s="143">
        <v>10320</v>
      </c>
      <c r="BN93" s="78">
        <v>1</v>
      </c>
      <c r="BO93" s="78">
        <v>4</v>
      </c>
      <c r="BP93" s="78">
        <v>0</v>
      </c>
      <c r="BQ93" s="78">
        <v>3</v>
      </c>
      <c r="BR93" s="78">
        <v>0</v>
      </c>
      <c r="BS93" s="78">
        <v>0</v>
      </c>
      <c r="BT93" s="78">
        <v>0</v>
      </c>
      <c r="BU93" s="137">
        <v>0.34782610000000003</v>
      </c>
      <c r="BW93" s="143" t="s">
        <v>775</v>
      </c>
      <c r="BX93" s="143" t="s">
        <v>766</v>
      </c>
      <c r="BY93" s="143" t="s">
        <v>728</v>
      </c>
      <c r="BZ93" s="143">
        <v>10320</v>
      </c>
      <c r="CM93" s="143" t="s">
        <v>775</v>
      </c>
      <c r="CN93" s="143" t="s">
        <v>766</v>
      </c>
      <c r="CO93" s="143" t="s">
        <v>728</v>
      </c>
      <c r="CP93" s="143">
        <v>10320</v>
      </c>
      <c r="CQ93" s="78">
        <v>2</v>
      </c>
      <c r="CR93" s="78">
        <v>0</v>
      </c>
      <c r="CS93" s="78">
        <v>12</v>
      </c>
      <c r="CT93" s="78">
        <v>4</v>
      </c>
      <c r="CU93" s="78">
        <v>0</v>
      </c>
      <c r="CV93" s="78">
        <v>4</v>
      </c>
      <c r="CW93" s="137">
        <v>0.42307689999999998</v>
      </c>
      <c r="CY93" s="143" t="s">
        <v>775</v>
      </c>
      <c r="CZ93" s="143" t="s">
        <v>766</v>
      </c>
      <c r="DA93" s="143" t="s">
        <v>728</v>
      </c>
      <c r="DB93" s="143">
        <v>10320</v>
      </c>
      <c r="DC93" s="78">
        <v>0</v>
      </c>
      <c r="DD93" s="137">
        <v>0</v>
      </c>
      <c r="DE93" s="137">
        <v>0</v>
      </c>
      <c r="DG93" s="143" t="s">
        <v>775</v>
      </c>
      <c r="DH93" s="143" t="s">
        <v>766</v>
      </c>
      <c r="DI93" s="143" t="s">
        <v>728</v>
      </c>
      <c r="DJ93" s="143">
        <v>10320</v>
      </c>
      <c r="DK93" s="78">
        <v>2</v>
      </c>
      <c r="DL93" s="78">
        <v>0</v>
      </c>
      <c r="DM93" s="78">
        <v>1</v>
      </c>
      <c r="DN93" s="78">
        <v>5</v>
      </c>
      <c r="DO93" s="78">
        <v>2</v>
      </c>
      <c r="DP93" s="78">
        <v>3</v>
      </c>
      <c r="DQ93" s="78">
        <v>7</v>
      </c>
      <c r="DR93" s="78">
        <v>1</v>
      </c>
      <c r="DS93" s="78">
        <v>1</v>
      </c>
      <c r="DT93" s="78">
        <v>0</v>
      </c>
      <c r="DU93" s="78">
        <v>0</v>
      </c>
      <c r="DV93" s="137">
        <v>0.75862070000000004</v>
      </c>
      <c r="DX93" s="143" t="s">
        <v>775</v>
      </c>
      <c r="DY93" s="143" t="s">
        <v>766</v>
      </c>
      <c r="DZ93" s="143" t="s">
        <v>728</v>
      </c>
      <c r="EA93" s="143">
        <v>10320</v>
      </c>
      <c r="EB93" s="78">
        <v>1</v>
      </c>
      <c r="EC93" s="78">
        <v>8</v>
      </c>
      <c r="ED93" s="78">
        <v>1</v>
      </c>
      <c r="EE93" s="78">
        <v>4</v>
      </c>
      <c r="EF93" s="78">
        <v>1</v>
      </c>
      <c r="EG93" s="78">
        <v>1</v>
      </c>
      <c r="EH93" s="78">
        <v>0</v>
      </c>
      <c r="EI93" s="78">
        <v>1</v>
      </c>
      <c r="EJ93" s="78">
        <v>1</v>
      </c>
      <c r="EK93" s="78">
        <v>1</v>
      </c>
      <c r="EL93" s="78">
        <v>4</v>
      </c>
      <c r="EM93" s="78">
        <v>1</v>
      </c>
      <c r="EN93" s="78">
        <v>0</v>
      </c>
      <c r="EO93" s="137">
        <v>0.88888889999999998</v>
      </c>
      <c r="EQ93" s="143" t="s">
        <v>775</v>
      </c>
      <c r="ER93" s="143" t="s">
        <v>766</v>
      </c>
      <c r="ES93" s="143" t="s">
        <v>728</v>
      </c>
      <c r="ET93" s="143">
        <v>10320</v>
      </c>
      <c r="EU93" s="78">
        <v>0.5</v>
      </c>
      <c r="EV93" s="78">
        <v>0</v>
      </c>
      <c r="EW93" s="78">
        <v>0</v>
      </c>
      <c r="EX93" s="78">
        <v>0</v>
      </c>
      <c r="EY93" s="78">
        <v>0.5</v>
      </c>
      <c r="EZ93" s="78">
        <v>0</v>
      </c>
      <c r="FA93" s="78">
        <v>2</v>
      </c>
      <c r="FB93" s="78">
        <v>1</v>
      </c>
      <c r="FC93" s="137">
        <v>0.30769229999999997</v>
      </c>
      <c r="FE93" s="137">
        <v>0.40950920000000002</v>
      </c>
    </row>
    <row r="94" spans="1:161" hidden="1" x14ac:dyDescent="0.25">
      <c r="A94" s="143" t="s">
        <v>776</v>
      </c>
      <c r="B94" s="143" t="s">
        <v>777</v>
      </c>
      <c r="C94" s="143" t="s">
        <v>729</v>
      </c>
      <c r="D94" s="143">
        <v>1590</v>
      </c>
      <c r="E94" s="78">
        <v>0.5</v>
      </c>
      <c r="F94" s="78">
        <v>2.5</v>
      </c>
      <c r="G94" s="78">
        <v>1</v>
      </c>
      <c r="H94" s="78">
        <v>3</v>
      </c>
      <c r="I94" s="78">
        <v>1</v>
      </c>
      <c r="J94" s="78">
        <v>1</v>
      </c>
      <c r="K94" s="78">
        <v>1</v>
      </c>
      <c r="L94" s="78">
        <v>1</v>
      </c>
      <c r="M94" s="78">
        <v>2</v>
      </c>
      <c r="N94" s="137">
        <v>0.92857140000000005</v>
      </c>
      <c r="P94" s="143" t="s">
        <v>776</v>
      </c>
      <c r="Q94" s="143" t="s">
        <v>777</v>
      </c>
      <c r="R94" s="143" t="s">
        <v>729</v>
      </c>
      <c r="S94" s="143">
        <v>1590</v>
      </c>
      <c r="T94" s="78">
        <v>1</v>
      </c>
      <c r="U94" s="78">
        <v>1</v>
      </c>
      <c r="V94" s="78">
        <v>3</v>
      </c>
      <c r="W94" s="78">
        <v>1</v>
      </c>
      <c r="X94" s="78">
        <v>12</v>
      </c>
      <c r="Y94" s="78">
        <v>1</v>
      </c>
      <c r="Z94" s="78">
        <v>3</v>
      </c>
      <c r="AA94" s="78">
        <v>2</v>
      </c>
      <c r="AB94" s="78">
        <v>6</v>
      </c>
      <c r="AC94" s="78">
        <v>3</v>
      </c>
      <c r="AD94" s="137">
        <v>0.97058820000000001</v>
      </c>
      <c r="AF94" s="143" t="s">
        <v>776</v>
      </c>
      <c r="AG94" s="143" t="s">
        <v>777</v>
      </c>
      <c r="AH94" s="143" t="s">
        <v>729</v>
      </c>
      <c r="AI94" s="143">
        <v>1590</v>
      </c>
      <c r="AJ94" s="78">
        <v>1</v>
      </c>
      <c r="AK94" s="78">
        <v>1</v>
      </c>
      <c r="AL94" s="78">
        <v>1</v>
      </c>
      <c r="AM94" s="78">
        <v>6</v>
      </c>
      <c r="AN94" s="78">
        <v>1</v>
      </c>
      <c r="AO94" s="78">
        <v>2</v>
      </c>
      <c r="AP94" s="78">
        <v>1</v>
      </c>
      <c r="AQ94" s="78">
        <v>1</v>
      </c>
      <c r="AR94" s="78">
        <v>2</v>
      </c>
      <c r="AS94" s="78">
        <v>2</v>
      </c>
      <c r="AT94" s="78">
        <v>2</v>
      </c>
      <c r="AU94" s="78">
        <v>0</v>
      </c>
      <c r="AV94" s="78">
        <v>2</v>
      </c>
      <c r="AW94" s="78">
        <v>0</v>
      </c>
      <c r="AX94" s="78">
        <v>4</v>
      </c>
      <c r="AY94" s="78">
        <v>1</v>
      </c>
      <c r="AZ94" s="78">
        <v>2</v>
      </c>
      <c r="BA94" s="78">
        <v>0.5</v>
      </c>
      <c r="BB94" s="78">
        <v>0.5</v>
      </c>
      <c r="BC94" s="78">
        <v>0.5</v>
      </c>
      <c r="BD94" s="78">
        <v>1</v>
      </c>
      <c r="BE94" s="78">
        <v>0.5</v>
      </c>
      <c r="BF94" s="78">
        <v>1</v>
      </c>
      <c r="BG94" s="78">
        <v>8</v>
      </c>
      <c r="BH94" s="137">
        <v>0.93181820000000004</v>
      </c>
      <c r="BJ94" s="143" t="s">
        <v>776</v>
      </c>
      <c r="BK94" s="143" t="s">
        <v>777</v>
      </c>
      <c r="BL94" s="143" t="s">
        <v>729</v>
      </c>
      <c r="BM94" s="143">
        <v>1590</v>
      </c>
      <c r="BN94" s="78">
        <v>1</v>
      </c>
      <c r="BO94" s="78">
        <v>4</v>
      </c>
      <c r="BP94" s="78">
        <v>7</v>
      </c>
      <c r="BQ94" s="78">
        <v>3</v>
      </c>
      <c r="BR94" s="78">
        <v>3</v>
      </c>
      <c r="BS94" s="78">
        <v>0</v>
      </c>
      <c r="BT94" s="78">
        <v>2</v>
      </c>
      <c r="BU94" s="137">
        <v>0.86956520000000004</v>
      </c>
      <c r="BW94" s="143" t="s">
        <v>776</v>
      </c>
      <c r="BX94" s="143" t="s">
        <v>777</v>
      </c>
      <c r="BY94" s="143" t="s">
        <v>729</v>
      </c>
      <c r="BZ94" s="143">
        <v>1590</v>
      </c>
      <c r="CA94" s="78">
        <v>1</v>
      </c>
      <c r="CB94" s="78">
        <v>1</v>
      </c>
      <c r="CC94" s="78">
        <v>1</v>
      </c>
      <c r="CD94" s="78">
        <v>2</v>
      </c>
      <c r="CE94" s="78">
        <v>1</v>
      </c>
      <c r="CF94" s="78">
        <v>2</v>
      </c>
      <c r="CG94" s="78">
        <v>1</v>
      </c>
      <c r="CH94" s="78">
        <v>2</v>
      </c>
      <c r="CI94" s="78">
        <v>1</v>
      </c>
      <c r="CJ94" s="78">
        <v>3</v>
      </c>
      <c r="CK94" s="137">
        <v>1</v>
      </c>
      <c r="CM94" s="143" t="s">
        <v>776</v>
      </c>
      <c r="CN94" s="143" t="s">
        <v>777</v>
      </c>
      <c r="CO94" s="143" t="s">
        <v>729</v>
      </c>
      <c r="CP94" s="143">
        <v>1590</v>
      </c>
      <c r="CQ94" s="78">
        <v>8</v>
      </c>
      <c r="CR94" s="78">
        <v>6</v>
      </c>
      <c r="CS94" s="78">
        <v>24</v>
      </c>
      <c r="CT94" s="78">
        <v>4</v>
      </c>
      <c r="CU94" s="78">
        <v>2</v>
      </c>
      <c r="CV94" s="78">
        <v>8</v>
      </c>
      <c r="CW94" s="137">
        <v>1</v>
      </c>
      <c r="CY94" s="143" t="s">
        <v>776</v>
      </c>
      <c r="CZ94" s="143" t="s">
        <v>777</v>
      </c>
      <c r="DA94" s="143" t="s">
        <v>729</v>
      </c>
      <c r="DB94" s="143">
        <v>1590</v>
      </c>
      <c r="DC94" s="78">
        <v>74</v>
      </c>
      <c r="DD94" s="137">
        <v>0</v>
      </c>
      <c r="DE94" s="137">
        <v>0</v>
      </c>
      <c r="DG94" s="143" t="s">
        <v>776</v>
      </c>
      <c r="DH94" s="143" t="s">
        <v>777</v>
      </c>
      <c r="DI94" s="143" t="s">
        <v>729</v>
      </c>
      <c r="DJ94" s="143">
        <v>1590</v>
      </c>
      <c r="DK94" s="78">
        <v>0</v>
      </c>
      <c r="DL94" s="78">
        <v>1</v>
      </c>
      <c r="DM94" s="78">
        <v>1</v>
      </c>
      <c r="DN94" s="78">
        <v>5</v>
      </c>
      <c r="DO94" s="78">
        <v>2</v>
      </c>
      <c r="DP94" s="78">
        <v>3</v>
      </c>
      <c r="DQ94" s="78">
        <v>8</v>
      </c>
      <c r="DR94" s="78">
        <v>0</v>
      </c>
      <c r="DS94" s="78">
        <v>0</v>
      </c>
      <c r="DT94" s="78">
        <v>2</v>
      </c>
      <c r="DU94" s="78">
        <v>0</v>
      </c>
      <c r="DV94" s="137">
        <v>0.75862070000000004</v>
      </c>
      <c r="DX94" s="143" t="s">
        <v>776</v>
      </c>
      <c r="DY94" s="143" t="s">
        <v>777</v>
      </c>
      <c r="DZ94" s="143" t="s">
        <v>729</v>
      </c>
      <c r="EA94" s="143">
        <v>1590</v>
      </c>
      <c r="EB94" s="78">
        <v>1</v>
      </c>
      <c r="EC94" s="78">
        <v>8</v>
      </c>
      <c r="ED94" s="78">
        <v>1</v>
      </c>
      <c r="EE94" s="78">
        <v>4</v>
      </c>
      <c r="EF94" s="78">
        <v>1</v>
      </c>
      <c r="EG94" s="78">
        <v>1</v>
      </c>
      <c r="EH94" s="78">
        <v>2</v>
      </c>
      <c r="EI94" s="78">
        <v>1</v>
      </c>
      <c r="EJ94" s="78">
        <v>1</v>
      </c>
      <c r="EK94" s="78">
        <v>1</v>
      </c>
      <c r="EL94" s="78">
        <v>4</v>
      </c>
      <c r="EM94" s="78">
        <v>1</v>
      </c>
      <c r="EN94" s="78">
        <v>1</v>
      </c>
      <c r="EO94" s="137">
        <v>1</v>
      </c>
      <c r="EQ94" s="143" t="s">
        <v>776</v>
      </c>
      <c r="ER94" s="143" t="s">
        <v>777</v>
      </c>
      <c r="ES94" s="143" t="s">
        <v>729</v>
      </c>
      <c r="ET94" s="143">
        <v>1590</v>
      </c>
      <c r="EU94" s="78">
        <v>0</v>
      </c>
      <c r="EV94" s="78">
        <v>1</v>
      </c>
      <c r="EW94" s="78">
        <v>3</v>
      </c>
      <c r="EX94" s="78">
        <v>2</v>
      </c>
      <c r="EY94" s="78">
        <v>0.5</v>
      </c>
      <c r="EZ94" s="78">
        <v>3</v>
      </c>
      <c r="FA94" s="78">
        <v>2</v>
      </c>
      <c r="FB94" s="78">
        <v>0</v>
      </c>
      <c r="FC94" s="137">
        <v>0.88461540000000005</v>
      </c>
      <c r="FE94" s="137">
        <v>0.6876833</v>
      </c>
    </row>
    <row r="95" spans="1:161" hidden="1" x14ac:dyDescent="0.25">
      <c r="A95" s="143" t="s">
        <v>776</v>
      </c>
      <c r="B95" s="143" t="s">
        <v>777</v>
      </c>
      <c r="C95" s="143" t="s">
        <v>727</v>
      </c>
      <c r="D95" s="143">
        <v>1591</v>
      </c>
      <c r="E95" s="78">
        <v>0.5</v>
      </c>
      <c r="F95" s="78">
        <v>2.5</v>
      </c>
      <c r="G95" s="78">
        <v>1</v>
      </c>
      <c r="H95" s="78">
        <v>3</v>
      </c>
      <c r="I95" s="78">
        <v>1</v>
      </c>
      <c r="J95" s="78">
        <v>1</v>
      </c>
      <c r="K95" s="78">
        <v>1</v>
      </c>
      <c r="L95" s="78">
        <v>1</v>
      </c>
      <c r="M95" s="78">
        <v>2</v>
      </c>
      <c r="N95" s="137">
        <v>0.92857140000000005</v>
      </c>
      <c r="P95" s="143" t="s">
        <v>776</v>
      </c>
      <c r="Q95" s="143" t="s">
        <v>777</v>
      </c>
      <c r="R95" s="143" t="s">
        <v>727</v>
      </c>
      <c r="S95" s="143">
        <v>1591</v>
      </c>
      <c r="T95" s="78">
        <v>1</v>
      </c>
      <c r="U95" s="78">
        <v>1</v>
      </c>
      <c r="V95" s="78">
        <v>2.5</v>
      </c>
      <c r="W95" s="78">
        <v>2</v>
      </c>
      <c r="X95" s="78">
        <v>12</v>
      </c>
      <c r="Y95" s="78">
        <v>1</v>
      </c>
      <c r="Z95" s="78">
        <v>3</v>
      </c>
      <c r="AA95" s="78">
        <v>2</v>
      </c>
      <c r="AB95" s="78">
        <v>6</v>
      </c>
      <c r="AC95" s="78">
        <v>3</v>
      </c>
      <c r="AD95" s="137">
        <v>0.98529409999999995</v>
      </c>
      <c r="AF95" s="143" t="s">
        <v>776</v>
      </c>
      <c r="AG95" s="143" t="s">
        <v>777</v>
      </c>
      <c r="AH95" s="143" t="s">
        <v>727</v>
      </c>
      <c r="AI95" s="143">
        <v>1591</v>
      </c>
      <c r="AJ95" s="78">
        <v>1</v>
      </c>
      <c r="AK95" s="78">
        <v>1</v>
      </c>
      <c r="AL95" s="78">
        <v>1</v>
      </c>
      <c r="AM95" s="78">
        <v>6</v>
      </c>
      <c r="AN95" s="78">
        <v>1</v>
      </c>
      <c r="AO95" s="78">
        <v>2</v>
      </c>
      <c r="AP95" s="78">
        <v>1</v>
      </c>
      <c r="AQ95" s="78">
        <v>1</v>
      </c>
      <c r="AR95" s="78">
        <v>2</v>
      </c>
      <c r="AS95" s="78">
        <v>2</v>
      </c>
      <c r="AT95" s="78">
        <v>2</v>
      </c>
      <c r="AU95" s="78">
        <v>0</v>
      </c>
      <c r="AV95" s="78">
        <v>2</v>
      </c>
      <c r="AW95" s="78">
        <v>0</v>
      </c>
      <c r="AX95" s="78">
        <v>0</v>
      </c>
      <c r="AY95" s="78">
        <v>1</v>
      </c>
      <c r="AZ95" s="78">
        <v>2</v>
      </c>
      <c r="BA95" s="78">
        <v>0.5</v>
      </c>
      <c r="BB95" s="78">
        <v>0.5</v>
      </c>
      <c r="BC95" s="78">
        <v>0.5</v>
      </c>
      <c r="BD95" s="78">
        <v>1</v>
      </c>
      <c r="BE95" s="78">
        <v>0.5</v>
      </c>
      <c r="BF95" s="78">
        <v>0</v>
      </c>
      <c r="BG95" s="78">
        <v>8</v>
      </c>
      <c r="BH95" s="137">
        <v>0.81818179999999996</v>
      </c>
      <c r="BJ95" s="143" t="s">
        <v>776</v>
      </c>
      <c r="BK95" s="143" t="s">
        <v>777</v>
      </c>
      <c r="BL95" s="143" t="s">
        <v>727</v>
      </c>
      <c r="BM95" s="143">
        <v>1591</v>
      </c>
      <c r="BN95" s="78">
        <v>1</v>
      </c>
      <c r="BO95" s="78">
        <v>4</v>
      </c>
      <c r="BP95" s="78">
        <v>7</v>
      </c>
      <c r="BQ95" s="78">
        <v>3</v>
      </c>
      <c r="BR95" s="78">
        <v>3</v>
      </c>
      <c r="BS95" s="78">
        <v>0</v>
      </c>
      <c r="BT95" s="78">
        <v>0</v>
      </c>
      <c r="BU95" s="137">
        <v>0.78260870000000005</v>
      </c>
      <c r="BW95" s="143" t="s">
        <v>776</v>
      </c>
      <c r="BX95" s="143" t="s">
        <v>777</v>
      </c>
      <c r="BY95" s="143" t="s">
        <v>727</v>
      </c>
      <c r="BZ95" s="143">
        <v>1591</v>
      </c>
      <c r="CA95" s="78">
        <v>1</v>
      </c>
      <c r="CB95" s="78">
        <v>0</v>
      </c>
      <c r="CC95" s="78">
        <v>1</v>
      </c>
      <c r="CD95" s="78">
        <v>2</v>
      </c>
      <c r="CE95" s="78">
        <v>1</v>
      </c>
      <c r="CF95" s="78">
        <v>2</v>
      </c>
      <c r="CG95" s="78">
        <v>1</v>
      </c>
      <c r="CH95" s="78">
        <v>2</v>
      </c>
      <c r="CI95" s="78">
        <v>1</v>
      </c>
      <c r="CJ95" s="78">
        <v>3</v>
      </c>
      <c r="CK95" s="137">
        <v>0.93333330000000003</v>
      </c>
      <c r="CM95" s="143" t="s">
        <v>776</v>
      </c>
      <c r="CN95" s="143" t="s">
        <v>777</v>
      </c>
      <c r="CO95" s="143" t="s">
        <v>727</v>
      </c>
      <c r="CP95" s="143">
        <v>1591</v>
      </c>
      <c r="CQ95" s="78">
        <v>8</v>
      </c>
      <c r="CR95" s="78">
        <v>6</v>
      </c>
      <c r="CS95" s="78">
        <v>24</v>
      </c>
      <c r="CT95" s="78">
        <v>4</v>
      </c>
      <c r="CU95" s="78">
        <v>2</v>
      </c>
      <c r="CV95" s="78">
        <v>8</v>
      </c>
      <c r="CW95" s="137">
        <v>1</v>
      </c>
      <c r="CY95" s="143" t="s">
        <v>776</v>
      </c>
      <c r="CZ95" s="143" t="s">
        <v>777</v>
      </c>
      <c r="DA95" s="143" t="s">
        <v>727</v>
      </c>
      <c r="DB95" s="143">
        <v>1591</v>
      </c>
      <c r="DC95" s="78">
        <v>70</v>
      </c>
      <c r="DD95" s="137">
        <v>0.2</v>
      </c>
      <c r="DE95" s="137">
        <v>0.15555559999999999</v>
      </c>
      <c r="DG95" s="143" t="s">
        <v>776</v>
      </c>
      <c r="DH95" s="143" t="s">
        <v>777</v>
      </c>
      <c r="DI95" s="143" t="s">
        <v>727</v>
      </c>
      <c r="DJ95" s="143">
        <v>1591</v>
      </c>
      <c r="DK95" s="78">
        <v>2</v>
      </c>
      <c r="DL95" s="78">
        <v>1</v>
      </c>
      <c r="DM95" s="78">
        <v>1</v>
      </c>
      <c r="DN95" s="78">
        <v>4</v>
      </c>
      <c r="DO95" s="78">
        <v>2</v>
      </c>
      <c r="DP95" s="78">
        <v>3</v>
      </c>
      <c r="DQ95" s="78">
        <v>8</v>
      </c>
      <c r="DR95" s="78">
        <v>0</v>
      </c>
      <c r="DS95" s="78">
        <v>1</v>
      </c>
      <c r="DT95" s="78">
        <v>0</v>
      </c>
      <c r="DU95" s="78">
        <v>1</v>
      </c>
      <c r="DV95" s="137">
        <v>0.79310349999999996</v>
      </c>
      <c r="DX95" s="143" t="s">
        <v>776</v>
      </c>
      <c r="DY95" s="143" t="s">
        <v>777</v>
      </c>
      <c r="DZ95" s="143" t="s">
        <v>727</v>
      </c>
      <c r="EA95" s="143">
        <v>1591</v>
      </c>
      <c r="EB95" s="78">
        <v>1</v>
      </c>
      <c r="EC95" s="78">
        <v>8</v>
      </c>
      <c r="ED95" s="78">
        <v>1</v>
      </c>
      <c r="EE95" s="78">
        <v>4</v>
      </c>
      <c r="EF95" s="78">
        <v>1</v>
      </c>
      <c r="EG95" s="78">
        <v>1</v>
      </c>
      <c r="EH95" s="78">
        <v>2</v>
      </c>
      <c r="EI95" s="78">
        <v>1</v>
      </c>
      <c r="EJ95" s="78">
        <v>1</v>
      </c>
      <c r="EK95" s="78">
        <v>1</v>
      </c>
      <c r="EL95" s="78">
        <v>0</v>
      </c>
      <c r="EM95" s="78">
        <v>1</v>
      </c>
      <c r="EN95" s="78">
        <v>1</v>
      </c>
      <c r="EO95" s="137">
        <v>0.8518519</v>
      </c>
      <c r="EQ95" s="143" t="s">
        <v>776</v>
      </c>
      <c r="ER95" s="143" t="s">
        <v>777</v>
      </c>
      <c r="ES95" s="143" t="s">
        <v>727</v>
      </c>
      <c r="ET95" s="143">
        <v>1591</v>
      </c>
      <c r="EU95" s="78">
        <v>0</v>
      </c>
      <c r="EV95" s="78">
        <v>1</v>
      </c>
      <c r="EW95" s="78">
        <v>3</v>
      </c>
      <c r="EX95" s="78">
        <v>2</v>
      </c>
      <c r="EY95" s="78">
        <v>0.5</v>
      </c>
      <c r="EZ95" s="78">
        <v>3</v>
      </c>
      <c r="FA95" s="78">
        <v>2</v>
      </c>
      <c r="FB95" s="78">
        <v>0</v>
      </c>
      <c r="FC95" s="137">
        <v>0.88461540000000005</v>
      </c>
      <c r="FE95" s="137">
        <v>0.69794719999999999</v>
      </c>
    </row>
    <row r="96" spans="1:161" x14ac:dyDescent="0.25">
      <c r="A96" s="143" t="s">
        <v>776</v>
      </c>
      <c r="B96" s="143" t="s">
        <v>777</v>
      </c>
      <c r="C96" s="143" t="s">
        <v>728</v>
      </c>
      <c r="D96" s="143">
        <v>1945</v>
      </c>
      <c r="E96" s="78">
        <v>0.5</v>
      </c>
      <c r="F96" s="78">
        <v>2.5</v>
      </c>
      <c r="G96" s="78">
        <v>1</v>
      </c>
      <c r="H96" s="78">
        <v>2</v>
      </c>
      <c r="I96" s="78">
        <v>1</v>
      </c>
      <c r="J96" s="78">
        <v>1</v>
      </c>
      <c r="K96" s="78">
        <v>1</v>
      </c>
      <c r="L96" s="78">
        <v>1</v>
      </c>
      <c r="M96" s="78">
        <v>2</v>
      </c>
      <c r="N96" s="137">
        <v>0.85714290000000004</v>
      </c>
      <c r="P96" s="143" t="s">
        <v>776</v>
      </c>
      <c r="Q96" s="143" t="s">
        <v>777</v>
      </c>
      <c r="R96" s="143" t="s">
        <v>728</v>
      </c>
      <c r="S96" s="143">
        <v>1945</v>
      </c>
      <c r="T96" s="78">
        <v>1</v>
      </c>
      <c r="U96" s="78">
        <v>1</v>
      </c>
      <c r="V96" s="78">
        <v>2.5</v>
      </c>
      <c r="W96" s="78">
        <v>2</v>
      </c>
      <c r="X96" s="78">
        <v>9</v>
      </c>
      <c r="Y96" s="78">
        <v>1</v>
      </c>
      <c r="Z96" s="78">
        <v>3</v>
      </c>
      <c r="AA96" s="78">
        <v>2</v>
      </c>
      <c r="AB96" s="78">
        <v>6</v>
      </c>
      <c r="AC96" s="78">
        <v>3</v>
      </c>
      <c r="AD96" s="137">
        <v>0.89705880000000005</v>
      </c>
      <c r="AF96" s="143" t="s">
        <v>776</v>
      </c>
      <c r="AG96" s="143" t="s">
        <v>777</v>
      </c>
      <c r="AH96" s="143" t="s">
        <v>728</v>
      </c>
      <c r="AI96" s="143">
        <v>1945</v>
      </c>
      <c r="AJ96" s="78">
        <v>1</v>
      </c>
      <c r="AK96" s="78">
        <v>1</v>
      </c>
      <c r="AL96" s="78">
        <v>1</v>
      </c>
      <c r="AM96" s="78">
        <v>5</v>
      </c>
      <c r="AN96" s="78">
        <v>1</v>
      </c>
      <c r="AO96" s="78">
        <v>2</v>
      </c>
      <c r="AP96" s="78">
        <v>1</v>
      </c>
      <c r="AQ96" s="78">
        <v>1</v>
      </c>
      <c r="AR96" s="78">
        <v>0</v>
      </c>
      <c r="AS96" s="78">
        <v>2</v>
      </c>
      <c r="AT96" s="78">
        <v>2</v>
      </c>
      <c r="AU96" s="78">
        <v>0</v>
      </c>
      <c r="AV96" s="78">
        <v>2</v>
      </c>
      <c r="AW96" s="78">
        <v>0</v>
      </c>
      <c r="AX96" s="78">
        <v>0</v>
      </c>
      <c r="AY96" s="78">
        <v>1</v>
      </c>
      <c r="AZ96" s="78">
        <v>2</v>
      </c>
      <c r="BA96" s="78">
        <v>0.5</v>
      </c>
      <c r="BB96" s="78">
        <v>0.5</v>
      </c>
      <c r="BC96" s="78">
        <v>0.5</v>
      </c>
      <c r="BD96" s="78">
        <v>1</v>
      </c>
      <c r="BE96" s="78">
        <v>0.5</v>
      </c>
      <c r="BF96" s="78">
        <v>0</v>
      </c>
      <c r="BG96" s="78">
        <v>8</v>
      </c>
      <c r="BH96" s="137">
        <v>0.75</v>
      </c>
      <c r="BJ96" s="143" t="s">
        <v>776</v>
      </c>
      <c r="BK96" s="143" t="s">
        <v>777</v>
      </c>
      <c r="BL96" s="143" t="s">
        <v>728</v>
      </c>
      <c r="BM96" s="143">
        <v>1945</v>
      </c>
      <c r="BN96" s="78">
        <v>1</v>
      </c>
      <c r="BO96" s="78">
        <v>4</v>
      </c>
      <c r="BP96" s="78">
        <v>7</v>
      </c>
      <c r="BQ96" s="78">
        <v>3</v>
      </c>
      <c r="BR96" s="78">
        <v>3</v>
      </c>
      <c r="BS96" s="78">
        <v>0</v>
      </c>
      <c r="BT96" s="78">
        <v>2</v>
      </c>
      <c r="BU96" s="137">
        <v>0.86956520000000004</v>
      </c>
      <c r="BW96" s="143" t="s">
        <v>776</v>
      </c>
      <c r="BX96" s="143" t="s">
        <v>777</v>
      </c>
      <c r="BY96" s="143" t="s">
        <v>728</v>
      </c>
      <c r="BZ96" s="143">
        <v>1945</v>
      </c>
      <c r="CA96" s="78">
        <v>1</v>
      </c>
      <c r="CB96" s="78">
        <v>0</v>
      </c>
      <c r="CC96" s="78">
        <v>1</v>
      </c>
      <c r="CD96" s="78">
        <v>2</v>
      </c>
      <c r="CE96" s="78">
        <v>1</v>
      </c>
      <c r="CF96" s="78">
        <v>2</v>
      </c>
      <c r="CG96" s="78">
        <v>1</v>
      </c>
      <c r="CH96" s="78">
        <v>2</v>
      </c>
      <c r="CI96" s="78">
        <v>1</v>
      </c>
      <c r="CJ96" s="78">
        <v>3</v>
      </c>
      <c r="CK96" s="137">
        <v>0.93333330000000003</v>
      </c>
      <c r="CM96" s="143" t="s">
        <v>776</v>
      </c>
      <c r="CN96" s="143" t="s">
        <v>777</v>
      </c>
      <c r="CO96" s="143" t="s">
        <v>728</v>
      </c>
      <c r="CP96" s="143">
        <v>1945</v>
      </c>
      <c r="CQ96" s="78">
        <v>8</v>
      </c>
      <c r="CR96" s="78">
        <v>6</v>
      </c>
      <c r="CS96" s="78">
        <v>24</v>
      </c>
      <c r="CT96" s="78">
        <v>4</v>
      </c>
      <c r="CU96" s="78">
        <v>2</v>
      </c>
      <c r="CV96" s="78">
        <v>8</v>
      </c>
      <c r="CW96" s="137">
        <v>1</v>
      </c>
      <c r="CY96" s="143" t="s">
        <v>776</v>
      </c>
      <c r="CZ96" s="143" t="s">
        <v>777</v>
      </c>
      <c r="DA96" s="143" t="s">
        <v>728</v>
      </c>
      <c r="DB96" s="143">
        <v>1945</v>
      </c>
      <c r="DC96" s="78">
        <v>60</v>
      </c>
      <c r="DD96" s="137">
        <v>0.2</v>
      </c>
      <c r="DE96" s="137">
        <v>0.13333329999999999</v>
      </c>
      <c r="DG96" s="143" t="s">
        <v>776</v>
      </c>
      <c r="DH96" s="143" t="s">
        <v>777</v>
      </c>
      <c r="DI96" s="143" t="s">
        <v>728</v>
      </c>
      <c r="DJ96" s="143">
        <v>1945</v>
      </c>
      <c r="DK96" s="78">
        <v>2</v>
      </c>
      <c r="DL96" s="78">
        <v>1</v>
      </c>
      <c r="DM96" s="78">
        <v>1</v>
      </c>
      <c r="DN96" s="78">
        <v>5</v>
      </c>
      <c r="DO96" s="78">
        <v>2</v>
      </c>
      <c r="DP96" s="78">
        <v>3</v>
      </c>
      <c r="DQ96" s="78">
        <v>5</v>
      </c>
      <c r="DR96" s="78">
        <v>0</v>
      </c>
      <c r="DS96" s="78">
        <v>1</v>
      </c>
      <c r="DT96" s="78">
        <v>0</v>
      </c>
      <c r="DU96" s="78">
        <v>0</v>
      </c>
      <c r="DV96" s="137">
        <v>0.68965520000000002</v>
      </c>
      <c r="DX96" s="143" t="s">
        <v>776</v>
      </c>
      <c r="DY96" s="143" t="s">
        <v>777</v>
      </c>
      <c r="DZ96" s="143" t="s">
        <v>728</v>
      </c>
      <c r="EA96" s="143">
        <v>1945</v>
      </c>
      <c r="EB96" s="78">
        <v>1</v>
      </c>
      <c r="EC96" s="78">
        <v>8</v>
      </c>
      <c r="ED96" s="78">
        <v>1</v>
      </c>
      <c r="EE96" s="78">
        <v>4</v>
      </c>
      <c r="EF96" s="78">
        <v>1</v>
      </c>
      <c r="EG96" s="78">
        <v>1</v>
      </c>
      <c r="EH96" s="78">
        <v>2</v>
      </c>
      <c r="EI96" s="78">
        <v>1</v>
      </c>
      <c r="EJ96" s="78">
        <v>1</v>
      </c>
      <c r="EK96" s="78">
        <v>1</v>
      </c>
      <c r="EL96" s="78">
        <v>4</v>
      </c>
      <c r="EM96" s="78">
        <v>1</v>
      </c>
      <c r="EN96" s="78">
        <v>1</v>
      </c>
      <c r="EO96" s="137">
        <v>1</v>
      </c>
      <c r="EQ96" s="143" t="s">
        <v>776</v>
      </c>
      <c r="ER96" s="143" t="s">
        <v>777</v>
      </c>
      <c r="ES96" s="143" t="s">
        <v>728</v>
      </c>
      <c r="ET96" s="143">
        <v>1945</v>
      </c>
      <c r="EU96" s="78">
        <v>0</v>
      </c>
      <c r="EV96" s="78">
        <v>1</v>
      </c>
      <c r="EW96" s="78">
        <v>0</v>
      </c>
      <c r="EX96" s="78">
        <v>0</v>
      </c>
      <c r="EY96" s="78">
        <v>0.5</v>
      </c>
      <c r="EZ96" s="78">
        <v>3</v>
      </c>
      <c r="FA96" s="78">
        <v>2</v>
      </c>
      <c r="FB96" s="78">
        <v>0</v>
      </c>
      <c r="FC96" s="137">
        <v>0.5</v>
      </c>
      <c r="FE96" s="137">
        <v>0.66568919999999998</v>
      </c>
    </row>
    <row r="97" spans="1:161" x14ac:dyDescent="0.25">
      <c r="A97" s="143" t="s">
        <v>776</v>
      </c>
      <c r="B97" s="143" t="s">
        <v>777</v>
      </c>
      <c r="C97" s="143" t="s">
        <v>728</v>
      </c>
      <c r="D97" s="143">
        <v>2492</v>
      </c>
      <c r="E97" s="78">
        <v>0.5</v>
      </c>
      <c r="F97" s="78">
        <v>2.5</v>
      </c>
      <c r="G97" s="78">
        <v>1</v>
      </c>
      <c r="H97" s="78">
        <v>3</v>
      </c>
      <c r="I97" s="78">
        <v>1</v>
      </c>
      <c r="J97" s="78">
        <v>1</v>
      </c>
      <c r="K97" s="78">
        <v>1</v>
      </c>
      <c r="L97" s="78">
        <v>1</v>
      </c>
      <c r="M97" s="78">
        <v>2</v>
      </c>
      <c r="N97" s="137">
        <v>0.92857140000000005</v>
      </c>
      <c r="P97" s="143" t="s">
        <v>776</v>
      </c>
      <c r="Q97" s="143" t="s">
        <v>777</v>
      </c>
      <c r="R97" s="143" t="s">
        <v>728</v>
      </c>
      <c r="S97" s="143">
        <v>2492</v>
      </c>
      <c r="T97" s="78">
        <v>1</v>
      </c>
      <c r="U97" s="78">
        <v>1</v>
      </c>
      <c r="V97" s="78">
        <v>2</v>
      </c>
      <c r="W97" s="78">
        <v>2</v>
      </c>
      <c r="X97" s="78">
        <v>9</v>
      </c>
      <c r="Y97" s="78">
        <v>1</v>
      </c>
      <c r="Z97" s="78">
        <v>0</v>
      </c>
      <c r="AA97" s="78">
        <v>2</v>
      </c>
      <c r="AB97" s="78">
        <v>6</v>
      </c>
      <c r="AC97" s="78">
        <v>3</v>
      </c>
      <c r="AD97" s="137">
        <v>0.79411759999999998</v>
      </c>
      <c r="AF97" s="143" t="s">
        <v>776</v>
      </c>
      <c r="AG97" s="143" t="s">
        <v>777</v>
      </c>
      <c r="AH97" s="143" t="s">
        <v>728</v>
      </c>
      <c r="AI97" s="143">
        <v>2492</v>
      </c>
      <c r="AJ97" s="78">
        <v>1</v>
      </c>
      <c r="AK97" s="78">
        <v>0</v>
      </c>
      <c r="AL97" s="78">
        <v>1</v>
      </c>
      <c r="AM97" s="78">
        <v>6</v>
      </c>
      <c r="AN97" s="78">
        <v>0</v>
      </c>
      <c r="AO97" s="78">
        <v>2</v>
      </c>
      <c r="AP97" s="78">
        <v>1</v>
      </c>
      <c r="AQ97" s="78">
        <v>1</v>
      </c>
      <c r="AR97" s="78">
        <v>2</v>
      </c>
      <c r="AS97" s="78">
        <v>2</v>
      </c>
      <c r="AT97" s="78">
        <v>0</v>
      </c>
      <c r="AU97" s="78">
        <v>0</v>
      </c>
      <c r="AV97" s="78">
        <v>2</v>
      </c>
      <c r="AW97" s="78">
        <v>0</v>
      </c>
      <c r="AX97" s="78">
        <v>4</v>
      </c>
      <c r="AY97" s="78">
        <v>1</v>
      </c>
      <c r="AZ97" s="78">
        <v>2</v>
      </c>
      <c r="BA97" s="78">
        <v>0.5</v>
      </c>
      <c r="BB97" s="78">
        <v>0.5</v>
      </c>
      <c r="BC97" s="78">
        <v>0.5</v>
      </c>
      <c r="BD97" s="78">
        <v>1</v>
      </c>
      <c r="BE97" s="78">
        <v>0.5</v>
      </c>
      <c r="BF97" s="78">
        <v>1</v>
      </c>
      <c r="BG97" s="78">
        <v>6</v>
      </c>
      <c r="BH97" s="137">
        <v>0.79545460000000001</v>
      </c>
      <c r="BJ97" s="143" t="s">
        <v>776</v>
      </c>
      <c r="BK97" s="143" t="s">
        <v>777</v>
      </c>
      <c r="BL97" s="143" t="s">
        <v>728</v>
      </c>
      <c r="BM97" s="143">
        <v>2492</v>
      </c>
      <c r="BN97" s="78">
        <v>1</v>
      </c>
      <c r="BO97" s="78">
        <v>4</v>
      </c>
      <c r="BP97" s="78">
        <v>7</v>
      </c>
      <c r="BQ97" s="78">
        <v>3</v>
      </c>
      <c r="BR97" s="78">
        <v>0</v>
      </c>
      <c r="BS97" s="78">
        <v>0</v>
      </c>
      <c r="BT97" s="78">
        <v>0</v>
      </c>
      <c r="BU97" s="137">
        <v>0.65217389999999997</v>
      </c>
      <c r="BW97" s="143" t="s">
        <v>776</v>
      </c>
      <c r="BX97" s="143" t="s">
        <v>777</v>
      </c>
      <c r="BY97" s="143" t="s">
        <v>728</v>
      </c>
      <c r="BZ97" s="143">
        <v>2492</v>
      </c>
      <c r="CM97" s="143" t="s">
        <v>776</v>
      </c>
      <c r="CN97" s="143" t="s">
        <v>777</v>
      </c>
      <c r="CO97" s="143" t="s">
        <v>728</v>
      </c>
      <c r="CP97" s="143">
        <v>2492</v>
      </c>
      <c r="CQ97" s="78">
        <v>8</v>
      </c>
      <c r="CR97" s="78">
        <v>0</v>
      </c>
      <c r="CS97" s="78">
        <v>12</v>
      </c>
      <c r="CT97" s="78">
        <v>4</v>
      </c>
      <c r="CU97" s="78">
        <v>2</v>
      </c>
      <c r="CV97" s="78">
        <v>4</v>
      </c>
      <c r="CW97" s="137">
        <v>0.57692310000000002</v>
      </c>
      <c r="CY97" s="143" t="s">
        <v>776</v>
      </c>
      <c r="CZ97" s="143" t="s">
        <v>777</v>
      </c>
      <c r="DA97" s="143" t="s">
        <v>728</v>
      </c>
      <c r="DB97" s="143">
        <v>2492</v>
      </c>
      <c r="DC97" s="78">
        <v>72</v>
      </c>
      <c r="DD97" s="137">
        <v>0</v>
      </c>
      <c r="DE97" s="137">
        <v>0</v>
      </c>
      <c r="DG97" s="143" t="s">
        <v>776</v>
      </c>
      <c r="DH97" s="143" t="s">
        <v>777</v>
      </c>
      <c r="DI97" s="143" t="s">
        <v>728</v>
      </c>
      <c r="DJ97" s="143">
        <v>2492</v>
      </c>
      <c r="DK97" s="78">
        <v>2</v>
      </c>
      <c r="DL97" s="78">
        <v>1</v>
      </c>
      <c r="DM97" s="78">
        <v>1</v>
      </c>
      <c r="DN97" s="78">
        <v>5</v>
      </c>
      <c r="DO97" s="78">
        <v>2</v>
      </c>
      <c r="DP97" s="78">
        <v>3</v>
      </c>
      <c r="DQ97" s="78">
        <v>7</v>
      </c>
      <c r="DR97" s="78">
        <v>0</v>
      </c>
      <c r="DS97" s="78">
        <v>1</v>
      </c>
      <c r="DT97" s="78">
        <v>0</v>
      </c>
      <c r="DU97" s="78">
        <v>0</v>
      </c>
      <c r="DV97" s="137">
        <v>0.75862070000000004</v>
      </c>
      <c r="DX97" s="143" t="s">
        <v>776</v>
      </c>
      <c r="DY97" s="143" t="s">
        <v>777</v>
      </c>
      <c r="DZ97" s="143" t="s">
        <v>728</v>
      </c>
      <c r="EA97" s="143">
        <v>2492</v>
      </c>
      <c r="EB97" s="78">
        <v>0</v>
      </c>
      <c r="EC97" s="78">
        <v>0</v>
      </c>
      <c r="ED97" s="78">
        <v>1</v>
      </c>
      <c r="EE97" s="78">
        <v>4</v>
      </c>
      <c r="EF97" s="78">
        <v>1</v>
      </c>
      <c r="EG97" s="78">
        <v>1</v>
      </c>
      <c r="EH97" s="78">
        <v>2</v>
      </c>
      <c r="EI97" s="78">
        <v>1</v>
      </c>
      <c r="EJ97" s="78">
        <v>1</v>
      </c>
      <c r="EK97" s="78">
        <v>1</v>
      </c>
      <c r="EL97" s="78">
        <v>4</v>
      </c>
      <c r="EM97" s="78">
        <v>1</v>
      </c>
      <c r="EN97" s="78">
        <v>1</v>
      </c>
      <c r="EO97" s="137">
        <v>0.66666669999999995</v>
      </c>
      <c r="EQ97" s="143" t="s">
        <v>776</v>
      </c>
      <c r="ER97" s="143" t="s">
        <v>777</v>
      </c>
      <c r="ES97" s="143" t="s">
        <v>728</v>
      </c>
      <c r="ET97" s="143">
        <v>2492</v>
      </c>
      <c r="EU97" s="78">
        <v>0.5</v>
      </c>
      <c r="EV97" s="78">
        <v>1</v>
      </c>
      <c r="EW97" s="78">
        <v>3</v>
      </c>
      <c r="EX97" s="78">
        <v>2</v>
      </c>
      <c r="EY97" s="78">
        <v>0</v>
      </c>
      <c r="EZ97" s="78">
        <v>3</v>
      </c>
      <c r="FA97" s="78">
        <v>2</v>
      </c>
      <c r="FB97" s="78">
        <v>0</v>
      </c>
      <c r="FC97" s="137">
        <v>0.88461540000000005</v>
      </c>
      <c r="FE97" s="137">
        <v>0.52607360000000003</v>
      </c>
    </row>
    <row r="98" spans="1:161" x14ac:dyDescent="0.25">
      <c r="A98" s="143" t="s">
        <v>776</v>
      </c>
      <c r="B98" s="143" t="s">
        <v>777</v>
      </c>
      <c r="C98" s="143" t="s">
        <v>728</v>
      </c>
      <c r="D98" s="143">
        <v>2759</v>
      </c>
      <c r="E98" s="78">
        <v>0.5</v>
      </c>
      <c r="F98" s="78">
        <v>1.5</v>
      </c>
      <c r="G98" s="78">
        <v>1</v>
      </c>
      <c r="H98" s="78">
        <v>2</v>
      </c>
      <c r="I98" s="78">
        <v>1</v>
      </c>
      <c r="J98" s="78">
        <v>0</v>
      </c>
      <c r="K98" s="78">
        <v>1</v>
      </c>
      <c r="L98" s="78">
        <v>0</v>
      </c>
      <c r="M98" s="78">
        <v>2</v>
      </c>
      <c r="N98" s="137">
        <v>0.64285709999999996</v>
      </c>
      <c r="P98" s="143" t="s">
        <v>776</v>
      </c>
      <c r="Q98" s="143" t="s">
        <v>777</v>
      </c>
      <c r="R98" s="143" t="s">
        <v>728</v>
      </c>
      <c r="S98" s="143">
        <v>2759</v>
      </c>
      <c r="T98" s="78">
        <v>1</v>
      </c>
      <c r="U98" s="78">
        <v>1</v>
      </c>
      <c r="V98" s="78">
        <v>2</v>
      </c>
      <c r="W98" s="78">
        <v>0</v>
      </c>
      <c r="X98" s="78">
        <v>6</v>
      </c>
      <c r="Y98" s="78">
        <v>1</v>
      </c>
      <c r="Z98" s="78">
        <v>3</v>
      </c>
      <c r="AA98" s="78">
        <v>2</v>
      </c>
      <c r="AB98" s="78">
        <v>6</v>
      </c>
      <c r="AC98" s="78">
        <v>3</v>
      </c>
      <c r="AD98" s="137">
        <v>0.73529409999999995</v>
      </c>
      <c r="AF98" s="143" t="s">
        <v>776</v>
      </c>
      <c r="AG98" s="143" t="s">
        <v>777</v>
      </c>
      <c r="AH98" s="143" t="s">
        <v>728</v>
      </c>
      <c r="AI98" s="143">
        <v>2759</v>
      </c>
      <c r="AJ98" s="78">
        <v>0</v>
      </c>
      <c r="AK98" s="78">
        <v>1</v>
      </c>
      <c r="AL98" s="78">
        <v>1</v>
      </c>
      <c r="AM98" s="78">
        <v>1</v>
      </c>
      <c r="AN98" s="78">
        <v>1</v>
      </c>
      <c r="AO98" s="78">
        <v>0</v>
      </c>
      <c r="AP98" s="78">
        <v>1</v>
      </c>
      <c r="AQ98" s="78">
        <v>1</v>
      </c>
      <c r="AR98" s="78">
        <v>0</v>
      </c>
      <c r="AS98" s="78">
        <v>0</v>
      </c>
      <c r="AT98" s="78">
        <v>0</v>
      </c>
      <c r="AU98" s="78">
        <v>0</v>
      </c>
      <c r="AV98" s="78">
        <v>2</v>
      </c>
      <c r="AW98" s="78">
        <v>0</v>
      </c>
      <c r="AX98" s="78">
        <v>0</v>
      </c>
      <c r="AY98" s="78">
        <v>1</v>
      </c>
      <c r="AZ98" s="78">
        <v>2</v>
      </c>
      <c r="BA98" s="78">
        <v>0.5</v>
      </c>
      <c r="BB98" s="78">
        <v>0.5</v>
      </c>
      <c r="BC98" s="78">
        <v>0.5</v>
      </c>
      <c r="BD98" s="78">
        <v>1</v>
      </c>
      <c r="BE98" s="78">
        <v>0.5</v>
      </c>
      <c r="BF98" s="78">
        <v>0</v>
      </c>
      <c r="BG98" s="78">
        <v>2</v>
      </c>
      <c r="BH98" s="137">
        <v>0.36363640000000003</v>
      </c>
      <c r="BJ98" s="143" t="s">
        <v>776</v>
      </c>
      <c r="BK98" s="143" t="s">
        <v>777</v>
      </c>
      <c r="BL98" s="143" t="s">
        <v>728</v>
      </c>
      <c r="BM98" s="143">
        <v>2759</v>
      </c>
      <c r="BN98" s="78">
        <v>1</v>
      </c>
      <c r="BO98" s="78">
        <v>4</v>
      </c>
      <c r="BP98" s="78">
        <v>0</v>
      </c>
      <c r="BQ98" s="78">
        <v>0</v>
      </c>
      <c r="BR98" s="78">
        <v>0</v>
      </c>
      <c r="BS98" s="78">
        <v>0</v>
      </c>
      <c r="BT98" s="78">
        <v>0</v>
      </c>
      <c r="BU98" s="137">
        <v>0.21739130000000001</v>
      </c>
      <c r="BW98" s="143" t="s">
        <v>776</v>
      </c>
      <c r="BX98" s="143" t="s">
        <v>777</v>
      </c>
      <c r="BY98" s="143" t="s">
        <v>728</v>
      </c>
      <c r="BZ98" s="143">
        <v>2759</v>
      </c>
      <c r="CM98" s="143" t="s">
        <v>776</v>
      </c>
      <c r="CN98" s="143" t="s">
        <v>777</v>
      </c>
      <c r="CO98" s="143" t="s">
        <v>728</v>
      </c>
      <c r="CP98" s="143">
        <v>2759</v>
      </c>
      <c r="CQ98" s="78">
        <v>8</v>
      </c>
      <c r="CR98" s="78">
        <v>0</v>
      </c>
      <c r="CS98" s="78">
        <v>24</v>
      </c>
      <c r="CT98" s="78">
        <v>4</v>
      </c>
      <c r="CU98" s="78">
        <v>2</v>
      </c>
      <c r="CV98" s="78">
        <v>8</v>
      </c>
      <c r="CW98" s="137">
        <v>0.88461540000000005</v>
      </c>
      <c r="CY98" s="143" t="s">
        <v>776</v>
      </c>
      <c r="CZ98" s="143" t="s">
        <v>777</v>
      </c>
      <c r="DA98" s="143" t="s">
        <v>728</v>
      </c>
      <c r="DB98" s="143">
        <v>2759</v>
      </c>
      <c r="DC98" s="78">
        <v>58</v>
      </c>
      <c r="DD98" s="137">
        <v>0</v>
      </c>
      <c r="DE98" s="137">
        <v>0</v>
      </c>
      <c r="DG98" s="143" t="s">
        <v>776</v>
      </c>
      <c r="DH98" s="143" t="s">
        <v>777</v>
      </c>
      <c r="DI98" s="143" t="s">
        <v>728</v>
      </c>
      <c r="DJ98" s="143">
        <v>2759</v>
      </c>
      <c r="DK98" s="78">
        <v>2</v>
      </c>
      <c r="DL98" s="78">
        <v>1</v>
      </c>
      <c r="DM98" s="78">
        <v>0</v>
      </c>
      <c r="DN98" s="78">
        <v>5</v>
      </c>
      <c r="DO98" s="78">
        <v>2</v>
      </c>
      <c r="DP98" s="78">
        <v>1</v>
      </c>
      <c r="DQ98" s="78">
        <v>5</v>
      </c>
      <c r="DR98" s="78">
        <v>0</v>
      </c>
      <c r="DS98" s="78">
        <v>1</v>
      </c>
      <c r="DT98" s="78">
        <v>0</v>
      </c>
      <c r="DU98" s="78">
        <v>0</v>
      </c>
      <c r="DV98" s="137">
        <v>0.58620689999999998</v>
      </c>
      <c r="DX98" s="143" t="s">
        <v>776</v>
      </c>
      <c r="DY98" s="143" t="s">
        <v>777</v>
      </c>
      <c r="DZ98" s="143" t="s">
        <v>728</v>
      </c>
      <c r="EA98" s="143">
        <v>2759</v>
      </c>
      <c r="EB98" s="78">
        <v>1</v>
      </c>
      <c r="EC98" s="78">
        <v>0</v>
      </c>
      <c r="ED98" s="78">
        <v>1</v>
      </c>
      <c r="EE98" s="78">
        <v>4</v>
      </c>
      <c r="EF98" s="78">
        <v>1</v>
      </c>
      <c r="EG98" s="78">
        <v>1</v>
      </c>
      <c r="EH98" s="78">
        <v>0</v>
      </c>
      <c r="EI98" s="78">
        <v>1</v>
      </c>
      <c r="EJ98" s="78">
        <v>1</v>
      </c>
      <c r="EK98" s="78">
        <v>1</v>
      </c>
      <c r="EL98" s="78">
        <v>4</v>
      </c>
      <c r="EM98" s="78">
        <v>1</v>
      </c>
      <c r="EN98" s="78">
        <v>1</v>
      </c>
      <c r="EO98" s="137">
        <v>0.62962960000000001</v>
      </c>
      <c r="EQ98" s="143" t="s">
        <v>776</v>
      </c>
      <c r="ER98" s="143" t="s">
        <v>777</v>
      </c>
      <c r="ES98" s="143" t="s">
        <v>728</v>
      </c>
      <c r="ET98" s="143">
        <v>2759</v>
      </c>
      <c r="EU98" s="78">
        <v>0.5</v>
      </c>
      <c r="EV98" s="78">
        <v>0</v>
      </c>
      <c r="EW98" s="78">
        <v>3</v>
      </c>
      <c r="EX98" s="78">
        <v>2</v>
      </c>
      <c r="EY98" s="78">
        <v>0</v>
      </c>
      <c r="EZ98" s="78">
        <v>3</v>
      </c>
      <c r="FA98" s="78">
        <v>2</v>
      </c>
      <c r="FB98" s="78">
        <v>0</v>
      </c>
      <c r="FC98" s="137">
        <v>0.80769230000000003</v>
      </c>
      <c r="FE98" s="137">
        <v>0.44631900000000002</v>
      </c>
    </row>
    <row r="99" spans="1:161" x14ac:dyDescent="0.25">
      <c r="A99" s="143" t="s">
        <v>778</v>
      </c>
      <c r="B99" s="143" t="s">
        <v>766</v>
      </c>
      <c r="C99" s="143" t="s">
        <v>728</v>
      </c>
      <c r="D99" s="143">
        <v>501</v>
      </c>
      <c r="E99" s="78">
        <v>0</v>
      </c>
      <c r="F99" s="78">
        <v>2</v>
      </c>
      <c r="G99" s="78">
        <v>1</v>
      </c>
      <c r="H99" s="78">
        <v>0</v>
      </c>
      <c r="I99" s="78">
        <v>1</v>
      </c>
      <c r="J99" s="78">
        <v>0</v>
      </c>
      <c r="K99" s="78">
        <v>1</v>
      </c>
      <c r="L99" s="78">
        <v>0</v>
      </c>
      <c r="M99" s="78">
        <v>0</v>
      </c>
      <c r="N99" s="137">
        <v>0.35714289999999999</v>
      </c>
      <c r="P99" s="143" t="s">
        <v>778</v>
      </c>
      <c r="Q99" s="143" t="s">
        <v>766</v>
      </c>
      <c r="R99" s="143" t="s">
        <v>728</v>
      </c>
      <c r="S99" s="143">
        <v>501</v>
      </c>
      <c r="T99" s="78">
        <v>1</v>
      </c>
      <c r="U99" s="78">
        <v>1</v>
      </c>
      <c r="V99" s="78">
        <v>0</v>
      </c>
      <c r="W99" s="78">
        <v>1.5</v>
      </c>
      <c r="X99" s="78">
        <v>9</v>
      </c>
      <c r="Y99" s="78">
        <v>1</v>
      </c>
      <c r="Z99" s="78">
        <v>3</v>
      </c>
      <c r="AA99" s="78">
        <v>0</v>
      </c>
      <c r="AB99" s="78">
        <v>6</v>
      </c>
      <c r="AC99" s="78">
        <v>0</v>
      </c>
      <c r="AD99" s="137">
        <v>0.66176469999999998</v>
      </c>
      <c r="AF99" s="143" t="s">
        <v>778</v>
      </c>
      <c r="AG99" s="143" t="s">
        <v>766</v>
      </c>
      <c r="AH99" s="143" t="s">
        <v>728</v>
      </c>
      <c r="AI99" s="143">
        <v>501</v>
      </c>
      <c r="AJ99" s="78">
        <v>0</v>
      </c>
      <c r="AK99" s="78">
        <v>1</v>
      </c>
      <c r="AL99" s="78">
        <v>1</v>
      </c>
      <c r="AM99" s="78">
        <v>0</v>
      </c>
      <c r="AN99" s="78">
        <v>1</v>
      </c>
      <c r="AO99" s="78">
        <v>2</v>
      </c>
      <c r="AP99" s="78">
        <v>1</v>
      </c>
      <c r="AQ99" s="78">
        <v>1</v>
      </c>
      <c r="AR99" s="78">
        <v>0</v>
      </c>
      <c r="AS99" s="78">
        <v>2</v>
      </c>
      <c r="AT99" s="78">
        <v>0</v>
      </c>
      <c r="AU99" s="78">
        <v>1</v>
      </c>
      <c r="AV99" s="78">
        <v>0</v>
      </c>
      <c r="AW99" s="78">
        <v>1</v>
      </c>
      <c r="AX99" s="78">
        <v>0</v>
      </c>
      <c r="AY99" s="78">
        <v>0</v>
      </c>
      <c r="AZ99" s="78">
        <v>2</v>
      </c>
      <c r="BA99" s="78">
        <v>0.5</v>
      </c>
      <c r="BB99" s="78">
        <v>0.5</v>
      </c>
      <c r="BC99" s="78">
        <v>0.5</v>
      </c>
      <c r="BD99" s="78">
        <v>1</v>
      </c>
      <c r="BE99" s="78">
        <v>0</v>
      </c>
      <c r="BF99" s="78">
        <v>1</v>
      </c>
      <c r="BG99" s="78">
        <v>6</v>
      </c>
      <c r="BH99" s="137">
        <v>0.51136360000000003</v>
      </c>
      <c r="BJ99" s="143" t="s">
        <v>778</v>
      </c>
      <c r="BK99" s="143" t="s">
        <v>766</v>
      </c>
      <c r="BL99" s="143" t="s">
        <v>728</v>
      </c>
      <c r="BM99" s="143">
        <v>501</v>
      </c>
      <c r="BN99" s="78">
        <v>1</v>
      </c>
      <c r="BO99" s="78">
        <v>4</v>
      </c>
      <c r="BP99" s="78">
        <v>7</v>
      </c>
      <c r="BQ99" s="78">
        <v>0</v>
      </c>
      <c r="BR99" s="78">
        <v>0</v>
      </c>
      <c r="BS99" s="78">
        <v>0</v>
      </c>
      <c r="BT99" s="78">
        <v>2</v>
      </c>
      <c r="BU99" s="137">
        <v>0.6086956</v>
      </c>
      <c r="BW99" s="143" t="s">
        <v>778</v>
      </c>
      <c r="BX99" s="143" t="s">
        <v>766</v>
      </c>
      <c r="BY99" s="143" t="s">
        <v>728</v>
      </c>
      <c r="BZ99" s="143">
        <v>501</v>
      </c>
      <c r="CM99" s="143" t="s">
        <v>778</v>
      </c>
      <c r="CN99" s="143" t="s">
        <v>766</v>
      </c>
      <c r="CO99" s="143" t="s">
        <v>728</v>
      </c>
      <c r="CP99" s="143">
        <v>501</v>
      </c>
      <c r="CQ99" s="78">
        <v>8</v>
      </c>
      <c r="CR99" s="78">
        <v>0</v>
      </c>
      <c r="CS99" s="78">
        <v>20</v>
      </c>
      <c r="CT99" s="78">
        <v>4</v>
      </c>
      <c r="CU99" s="78">
        <v>0</v>
      </c>
      <c r="CV99" s="78">
        <v>8</v>
      </c>
      <c r="CW99" s="137">
        <v>0.76923079999999999</v>
      </c>
      <c r="CY99" s="143" t="s">
        <v>778</v>
      </c>
      <c r="CZ99" s="143" t="s">
        <v>766</v>
      </c>
      <c r="DA99" s="143" t="s">
        <v>728</v>
      </c>
      <c r="DB99" s="143">
        <v>501</v>
      </c>
      <c r="DC99" s="78">
        <v>26</v>
      </c>
      <c r="DD99" s="137">
        <v>0.6</v>
      </c>
      <c r="DE99" s="137">
        <v>0.1733333</v>
      </c>
      <c r="DG99" s="143" t="s">
        <v>778</v>
      </c>
      <c r="DH99" s="143" t="s">
        <v>766</v>
      </c>
      <c r="DI99" s="143" t="s">
        <v>728</v>
      </c>
      <c r="DJ99" s="143">
        <v>501</v>
      </c>
      <c r="DK99" s="78">
        <v>0</v>
      </c>
      <c r="DL99" s="78">
        <v>1</v>
      </c>
      <c r="DM99" s="78">
        <v>0</v>
      </c>
      <c r="DN99" s="78">
        <v>7</v>
      </c>
      <c r="DO99" s="78">
        <v>2</v>
      </c>
      <c r="DP99" s="78">
        <v>3</v>
      </c>
      <c r="DQ99" s="78">
        <v>6</v>
      </c>
      <c r="DR99" s="78">
        <v>1</v>
      </c>
      <c r="DS99" s="78">
        <v>1</v>
      </c>
      <c r="DT99" s="78">
        <v>0</v>
      </c>
      <c r="DU99" s="78">
        <v>1</v>
      </c>
      <c r="DV99" s="137">
        <v>0.75862070000000004</v>
      </c>
      <c r="DX99" s="143" t="s">
        <v>778</v>
      </c>
      <c r="DY99" s="143" t="s">
        <v>766</v>
      </c>
      <c r="DZ99" s="143" t="s">
        <v>728</v>
      </c>
      <c r="EA99" s="143">
        <v>501</v>
      </c>
      <c r="EB99" s="78">
        <v>1</v>
      </c>
      <c r="EC99" s="78">
        <v>8</v>
      </c>
      <c r="ED99" s="78">
        <v>1</v>
      </c>
      <c r="EE99" s="78">
        <v>4</v>
      </c>
      <c r="EF99" s="78">
        <v>1</v>
      </c>
      <c r="EG99" s="78">
        <v>1</v>
      </c>
      <c r="EH99" s="78">
        <v>0</v>
      </c>
      <c r="EI99" s="78">
        <v>1</v>
      </c>
      <c r="EJ99" s="78">
        <v>1</v>
      </c>
      <c r="EK99" s="78">
        <v>1</v>
      </c>
      <c r="EL99" s="78">
        <v>4</v>
      </c>
      <c r="EM99" s="78">
        <v>1</v>
      </c>
      <c r="EN99" s="78">
        <v>0</v>
      </c>
      <c r="EO99" s="137">
        <v>0.88888889999999998</v>
      </c>
      <c r="EQ99" s="143" t="s">
        <v>778</v>
      </c>
      <c r="ER99" s="143" t="s">
        <v>766</v>
      </c>
      <c r="ES99" s="143" t="s">
        <v>728</v>
      </c>
      <c r="ET99" s="143">
        <v>501</v>
      </c>
      <c r="EU99" s="78">
        <v>0.5</v>
      </c>
      <c r="EV99" s="78">
        <v>0</v>
      </c>
      <c r="EW99" s="78">
        <v>3</v>
      </c>
      <c r="EX99" s="78">
        <v>0</v>
      </c>
      <c r="EY99" s="78">
        <v>0</v>
      </c>
      <c r="EZ99" s="78">
        <v>3</v>
      </c>
      <c r="FA99" s="78">
        <v>2</v>
      </c>
      <c r="FB99" s="78">
        <v>1</v>
      </c>
      <c r="FC99" s="137">
        <v>0.73076920000000001</v>
      </c>
      <c r="FE99" s="137">
        <v>0.53711660000000006</v>
      </c>
    </row>
    <row r="100" spans="1:161" hidden="1" x14ac:dyDescent="0.25">
      <c r="A100" s="143" t="s">
        <v>778</v>
      </c>
      <c r="B100" s="143" t="s">
        <v>766</v>
      </c>
      <c r="C100" s="143" t="s">
        <v>727</v>
      </c>
      <c r="D100" s="143">
        <v>1155</v>
      </c>
      <c r="E100" s="78">
        <v>0.5</v>
      </c>
      <c r="F100" s="78">
        <v>2.5</v>
      </c>
      <c r="G100" s="78">
        <v>1</v>
      </c>
      <c r="H100" s="78">
        <v>0</v>
      </c>
      <c r="I100" s="78">
        <v>1</v>
      </c>
      <c r="J100" s="78">
        <v>0</v>
      </c>
      <c r="K100" s="78">
        <v>1</v>
      </c>
      <c r="L100" s="78">
        <v>0</v>
      </c>
      <c r="M100" s="78">
        <v>2</v>
      </c>
      <c r="N100" s="137">
        <v>0.57142859999999995</v>
      </c>
      <c r="P100" s="143" t="s">
        <v>778</v>
      </c>
      <c r="Q100" s="143" t="s">
        <v>766</v>
      </c>
      <c r="R100" s="143" t="s">
        <v>727</v>
      </c>
      <c r="S100" s="143">
        <v>1155</v>
      </c>
      <c r="T100" s="78">
        <v>0</v>
      </c>
      <c r="U100" s="78">
        <v>0</v>
      </c>
      <c r="V100" s="78">
        <v>0</v>
      </c>
      <c r="W100" s="78">
        <v>2</v>
      </c>
      <c r="X100" s="78">
        <v>6</v>
      </c>
      <c r="Y100" s="78">
        <v>1</v>
      </c>
      <c r="Z100" s="78">
        <v>3</v>
      </c>
      <c r="AA100" s="78">
        <v>0</v>
      </c>
      <c r="AB100" s="78">
        <v>6</v>
      </c>
      <c r="AC100" s="78">
        <v>3</v>
      </c>
      <c r="AD100" s="137">
        <v>0.6176471</v>
      </c>
      <c r="AF100" s="143" t="s">
        <v>778</v>
      </c>
      <c r="AG100" s="143" t="s">
        <v>766</v>
      </c>
      <c r="AH100" s="143" t="s">
        <v>727</v>
      </c>
      <c r="AI100" s="143">
        <v>1155</v>
      </c>
      <c r="AJ100" s="78">
        <v>1</v>
      </c>
      <c r="AK100" s="78">
        <v>1</v>
      </c>
      <c r="AL100" s="78">
        <v>1</v>
      </c>
      <c r="AM100" s="78">
        <v>1</v>
      </c>
      <c r="AN100" s="78">
        <v>1</v>
      </c>
      <c r="AO100" s="78">
        <v>2</v>
      </c>
      <c r="AP100" s="78">
        <v>1</v>
      </c>
      <c r="AQ100" s="78">
        <v>1</v>
      </c>
      <c r="AR100" s="78">
        <v>2</v>
      </c>
      <c r="AS100" s="78">
        <v>2</v>
      </c>
      <c r="AT100" s="78">
        <v>2</v>
      </c>
      <c r="AU100" s="78">
        <v>1</v>
      </c>
      <c r="AV100" s="78">
        <v>2</v>
      </c>
      <c r="AW100" s="78">
        <v>1</v>
      </c>
      <c r="AX100" s="78">
        <v>0</v>
      </c>
      <c r="AY100" s="78">
        <v>0</v>
      </c>
      <c r="AZ100" s="78">
        <v>2</v>
      </c>
      <c r="BA100" s="78">
        <v>0.5</v>
      </c>
      <c r="BB100" s="78">
        <v>0.5</v>
      </c>
      <c r="BC100" s="78">
        <v>0.5</v>
      </c>
      <c r="BD100" s="78">
        <v>1</v>
      </c>
      <c r="BE100" s="78">
        <v>0</v>
      </c>
      <c r="BF100" s="78">
        <v>1</v>
      </c>
      <c r="BG100" s="78">
        <v>6</v>
      </c>
      <c r="BH100" s="137">
        <v>0.69318179999999996</v>
      </c>
      <c r="BJ100" s="143" t="s">
        <v>778</v>
      </c>
      <c r="BK100" s="143" t="s">
        <v>766</v>
      </c>
      <c r="BL100" s="143" t="s">
        <v>727</v>
      </c>
      <c r="BM100" s="143">
        <v>1155</v>
      </c>
      <c r="BN100" s="78">
        <v>1</v>
      </c>
      <c r="BO100" s="78">
        <v>4</v>
      </c>
      <c r="BP100" s="78">
        <v>7</v>
      </c>
      <c r="BQ100" s="78">
        <v>3</v>
      </c>
      <c r="BR100" s="78">
        <v>3</v>
      </c>
      <c r="BS100" s="78">
        <v>3</v>
      </c>
      <c r="BT100" s="78">
        <v>2</v>
      </c>
      <c r="BU100" s="137">
        <v>1</v>
      </c>
      <c r="BW100" s="143" t="s">
        <v>778</v>
      </c>
      <c r="BX100" s="143" t="s">
        <v>766</v>
      </c>
      <c r="BY100" s="143" t="s">
        <v>727</v>
      </c>
      <c r="BZ100" s="143">
        <v>1155</v>
      </c>
      <c r="CA100" s="78">
        <v>1</v>
      </c>
      <c r="CB100" s="78">
        <v>0</v>
      </c>
      <c r="CC100" s="78">
        <v>1</v>
      </c>
      <c r="CD100" s="78">
        <v>2</v>
      </c>
      <c r="CE100" s="78">
        <v>1</v>
      </c>
      <c r="CF100" s="78">
        <v>2</v>
      </c>
      <c r="CG100" s="78">
        <v>1</v>
      </c>
      <c r="CH100" s="78">
        <v>2</v>
      </c>
      <c r="CI100" s="78">
        <v>1</v>
      </c>
      <c r="CJ100" s="78">
        <v>0</v>
      </c>
      <c r="CK100" s="137">
        <v>0.73333329999999997</v>
      </c>
      <c r="CM100" s="143" t="s">
        <v>778</v>
      </c>
      <c r="CN100" s="143" t="s">
        <v>766</v>
      </c>
      <c r="CO100" s="143" t="s">
        <v>727</v>
      </c>
      <c r="CP100" s="143">
        <v>1155</v>
      </c>
      <c r="CQ100" s="78">
        <v>8</v>
      </c>
      <c r="CR100" s="78">
        <v>0</v>
      </c>
      <c r="CS100" s="78">
        <v>20</v>
      </c>
      <c r="CT100" s="78">
        <v>4</v>
      </c>
      <c r="CU100" s="78">
        <v>2</v>
      </c>
      <c r="CV100" s="78">
        <v>8</v>
      </c>
      <c r="CW100" s="137">
        <v>0.80769230000000003</v>
      </c>
      <c r="CY100" s="143" t="s">
        <v>778</v>
      </c>
      <c r="CZ100" s="143" t="s">
        <v>766</v>
      </c>
      <c r="DA100" s="143" t="s">
        <v>727</v>
      </c>
      <c r="DB100" s="143">
        <v>1155</v>
      </c>
      <c r="DC100" s="78">
        <v>42</v>
      </c>
      <c r="DD100" s="137">
        <v>0.8</v>
      </c>
      <c r="DE100" s="137">
        <v>0.37333339999999998</v>
      </c>
      <c r="DG100" s="143" t="s">
        <v>778</v>
      </c>
      <c r="DH100" s="143" t="s">
        <v>766</v>
      </c>
      <c r="DI100" s="143" t="s">
        <v>727</v>
      </c>
      <c r="DJ100" s="143">
        <v>1155</v>
      </c>
      <c r="DK100" s="78">
        <v>2</v>
      </c>
      <c r="DL100" s="78">
        <v>1</v>
      </c>
      <c r="DM100" s="78">
        <v>1</v>
      </c>
      <c r="DN100" s="78">
        <v>7</v>
      </c>
      <c r="DO100" s="78">
        <v>2</v>
      </c>
      <c r="DP100" s="78">
        <v>3</v>
      </c>
      <c r="DQ100" s="78">
        <v>7</v>
      </c>
      <c r="DR100" s="78">
        <v>0</v>
      </c>
      <c r="DS100" s="78">
        <v>1</v>
      </c>
      <c r="DT100" s="78">
        <v>2</v>
      </c>
      <c r="DU100" s="78">
        <v>1</v>
      </c>
      <c r="DV100" s="137">
        <v>0.93103449999999999</v>
      </c>
      <c r="DX100" s="143" t="s">
        <v>778</v>
      </c>
      <c r="DY100" s="143" t="s">
        <v>766</v>
      </c>
      <c r="DZ100" s="143" t="s">
        <v>727</v>
      </c>
      <c r="EA100" s="143">
        <v>1155</v>
      </c>
      <c r="EB100" s="78">
        <v>1</v>
      </c>
      <c r="EC100" s="78">
        <v>8</v>
      </c>
      <c r="ED100" s="78">
        <v>1</v>
      </c>
      <c r="EE100" s="78">
        <v>4</v>
      </c>
      <c r="EF100" s="78">
        <v>1</v>
      </c>
      <c r="EG100" s="78">
        <v>1</v>
      </c>
      <c r="EH100" s="78">
        <v>0</v>
      </c>
      <c r="EI100" s="78">
        <v>1</v>
      </c>
      <c r="EJ100" s="78">
        <v>1</v>
      </c>
      <c r="EK100" s="78">
        <v>1</v>
      </c>
      <c r="EL100" s="78">
        <v>4</v>
      </c>
      <c r="EM100" s="78">
        <v>1</v>
      </c>
      <c r="EN100" s="78">
        <v>0</v>
      </c>
      <c r="EO100" s="137">
        <v>0.88888889999999998</v>
      </c>
      <c r="EQ100" s="143" t="s">
        <v>778</v>
      </c>
      <c r="ER100" s="143" t="s">
        <v>766</v>
      </c>
      <c r="ES100" s="143" t="s">
        <v>727</v>
      </c>
      <c r="ET100" s="143">
        <v>1155</v>
      </c>
      <c r="EU100" s="78">
        <v>0.5</v>
      </c>
      <c r="EV100" s="78">
        <v>0</v>
      </c>
      <c r="EW100" s="78">
        <v>3</v>
      </c>
      <c r="EX100" s="78">
        <v>0</v>
      </c>
      <c r="EY100" s="78">
        <v>0</v>
      </c>
      <c r="EZ100" s="78">
        <v>3</v>
      </c>
      <c r="FA100" s="78">
        <v>2</v>
      </c>
      <c r="FB100" s="78">
        <v>1</v>
      </c>
      <c r="FC100" s="137">
        <v>0.73076920000000001</v>
      </c>
      <c r="FE100" s="137">
        <v>0.67331379999999996</v>
      </c>
    </row>
    <row r="101" spans="1:161" hidden="1" x14ac:dyDescent="0.25">
      <c r="A101" s="143" t="s">
        <v>778</v>
      </c>
      <c r="B101" s="143" t="s">
        <v>766</v>
      </c>
      <c r="C101" s="143" t="s">
        <v>729</v>
      </c>
      <c r="D101" s="143">
        <v>1159</v>
      </c>
      <c r="E101" s="78">
        <v>0.5</v>
      </c>
      <c r="F101" s="78">
        <v>2.5</v>
      </c>
      <c r="G101" s="78">
        <v>1</v>
      </c>
      <c r="H101" s="78">
        <v>3</v>
      </c>
      <c r="I101" s="78">
        <v>1</v>
      </c>
      <c r="J101" s="78">
        <v>1</v>
      </c>
      <c r="K101" s="78">
        <v>1</v>
      </c>
      <c r="L101" s="78">
        <v>1</v>
      </c>
      <c r="M101" s="78">
        <v>2</v>
      </c>
      <c r="N101" s="137">
        <v>0.92857140000000005</v>
      </c>
      <c r="P101" s="143" t="s">
        <v>778</v>
      </c>
      <c r="Q101" s="143" t="s">
        <v>766</v>
      </c>
      <c r="R101" s="143" t="s">
        <v>729</v>
      </c>
      <c r="S101" s="143">
        <v>1159</v>
      </c>
      <c r="T101" s="78">
        <v>0</v>
      </c>
      <c r="U101" s="78">
        <v>1</v>
      </c>
      <c r="V101" s="78">
        <v>3</v>
      </c>
      <c r="W101" s="78">
        <v>2</v>
      </c>
      <c r="X101" s="78">
        <v>9</v>
      </c>
      <c r="Y101" s="78">
        <v>1</v>
      </c>
      <c r="Z101" s="78">
        <v>3</v>
      </c>
      <c r="AA101" s="78">
        <v>0</v>
      </c>
      <c r="AB101" s="78">
        <v>6</v>
      </c>
      <c r="AC101" s="78">
        <v>3</v>
      </c>
      <c r="AD101" s="137">
        <v>0.82352939999999997</v>
      </c>
      <c r="AF101" s="143" t="s">
        <v>778</v>
      </c>
      <c r="AG101" s="143" t="s">
        <v>766</v>
      </c>
      <c r="AH101" s="143" t="s">
        <v>729</v>
      </c>
      <c r="AI101" s="143">
        <v>1159</v>
      </c>
      <c r="AJ101" s="78">
        <v>1</v>
      </c>
      <c r="AK101" s="78">
        <v>1</v>
      </c>
      <c r="AL101" s="78">
        <v>1</v>
      </c>
      <c r="AM101" s="78">
        <v>1</v>
      </c>
      <c r="AN101" s="78">
        <v>1</v>
      </c>
      <c r="AO101" s="78">
        <v>2</v>
      </c>
      <c r="AP101" s="78">
        <v>1</v>
      </c>
      <c r="AQ101" s="78">
        <v>1</v>
      </c>
      <c r="AR101" s="78">
        <v>2</v>
      </c>
      <c r="AS101" s="78">
        <v>2</v>
      </c>
      <c r="AT101" s="78">
        <v>0</v>
      </c>
      <c r="AU101" s="78">
        <v>1</v>
      </c>
      <c r="AV101" s="78">
        <v>2</v>
      </c>
      <c r="AW101" s="78">
        <v>1</v>
      </c>
      <c r="AX101" s="78">
        <v>4</v>
      </c>
      <c r="AY101" s="78">
        <v>1</v>
      </c>
      <c r="AZ101" s="78">
        <v>2</v>
      </c>
      <c r="BA101" s="78">
        <v>0.5</v>
      </c>
      <c r="BB101" s="78">
        <v>0.5</v>
      </c>
      <c r="BC101" s="78">
        <v>0.5</v>
      </c>
      <c r="BD101" s="78">
        <v>1</v>
      </c>
      <c r="BE101" s="78">
        <v>0.5</v>
      </c>
      <c r="BF101" s="78">
        <v>1</v>
      </c>
      <c r="BG101" s="78">
        <v>8</v>
      </c>
      <c r="BH101" s="137">
        <v>0.81818179999999996</v>
      </c>
      <c r="BJ101" s="143" t="s">
        <v>778</v>
      </c>
      <c r="BK101" s="143" t="s">
        <v>766</v>
      </c>
      <c r="BL101" s="143" t="s">
        <v>729</v>
      </c>
      <c r="BM101" s="143">
        <v>1159</v>
      </c>
      <c r="BN101" s="78">
        <v>1</v>
      </c>
      <c r="BO101" s="78">
        <v>4</v>
      </c>
      <c r="BP101" s="78">
        <v>7</v>
      </c>
      <c r="BQ101" s="78">
        <v>3</v>
      </c>
      <c r="BR101" s="78">
        <v>3</v>
      </c>
      <c r="BS101" s="78">
        <v>0</v>
      </c>
      <c r="BT101" s="78">
        <v>2</v>
      </c>
      <c r="BU101" s="137">
        <v>0.86956520000000004</v>
      </c>
      <c r="BW101" s="143" t="s">
        <v>778</v>
      </c>
      <c r="BX101" s="143" t="s">
        <v>766</v>
      </c>
      <c r="BY101" s="143" t="s">
        <v>729</v>
      </c>
      <c r="BZ101" s="143">
        <v>1159</v>
      </c>
      <c r="CA101" s="78">
        <v>1</v>
      </c>
      <c r="CB101" s="78">
        <v>1</v>
      </c>
      <c r="CC101" s="78">
        <v>1</v>
      </c>
      <c r="CD101" s="78">
        <v>2</v>
      </c>
      <c r="CE101" s="78">
        <v>1</v>
      </c>
      <c r="CF101" s="78">
        <v>2</v>
      </c>
      <c r="CG101" s="78">
        <v>1</v>
      </c>
      <c r="CH101" s="78">
        <v>2</v>
      </c>
      <c r="CI101" s="78">
        <v>1</v>
      </c>
      <c r="CJ101" s="78">
        <v>0</v>
      </c>
      <c r="CK101" s="137">
        <v>0.8</v>
      </c>
      <c r="CM101" s="143" t="s">
        <v>778</v>
      </c>
      <c r="CN101" s="143" t="s">
        <v>766</v>
      </c>
      <c r="CO101" s="143" t="s">
        <v>729</v>
      </c>
      <c r="CP101" s="143">
        <v>1159</v>
      </c>
      <c r="CQ101" s="78">
        <v>8</v>
      </c>
      <c r="CR101" s="78">
        <v>6</v>
      </c>
      <c r="CS101" s="78">
        <v>20</v>
      </c>
      <c r="CT101" s="78">
        <v>4</v>
      </c>
      <c r="CU101" s="78">
        <v>2</v>
      </c>
      <c r="CV101" s="78">
        <v>8</v>
      </c>
      <c r="CW101" s="137">
        <v>0.92307689999999998</v>
      </c>
      <c r="CY101" s="143" t="s">
        <v>778</v>
      </c>
      <c r="CZ101" s="143" t="s">
        <v>766</v>
      </c>
      <c r="DA101" s="143" t="s">
        <v>729</v>
      </c>
      <c r="DB101" s="143">
        <v>1159</v>
      </c>
      <c r="DC101" s="78">
        <v>60</v>
      </c>
      <c r="DD101" s="137">
        <v>0.2</v>
      </c>
      <c r="DE101" s="137">
        <v>0.13333329999999999</v>
      </c>
      <c r="DG101" s="143" t="s">
        <v>778</v>
      </c>
      <c r="DH101" s="143" t="s">
        <v>766</v>
      </c>
      <c r="DI101" s="143" t="s">
        <v>729</v>
      </c>
      <c r="DJ101" s="143">
        <v>1159</v>
      </c>
      <c r="DK101" s="78">
        <v>2</v>
      </c>
      <c r="DL101" s="78">
        <v>1</v>
      </c>
      <c r="DM101" s="78">
        <v>1</v>
      </c>
      <c r="DN101" s="78">
        <v>6</v>
      </c>
      <c r="DO101" s="78">
        <v>2</v>
      </c>
      <c r="DP101" s="78">
        <v>3</v>
      </c>
      <c r="DQ101" s="78">
        <v>8</v>
      </c>
      <c r="DR101" s="78">
        <v>0</v>
      </c>
      <c r="DS101" s="78">
        <v>1</v>
      </c>
      <c r="DT101" s="78">
        <v>2</v>
      </c>
      <c r="DU101" s="78">
        <v>1</v>
      </c>
      <c r="DV101" s="137">
        <v>0.93103449999999999</v>
      </c>
      <c r="DX101" s="143" t="s">
        <v>778</v>
      </c>
      <c r="DY101" s="143" t="s">
        <v>766</v>
      </c>
      <c r="DZ101" s="143" t="s">
        <v>729</v>
      </c>
      <c r="EA101" s="143">
        <v>1159</v>
      </c>
      <c r="EB101" s="78">
        <v>1</v>
      </c>
      <c r="EC101" s="78">
        <v>8</v>
      </c>
      <c r="ED101" s="78">
        <v>1</v>
      </c>
      <c r="EE101" s="78">
        <v>4</v>
      </c>
      <c r="EF101" s="78">
        <v>1</v>
      </c>
      <c r="EG101" s="78">
        <v>1</v>
      </c>
      <c r="EH101" s="78">
        <v>0</v>
      </c>
      <c r="EI101" s="78">
        <v>1</v>
      </c>
      <c r="EJ101" s="78">
        <v>1</v>
      </c>
      <c r="EK101" s="78">
        <v>1</v>
      </c>
      <c r="EL101" s="78">
        <v>4</v>
      </c>
      <c r="EM101" s="78">
        <v>1</v>
      </c>
      <c r="EN101" s="78">
        <v>1</v>
      </c>
      <c r="EO101" s="137">
        <v>0.92592589999999997</v>
      </c>
      <c r="EQ101" s="143" t="s">
        <v>778</v>
      </c>
      <c r="ER101" s="143" t="s">
        <v>766</v>
      </c>
      <c r="ES101" s="143" t="s">
        <v>729</v>
      </c>
      <c r="ET101" s="143">
        <v>1159</v>
      </c>
      <c r="EU101" s="78">
        <v>0.5</v>
      </c>
      <c r="EV101" s="78">
        <v>1</v>
      </c>
      <c r="EW101" s="78">
        <v>3</v>
      </c>
      <c r="EX101" s="78">
        <v>0</v>
      </c>
      <c r="EY101" s="78">
        <v>0</v>
      </c>
      <c r="EZ101" s="78">
        <v>3</v>
      </c>
      <c r="FA101" s="78">
        <v>2</v>
      </c>
      <c r="FB101" s="78">
        <v>1</v>
      </c>
      <c r="FC101" s="137">
        <v>0.80769230000000003</v>
      </c>
      <c r="FE101" s="137">
        <v>0.67888559999999998</v>
      </c>
    </row>
    <row r="102" spans="1:161" hidden="1" x14ac:dyDescent="0.25">
      <c r="A102" s="143" t="s">
        <v>778</v>
      </c>
      <c r="B102" s="143" t="s">
        <v>766</v>
      </c>
      <c r="C102" s="143" t="s">
        <v>727</v>
      </c>
      <c r="D102" s="143">
        <v>1935</v>
      </c>
      <c r="E102" s="78">
        <v>0.5</v>
      </c>
      <c r="F102" s="78">
        <v>2.5</v>
      </c>
      <c r="G102" s="78">
        <v>0</v>
      </c>
      <c r="H102" s="78">
        <v>3</v>
      </c>
      <c r="I102" s="78">
        <v>1</v>
      </c>
      <c r="J102" s="78">
        <v>0</v>
      </c>
      <c r="K102" s="78">
        <v>1</v>
      </c>
      <c r="L102" s="78">
        <v>1</v>
      </c>
      <c r="M102" s="78">
        <v>2</v>
      </c>
      <c r="N102" s="137">
        <v>0.78571429999999998</v>
      </c>
      <c r="P102" s="143" t="s">
        <v>778</v>
      </c>
      <c r="Q102" s="143" t="s">
        <v>766</v>
      </c>
      <c r="R102" s="143" t="s">
        <v>727</v>
      </c>
      <c r="S102" s="143">
        <v>1935</v>
      </c>
      <c r="T102" s="78">
        <v>1</v>
      </c>
      <c r="U102" s="78">
        <v>1</v>
      </c>
      <c r="V102" s="78">
        <v>3</v>
      </c>
      <c r="W102" s="78">
        <v>2</v>
      </c>
      <c r="X102" s="78">
        <v>0</v>
      </c>
      <c r="Y102" s="78">
        <v>1</v>
      </c>
      <c r="Z102" s="78">
        <v>3</v>
      </c>
      <c r="AA102" s="78">
        <v>2</v>
      </c>
      <c r="AB102" s="78">
        <v>6</v>
      </c>
      <c r="AC102" s="78">
        <v>3</v>
      </c>
      <c r="AD102" s="137">
        <v>0.64705880000000005</v>
      </c>
      <c r="AF102" s="143" t="s">
        <v>778</v>
      </c>
      <c r="AG102" s="143" t="s">
        <v>766</v>
      </c>
      <c r="AH102" s="143" t="s">
        <v>727</v>
      </c>
      <c r="AI102" s="143">
        <v>1935</v>
      </c>
      <c r="AJ102" s="78">
        <v>1</v>
      </c>
      <c r="AK102" s="78">
        <v>0</v>
      </c>
      <c r="AL102" s="78">
        <v>1</v>
      </c>
      <c r="AM102" s="78">
        <v>6</v>
      </c>
      <c r="AN102" s="78">
        <v>1</v>
      </c>
      <c r="AO102" s="78">
        <v>0</v>
      </c>
      <c r="AP102" s="78">
        <v>1</v>
      </c>
      <c r="AQ102" s="78">
        <v>1</v>
      </c>
      <c r="AR102" s="78">
        <v>2</v>
      </c>
      <c r="AS102" s="78">
        <v>2</v>
      </c>
      <c r="AT102" s="78">
        <v>0</v>
      </c>
      <c r="AU102" s="78">
        <v>1</v>
      </c>
      <c r="AV102" s="78">
        <v>2</v>
      </c>
      <c r="AW102" s="78">
        <v>1</v>
      </c>
      <c r="AX102" s="78">
        <v>0</v>
      </c>
      <c r="AY102" s="78">
        <v>1</v>
      </c>
      <c r="AZ102" s="78">
        <v>2</v>
      </c>
      <c r="BA102" s="78">
        <v>0.5</v>
      </c>
      <c r="BB102" s="78">
        <v>0.5</v>
      </c>
      <c r="BC102" s="78">
        <v>0.5</v>
      </c>
      <c r="BD102" s="78">
        <v>1</v>
      </c>
      <c r="BE102" s="78">
        <v>0</v>
      </c>
      <c r="BF102" s="78">
        <v>1</v>
      </c>
      <c r="BG102" s="78">
        <v>8</v>
      </c>
      <c r="BH102" s="137">
        <v>0.76136360000000003</v>
      </c>
      <c r="BJ102" s="143" t="s">
        <v>778</v>
      </c>
      <c r="BK102" s="143" t="s">
        <v>766</v>
      </c>
      <c r="BL102" s="143" t="s">
        <v>727</v>
      </c>
      <c r="BM102" s="143">
        <v>1935</v>
      </c>
      <c r="BN102" s="78">
        <v>0</v>
      </c>
      <c r="BO102" s="78">
        <v>4</v>
      </c>
      <c r="BP102" s="78">
        <v>7</v>
      </c>
      <c r="BQ102" s="78">
        <v>0</v>
      </c>
      <c r="BR102" s="78">
        <v>0</v>
      </c>
      <c r="BS102" s="78">
        <v>0</v>
      </c>
      <c r="BT102" s="78">
        <v>2</v>
      </c>
      <c r="BU102" s="137">
        <v>0.56521739999999998</v>
      </c>
      <c r="BW102" s="143" t="s">
        <v>778</v>
      </c>
      <c r="BX102" s="143" t="s">
        <v>766</v>
      </c>
      <c r="BY102" s="143" t="s">
        <v>727</v>
      </c>
      <c r="BZ102" s="143">
        <v>1935</v>
      </c>
      <c r="CA102" s="78">
        <v>1</v>
      </c>
      <c r="CB102" s="78">
        <v>0</v>
      </c>
      <c r="CC102" s="78">
        <v>1</v>
      </c>
      <c r="CD102" s="78">
        <v>2</v>
      </c>
      <c r="CE102" s="78">
        <v>1</v>
      </c>
      <c r="CF102" s="78">
        <v>2</v>
      </c>
      <c r="CG102" s="78">
        <v>1</v>
      </c>
      <c r="CH102" s="78">
        <v>2</v>
      </c>
      <c r="CI102" s="78">
        <v>1</v>
      </c>
      <c r="CJ102" s="78">
        <v>0</v>
      </c>
      <c r="CK102" s="137">
        <v>0.73333329999999997</v>
      </c>
      <c r="CM102" s="143" t="s">
        <v>778</v>
      </c>
      <c r="CN102" s="143" t="s">
        <v>766</v>
      </c>
      <c r="CO102" s="143" t="s">
        <v>727</v>
      </c>
      <c r="CP102" s="143">
        <v>1935</v>
      </c>
      <c r="CQ102" s="78">
        <v>8</v>
      </c>
      <c r="CR102" s="78">
        <v>0</v>
      </c>
      <c r="CS102" s="78">
        <v>16</v>
      </c>
      <c r="CT102" s="78">
        <v>4</v>
      </c>
      <c r="CU102" s="78">
        <v>0</v>
      </c>
      <c r="CV102" s="78">
        <v>8</v>
      </c>
      <c r="CW102" s="137">
        <v>0.69230769999999997</v>
      </c>
      <c r="CY102" s="143" t="s">
        <v>778</v>
      </c>
      <c r="CZ102" s="143" t="s">
        <v>766</v>
      </c>
      <c r="DA102" s="143" t="s">
        <v>727</v>
      </c>
      <c r="DB102" s="143">
        <v>1935</v>
      </c>
      <c r="DC102" s="78">
        <v>14</v>
      </c>
      <c r="DD102" s="137">
        <v>0</v>
      </c>
      <c r="DE102" s="137">
        <v>0</v>
      </c>
      <c r="DG102" s="143" t="s">
        <v>778</v>
      </c>
      <c r="DH102" s="143" t="s">
        <v>766</v>
      </c>
      <c r="DI102" s="143" t="s">
        <v>727</v>
      </c>
      <c r="DJ102" s="143">
        <v>1935</v>
      </c>
      <c r="DK102" s="78">
        <v>2</v>
      </c>
      <c r="DL102" s="78">
        <v>1</v>
      </c>
      <c r="DM102" s="78">
        <v>1</v>
      </c>
      <c r="DN102" s="78">
        <v>7</v>
      </c>
      <c r="DO102" s="78">
        <v>2</v>
      </c>
      <c r="DP102" s="78">
        <v>3</v>
      </c>
      <c r="DQ102" s="78">
        <v>8</v>
      </c>
      <c r="DR102" s="78">
        <v>1</v>
      </c>
      <c r="DS102" s="78">
        <v>1</v>
      </c>
      <c r="DT102" s="78">
        <v>0</v>
      </c>
      <c r="DU102" s="78">
        <v>1</v>
      </c>
      <c r="DV102" s="137">
        <v>0.93103449999999999</v>
      </c>
      <c r="DX102" s="143" t="s">
        <v>778</v>
      </c>
      <c r="DY102" s="143" t="s">
        <v>766</v>
      </c>
      <c r="DZ102" s="143" t="s">
        <v>727</v>
      </c>
      <c r="EA102" s="143">
        <v>1935</v>
      </c>
      <c r="EB102" s="78">
        <v>1</v>
      </c>
      <c r="EC102" s="78">
        <v>8</v>
      </c>
      <c r="ED102" s="78">
        <v>1</v>
      </c>
      <c r="EE102" s="78">
        <v>4</v>
      </c>
      <c r="EF102" s="78">
        <v>1</v>
      </c>
      <c r="EG102" s="78">
        <v>1</v>
      </c>
      <c r="EH102" s="78">
        <v>2</v>
      </c>
      <c r="EI102" s="78">
        <v>1</v>
      </c>
      <c r="EJ102" s="78">
        <v>1</v>
      </c>
      <c r="EK102" s="78">
        <v>0</v>
      </c>
      <c r="EL102" s="78">
        <v>4</v>
      </c>
      <c r="EM102" s="78">
        <v>1</v>
      </c>
      <c r="EN102" s="78">
        <v>1</v>
      </c>
      <c r="EO102" s="137">
        <v>0.96296300000000001</v>
      </c>
      <c r="EQ102" s="143" t="s">
        <v>778</v>
      </c>
      <c r="ER102" s="143" t="s">
        <v>766</v>
      </c>
      <c r="ES102" s="143" t="s">
        <v>727</v>
      </c>
      <c r="ET102" s="143">
        <v>1935</v>
      </c>
      <c r="EU102" s="78">
        <v>0.5</v>
      </c>
      <c r="EV102" s="78">
        <v>1</v>
      </c>
      <c r="EW102" s="78">
        <v>3</v>
      </c>
      <c r="EX102" s="78">
        <v>2</v>
      </c>
      <c r="EY102" s="78">
        <v>0</v>
      </c>
      <c r="EZ102" s="78">
        <v>3</v>
      </c>
      <c r="FA102" s="78">
        <v>2</v>
      </c>
      <c r="FB102" s="78">
        <v>1</v>
      </c>
      <c r="FC102" s="137">
        <v>0.96153840000000002</v>
      </c>
      <c r="FE102" s="137">
        <v>0.56304989999999999</v>
      </c>
    </row>
    <row r="103" spans="1:161" x14ac:dyDescent="0.25">
      <c r="A103" s="143" t="s">
        <v>778</v>
      </c>
      <c r="B103" s="143" t="s">
        <v>766</v>
      </c>
      <c r="C103" s="143" t="s">
        <v>728</v>
      </c>
      <c r="D103" s="143">
        <v>1936</v>
      </c>
      <c r="E103" s="78">
        <v>0.5</v>
      </c>
      <c r="F103" s="78">
        <v>2.5</v>
      </c>
      <c r="G103" s="78">
        <v>1</v>
      </c>
      <c r="H103" s="78">
        <v>3</v>
      </c>
      <c r="I103" s="78">
        <v>1</v>
      </c>
      <c r="J103" s="78">
        <v>0</v>
      </c>
      <c r="K103" s="78">
        <v>1</v>
      </c>
      <c r="L103" s="78">
        <v>1</v>
      </c>
      <c r="M103" s="78">
        <v>2</v>
      </c>
      <c r="N103" s="137">
        <v>0.85714290000000004</v>
      </c>
      <c r="P103" s="143" t="s">
        <v>778</v>
      </c>
      <c r="Q103" s="143" t="s">
        <v>766</v>
      </c>
      <c r="R103" s="143" t="s">
        <v>728</v>
      </c>
      <c r="S103" s="143">
        <v>1936</v>
      </c>
      <c r="T103" s="78">
        <v>1</v>
      </c>
      <c r="U103" s="78">
        <v>1</v>
      </c>
      <c r="V103" s="78">
        <v>0</v>
      </c>
      <c r="W103" s="78">
        <v>2</v>
      </c>
      <c r="X103" s="78">
        <v>9</v>
      </c>
      <c r="Y103" s="78">
        <v>1</v>
      </c>
      <c r="Z103" s="78">
        <v>3</v>
      </c>
      <c r="AA103" s="78">
        <v>2</v>
      </c>
      <c r="AB103" s="78">
        <v>6</v>
      </c>
      <c r="AC103" s="78">
        <v>0</v>
      </c>
      <c r="AD103" s="137">
        <v>0.73529409999999995</v>
      </c>
      <c r="AF103" s="143" t="s">
        <v>778</v>
      </c>
      <c r="AG103" s="143" t="s">
        <v>766</v>
      </c>
      <c r="AH103" s="143" t="s">
        <v>728</v>
      </c>
      <c r="AI103" s="143">
        <v>1936</v>
      </c>
      <c r="AJ103" s="78">
        <v>1</v>
      </c>
      <c r="AK103" s="78">
        <v>1</v>
      </c>
      <c r="AL103" s="78">
        <v>0</v>
      </c>
      <c r="AM103" s="78">
        <v>1</v>
      </c>
      <c r="AN103" s="78">
        <v>1</v>
      </c>
      <c r="AO103" s="78">
        <v>2</v>
      </c>
      <c r="AP103" s="78">
        <v>1</v>
      </c>
      <c r="AQ103" s="78">
        <v>1</v>
      </c>
      <c r="AR103" s="78">
        <v>0</v>
      </c>
      <c r="AS103" s="78">
        <v>2</v>
      </c>
      <c r="AT103" s="78">
        <v>0</v>
      </c>
      <c r="AU103" s="78">
        <v>1</v>
      </c>
      <c r="AV103" s="78">
        <v>2</v>
      </c>
      <c r="AW103" s="78">
        <v>0</v>
      </c>
      <c r="AX103" s="78">
        <v>0</v>
      </c>
      <c r="AY103" s="78">
        <v>1</v>
      </c>
      <c r="AZ103" s="78">
        <v>2</v>
      </c>
      <c r="BA103" s="78">
        <v>0.5</v>
      </c>
      <c r="BB103" s="78">
        <v>0.5</v>
      </c>
      <c r="BC103" s="78">
        <v>0</v>
      </c>
      <c r="BD103" s="78">
        <v>1</v>
      </c>
      <c r="BE103" s="78">
        <v>0.5</v>
      </c>
      <c r="BF103" s="78">
        <v>0</v>
      </c>
      <c r="BG103" s="78">
        <v>4</v>
      </c>
      <c r="BH103" s="137">
        <v>0.51136360000000003</v>
      </c>
      <c r="BJ103" s="143" t="s">
        <v>778</v>
      </c>
      <c r="BK103" s="143" t="s">
        <v>766</v>
      </c>
      <c r="BL103" s="143" t="s">
        <v>728</v>
      </c>
      <c r="BM103" s="143">
        <v>1936</v>
      </c>
      <c r="BN103" s="78">
        <v>1</v>
      </c>
      <c r="BO103" s="78">
        <v>4</v>
      </c>
      <c r="BP103" s="78">
        <v>7</v>
      </c>
      <c r="BQ103" s="78">
        <v>0</v>
      </c>
      <c r="BR103" s="78">
        <v>0</v>
      </c>
      <c r="BS103" s="78">
        <v>0</v>
      </c>
      <c r="BT103" s="78">
        <v>2</v>
      </c>
      <c r="BU103" s="137">
        <v>0.6086956</v>
      </c>
      <c r="BW103" s="143" t="s">
        <v>778</v>
      </c>
      <c r="BX103" s="143" t="s">
        <v>766</v>
      </c>
      <c r="BY103" s="143" t="s">
        <v>728</v>
      </c>
      <c r="BZ103" s="143">
        <v>1936</v>
      </c>
      <c r="CM103" s="143" t="s">
        <v>778</v>
      </c>
      <c r="CN103" s="143" t="s">
        <v>766</v>
      </c>
      <c r="CO103" s="143" t="s">
        <v>728</v>
      </c>
      <c r="CP103" s="143">
        <v>1936</v>
      </c>
      <c r="CQ103" s="78">
        <v>8</v>
      </c>
      <c r="CR103" s="78">
        <v>6</v>
      </c>
      <c r="CS103" s="78">
        <v>16</v>
      </c>
      <c r="CT103" s="78">
        <v>4</v>
      </c>
      <c r="CU103" s="78">
        <v>0</v>
      </c>
      <c r="CV103" s="78">
        <v>8</v>
      </c>
      <c r="CW103" s="137">
        <v>0.80769230000000003</v>
      </c>
      <c r="CY103" s="143" t="s">
        <v>778</v>
      </c>
      <c r="CZ103" s="143" t="s">
        <v>766</v>
      </c>
      <c r="DA103" s="143" t="s">
        <v>728</v>
      </c>
      <c r="DB103" s="143">
        <v>1936</v>
      </c>
      <c r="DC103" s="78">
        <v>40</v>
      </c>
      <c r="DD103" s="137">
        <v>0.2</v>
      </c>
      <c r="DE103" s="137">
        <v>8.8888900000000007E-2</v>
      </c>
      <c r="DG103" s="143" t="s">
        <v>778</v>
      </c>
      <c r="DH103" s="143" t="s">
        <v>766</v>
      </c>
      <c r="DI103" s="143" t="s">
        <v>728</v>
      </c>
      <c r="DJ103" s="143">
        <v>1936</v>
      </c>
      <c r="DK103" s="78">
        <v>2</v>
      </c>
      <c r="DL103" s="78">
        <v>1</v>
      </c>
      <c r="DM103" s="78">
        <v>1</v>
      </c>
      <c r="DN103" s="78">
        <v>7</v>
      </c>
      <c r="DO103" s="78">
        <v>2</v>
      </c>
      <c r="DP103" s="78">
        <v>3</v>
      </c>
      <c r="DQ103" s="78">
        <v>8</v>
      </c>
      <c r="DR103" s="78">
        <v>1</v>
      </c>
      <c r="DS103" s="78">
        <v>1</v>
      </c>
      <c r="DT103" s="78">
        <v>0</v>
      </c>
      <c r="DU103" s="78">
        <v>1</v>
      </c>
      <c r="DV103" s="137">
        <v>0.93103449999999999</v>
      </c>
      <c r="DX103" s="143" t="s">
        <v>778</v>
      </c>
      <c r="DY103" s="143" t="s">
        <v>766</v>
      </c>
      <c r="DZ103" s="143" t="s">
        <v>728</v>
      </c>
      <c r="EA103" s="143">
        <v>1936</v>
      </c>
      <c r="EB103" s="78">
        <v>1</v>
      </c>
      <c r="EC103" s="78">
        <v>8</v>
      </c>
      <c r="ED103" s="78">
        <v>1</v>
      </c>
      <c r="EE103" s="78">
        <v>4</v>
      </c>
      <c r="EF103" s="78">
        <v>1</v>
      </c>
      <c r="EG103" s="78">
        <v>1</v>
      </c>
      <c r="EH103" s="78">
        <v>2</v>
      </c>
      <c r="EI103" s="78">
        <v>1</v>
      </c>
      <c r="EJ103" s="78">
        <v>1</v>
      </c>
      <c r="EK103" s="78">
        <v>1</v>
      </c>
      <c r="EL103" s="78">
        <v>0</v>
      </c>
      <c r="EM103" s="78">
        <v>1</v>
      </c>
      <c r="EN103" s="78">
        <v>0</v>
      </c>
      <c r="EO103" s="137">
        <v>0.81481479999999995</v>
      </c>
      <c r="EQ103" s="143" t="s">
        <v>778</v>
      </c>
      <c r="ER103" s="143" t="s">
        <v>766</v>
      </c>
      <c r="ES103" s="143" t="s">
        <v>728</v>
      </c>
      <c r="ET103" s="143">
        <v>1936</v>
      </c>
      <c r="EU103" s="78">
        <v>0</v>
      </c>
      <c r="EV103" s="78">
        <v>1</v>
      </c>
      <c r="EW103" s="78">
        <v>3</v>
      </c>
      <c r="EX103" s="78">
        <v>2</v>
      </c>
      <c r="EY103" s="78">
        <v>0.5</v>
      </c>
      <c r="EZ103" s="78">
        <v>3</v>
      </c>
      <c r="FA103" s="78">
        <v>2</v>
      </c>
      <c r="FB103" s="78">
        <v>1</v>
      </c>
      <c r="FC103" s="137">
        <v>0.96153840000000002</v>
      </c>
      <c r="FE103" s="137">
        <v>0.56748469999999995</v>
      </c>
    </row>
    <row r="104" spans="1:161" x14ac:dyDescent="0.25">
      <c r="A104" s="143" t="s">
        <v>778</v>
      </c>
      <c r="B104" s="143" t="s">
        <v>766</v>
      </c>
      <c r="C104" s="143" t="s">
        <v>728</v>
      </c>
      <c r="D104" s="143">
        <v>1953</v>
      </c>
      <c r="E104" s="78">
        <v>0.5</v>
      </c>
      <c r="F104" s="78">
        <v>2.5</v>
      </c>
      <c r="G104" s="78">
        <v>1</v>
      </c>
      <c r="H104" s="78">
        <v>0</v>
      </c>
      <c r="I104" s="78">
        <v>1</v>
      </c>
      <c r="J104" s="78">
        <v>0</v>
      </c>
      <c r="K104" s="78">
        <v>1</v>
      </c>
      <c r="L104" s="78">
        <v>0</v>
      </c>
      <c r="M104" s="78">
        <v>0</v>
      </c>
      <c r="N104" s="137">
        <v>0.42857139999999999</v>
      </c>
      <c r="P104" s="143" t="s">
        <v>778</v>
      </c>
      <c r="Q104" s="143" t="s">
        <v>766</v>
      </c>
      <c r="R104" s="143" t="s">
        <v>728</v>
      </c>
      <c r="S104" s="143">
        <v>1953</v>
      </c>
      <c r="T104" s="78">
        <v>1</v>
      </c>
      <c r="U104" s="78">
        <v>0</v>
      </c>
      <c r="V104" s="78">
        <v>0</v>
      </c>
      <c r="W104" s="78">
        <v>2</v>
      </c>
      <c r="X104" s="78">
        <v>9</v>
      </c>
      <c r="Y104" s="78">
        <v>1</v>
      </c>
      <c r="Z104" s="78">
        <v>3</v>
      </c>
      <c r="AA104" s="78">
        <v>0</v>
      </c>
      <c r="AB104" s="78">
        <v>0</v>
      </c>
      <c r="AC104" s="78">
        <v>3</v>
      </c>
      <c r="AD104" s="137">
        <v>0.55882350000000003</v>
      </c>
      <c r="AF104" s="143" t="s">
        <v>778</v>
      </c>
      <c r="AG104" s="143" t="s">
        <v>766</v>
      </c>
      <c r="AH104" s="143" t="s">
        <v>728</v>
      </c>
      <c r="AI104" s="143">
        <v>1953</v>
      </c>
      <c r="AJ104" s="78">
        <v>1</v>
      </c>
      <c r="AK104" s="78">
        <v>1</v>
      </c>
      <c r="AL104" s="78">
        <v>1</v>
      </c>
      <c r="AM104" s="78">
        <v>0</v>
      </c>
      <c r="AN104" s="78">
        <v>0</v>
      </c>
      <c r="AO104" s="78">
        <v>2</v>
      </c>
      <c r="AP104" s="78">
        <v>1</v>
      </c>
      <c r="AQ104" s="78">
        <v>1</v>
      </c>
      <c r="AR104" s="78">
        <v>0</v>
      </c>
      <c r="AS104" s="78">
        <v>2</v>
      </c>
      <c r="AT104" s="78">
        <v>0</v>
      </c>
      <c r="AU104" s="78">
        <v>1</v>
      </c>
      <c r="AV104" s="78">
        <v>0</v>
      </c>
      <c r="AW104" s="78">
        <v>1</v>
      </c>
      <c r="AX104" s="78">
        <v>4</v>
      </c>
      <c r="AY104" s="78">
        <v>1</v>
      </c>
      <c r="AZ104" s="78">
        <v>2</v>
      </c>
      <c r="BA104" s="78">
        <v>0.5</v>
      </c>
      <c r="BB104" s="78">
        <v>0.5</v>
      </c>
      <c r="BC104" s="78">
        <v>0.5</v>
      </c>
      <c r="BD104" s="78">
        <v>1</v>
      </c>
      <c r="BE104" s="78">
        <v>0</v>
      </c>
      <c r="BF104" s="78">
        <v>1</v>
      </c>
      <c r="BG104" s="78">
        <v>8</v>
      </c>
      <c r="BH104" s="137">
        <v>0.67045460000000001</v>
      </c>
      <c r="BJ104" s="143" t="s">
        <v>778</v>
      </c>
      <c r="BK104" s="143" t="s">
        <v>766</v>
      </c>
      <c r="BL104" s="143" t="s">
        <v>728</v>
      </c>
      <c r="BM104" s="143">
        <v>1953</v>
      </c>
      <c r="BN104" s="78">
        <v>1</v>
      </c>
      <c r="BO104" s="78">
        <v>4</v>
      </c>
      <c r="BP104" s="78">
        <v>0</v>
      </c>
      <c r="BQ104" s="78">
        <v>0</v>
      </c>
      <c r="BR104" s="78">
        <v>0</v>
      </c>
      <c r="BS104" s="78">
        <v>0</v>
      </c>
      <c r="BT104" s="78">
        <v>2</v>
      </c>
      <c r="BU104" s="137">
        <v>0.3043478</v>
      </c>
      <c r="BW104" s="143" t="s">
        <v>778</v>
      </c>
      <c r="BX104" s="143" t="s">
        <v>766</v>
      </c>
      <c r="BY104" s="143" t="s">
        <v>728</v>
      </c>
      <c r="BZ104" s="143">
        <v>1953</v>
      </c>
      <c r="CM104" s="143" t="s">
        <v>778</v>
      </c>
      <c r="CN104" s="143" t="s">
        <v>766</v>
      </c>
      <c r="CO104" s="143" t="s">
        <v>728</v>
      </c>
      <c r="CP104" s="143">
        <v>1953</v>
      </c>
      <c r="CQ104" s="78">
        <v>8</v>
      </c>
      <c r="CR104" s="78">
        <v>0</v>
      </c>
      <c r="CS104" s="78">
        <v>24</v>
      </c>
      <c r="CT104" s="78">
        <v>4</v>
      </c>
      <c r="CU104" s="78">
        <v>2</v>
      </c>
      <c r="CV104" s="78">
        <v>8</v>
      </c>
      <c r="CW104" s="137">
        <v>0.88461540000000005</v>
      </c>
      <c r="CY104" s="143" t="s">
        <v>778</v>
      </c>
      <c r="CZ104" s="143" t="s">
        <v>766</v>
      </c>
      <c r="DA104" s="143" t="s">
        <v>728</v>
      </c>
      <c r="DB104" s="143">
        <v>1953</v>
      </c>
      <c r="DC104" s="78">
        <v>18</v>
      </c>
      <c r="DD104" s="137">
        <v>0.4</v>
      </c>
      <c r="DE104" s="137">
        <v>0.08</v>
      </c>
      <c r="DG104" s="143" t="s">
        <v>778</v>
      </c>
      <c r="DH104" s="143" t="s">
        <v>766</v>
      </c>
      <c r="DI104" s="143" t="s">
        <v>728</v>
      </c>
      <c r="DJ104" s="143">
        <v>1953</v>
      </c>
      <c r="DK104" s="78">
        <v>2</v>
      </c>
      <c r="DL104" s="78">
        <v>1</v>
      </c>
      <c r="DM104" s="78">
        <v>1</v>
      </c>
      <c r="DN104" s="78">
        <v>5</v>
      </c>
      <c r="DO104" s="78">
        <v>2</v>
      </c>
      <c r="DP104" s="78">
        <v>3</v>
      </c>
      <c r="DQ104" s="78">
        <v>7</v>
      </c>
      <c r="DR104" s="78">
        <v>1</v>
      </c>
      <c r="DS104" s="78">
        <v>1</v>
      </c>
      <c r="DT104" s="78">
        <v>0</v>
      </c>
      <c r="DU104" s="78">
        <v>1</v>
      </c>
      <c r="DV104" s="137">
        <v>0.82758620000000005</v>
      </c>
      <c r="DX104" s="143" t="s">
        <v>778</v>
      </c>
      <c r="DY104" s="143" t="s">
        <v>766</v>
      </c>
      <c r="DZ104" s="143" t="s">
        <v>728</v>
      </c>
      <c r="EA104" s="143">
        <v>1953</v>
      </c>
      <c r="EB104" s="78">
        <v>1</v>
      </c>
      <c r="EC104" s="78">
        <v>8</v>
      </c>
      <c r="ED104" s="78">
        <v>1</v>
      </c>
      <c r="EE104" s="78">
        <v>4</v>
      </c>
      <c r="EF104" s="78">
        <v>1</v>
      </c>
      <c r="EG104" s="78">
        <v>1</v>
      </c>
      <c r="EH104" s="78">
        <v>0</v>
      </c>
      <c r="EI104" s="78">
        <v>1</v>
      </c>
      <c r="EJ104" s="78">
        <v>1</v>
      </c>
      <c r="EK104" s="78">
        <v>1</v>
      </c>
      <c r="EL104" s="78">
        <v>4</v>
      </c>
      <c r="EM104" s="78">
        <v>1</v>
      </c>
      <c r="EN104" s="78">
        <v>0</v>
      </c>
      <c r="EO104" s="137">
        <v>0.88888889999999998</v>
      </c>
      <c r="EQ104" s="143" t="s">
        <v>778</v>
      </c>
      <c r="ER104" s="143" t="s">
        <v>766</v>
      </c>
      <c r="ES104" s="143" t="s">
        <v>728</v>
      </c>
      <c r="ET104" s="143">
        <v>1953</v>
      </c>
      <c r="EU104" s="78">
        <v>0.5</v>
      </c>
      <c r="EV104" s="78">
        <v>0</v>
      </c>
      <c r="EW104" s="78">
        <v>3</v>
      </c>
      <c r="EX104" s="78">
        <v>0</v>
      </c>
      <c r="EY104" s="78">
        <v>0</v>
      </c>
      <c r="EZ104" s="78">
        <v>3</v>
      </c>
      <c r="FA104" s="78">
        <v>2</v>
      </c>
      <c r="FB104" s="78">
        <v>1</v>
      </c>
      <c r="FC104" s="137">
        <v>0.73076920000000001</v>
      </c>
      <c r="FE104" s="137">
        <v>0.52822080000000005</v>
      </c>
    </row>
    <row r="105" spans="1:161" x14ac:dyDescent="0.25">
      <c r="A105" s="143" t="s">
        <v>778</v>
      </c>
      <c r="B105" s="143" t="s">
        <v>766</v>
      </c>
      <c r="C105" s="143" t="s">
        <v>728</v>
      </c>
      <c r="D105" s="143">
        <v>2000</v>
      </c>
      <c r="E105" s="78">
        <v>0.5</v>
      </c>
      <c r="F105" s="78">
        <v>2.5</v>
      </c>
      <c r="G105" s="78">
        <v>1</v>
      </c>
      <c r="H105" s="78">
        <v>3</v>
      </c>
      <c r="I105" s="78">
        <v>1</v>
      </c>
      <c r="J105" s="78">
        <v>0</v>
      </c>
      <c r="K105" s="78">
        <v>1</v>
      </c>
      <c r="L105" s="78">
        <v>1</v>
      </c>
      <c r="M105" s="78">
        <v>2</v>
      </c>
      <c r="N105" s="137">
        <v>0.85714290000000004</v>
      </c>
      <c r="P105" s="143" t="s">
        <v>778</v>
      </c>
      <c r="Q105" s="143" t="s">
        <v>766</v>
      </c>
      <c r="R105" s="143" t="s">
        <v>728</v>
      </c>
      <c r="S105" s="143">
        <v>2000</v>
      </c>
      <c r="T105" s="78">
        <v>1</v>
      </c>
      <c r="U105" s="78">
        <v>1</v>
      </c>
      <c r="V105" s="78">
        <v>2</v>
      </c>
      <c r="W105" s="78">
        <v>2</v>
      </c>
      <c r="X105" s="78">
        <v>9</v>
      </c>
      <c r="Y105" s="78">
        <v>1</v>
      </c>
      <c r="Z105" s="78">
        <v>0</v>
      </c>
      <c r="AA105" s="78">
        <v>2</v>
      </c>
      <c r="AB105" s="78">
        <v>6</v>
      </c>
      <c r="AC105" s="78">
        <v>0</v>
      </c>
      <c r="AD105" s="137">
        <v>0.70588240000000002</v>
      </c>
      <c r="AF105" s="143" t="s">
        <v>778</v>
      </c>
      <c r="AG105" s="143" t="s">
        <v>766</v>
      </c>
      <c r="AH105" s="143" t="s">
        <v>728</v>
      </c>
      <c r="AI105" s="143">
        <v>2000</v>
      </c>
      <c r="AJ105" s="78">
        <v>1</v>
      </c>
      <c r="AK105" s="78">
        <v>1</v>
      </c>
      <c r="AL105" s="78">
        <v>1</v>
      </c>
      <c r="AM105" s="78">
        <v>6</v>
      </c>
      <c r="AN105" s="78">
        <v>1</v>
      </c>
      <c r="AO105" s="78">
        <v>2</v>
      </c>
      <c r="AP105" s="78">
        <v>1</v>
      </c>
      <c r="AQ105" s="78">
        <v>1</v>
      </c>
      <c r="AR105" s="78">
        <v>0</v>
      </c>
      <c r="AS105" s="78">
        <v>0</v>
      </c>
      <c r="AT105" s="78">
        <v>0</v>
      </c>
      <c r="AU105" s="78">
        <v>1</v>
      </c>
      <c r="AV105" s="78">
        <v>2</v>
      </c>
      <c r="AW105" s="78">
        <v>1</v>
      </c>
      <c r="AX105" s="78">
        <v>0</v>
      </c>
      <c r="AY105" s="78">
        <v>1</v>
      </c>
      <c r="AZ105" s="78">
        <v>0</v>
      </c>
      <c r="BA105" s="78">
        <v>0.5</v>
      </c>
      <c r="BB105" s="78">
        <v>0.5</v>
      </c>
      <c r="BC105" s="78">
        <v>0.5</v>
      </c>
      <c r="BD105" s="78">
        <v>1</v>
      </c>
      <c r="BE105" s="78">
        <v>0.5</v>
      </c>
      <c r="BF105" s="78">
        <v>1</v>
      </c>
      <c r="BG105" s="78">
        <v>8</v>
      </c>
      <c r="BH105" s="137">
        <v>0.70454539999999999</v>
      </c>
      <c r="BJ105" s="143" t="s">
        <v>778</v>
      </c>
      <c r="BK105" s="143" t="s">
        <v>766</v>
      </c>
      <c r="BL105" s="143" t="s">
        <v>728</v>
      </c>
      <c r="BM105" s="143">
        <v>2000</v>
      </c>
      <c r="BN105" s="78">
        <v>1</v>
      </c>
      <c r="BO105" s="78">
        <v>4</v>
      </c>
      <c r="BP105" s="78">
        <v>0</v>
      </c>
      <c r="BQ105" s="78">
        <v>0</v>
      </c>
      <c r="BR105" s="78">
        <v>0</v>
      </c>
      <c r="BS105" s="78">
        <v>0</v>
      </c>
      <c r="BT105" s="78">
        <v>2</v>
      </c>
      <c r="BU105" s="137">
        <v>0.3043478</v>
      </c>
      <c r="BW105" s="143" t="s">
        <v>778</v>
      </c>
      <c r="BX105" s="143" t="s">
        <v>766</v>
      </c>
      <c r="BY105" s="143" t="s">
        <v>728</v>
      </c>
      <c r="BZ105" s="143">
        <v>2000</v>
      </c>
      <c r="CM105" s="143" t="s">
        <v>778</v>
      </c>
      <c r="CN105" s="143" t="s">
        <v>766</v>
      </c>
      <c r="CO105" s="143" t="s">
        <v>728</v>
      </c>
      <c r="CP105" s="143">
        <v>2000</v>
      </c>
      <c r="CQ105" s="78">
        <v>8</v>
      </c>
      <c r="CR105" s="78">
        <v>6</v>
      </c>
      <c r="CS105" s="78">
        <v>12</v>
      </c>
      <c r="CT105" s="78">
        <v>4</v>
      </c>
      <c r="CU105" s="78">
        <v>2</v>
      </c>
      <c r="CV105" s="78">
        <v>8</v>
      </c>
      <c r="CW105" s="137">
        <v>0.76923079999999999</v>
      </c>
      <c r="CY105" s="143" t="s">
        <v>778</v>
      </c>
      <c r="CZ105" s="143" t="s">
        <v>766</v>
      </c>
      <c r="DA105" s="143" t="s">
        <v>728</v>
      </c>
      <c r="DB105" s="143">
        <v>2000</v>
      </c>
      <c r="DC105" s="78">
        <v>44</v>
      </c>
      <c r="DD105" s="137">
        <v>0.5</v>
      </c>
      <c r="DE105" s="137">
        <v>0.24444440000000001</v>
      </c>
      <c r="DG105" s="143" t="s">
        <v>778</v>
      </c>
      <c r="DH105" s="143" t="s">
        <v>766</v>
      </c>
      <c r="DI105" s="143" t="s">
        <v>728</v>
      </c>
      <c r="DJ105" s="143">
        <v>2000</v>
      </c>
      <c r="DK105" s="78">
        <v>2</v>
      </c>
      <c r="DL105" s="78">
        <v>1</v>
      </c>
      <c r="DM105" s="78">
        <v>1</v>
      </c>
      <c r="DN105" s="78">
        <v>7</v>
      </c>
      <c r="DO105" s="78">
        <v>2</v>
      </c>
      <c r="DP105" s="78">
        <v>3</v>
      </c>
      <c r="DQ105" s="78">
        <v>8</v>
      </c>
      <c r="DR105" s="78">
        <v>1</v>
      </c>
      <c r="DS105" s="78">
        <v>1</v>
      </c>
      <c r="DT105" s="78">
        <v>0</v>
      </c>
      <c r="DU105" s="78">
        <v>1</v>
      </c>
      <c r="DV105" s="137">
        <v>0.93103449999999999</v>
      </c>
      <c r="DX105" s="143" t="s">
        <v>778</v>
      </c>
      <c r="DY105" s="143" t="s">
        <v>766</v>
      </c>
      <c r="DZ105" s="143" t="s">
        <v>728</v>
      </c>
      <c r="EA105" s="143">
        <v>2000</v>
      </c>
      <c r="EB105" s="78">
        <v>1</v>
      </c>
      <c r="EC105" s="78">
        <v>8</v>
      </c>
      <c r="ED105" s="78">
        <v>1</v>
      </c>
      <c r="EE105" s="78">
        <v>4</v>
      </c>
      <c r="EF105" s="78">
        <v>1</v>
      </c>
      <c r="EG105" s="78">
        <v>1</v>
      </c>
      <c r="EH105" s="78">
        <v>2</v>
      </c>
      <c r="EI105" s="78">
        <v>1</v>
      </c>
      <c r="EJ105" s="78">
        <v>1</v>
      </c>
      <c r="EK105" s="78">
        <v>1</v>
      </c>
      <c r="EL105" s="78">
        <v>0</v>
      </c>
      <c r="EM105" s="78">
        <v>1</v>
      </c>
      <c r="EN105" s="78">
        <v>1</v>
      </c>
      <c r="EO105" s="137">
        <v>0.8518519</v>
      </c>
      <c r="EQ105" s="143" t="s">
        <v>778</v>
      </c>
      <c r="ER105" s="143" t="s">
        <v>766</v>
      </c>
      <c r="ES105" s="143" t="s">
        <v>728</v>
      </c>
      <c r="ET105" s="143">
        <v>2000</v>
      </c>
      <c r="EU105" s="78">
        <v>0.5</v>
      </c>
      <c r="EV105" s="78">
        <v>1</v>
      </c>
      <c r="EW105" s="78">
        <v>3</v>
      </c>
      <c r="EX105" s="78">
        <v>2</v>
      </c>
      <c r="EY105" s="78">
        <v>0</v>
      </c>
      <c r="EZ105" s="78">
        <v>3</v>
      </c>
      <c r="FA105" s="78">
        <v>2</v>
      </c>
      <c r="FB105" s="78">
        <v>0</v>
      </c>
      <c r="FC105" s="137">
        <v>0.88461540000000005</v>
      </c>
      <c r="FE105" s="137">
        <v>0.60582820000000004</v>
      </c>
    </row>
    <row r="106" spans="1:161" hidden="1" x14ac:dyDescent="0.25">
      <c r="A106" s="143" t="s">
        <v>779</v>
      </c>
      <c r="B106" s="143" t="s">
        <v>780</v>
      </c>
      <c r="C106" s="143" t="s">
        <v>727</v>
      </c>
      <c r="D106" s="143">
        <v>227</v>
      </c>
      <c r="E106" s="78">
        <v>0.5</v>
      </c>
      <c r="F106" s="78">
        <v>2.5</v>
      </c>
      <c r="G106" s="78">
        <v>1</v>
      </c>
      <c r="H106" s="78">
        <v>4</v>
      </c>
      <c r="I106" s="78">
        <v>1</v>
      </c>
      <c r="J106" s="78">
        <v>0</v>
      </c>
      <c r="K106" s="78">
        <v>1</v>
      </c>
      <c r="L106" s="78">
        <v>1</v>
      </c>
      <c r="M106" s="78">
        <v>2</v>
      </c>
      <c r="N106" s="137">
        <v>0.92857140000000005</v>
      </c>
      <c r="P106" s="143" t="s">
        <v>779</v>
      </c>
      <c r="Q106" s="143" t="s">
        <v>780</v>
      </c>
      <c r="R106" s="143" t="s">
        <v>727</v>
      </c>
      <c r="S106" s="143">
        <v>227</v>
      </c>
      <c r="T106" s="78">
        <v>1</v>
      </c>
      <c r="U106" s="78">
        <v>1</v>
      </c>
      <c r="V106" s="78">
        <v>2</v>
      </c>
      <c r="W106" s="78">
        <v>0.5</v>
      </c>
      <c r="X106" s="78">
        <v>12</v>
      </c>
      <c r="Y106" s="78">
        <v>1</v>
      </c>
      <c r="Z106" s="78">
        <v>3</v>
      </c>
      <c r="AA106" s="78">
        <v>2</v>
      </c>
      <c r="AB106" s="78">
        <v>6</v>
      </c>
      <c r="AC106" s="78">
        <v>3</v>
      </c>
      <c r="AD106" s="137">
        <v>0.92647060000000003</v>
      </c>
      <c r="AF106" s="143" t="s">
        <v>779</v>
      </c>
      <c r="AG106" s="143" t="s">
        <v>780</v>
      </c>
      <c r="AH106" s="143" t="s">
        <v>727</v>
      </c>
      <c r="AI106" s="143">
        <v>227</v>
      </c>
      <c r="AJ106" s="78">
        <v>1</v>
      </c>
      <c r="AK106" s="78">
        <v>0</v>
      </c>
      <c r="AL106" s="78">
        <v>1</v>
      </c>
      <c r="AM106" s="78">
        <v>6</v>
      </c>
      <c r="AN106" s="78">
        <v>1</v>
      </c>
      <c r="AO106" s="78">
        <v>2</v>
      </c>
      <c r="AP106" s="78">
        <v>1</v>
      </c>
      <c r="AQ106" s="78">
        <v>1</v>
      </c>
      <c r="AR106" s="78">
        <v>2</v>
      </c>
      <c r="AS106" s="78">
        <v>2</v>
      </c>
      <c r="AT106" s="78">
        <v>2</v>
      </c>
      <c r="AU106" s="78">
        <v>0</v>
      </c>
      <c r="AV106" s="78">
        <v>2</v>
      </c>
      <c r="AW106" s="78">
        <v>1</v>
      </c>
      <c r="AX106" s="78">
        <v>0</v>
      </c>
      <c r="AY106" s="78">
        <v>1</v>
      </c>
      <c r="AZ106" s="78">
        <v>2</v>
      </c>
      <c r="BA106" s="78">
        <v>0.5</v>
      </c>
      <c r="BB106" s="78">
        <v>0.5</v>
      </c>
      <c r="BC106" s="78">
        <v>0.5</v>
      </c>
      <c r="BD106" s="78">
        <v>1</v>
      </c>
      <c r="BE106" s="78">
        <v>0.5</v>
      </c>
      <c r="BF106" s="78">
        <v>0</v>
      </c>
      <c r="BG106" s="78">
        <v>2</v>
      </c>
      <c r="BH106" s="137">
        <v>0.68181820000000004</v>
      </c>
      <c r="BJ106" s="143" t="s">
        <v>779</v>
      </c>
      <c r="BK106" s="143" t="s">
        <v>780</v>
      </c>
      <c r="BL106" s="143" t="s">
        <v>727</v>
      </c>
      <c r="BM106" s="143">
        <v>227</v>
      </c>
      <c r="BN106" s="78">
        <v>1</v>
      </c>
      <c r="BO106" s="78">
        <v>4</v>
      </c>
      <c r="BP106" s="78">
        <v>7</v>
      </c>
      <c r="BQ106" s="78">
        <v>0</v>
      </c>
      <c r="BR106" s="78">
        <v>3</v>
      </c>
      <c r="BS106" s="78">
        <v>3</v>
      </c>
      <c r="BT106" s="78">
        <v>0</v>
      </c>
      <c r="BU106" s="137">
        <v>0.78260870000000005</v>
      </c>
      <c r="BW106" s="143" t="s">
        <v>779</v>
      </c>
      <c r="BX106" s="143" t="s">
        <v>780</v>
      </c>
      <c r="BY106" s="143" t="s">
        <v>727</v>
      </c>
      <c r="BZ106" s="143">
        <v>227</v>
      </c>
      <c r="CA106" s="78">
        <v>1</v>
      </c>
      <c r="CB106" s="78">
        <v>0</v>
      </c>
      <c r="CC106" s="78">
        <v>1</v>
      </c>
      <c r="CD106" s="78">
        <v>2</v>
      </c>
      <c r="CE106" s="78">
        <v>1</v>
      </c>
      <c r="CF106" s="78">
        <v>2</v>
      </c>
      <c r="CG106" s="78">
        <v>1</v>
      </c>
      <c r="CH106" s="78">
        <v>2</v>
      </c>
      <c r="CI106" s="78">
        <v>1</v>
      </c>
      <c r="CJ106" s="78">
        <v>3</v>
      </c>
      <c r="CK106" s="137">
        <v>0.93333330000000003</v>
      </c>
      <c r="CM106" s="143" t="s">
        <v>779</v>
      </c>
      <c r="CN106" s="143" t="s">
        <v>780</v>
      </c>
      <c r="CO106" s="143" t="s">
        <v>727</v>
      </c>
      <c r="CP106" s="143">
        <v>227</v>
      </c>
      <c r="CQ106" s="78">
        <v>8</v>
      </c>
      <c r="CR106" s="78">
        <v>0</v>
      </c>
      <c r="CS106" s="78">
        <v>24</v>
      </c>
      <c r="CT106" s="78">
        <v>4</v>
      </c>
      <c r="CU106" s="78">
        <v>2</v>
      </c>
      <c r="CV106" s="78">
        <v>8</v>
      </c>
      <c r="CW106" s="137">
        <v>0.88461540000000005</v>
      </c>
      <c r="CY106" s="143" t="s">
        <v>779</v>
      </c>
      <c r="CZ106" s="143" t="s">
        <v>780</v>
      </c>
      <c r="DA106" s="143" t="s">
        <v>727</v>
      </c>
      <c r="DB106" s="143">
        <v>227</v>
      </c>
      <c r="DC106" s="78">
        <v>50</v>
      </c>
      <c r="DD106" s="137">
        <v>0.2</v>
      </c>
      <c r="DE106" s="137">
        <v>0.1111111</v>
      </c>
      <c r="DG106" s="143" t="s">
        <v>779</v>
      </c>
      <c r="DH106" s="143" t="s">
        <v>780</v>
      </c>
      <c r="DI106" s="143" t="s">
        <v>727</v>
      </c>
      <c r="DJ106" s="143">
        <v>227</v>
      </c>
      <c r="DK106" s="78">
        <v>2</v>
      </c>
      <c r="DL106" s="78">
        <v>0</v>
      </c>
      <c r="DM106" s="78">
        <v>0</v>
      </c>
      <c r="DN106" s="78">
        <v>5</v>
      </c>
      <c r="DO106" s="78">
        <v>2</v>
      </c>
      <c r="DP106" s="78">
        <v>3</v>
      </c>
      <c r="DQ106" s="78">
        <v>8</v>
      </c>
      <c r="DR106" s="78">
        <v>1</v>
      </c>
      <c r="DS106" s="78">
        <v>1</v>
      </c>
      <c r="DT106" s="78">
        <v>0</v>
      </c>
      <c r="DU106" s="78">
        <v>1</v>
      </c>
      <c r="DV106" s="137">
        <v>0.79310349999999996</v>
      </c>
      <c r="DX106" s="143" t="s">
        <v>779</v>
      </c>
      <c r="DY106" s="143" t="s">
        <v>780</v>
      </c>
      <c r="DZ106" s="143" t="s">
        <v>727</v>
      </c>
      <c r="EA106" s="143">
        <v>227</v>
      </c>
      <c r="EB106" s="78">
        <v>1</v>
      </c>
      <c r="EC106" s="78">
        <v>8</v>
      </c>
      <c r="ED106" s="78">
        <v>1</v>
      </c>
      <c r="EE106" s="78">
        <v>4</v>
      </c>
      <c r="EF106" s="78">
        <v>1</v>
      </c>
      <c r="EG106" s="78">
        <v>1</v>
      </c>
      <c r="EH106" s="78">
        <v>0</v>
      </c>
      <c r="EI106" s="78">
        <v>1</v>
      </c>
      <c r="EJ106" s="78">
        <v>1</v>
      </c>
      <c r="EK106" s="78">
        <v>1</v>
      </c>
      <c r="EL106" s="78">
        <v>4</v>
      </c>
      <c r="EM106" s="78">
        <v>1</v>
      </c>
      <c r="EN106" s="78">
        <v>1</v>
      </c>
      <c r="EO106" s="137">
        <v>0.92592589999999997</v>
      </c>
      <c r="EQ106" s="143" t="s">
        <v>779</v>
      </c>
      <c r="ER106" s="143" t="s">
        <v>780</v>
      </c>
      <c r="ES106" s="143" t="s">
        <v>727</v>
      </c>
      <c r="ET106" s="143">
        <v>227</v>
      </c>
      <c r="EU106" s="78">
        <v>0.5</v>
      </c>
      <c r="EV106" s="78">
        <v>1</v>
      </c>
      <c r="EW106" s="78">
        <v>3</v>
      </c>
      <c r="EX106" s="78">
        <v>2</v>
      </c>
      <c r="EY106" s="78">
        <v>0.5</v>
      </c>
      <c r="EZ106" s="78">
        <v>3</v>
      </c>
      <c r="FA106" s="78">
        <v>2</v>
      </c>
      <c r="FB106" s="78">
        <v>1</v>
      </c>
      <c r="FC106" s="137">
        <v>1</v>
      </c>
      <c r="FE106" s="137">
        <v>0.65542520000000004</v>
      </c>
    </row>
    <row r="107" spans="1:161" x14ac:dyDescent="0.25">
      <c r="A107" s="143" t="s">
        <v>779</v>
      </c>
      <c r="B107" s="143" t="s">
        <v>780</v>
      </c>
      <c r="C107" s="143" t="s">
        <v>728</v>
      </c>
      <c r="D107" s="143">
        <v>229</v>
      </c>
      <c r="E107" s="78">
        <v>0.5</v>
      </c>
      <c r="F107" s="78">
        <v>2.5</v>
      </c>
      <c r="G107" s="78">
        <v>1</v>
      </c>
      <c r="H107" s="78">
        <v>4</v>
      </c>
      <c r="I107" s="78">
        <v>1</v>
      </c>
      <c r="J107" s="78">
        <v>0</v>
      </c>
      <c r="K107" s="78">
        <v>1</v>
      </c>
      <c r="L107" s="78">
        <v>1</v>
      </c>
      <c r="M107" s="78">
        <v>2</v>
      </c>
      <c r="N107" s="137">
        <v>0.92857140000000005</v>
      </c>
      <c r="P107" s="143" t="s">
        <v>779</v>
      </c>
      <c r="Q107" s="143" t="s">
        <v>780</v>
      </c>
      <c r="R107" s="143" t="s">
        <v>728</v>
      </c>
      <c r="S107" s="143">
        <v>229</v>
      </c>
      <c r="T107" s="78">
        <v>0</v>
      </c>
      <c r="U107" s="78">
        <v>1</v>
      </c>
      <c r="V107" s="78">
        <v>0</v>
      </c>
      <c r="W107" s="78">
        <v>0.5</v>
      </c>
      <c r="X107" s="78">
        <v>12</v>
      </c>
      <c r="Y107" s="78">
        <v>1</v>
      </c>
      <c r="Z107" s="78">
        <v>3</v>
      </c>
      <c r="AA107" s="78">
        <v>2</v>
      </c>
      <c r="AB107" s="78">
        <v>6</v>
      </c>
      <c r="AC107" s="78">
        <v>0</v>
      </c>
      <c r="AD107" s="137">
        <v>0.75</v>
      </c>
      <c r="AF107" s="143" t="s">
        <v>779</v>
      </c>
      <c r="AG107" s="143" t="s">
        <v>780</v>
      </c>
      <c r="AH107" s="143" t="s">
        <v>728</v>
      </c>
      <c r="AI107" s="143">
        <v>229</v>
      </c>
      <c r="AJ107" s="78">
        <v>0</v>
      </c>
      <c r="AK107" s="78">
        <v>0</v>
      </c>
      <c r="AL107" s="78">
        <v>1</v>
      </c>
      <c r="AM107" s="78">
        <v>6</v>
      </c>
      <c r="AN107" s="78">
        <v>1</v>
      </c>
      <c r="AO107" s="78">
        <v>2</v>
      </c>
      <c r="AP107" s="78">
        <v>1</v>
      </c>
      <c r="AQ107" s="78">
        <v>1</v>
      </c>
      <c r="AR107" s="78">
        <v>2</v>
      </c>
      <c r="AS107" s="78">
        <v>2</v>
      </c>
      <c r="AT107" s="78">
        <v>2</v>
      </c>
      <c r="AU107" s="78">
        <v>0</v>
      </c>
      <c r="AV107" s="78">
        <v>2</v>
      </c>
      <c r="AW107" s="78">
        <v>1</v>
      </c>
      <c r="AX107" s="78">
        <v>0</v>
      </c>
      <c r="AY107" s="78">
        <v>1</v>
      </c>
      <c r="AZ107" s="78">
        <v>2</v>
      </c>
      <c r="BA107" s="78">
        <v>0.5</v>
      </c>
      <c r="BB107" s="78">
        <v>0.5</v>
      </c>
      <c r="BC107" s="78">
        <v>0.5</v>
      </c>
      <c r="BD107" s="78">
        <v>1</v>
      </c>
      <c r="BE107" s="78">
        <v>0.5</v>
      </c>
      <c r="BF107" s="78">
        <v>0</v>
      </c>
      <c r="BG107" s="78">
        <v>8</v>
      </c>
      <c r="BH107" s="137">
        <v>0.79545460000000001</v>
      </c>
      <c r="BJ107" s="143" t="s">
        <v>779</v>
      </c>
      <c r="BK107" s="143" t="s">
        <v>780</v>
      </c>
      <c r="BL107" s="143" t="s">
        <v>728</v>
      </c>
      <c r="BM107" s="143">
        <v>229</v>
      </c>
      <c r="BN107" s="78">
        <v>1</v>
      </c>
      <c r="BO107" s="78">
        <v>4</v>
      </c>
      <c r="BP107" s="78">
        <v>7</v>
      </c>
      <c r="BQ107" s="78">
        <v>0</v>
      </c>
      <c r="BR107" s="78">
        <v>0</v>
      </c>
      <c r="BS107" s="78">
        <v>3</v>
      </c>
      <c r="BT107" s="78">
        <v>0</v>
      </c>
      <c r="BU107" s="137">
        <v>0.65217389999999997</v>
      </c>
      <c r="BW107" s="143" t="s">
        <v>779</v>
      </c>
      <c r="BX107" s="143" t="s">
        <v>780</v>
      </c>
      <c r="BY107" s="143" t="s">
        <v>728</v>
      </c>
      <c r="BZ107" s="143">
        <v>229</v>
      </c>
      <c r="CM107" s="143" t="s">
        <v>779</v>
      </c>
      <c r="CN107" s="143" t="s">
        <v>780</v>
      </c>
      <c r="CO107" s="143" t="s">
        <v>728</v>
      </c>
      <c r="CP107" s="143">
        <v>229</v>
      </c>
      <c r="CQ107" s="78">
        <v>8</v>
      </c>
      <c r="CR107" s="78">
        <v>0</v>
      </c>
      <c r="CS107" s="78">
        <v>24</v>
      </c>
      <c r="CT107" s="78">
        <v>4</v>
      </c>
      <c r="CU107" s="78">
        <v>2</v>
      </c>
      <c r="CV107" s="78">
        <v>8</v>
      </c>
      <c r="CW107" s="137">
        <v>0.88461540000000005</v>
      </c>
      <c r="CY107" s="143" t="s">
        <v>779</v>
      </c>
      <c r="CZ107" s="143" t="s">
        <v>780</v>
      </c>
      <c r="DA107" s="143" t="s">
        <v>728</v>
      </c>
      <c r="DB107" s="143">
        <v>229</v>
      </c>
      <c r="DC107" s="78">
        <v>46</v>
      </c>
      <c r="DD107" s="137">
        <v>0.2</v>
      </c>
      <c r="DE107" s="137">
        <v>0.1022222</v>
      </c>
      <c r="DG107" s="143" t="s">
        <v>779</v>
      </c>
      <c r="DH107" s="143" t="s">
        <v>780</v>
      </c>
      <c r="DI107" s="143" t="s">
        <v>728</v>
      </c>
      <c r="DJ107" s="143">
        <v>229</v>
      </c>
      <c r="DK107" s="78">
        <v>0</v>
      </c>
      <c r="DL107" s="78">
        <v>0</v>
      </c>
      <c r="DM107" s="78">
        <v>0</v>
      </c>
      <c r="DN107" s="78">
        <v>4</v>
      </c>
      <c r="DO107" s="78">
        <v>2</v>
      </c>
      <c r="DP107" s="78">
        <v>3</v>
      </c>
      <c r="DQ107" s="78">
        <v>6</v>
      </c>
      <c r="DR107" s="78">
        <v>1</v>
      </c>
      <c r="DS107" s="78">
        <v>0</v>
      </c>
      <c r="DT107" s="78">
        <v>0</v>
      </c>
      <c r="DU107" s="78">
        <v>0</v>
      </c>
      <c r="DV107" s="137">
        <v>0.55172410000000005</v>
      </c>
      <c r="DX107" s="143" t="s">
        <v>779</v>
      </c>
      <c r="DY107" s="143" t="s">
        <v>780</v>
      </c>
      <c r="DZ107" s="143" t="s">
        <v>728</v>
      </c>
      <c r="EA107" s="143">
        <v>229</v>
      </c>
      <c r="EB107" s="78">
        <v>1</v>
      </c>
      <c r="EC107" s="78">
        <v>8</v>
      </c>
      <c r="ED107" s="78">
        <v>1</v>
      </c>
      <c r="EE107" s="78">
        <v>4</v>
      </c>
      <c r="EF107" s="78">
        <v>1</v>
      </c>
      <c r="EG107" s="78">
        <v>1</v>
      </c>
      <c r="EH107" s="78">
        <v>2</v>
      </c>
      <c r="EI107" s="78">
        <v>1</v>
      </c>
      <c r="EJ107" s="78">
        <v>1</v>
      </c>
      <c r="EK107" s="78">
        <v>1</v>
      </c>
      <c r="EL107" s="78">
        <v>4</v>
      </c>
      <c r="EM107" s="78">
        <v>0</v>
      </c>
      <c r="EN107" s="78">
        <v>1</v>
      </c>
      <c r="EO107" s="137">
        <v>0.96296300000000001</v>
      </c>
      <c r="EQ107" s="143" t="s">
        <v>779</v>
      </c>
      <c r="ER107" s="143" t="s">
        <v>780</v>
      </c>
      <c r="ES107" s="143" t="s">
        <v>728</v>
      </c>
      <c r="ET107" s="143">
        <v>229</v>
      </c>
      <c r="EU107" s="78">
        <v>0.5</v>
      </c>
      <c r="EV107" s="78">
        <v>1</v>
      </c>
      <c r="EW107" s="78">
        <v>3</v>
      </c>
      <c r="EX107" s="78">
        <v>2</v>
      </c>
      <c r="EY107" s="78">
        <v>0</v>
      </c>
      <c r="EZ107" s="78">
        <v>3</v>
      </c>
      <c r="FA107" s="78">
        <v>2</v>
      </c>
      <c r="FB107" s="78">
        <v>1</v>
      </c>
      <c r="FC107" s="137">
        <v>0.96153840000000002</v>
      </c>
      <c r="FE107" s="137">
        <v>0.60797540000000005</v>
      </c>
    </row>
    <row r="108" spans="1:161" hidden="1" x14ac:dyDescent="0.25">
      <c r="A108" s="143" t="s">
        <v>779</v>
      </c>
      <c r="B108" s="143" t="s">
        <v>780</v>
      </c>
      <c r="C108" s="143" t="s">
        <v>729</v>
      </c>
      <c r="D108" s="143">
        <v>238</v>
      </c>
      <c r="E108" s="78">
        <v>0</v>
      </c>
      <c r="F108" s="78">
        <v>2.5</v>
      </c>
      <c r="G108" s="78">
        <v>1</v>
      </c>
      <c r="H108" s="78">
        <v>1</v>
      </c>
      <c r="I108" s="78">
        <v>1</v>
      </c>
      <c r="J108" s="78">
        <v>1</v>
      </c>
      <c r="K108" s="78">
        <v>1</v>
      </c>
      <c r="L108" s="78">
        <v>1</v>
      </c>
      <c r="M108" s="78">
        <v>0</v>
      </c>
      <c r="N108" s="137">
        <v>0.60714290000000004</v>
      </c>
      <c r="P108" s="143" t="s">
        <v>779</v>
      </c>
      <c r="Q108" s="143" t="s">
        <v>780</v>
      </c>
      <c r="R108" s="143" t="s">
        <v>729</v>
      </c>
      <c r="S108" s="143">
        <v>238</v>
      </c>
      <c r="T108" s="78">
        <v>1</v>
      </c>
      <c r="U108" s="78">
        <v>1</v>
      </c>
      <c r="V108" s="78">
        <v>3</v>
      </c>
      <c r="W108" s="78">
        <v>2</v>
      </c>
      <c r="X108" s="78">
        <v>12</v>
      </c>
      <c r="Y108" s="78">
        <v>1</v>
      </c>
      <c r="Z108" s="78">
        <v>3</v>
      </c>
      <c r="AA108" s="78">
        <v>2</v>
      </c>
      <c r="AB108" s="78">
        <v>6</v>
      </c>
      <c r="AC108" s="78">
        <v>3</v>
      </c>
      <c r="AD108" s="137">
        <v>1</v>
      </c>
      <c r="AF108" s="143" t="s">
        <v>779</v>
      </c>
      <c r="AG108" s="143" t="s">
        <v>780</v>
      </c>
      <c r="AH108" s="143" t="s">
        <v>729</v>
      </c>
      <c r="AI108" s="143">
        <v>238</v>
      </c>
      <c r="AJ108" s="78">
        <v>0</v>
      </c>
      <c r="AK108" s="78">
        <v>0</v>
      </c>
      <c r="AL108" s="78">
        <v>1</v>
      </c>
      <c r="AM108" s="78">
        <v>6</v>
      </c>
      <c r="AN108" s="78">
        <v>1</v>
      </c>
      <c r="AO108" s="78">
        <v>0</v>
      </c>
      <c r="AP108" s="78">
        <v>1</v>
      </c>
      <c r="AQ108" s="78">
        <v>1</v>
      </c>
      <c r="AR108" s="78">
        <v>2</v>
      </c>
      <c r="AS108" s="78">
        <v>2</v>
      </c>
      <c r="AT108" s="78">
        <v>0</v>
      </c>
      <c r="AU108" s="78">
        <v>0</v>
      </c>
      <c r="AV108" s="78">
        <v>2</v>
      </c>
      <c r="AW108" s="78">
        <v>1</v>
      </c>
      <c r="AX108" s="78">
        <v>0</v>
      </c>
      <c r="AY108" s="78">
        <v>0</v>
      </c>
      <c r="AZ108" s="78">
        <v>2</v>
      </c>
      <c r="BA108" s="78">
        <v>0.5</v>
      </c>
      <c r="BB108" s="78">
        <v>0.5</v>
      </c>
      <c r="BC108" s="78">
        <v>0.5</v>
      </c>
      <c r="BD108" s="78">
        <v>1</v>
      </c>
      <c r="BE108" s="78">
        <v>0</v>
      </c>
      <c r="BF108" s="78">
        <v>1</v>
      </c>
      <c r="BG108" s="78">
        <v>8</v>
      </c>
      <c r="BH108" s="137">
        <v>0.69318179999999996</v>
      </c>
      <c r="BJ108" s="143" t="s">
        <v>779</v>
      </c>
      <c r="BK108" s="143" t="s">
        <v>780</v>
      </c>
      <c r="BL108" s="143" t="s">
        <v>729</v>
      </c>
      <c r="BM108" s="143">
        <v>238</v>
      </c>
      <c r="BN108" s="78">
        <v>0</v>
      </c>
      <c r="BO108" s="78">
        <v>4</v>
      </c>
      <c r="BP108" s="78">
        <v>7</v>
      </c>
      <c r="BQ108" s="78">
        <v>3</v>
      </c>
      <c r="BR108" s="78">
        <v>3</v>
      </c>
      <c r="BS108" s="78">
        <v>3</v>
      </c>
      <c r="BT108" s="78">
        <v>0</v>
      </c>
      <c r="BU108" s="137">
        <v>0.86956520000000004</v>
      </c>
      <c r="BW108" s="143" t="s">
        <v>779</v>
      </c>
      <c r="BX108" s="143" t="s">
        <v>780</v>
      </c>
      <c r="BY108" s="143" t="s">
        <v>729</v>
      </c>
      <c r="BZ108" s="143">
        <v>238</v>
      </c>
      <c r="CA108" s="78">
        <v>1</v>
      </c>
      <c r="CB108" s="78">
        <v>1</v>
      </c>
      <c r="CC108" s="78">
        <v>1</v>
      </c>
      <c r="CD108" s="78">
        <v>2</v>
      </c>
      <c r="CE108" s="78">
        <v>1</v>
      </c>
      <c r="CF108" s="78">
        <v>2</v>
      </c>
      <c r="CG108" s="78">
        <v>1</v>
      </c>
      <c r="CH108" s="78">
        <v>2</v>
      </c>
      <c r="CI108" s="78">
        <v>1</v>
      </c>
      <c r="CJ108" s="78">
        <v>0</v>
      </c>
      <c r="CK108" s="137">
        <v>0.8</v>
      </c>
      <c r="CM108" s="143" t="s">
        <v>779</v>
      </c>
      <c r="CN108" s="143" t="s">
        <v>780</v>
      </c>
      <c r="CO108" s="143" t="s">
        <v>729</v>
      </c>
      <c r="CP108" s="143">
        <v>238</v>
      </c>
      <c r="CQ108" s="78">
        <v>2</v>
      </c>
      <c r="CR108" s="78">
        <v>6</v>
      </c>
      <c r="CS108" s="78">
        <v>8</v>
      </c>
      <c r="CT108" s="78">
        <v>0</v>
      </c>
      <c r="CU108" s="78">
        <v>0</v>
      </c>
      <c r="CV108" s="78">
        <v>8</v>
      </c>
      <c r="CW108" s="137">
        <v>0.46153850000000002</v>
      </c>
      <c r="CY108" s="143" t="s">
        <v>779</v>
      </c>
      <c r="CZ108" s="143" t="s">
        <v>780</v>
      </c>
      <c r="DA108" s="143" t="s">
        <v>729</v>
      </c>
      <c r="DB108" s="143">
        <v>238</v>
      </c>
      <c r="DC108" s="78">
        <v>50</v>
      </c>
      <c r="DD108" s="137">
        <v>0.2</v>
      </c>
      <c r="DE108" s="137">
        <v>0.1111111</v>
      </c>
      <c r="DG108" s="143" t="s">
        <v>779</v>
      </c>
      <c r="DH108" s="143" t="s">
        <v>780</v>
      </c>
      <c r="DI108" s="143" t="s">
        <v>729</v>
      </c>
      <c r="DJ108" s="143">
        <v>238</v>
      </c>
      <c r="DK108" s="78">
        <v>2</v>
      </c>
      <c r="DL108" s="78">
        <v>1</v>
      </c>
      <c r="DM108" s="78">
        <v>1</v>
      </c>
      <c r="DN108" s="78">
        <v>7</v>
      </c>
      <c r="DO108" s="78">
        <v>2</v>
      </c>
      <c r="DP108" s="78">
        <v>3</v>
      </c>
      <c r="DQ108" s="78">
        <v>8</v>
      </c>
      <c r="DR108" s="78">
        <v>1</v>
      </c>
      <c r="DS108" s="78">
        <v>1</v>
      </c>
      <c r="DT108" s="78">
        <v>2</v>
      </c>
      <c r="DU108" s="78">
        <v>1</v>
      </c>
      <c r="DV108" s="137">
        <v>1</v>
      </c>
      <c r="DX108" s="143" t="s">
        <v>779</v>
      </c>
      <c r="DY108" s="143" t="s">
        <v>780</v>
      </c>
      <c r="DZ108" s="143" t="s">
        <v>729</v>
      </c>
      <c r="EA108" s="143">
        <v>238</v>
      </c>
      <c r="EB108" s="78">
        <v>1</v>
      </c>
      <c r="EC108" s="78">
        <v>8</v>
      </c>
      <c r="ED108" s="78">
        <v>1</v>
      </c>
      <c r="EE108" s="78">
        <v>4</v>
      </c>
      <c r="EF108" s="78">
        <v>1</v>
      </c>
      <c r="EG108" s="78">
        <v>1</v>
      </c>
      <c r="EH108" s="78">
        <v>0</v>
      </c>
      <c r="EI108" s="78">
        <v>1</v>
      </c>
      <c r="EJ108" s="78">
        <v>1</v>
      </c>
      <c r="EK108" s="78">
        <v>1</v>
      </c>
      <c r="EL108" s="78">
        <v>4</v>
      </c>
      <c r="EM108" s="78">
        <v>1</v>
      </c>
      <c r="EN108" s="78">
        <v>1</v>
      </c>
      <c r="EO108" s="137">
        <v>0.92592589999999997</v>
      </c>
      <c r="EQ108" s="143" t="s">
        <v>779</v>
      </c>
      <c r="ER108" s="143" t="s">
        <v>780</v>
      </c>
      <c r="ES108" s="143" t="s">
        <v>729</v>
      </c>
      <c r="ET108" s="143">
        <v>238</v>
      </c>
      <c r="EU108" s="78">
        <v>0</v>
      </c>
      <c r="EV108" s="78">
        <v>0</v>
      </c>
      <c r="EW108" s="78">
        <v>3</v>
      </c>
      <c r="EX108" s="78">
        <v>0</v>
      </c>
      <c r="EY108" s="78">
        <v>0.5</v>
      </c>
      <c r="EZ108" s="78">
        <v>3</v>
      </c>
      <c r="FA108" s="78">
        <v>2</v>
      </c>
      <c r="FB108" s="78">
        <v>1</v>
      </c>
      <c r="FC108" s="137">
        <v>0.73076920000000001</v>
      </c>
      <c r="FE108" s="137">
        <v>0.59384170000000003</v>
      </c>
    </row>
    <row r="109" spans="1:161" x14ac:dyDescent="0.25">
      <c r="A109" s="143" t="s">
        <v>779</v>
      </c>
      <c r="B109" s="143" t="s">
        <v>780</v>
      </c>
      <c r="C109" s="143" t="s">
        <v>728</v>
      </c>
      <c r="D109" s="143">
        <v>1523</v>
      </c>
      <c r="E109" s="78">
        <v>0.5</v>
      </c>
      <c r="F109" s="78">
        <v>2.5</v>
      </c>
      <c r="G109" s="78">
        <v>1</v>
      </c>
      <c r="H109" s="78">
        <v>4</v>
      </c>
      <c r="I109" s="78">
        <v>1</v>
      </c>
      <c r="J109" s="78">
        <v>0</v>
      </c>
      <c r="K109" s="78">
        <v>1</v>
      </c>
      <c r="L109" s="78">
        <v>1</v>
      </c>
      <c r="M109" s="78">
        <v>2</v>
      </c>
      <c r="N109" s="137">
        <v>0.92857140000000005</v>
      </c>
      <c r="P109" s="143" t="s">
        <v>779</v>
      </c>
      <c r="Q109" s="143" t="s">
        <v>780</v>
      </c>
      <c r="R109" s="143" t="s">
        <v>728</v>
      </c>
      <c r="S109" s="143">
        <v>1523</v>
      </c>
      <c r="T109" s="78">
        <v>0</v>
      </c>
      <c r="U109" s="78">
        <v>1</v>
      </c>
      <c r="V109" s="78">
        <v>1.5</v>
      </c>
      <c r="W109" s="78">
        <v>2</v>
      </c>
      <c r="X109" s="78">
        <v>12</v>
      </c>
      <c r="Y109" s="78">
        <v>1</v>
      </c>
      <c r="Z109" s="78">
        <v>3</v>
      </c>
      <c r="AA109" s="78">
        <v>2</v>
      </c>
      <c r="AB109" s="78">
        <v>6</v>
      </c>
      <c r="AC109" s="78">
        <v>0</v>
      </c>
      <c r="AD109" s="137">
        <v>0.83823530000000002</v>
      </c>
      <c r="AF109" s="143" t="s">
        <v>779</v>
      </c>
      <c r="AG109" s="143" t="s">
        <v>780</v>
      </c>
      <c r="AH109" s="143" t="s">
        <v>728</v>
      </c>
      <c r="AI109" s="143">
        <v>1523</v>
      </c>
      <c r="AJ109" s="78">
        <v>1</v>
      </c>
      <c r="AK109" s="78">
        <v>0</v>
      </c>
      <c r="AL109" s="78">
        <v>1</v>
      </c>
      <c r="AM109" s="78">
        <v>6</v>
      </c>
      <c r="AN109" s="78">
        <v>0</v>
      </c>
      <c r="AO109" s="78">
        <v>2</v>
      </c>
      <c r="AP109" s="78">
        <v>1</v>
      </c>
      <c r="AQ109" s="78">
        <v>1</v>
      </c>
      <c r="AR109" s="78">
        <v>2</v>
      </c>
      <c r="AS109" s="78">
        <v>2</v>
      </c>
      <c r="AT109" s="78">
        <v>0</v>
      </c>
      <c r="AU109" s="78">
        <v>1</v>
      </c>
      <c r="AV109" s="78">
        <v>2</v>
      </c>
      <c r="AW109" s="78">
        <v>1</v>
      </c>
      <c r="AX109" s="78">
        <v>0</v>
      </c>
      <c r="AY109" s="78">
        <v>0</v>
      </c>
      <c r="AZ109" s="78">
        <v>2</v>
      </c>
      <c r="BA109" s="78">
        <v>0.5</v>
      </c>
      <c r="BB109" s="78">
        <v>0.5</v>
      </c>
      <c r="BC109" s="78">
        <v>0.5</v>
      </c>
      <c r="BD109" s="78">
        <v>1</v>
      </c>
      <c r="BE109" s="78">
        <v>0.5</v>
      </c>
      <c r="BF109" s="78">
        <v>0</v>
      </c>
      <c r="BG109" s="78">
        <v>2</v>
      </c>
      <c r="BH109" s="137">
        <v>0.61363639999999997</v>
      </c>
      <c r="BJ109" s="143" t="s">
        <v>779</v>
      </c>
      <c r="BK109" s="143" t="s">
        <v>780</v>
      </c>
      <c r="BL109" s="143" t="s">
        <v>728</v>
      </c>
      <c r="BM109" s="143">
        <v>1523</v>
      </c>
      <c r="BN109" s="78">
        <v>1</v>
      </c>
      <c r="BO109" s="78">
        <v>4</v>
      </c>
      <c r="BP109" s="78">
        <v>7</v>
      </c>
      <c r="BQ109" s="78">
        <v>3</v>
      </c>
      <c r="BR109" s="78">
        <v>3</v>
      </c>
      <c r="BS109" s="78">
        <v>0</v>
      </c>
      <c r="BT109" s="78">
        <v>0</v>
      </c>
      <c r="BU109" s="137">
        <v>0.78260870000000005</v>
      </c>
      <c r="BW109" s="143" t="s">
        <v>779</v>
      </c>
      <c r="BX109" s="143" t="s">
        <v>780</v>
      </c>
      <c r="BY109" s="143" t="s">
        <v>728</v>
      </c>
      <c r="BZ109" s="143">
        <v>1523</v>
      </c>
      <c r="CM109" s="143" t="s">
        <v>779</v>
      </c>
      <c r="CN109" s="143" t="s">
        <v>780</v>
      </c>
      <c r="CO109" s="143" t="s">
        <v>728</v>
      </c>
      <c r="CP109" s="143">
        <v>1523</v>
      </c>
      <c r="CQ109" s="78">
        <v>8</v>
      </c>
      <c r="CR109" s="78">
        <v>6</v>
      </c>
      <c r="CS109" s="78">
        <v>20</v>
      </c>
      <c r="CT109" s="78">
        <v>4</v>
      </c>
      <c r="CU109" s="78">
        <v>2</v>
      </c>
      <c r="CV109" s="78">
        <v>8</v>
      </c>
      <c r="CW109" s="137">
        <v>0.92307689999999998</v>
      </c>
      <c r="CY109" s="143" t="s">
        <v>779</v>
      </c>
      <c r="CZ109" s="143" t="s">
        <v>780</v>
      </c>
      <c r="DA109" s="143" t="s">
        <v>728</v>
      </c>
      <c r="DB109" s="143">
        <v>1523</v>
      </c>
      <c r="DC109" s="78">
        <v>34</v>
      </c>
      <c r="DD109" s="137">
        <v>0</v>
      </c>
      <c r="DE109" s="137">
        <v>0</v>
      </c>
      <c r="DG109" s="143" t="s">
        <v>779</v>
      </c>
      <c r="DH109" s="143" t="s">
        <v>780</v>
      </c>
      <c r="DI109" s="143" t="s">
        <v>728</v>
      </c>
      <c r="DJ109" s="143">
        <v>1523</v>
      </c>
      <c r="DK109" s="78">
        <v>2</v>
      </c>
      <c r="DL109" s="78">
        <v>0</v>
      </c>
      <c r="DM109" s="78">
        <v>1</v>
      </c>
      <c r="DN109" s="78">
        <v>7</v>
      </c>
      <c r="DO109" s="78">
        <v>2</v>
      </c>
      <c r="DP109" s="78">
        <v>3</v>
      </c>
      <c r="DQ109" s="78">
        <v>8</v>
      </c>
      <c r="DR109" s="78">
        <v>1</v>
      </c>
      <c r="DS109" s="78">
        <v>1</v>
      </c>
      <c r="DT109" s="78">
        <v>0</v>
      </c>
      <c r="DU109" s="78">
        <v>1</v>
      </c>
      <c r="DV109" s="137">
        <v>0.89655169999999995</v>
      </c>
      <c r="DX109" s="143" t="s">
        <v>779</v>
      </c>
      <c r="DY109" s="143" t="s">
        <v>780</v>
      </c>
      <c r="DZ109" s="143" t="s">
        <v>728</v>
      </c>
      <c r="EA109" s="143">
        <v>1523</v>
      </c>
      <c r="EB109" s="78">
        <v>1</v>
      </c>
      <c r="EC109" s="78">
        <v>8</v>
      </c>
      <c r="ED109" s="78">
        <v>1</v>
      </c>
      <c r="EE109" s="78">
        <v>4</v>
      </c>
      <c r="EF109" s="78">
        <v>1</v>
      </c>
      <c r="EG109" s="78">
        <v>1</v>
      </c>
      <c r="EH109" s="78">
        <v>0</v>
      </c>
      <c r="EI109" s="78">
        <v>1</v>
      </c>
      <c r="EJ109" s="78">
        <v>1</v>
      </c>
      <c r="EK109" s="78">
        <v>1</v>
      </c>
      <c r="EL109" s="78">
        <v>4</v>
      </c>
      <c r="EM109" s="78">
        <v>1</v>
      </c>
      <c r="EN109" s="78">
        <v>1</v>
      </c>
      <c r="EO109" s="137">
        <v>0.92592589999999997</v>
      </c>
      <c r="EQ109" s="143" t="s">
        <v>779</v>
      </c>
      <c r="ER109" s="143" t="s">
        <v>780</v>
      </c>
      <c r="ES109" s="143" t="s">
        <v>728</v>
      </c>
      <c r="ET109" s="143">
        <v>1523</v>
      </c>
      <c r="EU109" s="78">
        <v>0.5</v>
      </c>
      <c r="EV109" s="78">
        <v>0</v>
      </c>
      <c r="EW109" s="78">
        <v>3</v>
      </c>
      <c r="EX109" s="78">
        <v>2</v>
      </c>
      <c r="EY109" s="78">
        <v>0.5</v>
      </c>
      <c r="EZ109" s="78">
        <v>3</v>
      </c>
      <c r="FA109" s="78">
        <v>2</v>
      </c>
      <c r="FB109" s="78">
        <v>1</v>
      </c>
      <c r="FC109" s="137">
        <v>0.92307689999999998</v>
      </c>
      <c r="FE109" s="137">
        <v>0.60582820000000004</v>
      </c>
    </row>
    <row r="110" spans="1:161" x14ac:dyDescent="0.25">
      <c r="A110" s="143" t="s">
        <v>779</v>
      </c>
      <c r="B110" s="143" t="s">
        <v>780</v>
      </c>
      <c r="C110" s="143" t="s">
        <v>728</v>
      </c>
      <c r="D110" s="143">
        <v>1876</v>
      </c>
      <c r="E110" s="78">
        <v>0.5</v>
      </c>
      <c r="F110" s="78">
        <v>2.5</v>
      </c>
      <c r="G110" s="78">
        <v>1</v>
      </c>
      <c r="H110" s="78">
        <v>4</v>
      </c>
      <c r="I110" s="78">
        <v>1</v>
      </c>
      <c r="J110" s="78">
        <v>0</v>
      </c>
      <c r="K110" s="78">
        <v>1</v>
      </c>
      <c r="L110" s="78">
        <v>1</v>
      </c>
      <c r="M110" s="78">
        <v>2</v>
      </c>
      <c r="N110" s="137">
        <v>0.92857140000000005</v>
      </c>
      <c r="P110" s="143" t="s">
        <v>779</v>
      </c>
      <c r="Q110" s="143" t="s">
        <v>780</v>
      </c>
      <c r="R110" s="143" t="s">
        <v>728</v>
      </c>
      <c r="S110" s="143">
        <v>1876</v>
      </c>
      <c r="T110" s="78">
        <v>1</v>
      </c>
      <c r="U110" s="78">
        <v>1</v>
      </c>
      <c r="V110" s="78">
        <v>1.5</v>
      </c>
      <c r="W110" s="78">
        <v>0.5</v>
      </c>
      <c r="X110" s="78">
        <v>12</v>
      </c>
      <c r="Y110" s="78">
        <v>1</v>
      </c>
      <c r="Z110" s="78">
        <v>0</v>
      </c>
      <c r="AA110" s="78">
        <v>2</v>
      </c>
      <c r="AB110" s="78">
        <v>6</v>
      </c>
      <c r="AC110" s="78">
        <v>0</v>
      </c>
      <c r="AD110" s="137">
        <v>0.73529409999999995</v>
      </c>
      <c r="AF110" s="143" t="s">
        <v>779</v>
      </c>
      <c r="AG110" s="143" t="s">
        <v>780</v>
      </c>
      <c r="AH110" s="143" t="s">
        <v>728</v>
      </c>
      <c r="AI110" s="143">
        <v>1876</v>
      </c>
      <c r="AJ110" s="78">
        <v>1</v>
      </c>
      <c r="AK110" s="78">
        <v>0</v>
      </c>
      <c r="AL110" s="78">
        <v>1</v>
      </c>
      <c r="AM110" s="78">
        <v>6</v>
      </c>
      <c r="AN110" s="78">
        <v>1</v>
      </c>
      <c r="AO110" s="78">
        <v>2</v>
      </c>
      <c r="AP110" s="78">
        <v>1</v>
      </c>
      <c r="AQ110" s="78">
        <v>1</v>
      </c>
      <c r="AR110" s="78">
        <v>2</v>
      </c>
      <c r="AS110" s="78">
        <v>2</v>
      </c>
      <c r="AT110" s="78">
        <v>0</v>
      </c>
      <c r="AU110" s="78">
        <v>1</v>
      </c>
      <c r="AV110" s="78">
        <v>2</v>
      </c>
      <c r="AW110" s="78">
        <v>1</v>
      </c>
      <c r="AX110" s="78">
        <v>4</v>
      </c>
      <c r="AY110" s="78">
        <v>1</v>
      </c>
      <c r="AZ110" s="78">
        <v>2</v>
      </c>
      <c r="BA110" s="78">
        <v>0.5</v>
      </c>
      <c r="BB110" s="78">
        <v>0.5</v>
      </c>
      <c r="BC110" s="78">
        <v>0.5</v>
      </c>
      <c r="BD110" s="78">
        <v>1</v>
      </c>
      <c r="BE110" s="78">
        <v>0.5</v>
      </c>
      <c r="BF110" s="78">
        <v>1</v>
      </c>
      <c r="BG110" s="78">
        <v>8</v>
      </c>
      <c r="BH110" s="137">
        <v>0.90909090000000004</v>
      </c>
      <c r="BJ110" s="143" t="s">
        <v>779</v>
      </c>
      <c r="BK110" s="143" t="s">
        <v>780</v>
      </c>
      <c r="BL110" s="143" t="s">
        <v>728</v>
      </c>
      <c r="BM110" s="143">
        <v>1876</v>
      </c>
      <c r="BN110" s="78">
        <v>1</v>
      </c>
      <c r="BO110" s="78">
        <v>4</v>
      </c>
      <c r="BP110" s="78">
        <v>7</v>
      </c>
      <c r="BQ110" s="78">
        <v>3</v>
      </c>
      <c r="BR110" s="78">
        <v>0</v>
      </c>
      <c r="BS110" s="78">
        <v>3</v>
      </c>
      <c r="BT110" s="78">
        <v>0</v>
      </c>
      <c r="BU110" s="137">
        <v>0.78260870000000005</v>
      </c>
      <c r="BW110" s="143" t="s">
        <v>779</v>
      </c>
      <c r="BX110" s="143" t="s">
        <v>780</v>
      </c>
      <c r="BY110" s="143" t="s">
        <v>728</v>
      </c>
      <c r="BZ110" s="143">
        <v>1876</v>
      </c>
      <c r="CM110" s="143" t="s">
        <v>779</v>
      </c>
      <c r="CN110" s="143" t="s">
        <v>780</v>
      </c>
      <c r="CO110" s="143" t="s">
        <v>728</v>
      </c>
      <c r="CP110" s="143">
        <v>1876</v>
      </c>
      <c r="CQ110" s="78">
        <v>8</v>
      </c>
      <c r="CR110" s="78">
        <v>0</v>
      </c>
      <c r="CS110" s="78">
        <v>12</v>
      </c>
      <c r="CT110" s="78">
        <v>4</v>
      </c>
      <c r="CU110" s="78">
        <v>2</v>
      </c>
      <c r="CV110" s="78">
        <v>8</v>
      </c>
      <c r="CW110" s="137">
        <v>0.65384609999999999</v>
      </c>
      <c r="CY110" s="143" t="s">
        <v>779</v>
      </c>
      <c r="CZ110" s="143" t="s">
        <v>780</v>
      </c>
      <c r="DA110" s="143" t="s">
        <v>728</v>
      </c>
      <c r="DB110" s="143">
        <v>1876</v>
      </c>
      <c r="DC110" s="78">
        <v>30</v>
      </c>
      <c r="DD110" s="137">
        <v>0</v>
      </c>
      <c r="DE110" s="137">
        <v>0</v>
      </c>
      <c r="DG110" s="143" t="s">
        <v>779</v>
      </c>
      <c r="DH110" s="143" t="s">
        <v>780</v>
      </c>
      <c r="DI110" s="143" t="s">
        <v>728</v>
      </c>
      <c r="DJ110" s="143">
        <v>1876</v>
      </c>
      <c r="DK110" s="78">
        <v>2</v>
      </c>
      <c r="DL110" s="78">
        <v>1</v>
      </c>
      <c r="DM110" s="78">
        <v>0</v>
      </c>
      <c r="DN110" s="78">
        <v>4</v>
      </c>
      <c r="DO110" s="78">
        <v>2</v>
      </c>
      <c r="DP110" s="78">
        <v>3</v>
      </c>
      <c r="DQ110" s="78">
        <v>7</v>
      </c>
      <c r="DR110" s="78">
        <v>1</v>
      </c>
      <c r="DS110" s="78">
        <v>0</v>
      </c>
      <c r="DT110" s="78">
        <v>0</v>
      </c>
      <c r="DU110" s="78">
        <v>0</v>
      </c>
      <c r="DV110" s="137">
        <v>0.68965520000000002</v>
      </c>
      <c r="DX110" s="143" t="s">
        <v>779</v>
      </c>
      <c r="DY110" s="143" t="s">
        <v>780</v>
      </c>
      <c r="DZ110" s="143" t="s">
        <v>728</v>
      </c>
      <c r="EA110" s="143">
        <v>1876</v>
      </c>
      <c r="EB110" s="78">
        <v>1</v>
      </c>
      <c r="EC110" s="78">
        <v>8</v>
      </c>
      <c r="ED110" s="78">
        <v>1</v>
      </c>
      <c r="EE110" s="78">
        <v>4</v>
      </c>
      <c r="EF110" s="78">
        <v>1</v>
      </c>
      <c r="EG110" s="78">
        <v>1</v>
      </c>
      <c r="EH110" s="78">
        <v>0</v>
      </c>
      <c r="EI110" s="78">
        <v>1</v>
      </c>
      <c r="EJ110" s="78">
        <v>1</v>
      </c>
      <c r="EK110" s="78">
        <v>1</v>
      </c>
      <c r="EL110" s="78">
        <v>4</v>
      </c>
      <c r="EM110" s="78">
        <v>1</v>
      </c>
      <c r="EN110" s="78">
        <v>1</v>
      </c>
      <c r="EO110" s="137">
        <v>0.92592589999999997</v>
      </c>
      <c r="EQ110" s="143" t="s">
        <v>779</v>
      </c>
      <c r="ER110" s="143" t="s">
        <v>780</v>
      </c>
      <c r="ES110" s="143" t="s">
        <v>728</v>
      </c>
      <c r="ET110" s="143">
        <v>1876</v>
      </c>
      <c r="EU110" s="78">
        <v>0.5</v>
      </c>
      <c r="EV110" s="78">
        <v>0</v>
      </c>
      <c r="EW110" s="78">
        <v>3</v>
      </c>
      <c r="EX110" s="78">
        <v>2</v>
      </c>
      <c r="EY110" s="78">
        <v>0.5</v>
      </c>
      <c r="EZ110" s="78">
        <v>3</v>
      </c>
      <c r="FA110" s="78">
        <v>2</v>
      </c>
      <c r="FB110" s="78">
        <v>1</v>
      </c>
      <c r="FC110" s="137">
        <v>0.92307689999999998</v>
      </c>
      <c r="FE110" s="137">
        <v>0.57361960000000001</v>
      </c>
    </row>
    <row r="111" spans="1:161" x14ac:dyDescent="0.25">
      <c r="A111" s="143" t="s">
        <v>779</v>
      </c>
      <c r="B111" s="143" t="s">
        <v>780</v>
      </c>
      <c r="C111" s="143" t="s">
        <v>728</v>
      </c>
      <c r="D111" s="143">
        <v>2074</v>
      </c>
      <c r="E111" s="78">
        <v>0</v>
      </c>
      <c r="F111" s="78">
        <v>2.5</v>
      </c>
      <c r="G111" s="78">
        <v>1</v>
      </c>
      <c r="H111" s="78">
        <v>0</v>
      </c>
      <c r="I111" s="78">
        <v>1</v>
      </c>
      <c r="J111" s="78">
        <v>0</v>
      </c>
      <c r="K111" s="78">
        <v>1</v>
      </c>
      <c r="L111" s="78">
        <v>0</v>
      </c>
      <c r="M111" s="78">
        <v>0</v>
      </c>
      <c r="N111" s="137">
        <v>0.39285710000000001</v>
      </c>
      <c r="P111" s="143" t="s">
        <v>779</v>
      </c>
      <c r="Q111" s="143" t="s">
        <v>780</v>
      </c>
      <c r="R111" s="143" t="s">
        <v>728</v>
      </c>
      <c r="S111" s="143">
        <v>2074</v>
      </c>
      <c r="T111" s="78">
        <v>1</v>
      </c>
      <c r="U111" s="78">
        <v>1</v>
      </c>
      <c r="V111" s="78">
        <v>0.5</v>
      </c>
      <c r="W111" s="78">
        <v>0</v>
      </c>
      <c r="X111" s="78">
        <v>12</v>
      </c>
      <c r="Y111" s="78">
        <v>1</v>
      </c>
      <c r="Z111" s="78">
        <v>0</v>
      </c>
      <c r="AA111" s="78">
        <v>0</v>
      </c>
      <c r="AB111" s="78">
        <v>0</v>
      </c>
      <c r="AC111" s="78">
        <v>0</v>
      </c>
      <c r="AD111" s="137">
        <v>0.45588230000000002</v>
      </c>
      <c r="AF111" s="143" t="s">
        <v>779</v>
      </c>
      <c r="AG111" s="143" t="s">
        <v>780</v>
      </c>
      <c r="AH111" s="143" t="s">
        <v>728</v>
      </c>
      <c r="AI111" s="143">
        <v>2074</v>
      </c>
      <c r="AJ111" s="78">
        <v>0</v>
      </c>
      <c r="AK111" s="78">
        <v>0</v>
      </c>
      <c r="AL111" s="78">
        <v>0</v>
      </c>
      <c r="AM111" s="78">
        <v>1</v>
      </c>
      <c r="AN111" s="78">
        <v>1</v>
      </c>
      <c r="AO111" s="78">
        <v>0</v>
      </c>
      <c r="AP111" s="78">
        <v>1</v>
      </c>
      <c r="AQ111" s="78">
        <v>1</v>
      </c>
      <c r="AR111" s="78">
        <v>0</v>
      </c>
      <c r="AS111" s="78">
        <v>2</v>
      </c>
      <c r="AT111" s="78">
        <v>0</v>
      </c>
      <c r="AU111" s="78">
        <v>0</v>
      </c>
      <c r="AV111" s="78">
        <v>0</v>
      </c>
      <c r="AW111" s="78">
        <v>0</v>
      </c>
      <c r="AX111" s="78">
        <v>0</v>
      </c>
      <c r="AY111" s="78">
        <v>1</v>
      </c>
      <c r="AZ111" s="78">
        <v>2</v>
      </c>
      <c r="BA111" s="78">
        <v>0.5</v>
      </c>
      <c r="BB111" s="78">
        <v>0.5</v>
      </c>
      <c r="BC111" s="78">
        <v>0.5</v>
      </c>
      <c r="BD111" s="78">
        <v>0</v>
      </c>
      <c r="BE111" s="78">
        <v>0.5</v>
      </c>
      <c r="BF111" s="78">
        <v>0</v>
      </c>
      <c r="BG111" s="78">
        <v>2</v>
      </c>
      <c r="BH111" s="137">
        <v>0.29545450000000001</v>
      </c>
      <c r="BJ111" s="143" t="s">
        <v>779</v>
      </c>
      <c r="BK111" s="143" t="s">
        <v>780</v>
      </c>
      <c r="BL111" s="143" t="s">
        <v>728</v>
      </c>
      <c r="BM111" s="143">
        <v>2074</v>
      </c>
      <c r="BN111" s="78">
        <v>0</v>
      </c>
      <c r="BO111" s="78">
        <v>4</v>
      </c>
      <c r="BP111" s="78">
        <v>0</v>
      </c>
      <c r="BQ111" s="78">
        <v>3</v>
      </c>
      <c r="BR111" s="78">
        <v>0</v>
      </c>
      <c r="BS111" s="78">
        <v>3</v>
      </c>
      <c r="BT111" s="78">
        <v>0</v>
      </c>
      <c r="BU111" s="137">
        <v>0.43478260000000002</v>
      </c>
      <c r="BW111" s="143" t="s">
        <v>779</v>
      </c>
      <c r="BX111" s="143" t="s">
        <v>780</v>
      </c>
      <c r="BY111" s="143" t="s">
        <v>728</v>
      </c>
      <c r="BZ111" s="143">
        <v>2074</v>
      </c>
      <c r="CM111" s="143" t="s">
        <v>779</v>
      </c>
      <c r="CN111" s="143" t="s">
        <v>780</v>
      </c>
      <c r="CO111" s="143" t="s">
        <v>728</v>
      </c>
      <c r="CP111" s="143">
        <v>2074</v>
      </c>
      <c r="CQ111" s="78">
        <v>0</v>
      </c>
      <c r="CR111" s="78">
        <v>0</v>
      </c>
      <c r="CS111" s="78">
        <v>20</v>
      </c>
      <c r="CT111" s="78">
        <v>4</v>
      </c>
      <c r="CU111" s="78">
        <v>2</v>
      </c>
      <c r="CV111" s="78">
        <v>8</v>
      </c>
      <c r="CW111" s="137">
        <v>0.65384609999999999</v>
      </c>
      <c r="CY111" s="143" t="s">
        <v>779</v>
      </c>
      <c r="CZ111" s="143" t="s">
        <v>780</v>
      </c>
      <c r="DA111" s="143" t="s">
        <v>728</v>
      </c>
      <c r="DB111" s="143">
        <v>2074</v>
      </c>
      <c r="DC111" s="78">
        <v>66</v>
      </c>
      <c r="DD111" s="137">
        <v>0.4</v>
      </c>
      <c r="DE111" s="137">
        <v>0.29333330000000002</v>
      </c>
      <c r="DG111" s="143" t="s">
        <v>779</v>
      </c>
      <c r="DH111" s="143" t="s">
        <v>780</v>
      </c>
      <c r="DI111" s="143" t="s">
        <v>728</v>
      </c>
      <c r="DJ111" s="143">
        <v>2074</v>
      </c>
      <c r="DK111" s="78">
        <v>0</v>
      </c>
      <c r="DL111" s="78">
        <v>0</v>
      </c>
      <c r="DM111" s="78">
        <v>0</v>
      </c>
      <c r="DN111" s="78">
        <v>5</v>
      </c>
      <c r="DO111" s="78">
        <v>2</v>
      </c>
      <c r="DP111" s="78">
        <v>3</v>
      </c>
      <c r="DQ111" s="78">
        <v>6</v>
      </c>
      <c r="DR111" s="78">
        <v>1</v>
      </c>
      <c r="DS111" s="78">
        <v>1</v>
      </c>
      <c r="DT111" s="78">
        <v>0</v>
      </c>
      <c r="DU111" s="78">
        <v>1</v>
      </c>
      <c r="DV111" s="137">
        <v>0.65517239999999999</v>
      </c>
      <c r="DX111" s="143" t="s">
        <v>779</v>
      </c>
      <c r="DY111" s="143" t="s">
        <v>780</v>
      </c>
      <c r="DZ111" s="143" t="s">
        <v>728</v>
      </c>
      <c r="EA111" s="143">
        <v>2074</v>
      </c>
      <c r="EB111" s="78">
        <v>1</v>
      </c>
      <c r="EC111" s="78">
        <v>8</v>
      </c>
      <c r="ED111" s="78">
        <v>1</v>
      </c>
      <c r="EE111" s="78">
        <v>4</v>
      </c>
      <c r="EF111" s="78">
        <v>1</v>
      </c>
      <c r="EG111" s="78">
        <v>1</v>
      </c>
      <c r="EH111" s="78">
        <v>0</v>
      </c>
      <c r="EI111" s="78">
        <v>1</v>
      </c>
      <c r="EJ111" s="78">
        <v>1</v>
      </c>
      <c r="EK111" s="78">
        <v>1</v>
      </c>
      <c r="EL111" s="78">
        <v>4</v>
      </c>
      <c r="EM111" s="78">
        <v>1</v>
      </c>
      <c r="EN111" s="78">
        <v>1</v>
      </c>
      <c r="EO111" s="137">
        <v>0.92592589999999997</v>
      </c>
      <c r="EQ111" s="143" t="s">
        <v>779</v>
      </c>
      <c r="ER111" s="143" t="s">
        <v>780</v>
      </c>
      <c r="ES111" s="143" t="s">
        <v>728</v>
      </c>
      <c r="ET111" s="143">
        <v>2074</v>
      </c>
      <c r="EU111" s="78">
        <v>0</v>
      </c>
      <c r="EV111" s="78">
        <v>0</v>
      </c>
      <c r="EW111" s="78">
        <v>0</v>
      </c>
      <c r="EX111" s="78">
        <v>0</v>
      </c>
      <c r="EY111" s="78">
        <v>0.5</v>
      </c>
      <c r="EZ111" s="78">
        <v>3</v>
      </c>
      <c r="FA111" s="78">
        <v>2</v>
      </c>
      <c r="FB111" s="78">
        <v>1</v>
      </c>
      <c r="FC111" s="137">
        <v>0.5</v>
      </c>
      <c r="FE111" s="137">
        <v>0.4751534</v>
      </c>
    </row>
    <row r="112" spans="1:161" x14ac:dyDescent="0.25">
      <c r="A112" s="143" t="s">
        <v>779</v>
      </c>
      <c r="B112" s="143" t="s">
        <v>780</v>
      </c>
      <c r="C112" s="143" t="s">
        <v>728</v>
      </c>
      <c r="D112" s="143">
        <v>2111</v>
      </c>
      <c r="E112" s="78">
        <v>0</v>
      </c>
      <c r="F112" s="78">
        <v>2.5</v>
      </c>
      <c r="G112" s="78">
        <v>1</v>
      </c>
      <c r="H112" s="78">
        <v>0</v>
      </c>
      <c r="I112" s="78">
        <v>1</v>
      </c>
      <c r="J112" s="78">
        <v>0</v>
      </c>
      <c r="K112" s="78">
        <v>1</v>
      </c>
      <c r="L112" s="78">
        <v>0</v>
      </c>
      <c r="M112" s="78">
        <v>0</v>
      </c>
      <c r="N112" s="137">
        <v>0.39285710000000001</v>
      </c>
      <c r="P112" s="143" t="s">
        <v>779</v>
      </c>
      <c r="Q112" s="143" t="s">
        <v>780</v>
      </c>
      <c r="R112" s="143" t="s">
        <v>728</v>
      </c>
      <c r="S112" s="143">
        <v>2111</v>
      </c>
      <c r="T112" s="78">
        <v>1</v>
      </c>
      <c r="U112" s="78">
        <v>1</v>
      </c>
      <c r="V112" s="78">
        <v>1.5</v>
      </c>
      <c r="W112" s="78">
        <v>0</v>
      </c>
      <c r="X112" s="78">
        <v>12</v>
      </c>
      <c r="Y112" s="78">
        <v>1</v>
      </c>
      <c r="Z112" s="78">
        <v>3</v>
      </c>
      <c r="AA112" s="78">
        <v>0</v>
      </c>
      <c r="AB112" s="78">
        <v>0</v>
      </c>
      <c r="AC112" s="78">
        <v>0</v>
      </c>
      <c r="AD112" s="137">
        <v>0.57352939999999997</v>
      </c>
      <c r="AF112" s="143" t="s">
        <v>779</v>
      </c>
      <c r="AG112" s="143" t="s">
        <v>780</v>
      </c>
      <c r="AH112" s="143" t="s">
        <v>728</v>
      </c>
      <c r="AI112" s="143">
        <v>2111</v>
      </c>
      <c r="AJ112" s="78">
        <v>0</v>
      </c>
      <c r="AK112" s="78">
        <v>0</v>
      </c>
      <c r="AL112" s="78">
        <v>1</v>
      </c>
      <c r="AM112" s="78">
        <v>6</v>
      </c>
      <c r="AN112" s="78">
        <v>0</v>
      </c>
      <c r="AO112" s="78">
        <v>0</v>
      </c>
      <c r="AP112" s="78">
        <v>1</v>
      </c>
      <c r="AQ112" s="78">
        <v>1</v>
      </c>
      <c r="AR112" s="78">
        <v>0</v>
      </c>
      <c r="AS112" s="78">
        <v>2</v>
      </c>
      <c r="AT112" s="78">
        <v>0</v>
      </c>
      <c r="AU112" s="78">
        <v>0</v>
      </c>
      <c r="AV112" s="78">
        <v>2</v>
      </c>
      <c r="AW112" s="78">
        <v>1</v>
      </c>
      <c r="AX112" s="78">
        <v>0</v>
      </c>
      <c r="AY112" s="78">
        <v>0</v>
      </c>
      <c r="AZ112" s="78">
        <v>2</v>
      </c>
      <c r="BA112" s="78">
        <v>0.5</v>
      </c>
      <c r="BB112" s="78">
        <v>0.5</v>
      </c>
      <c r="BC112" s="78">
        <v>0.5</v>
      </c>
      <c r="BD112" s="78">
        <v>1</v>
      </c>
      <c r="BE112" s="78">
        <v>0.5</v>
      </c>
      <c r="BF112" s="78">
        <v>1</v>
      </c>
      <c r="BG112" s="78">
        <v>6</v>
      </c>
      <c r="BH112" s="137">
        <v>0.59090909999999996</v>
      </c>
      <c r="BJ112" s="143" t="s">
        <v>779</v>
      </c>
      <c r="BK112" s="143" t="s">
        <v>780</v>
      </c>
      <c r="BL112" s="143" t="s">
        <v>728</v>
      </c>
      <c r="BM112" s="143">
        <v>2111</v>
      </c>
      <c r="BN112" s="78">
        <v>1</v>
      </c>
      <c r="BO112" s="78">
        <v>4</v>
      </c>
      <c r="BP112" s="78">
        <v>7</v>
      </c>
      <c r="BQ112" s="78">
        <v>0</v>
      </c>
      <c r="BR112" s="78">
        <v>0</v>
      </c>
      <c r="BS112" s="78">
        <v>0</v>
      </c>
      <c r="BT112" s="78">
        <v>0</v>
      </c>
      <c r="BU112" s="137">
        <v>0.52173910000000001</v>
      </c>
      <c r="BW112" s="143" t="s">
        <v>779</v>
      </c>
      <c r="BX112" s="143" t="s">
        <v>780</v>
      </c>
      <c r="BY112" s="143" t="s">
        <v>728</v>
      </c>
      <c r="BZ112" s="143">
        <v>2111</v>
      </c>
      <c r="CM112" s="143" t="s">
        <v>779</v>
      </c>
      <c r="CN112" s="143" t="s">
        <v>780</v>
      </c>
      <c r="CO112" s="143" t="s">
        <v>728</v>
      </c>
      <c r="CP112" s="143">
        <v>2111</v>
      </c>
      <c r="CQ112" s="78">
        <v>2</v>
      </c>
      <c r="CR112" s="78">
        <v>0</v>
      </c>
      <c r="CS112" s="78">
        <v>12</v>
      </c>
      <c r="CT112" s="78">
        <v>4</v>
      </c>
      <c r="CU112" s="78">
        <v>0</v>
      </c>
      <c r="CV112" s="78">
        <v>8</v>
      </c>
      <c r="CW112" s="137">
        <v>0.5</v>
      </c>
      <c r="CY112" s="143" t="s">
        <v>779</v>
      </c>
      <c r="CZ112" s="143" t="s">
        <v>780</v>
      </c>
      <c r="DA112" s="143" t="s">
        <v>728</v>
      </c>
      <c r="DB112" s="143">
        <v>2111</v>
      </c>
      <c r="DC112" s="78">
        <v>22</v>
      </c>
      <c r="DD112" s="137">
        <v>0</v>
      </c>
      <c r="DE112" s="137">
        <v>0</v>
      </c>
      <c r="DG112" s="143" t="s">
        <v>779</v>
      </c>
      <c r="DH112" s="143" t="s">
        <v>780</v>
      </c>
      <c r="DI112" s="143" t="s">
        <v>728</v>
      </c>
      <c r="DJ112" s="143">
        <v>2111</v>
      </c>
      <c r="DK112" s="78">
        <v>2</v>
      </c>
      <c r="DL112" s="78">
        <v>1</v>
      </c>
      <c r="DM112" s="78">
        <v>1</v>
      </c>
      <c r="DN112" s="78">
        <v>5</v>
      </c>
      <c r="DO112" s="78">
        <v>2</v>
      </c>
      <c r="DP112" s="78">
        <v>3</v>
      </c>
      <c r="DQ112" s="78">
        <v>7</v>
      </c>
      <c r="DR112" s="78">
        <v>1</v>
      </c>
      <c r="DS112" s="78">
        <v>1</v>
      </c>
      <c r="DT112" s="78">
        <v>0</v>
      </c>
      <c r="DU112" s="78">
        <v>1</v>
      </c>
      <c r="DV112" s="137">
        <v>0.82758620000000005</v>
      </c>
      <c r="DX112" s="143" t="s">
        <v>779</v>
      </c>
      <c r="DY112" s="143" t="s">
        <v>780</v>
      </c>
      <c r="DZ112" s="143" t="s">
        <v>728</v>
      </c>
      <c r="EA112" s="143">
        <v>2111</v>
      </c>
      <c r="EB112" s="78">
        <v>1</v>
      </c>
      <c r="EC112" s="78">
        <v>8</v>
      </c>
      <c r="ED112" s="78">
        <v>1</v>
      </c>
      <c r="EE112" s="78">
        <v>4</v>
      </c>
      <c r="EF112" s="78">
        <v>1</v>
      </c>
      <c r="EG112" s="78">
        <v>1</v>
      </c>
      <c r="EH112" s="78">
        <v>0</v>
      </c>
      <c r="EI112" s="78">
        <v>1</v>
      </c>
      <c r="EJ112" s="78">
        <v>1</v>
      </c>
      <c r="EK112" s="78">
        <v>1</v>
      </c>
      <c r="EL112" s="78">
        <v>4</v>
      </c>
      <c r="EM112" s="78">
        <v>1</v>
      </c>
      <c r="EN112" s="78">
        <v>1</v>
      </c>
      <c r="EO112" s="137">
        <v>0.92592589999999997</v>
      </c>
      <c r="EQ112" s="143" t="s">
        <v>779</v>
      </c>
      <c r="ER112" s="143" t="s">
        <v>780</v>
      </c>
      <c r="ES112" s="143" t="s">
        <v>728</v>
      </c>
      <c r="ET112" s="143">
        <v>2111</v>
      </c>
      <c r="EU112" s="78">
        <v>0.5</v>
      </c>
      <c r="EV112" s="78">
        <v>0</v>
      </c>
      <c r="EW112" s="78">
        <v>0</v>
      </c>
      <c r="EX112" s="78">
        <v>0</v>
      </c>
      <c r="EY112" s="78">
        <v>0.5</v>
      </c>
      <c r="EZ112" s="78">
        <v>3</v>
      </c>
      <c r="FA112" s="78">
        <v>2</v>
      </c>
      <c r="FB112" s="78">
        <v>1</v>
      </c>
      <c r="FC112" s="137">
        <v>0.53846159999999998</v>
      </c>
      <c r="FE112" s="137">
        <v>0.44478529999999999</v>
      </c>
    </row>
    <row r="113" spans="1:161" hidden="1" x14ac:dyDescent="0.25">
      <c r="A113" s="143" t="s">
        <v>779</v>
      </c>
      <c r="B113" s="143" t="s">
        <v>780</v>
      </c>
      <c r="C113" s="143" t="s">
        <v>727</v>
      </c>
      <c r="D113" s="143">
        <v>2577</v>
      </c>
      <c r="E113" s="78">
        <v>0</v>
      </c>
      <c r="F113" s="78">
        <v>2.5</v>
      </c>
      <c r="G113" s="78">
        <v>1</v>
      </c>
      <c r="H113" s="78">
        <v>4</v>
      </c>
      <c r="I113" s="78">
        <v>1</v>
      </c>
      <c r="J113" s="78">
        <v>1</v>
      </c>
      <c r="K113" s="78">
        <v>1</v>
      </c>
      <c r="L113" s="78">
        <v>1</v>
      </c>
      <c r="M113" s="78">
        <v>2</v>
      </c>
      <c r="N113" s="137">
        <v>0.96428570000000002</v>
      </c>
      <c r="P113" s="143" t="s">
        <v>779</v>
      </c>
      <c r="Q113" s="143" t="s">
        <v>780</v>
      </c>
      <c r="R113" s="143" t="s">
        <v>727</v>
      </c>
      <c r="S113" s="143">
        <v>2577</v>
      </c>
      <c r="T113" s="78">
        <v>1</v>
      </c>
      <c r="U113" s="78">
        <v>1</v>
      </c>
      <c r="V113" s="78">
        <v>2</v>
      </c>
      <c r="W113" s="78">
        <v>1.5</v>
      </c>
      <c r="X113" s="78">
        <v>9</v>
      </c>
      <c r="Y113" s="78">
        <v>1</v>
      </c>
      <c r="Z113" s="78">
        <v>3</v>
      </c>
      <c r="AA113" s="78">
        <v>0</v>
      </c>
      <c r="AB113" s="78">
        <v>0</v>
      </c>
      <c r="AC113" s="78">
        <v>0</v>
      </c>
      <c r="AD113" s="137">
        <v>0.54411759999999998</v>
      </c>
      <c r="AF113" s="143" t="s">
        <v>779</v>
      </c>
      <c r="AG113" s="143" t="s">
        <v>780</v>
      </c>
      <c r="AH113" s="143" t="s">
        <v>727</v>
      </c>
      <c r="AI113" s="143">
        <v>2577</v>
      </c>
      <c r="AJ113" s="78">
        <v>0</v>
      </c>
      <c r="AK113" s="78">
        <v>0</v>
      </c>
      <c r="AL113" s="78">
        <v>1</v>
      </c>
      <c r="AM113" s="78">
        <v>6</v>
      </c>
      <c r="AN113" s="78">
        <v>1</v>
      </c>
      <c r="AO113" s="78">
        <v>0</v>
      </c>
      <c r="AP113" s="78">
        <v>1</v>
      </c>
      <c r="AQ113" s="78">
        <v>1</v>
      </c>
      <c r="AR113" s="78">
        <v>2</v>
      </c>
      <c r="AS113" s="78">
        <v>0</v>
      </c>
      <c r="AT113" s="78">
        <v>0</v>
      </c>
      <c r="AU113" s="78">
        <v>0</v>
      </c>
      <c r="AV113" s="78">
        <v>2</v>
      </c>
      <c r="AW113" s="78">
        <v>1</v>
      </c>
      <c r="AX113" s="78">
        <v>0</v>
      </c>
      <c r="AY113" s="78">
        <v>1</v>
      </c>
      <c r="AZ113" s="78">
        <v>2</v>
      </c>
      <c r="BA113" s="78">
        <v>0.5</v>
      </c>
      <c r="BB113" s="78">
        <v>0.5</v>
      </c>
      <c r="BC113" s="78">
        <v>0.5</v>
      </c>
      <c r="BD113" s="78">
        <v>1</v>
      </c>
      <c r="BE113" s="78">
        <v>0.5</v>
      </c>
      <c r="BF113" s="78">
        <v>1</v>
      </c>
      <c r="BG113" s="78">
        <v>6</v>
      </c>
      <c r="BH113" s="137">
        <v>0.63636360000000003</v>
      </c>
      <c r="BJ113" s="143" t="s">
        <v>779</v>
      </c>
      <c r="BK113" s="143" t="s">
        <v>780</v>
      </c>
      <c r="BL113" s="143" t="s">
        <v>727</v>
      </c>
      <c r="BM113" s="143">
        <v>2577</v>
      </c>
      <c r="BN113" s="78">
        <v>0</v>
      </c>
      <c r="BO113" s="78">
        <v>4</v>
      </c>
      <c r="BP113" s="78">
        <v>7</v>
      </c>
      <c r="BQ113" s="78">
        <v>3</v>
      </c>
      <c r="BR113" s="78">
        <v>3</v>
      </c>
      <c r="BS113" s="78">
        <v>3</v>
      </c>
      <c r="BT113" s="78">
        <v>0</v>
      </c>
      <c r="BU113" s="137">
        <v>0.86956520000000004</v>
      </c>
      <c r="BW113" s="143" t="s">
        <v>779</v>
      </c>
      <c r="BX113" s="143" t="s">
        <v>780</v>
      </c>
      <c r="BY113" s="143" t="s">
        <v>727</v>
      </c>
      <c r="BZ113" s="143">
        <v>2577</v>
      </c>
      <c r="CA113" s="78">
        <v>1</v>
      </c>
      <c r="CB113" s="78">
        <v>1</v>
      </c>
      <c r="CC113" s="78">
        <v>1</v>
      </c>
      <c r="CD113" s="78">
        <v>2</v>
      </c>
      <c r="CE113" s="78">
        <v>1</v>
      </c>
      <c r="CF113" s="78">
        <v>2</v>
      </c>
      <c r="CG113" s="78">
        <v>1</v>
      </c>
      <c r="CH113" s="78">
        <v>2</v>
      </c>
      <c r="CI113" s="78">
        <v>1</v>
      </c>
      <c r="CJ113" s="78">
        <v>0</v>
      </c>
      <c r="CK113" s="137">
        <v>0.8</v>
      </c>
      <c r="CM113" s="143" t="s">
        <v>779</v>
      </c>
      <c r="CN113" s="143" t="s">
        <v>780</v>
      </c>
      <c r="CO113" s="143" t="s">
        <v>727</v>
      </c>
      <c r="CP113" s="143">
        <v>2577</v>
      </c>
      <c r="CQ113" s="78">
        <v>8</v>
      </c>
      <c r="CR113" s="78">
        <v>0</v>
      </c>
      <c r="CS113" s="78">
        <v>20</v>
      </c>
      <c r="CT113" s="78">
        <v>4</v>
      </c>
      <c r="CU113" s="78">
        <v>0</v>
      </c>
      <c r="CV113" s="78">
        <v>8</v>
      </c>
      <c r="CW113" s="137">
        <v>0.76923079999999999</v>
      </c>
      <c r="CY113" s="143" t="s">
        <v>779</v>
      </c>
      <c r="CZ113" s="143" t="s">
        <v>780</v>
      </c>
      <c r="DA113" s="143" t="s">
        <v>727</v>
      </c>
      <c r="DB113" s="143">
        <v>2577</v>
      </c>
      <c r="DC113" s="78">
        <v>44</v>
      </c>
      <c r="DD113" s="137">
        <v>0</v>
      </c>
      <c r="DE113" s="137">
        <v>0</v>
      </c>
      <c r="DG113" s="143" t="s">
        <v>779</v>
      </c>
      <c r="DH113" s="143" t="s">
        <v>780</v>
      </c>
      <c r="DI113" s="143" t="s">
        <v>727</v>
      </c>
      <c r="DJ113" s="143">
        <v>2577</v>
      </c>
      <c r="DK113" s="78">
        <v>2</v>
      </c>
      <c r="DL113" s="78">
        <v>1</v>
      </c>
      <c r="DM113" s="78">
        <v>1</v>
      </c>
      <c r="DN113" s="78">
        <v>5</v>
      </c>
      <c r="DO113" s="78">
        <v>2</v>
      </c>
      <c r="DP113" s="78">
        <v>3</v>
      </c>
      <c r="DQ113" s="78">
        <v>8</v>
      </c>
      <c r="DR113" s="78">
        <v>1</v>
      </c>
      <c r="DS113" s="78">
        <v>1</v>
      </c>
      <c r="DT113" s="78">
        <v>0</v>
      </c>
      <c r="DU113" s="78">
        <v>0</v>
      </c>
      <c r="DV113" s="137">
        <v>0.82758620000000005</v>
      </c>
      <c r="DX113" s="143" t="s">
        <v>779</v>
      </c>
      <c r="DY113" s="143" t="s">
        <v>780</v>
      </c>
      <c r="DZ113" s="143" t="s">
        <v>727</v>
      </c>
      <c r="EA113" s="143">
        <v>2577</v>
      </c>
      <c r="EB113" s="78">
        <v>1</v>
      </c>
      <c r="EC113" s="78">
        <v>8</v>
      </c>
      <c r="ED113" s="78">
        <v>1</v>
      </c>
      <c r="EE113" s="78">
        <v>4</v>
      </c>
      <c r="EF113" s="78">
        <v>1</v>
      </c>
      <c r="EG113" s="78">
        <v>1</v>
      </c>
      <c r="EH113" s="78">
        <v>0</v>
      </c>
      <c r="EI113" s="78">
        <v>1</v>
      </c>
      <c r="EJ113" s="78">
        <v>1</v>
      </c>
      <c r="EK113" s="78">
        <v>1</v>
      </c>
      <c r="EL113" s="78">
        <v>4</v>
      </c>
      <c r="EM113" s="78">
        <v>0</v>
      </c>
      <c r="EN113" s="78">
        <v>1</v>
      </c>
      <c r="EO113" s="137">
        <v>0.88888889999999998</v>
      </c>
      <c r="EQ113" s="143" t="s">
        <v>779</v>
      </c>
      <c r="ER113" s="143" t="s">
        <v>780</v>
      </c>
      <c r="ES113" s="143" t="s">
        <v>727</v>
      </c>
      <c r="ET113" s="143">
        <v>2577</v>
      </c>
      <c r="EU113" s="78">
        <v>0.5</v>
      </c>
      <c r="EV113" s="78">
        <v>0</v>
      </c>
      <c r="EW113" s="78">
        <v>3</v>
      </c>
      <c r="EX113" s="78">
        <v>2</v>
      </c>
      <c r="EY113" s="78">
        <v>0.5</v>
      </c>
      <c r="EZ113" s="78">
        <v>3</v>
      </c>
      <c r="FA113" s="78">
        <v>2</v>
      </c>
      <c r="FB113" s="78">
        <v>1</v>
      </c>
      <c r="FC113" s="137">
        <v>0.92307689999999998</v>
      </c>
      <c r="FE113" s="137">
        <v>0.56304989999999999</v>
      </c>
    </row>
    <row r="114" spans="1:161" x14ac:dyDescent="0.25">
      <c r="A114" s="143" t="s">
        <v>781</v>
      </c>
      <c r="B114" s="143" t="s">
        <v>782</v>
      </c>
      <c r="C114" s="143" t="s">
        <v>728</v>
      </c>
      <c r="D114" s="143">
        <v>688</v>
      </c>
      <c r="E114" s="78">
        <v>0.5</v>
      </c>
      <c r="F114" s="78">
        <v>2.5</v>
      </c>
      <c r="G114" s="78">
        <v>1</v>
      </c>
      <c r="H114" s="78">
        <v>4</v>
      </c>
      <c r="I114" s="78">
        <v>1</v>
      </c>
      <c r="J114" s="78">
        <v>1</v>
      </c>
      <c r="K114" s="78">
        <v>1</v>
      </c>
      <c r="L114" s="78">
        <v>1</v>
      </c>
      <c r="M114" s="78">
        <v>2</v>
      </c>
      <c r="N114" s="137">
        <v>1</v>
      </c>
      <c r="P114" s="143" t="s">
        <v>781</v>
      </c>
      <c r="Q114" s="143" t="s">
        <v>782</v>
      </c>
      <c r="R114" s="143" t="s">
        <v>728</v>
      </c>
      <c r="S114" s="143">
        <v>688</v>
      </c>
      <c r="T114" s="78">
        <v>1</v>
      </c>
      <c r="U114" s="78">
        <v>1</v>
      </c>
      <c r="V114" s="78">
        <v>1.5</v>
      </c>
      <c r="W114" s="78">
        <v>2</v>
      </c>
      <c r="X114" s="78">
        <v>12</v>
      </c>
      <c r="Y114" s="78">
        <v>1</v>
      </c>
      <c r="Z114" s="78">
        <v>3</v>
      </c>
      <c r="AA114" s="78">
        <v>2</v>
      </c>
      <c r="AB114" s="78">
        <v>6</v>
      </c>
      <c r="AC114" s="78">
        <v>3</v>
      </c>
      <c r="AD114" s="137">
        <v>0.95588240000000002</v>
      </c>
      <c r="AF114" s="143" t="s">
        <v>781</v>
      </c>
      <c r="AG114" s="143" t="s">
        <v>782</v>
      </c>
      <c r="AH114" s="143" t="s">
        <v>728</v>
      </c>
      <c r="AI114" s="143">
        <v>688</v>
      </c>
      <c r="AJ114" s="78">
        <v>1</v>
      </c>
      <c r="AK114" s="78">
        <v>1</v>
      </c>
      <c r="AL114" s="78">
        <v>1</v>
      </c>
      <c r="AM114" s="78">
        <v>5</v>
      </c>
      <c r="AN114" s="78">
        <v>1</v>
      </c>
      <c r="AO114" s="78">
        <v>2</v>
      </c>
      <c r="AP114" s="78">
        <v>1</v>
      </c>
      <c r="AQ114" s="78">
        <v>1</v>
      </c>
      <c r="AR114" s="78">
        <v>2</v>
      </c>
      <c r="AS114" s="78">
        <v>2</v>
      </c>
      <c r="AT114" s="78">
        <v>2</v>
      </c>
      <c r="AU114" s="78">
        <v>0</v>
      </c>
      <c r="AV114" s="78">
        <v>2</v>
      </c>
      <c r="AW114" s="78">
        <v>1</v>
      </c>
      <c r="AX114" s="78">
        <v>4</v>
      </c>
      <c r="AY114" s="78">
        <v>1</v>
      </c>
      <c r="AZ114" s="78">
        <v>2</v>
      </c>
      <c r="BA114" s="78">
        <v>0.5</v>
      </c>
      <c r="BB114" s="78">
        <v>0.5</v>
      </c>
      <c r="BC114" s="78">
        <v>0.5</v>
      </c>
      <c r="BD114" s="78">
        <v>1</v>
      </c>
      <c r="BE114" s="78">
        <v>0.5</v>
      </c>
      <c r="BF114" s="78">
        <v>1</v>
      </c>
      <c r="BG114" s="78">
        <v>8</v>
      </c>
      <c r="BH114" s="137">
        <v>0.93181820000000004</v>
      </c>
      <c r="BJ114" s="143" t="s">
        <v>781</v>
      </c>
      <c r="BK114" s="143" t="s">
        <v>782</v>
      </c>
      <c r="BL114" s="143" t="s">
        <v>728</v>
      </c>
      <c r="BM114" s="143">
        <v>688</v>
      </c>
      <c r="BN114" s="78">
        <v>1</v>
      </c>
      <c r="BO114" s="78">
        <v>4</v>
      </c>
      <c r="BP114" s="78">
        <v>7</v>
      </c>
      <c r="BQ114" s="78">
        <v>3</v>
      </c>
      <c r="BR114" s="78">
        <v>3</v>
      </c>
      <c r="BS114" s="78">
        <v>0</v>
      </c>
      <c r="BT114" s="78">
        <v>2</v>
      </c>
      <c r="BU114" s="137">
        <v>0.86956520000000004</v>
      </c>
      <c r="BW114" s="143" t="s">
        <v>781</v>
      </c>
      <c r="BX114" s="143" t="s">
        <v>782</v>
      </c>
      <c r="BY114" s="143" t="s">
        <v>728</v>
      </c>
      <c r="BZ114" s="143">
        <v>688</v>
      </c>
      <c r="CA114" s="78">
        <v>1</v>
      </c>
      <c r="CB114" s="78">
        <v>1</v>
      </c>
      <c r="CC114" s="78">
        <v>1</v>
      </c>
      <c r="CD114" s="78">
        <v>2</v>
      </c>
      <c r="CE114" s="78">
        <v>1</v>
      </c>
      <c r="CF114" s="78">
        <v>2</v>
      </c>
      <c r="CG114" s="78">
        <v>1</v>
      </c>
      <c r="CH114" s="78">
        <v>2</v>
      </c>
      <c r="CI114" s="78">
        <v>1</v>
      </c>
      <c r="CJ114" s="78">
        <v>3</v>
      </c>
      <c r="CK114" s="137">
        <v>1</v>
      </c>
      <c r="CM114" s="143" t="s">
        <v>781</v>
      </c>
      <c r="CN114" s="143" t="s">
        <v>782</v>
      </c>
      <c r="CO114" s="143" t="s">
        <v>728</v>
      </c>
      <c r="CP114" s="143">
        <v>688</v>
      </c>
      <c r="CQ114" s="78">
        <v>8</v>
      </c>
      <c r="CR114" s="78">
        <v>0</v>
      </c>
      <c r="CS114" s="78">
        <v>20</v>
      </c>
      <c r="CT114" s="78">
        <v>4</v>
      </c>
      <c r="CU114" s="78">
        <v>2</v>
      </c>
      <c r="CV114" s="78">
        <v>8</v>
      </c>
      <c r="CW114" s="137">
        <v>0.80769230000000003</v>
      </c>
      <c r="CY114" s="143" t="s">
        <v>781</v>
      </c>
      <c r="CZ114" s="143" t="s">
        <v>782</v>
      </c>
      <c r="DA114" s="143" t="s">
        <v>728</v>
      </c>
      <c r="DB114" s="143">
        <v>688</v>
      </c>
      <c r="DC114" s="78">
        <v>74</v>
      </c>
      <c r="DD114" s="137">
        <v>0.2</v>
      </c>
      <c r="DE114" s="137">
        <v>0.16444439999999999</v>
      </c>
      <c r="DG114" s="143" t="s">
        <v>781</v>
      </c>
      <c r="DH114" s="143" t="s">
        <v>782</v>
      </c>
      <c r="DI114" s="143" t="s">
        <v>728</v>
      </c>
      <c r="DJ114" s="143">
        <v>688</v>
      </c>
      <c r="DK114" s="78">
        <v>2</v>
      </c>
      <c r="DL114" s="78">
        <v>1</v>
      </c>
      <c r="DM114" s="78">
        <v>1</v>
      </c>
      <c r="DN114" s="78">
        <v>6</v>
      </c>
      <c r="DO114" s="78">
        <v>2</v>
      </c>
      <c r="DP114" s="78">
        <v>3</v>
      </c>
      <c r="DQ114" s="78">
        <v>7</v>
      </c>
      <c r="DR114" s="78">
        <v>0</v>
      </c>
      <c r="DS114" s="78">
        <v>1</v>
      </c>
      <c r="DT114" s="78">
        <v>2</v>
      </c>
      <c r="DU114" s="78">
        <v>0</v>
      </c>
      <c r="DV114" s="137">
        <v>0.86206899999999997</v>
      </c>
      <c r="DX114" s="143" t="s">
        <v>781</v>
      </c>
      <c r="DY114" s="143" t="s">
        <v>782</v>
      </c>
      <c r="DZ114" s="143" t="s">
        <v>728</v>
      </c>
      <c r="EA114" s="143">
        <v>688</v>
      </c>
      <c r="EB114" s="78">
        <v>1</v>
      </c>
      <c r="EC114" s="78">
        <v>8</v>
      </c>
      <c r="ED114" s="78">
        <v>1</v>
      </c>
      <c r="EE114" s="78">
        <v>4</v>
      </c>
      <c r="EF114" s="78">
        <v>1</v>
      </c>
      <c r="EG114" s="78">
        <v>1</v>
      </c>
      <c r="EH114" s="78">
        <v>2</v>
      </c>
      <c r="EI114" s="78">
        <v>1</v>
      </c>
      <c r="EJ114" s="78">
        <v>1</v>
      </c>
      <c r="EK114" s="78">
        <v>1</v>
      </c>
      <c r="EL114" s="78">
        <v>4</v>
      </c>
      <c r="EM114" s="78">
        <v>1</v>
      </c>
      <c r="EN114" s="78">
        <v>1</v>
      </c>
      <c r="EO114" s="137">
        <v>1</v>
      </c>
      <c r="EQ114" s="143" t="s">
        <v>781</v>
      </c>
      <c r="ER114" s="143" t="s">
        <v>782</v>
      </c>
      <c r="ES114" s="143" t="s">
        <v>728</v>
      </c>
      <c r="ET114" s="143">
        <v>688</v>
      </c>
      <c r="EU114" s="78">
        <v>0.5</v>
      </c>
      <c r="EV114" s="78">
        <v>1</v>
      </c>
      <c r="EW114" s="78">
        <v>3</v>
      </c>
      <c r="EX114" s="78">
        <v>2</v>
      </c>
      <c r="EY114" s="78">
        <v>0.5</v>
      </c>
      <c r="EZ114" s="78">
        <v>3</v>
      </c>
      <c r="FA114" s="78">
        <v>2</v>
      </c>
      <c r="FB114" s="78">
        <v>1</v>
      </c>
      <c r="FC114" s="137">
        <v>1</v>
      </c>
      <c r="FE114" s="137">
        <v>0.71642229999999996</v>
      </c>
    </row>
    <row r="115" spans="1:161" x14ac:dyDescent="0.25">
      <c r="A115" s="143" t="s">
        <v>781</v>
      </c>
      <c r="B115" s="143" t="s">
        <v>782</v>
      </c>
      <c r="C115" s="143" t="s">
        <v>728</v>
      </c>
      <c r="D115" s="143">
        <v>690</v>
      </c>
      <c r="E115" s="78">
        <v>0.5</v>
      </c>
      <c r="F115" s="78">
        <v>2.5</v>
      </c>
      <c r="G115" s="78">
        <v>1</v>
      </c>
      <c r="H115" s="78">
        <v>4</v>
      </c>
      <c r="I115" s="78">
        <v>1</v>
      </c>
      <c r="J115" s="78">
        <v>1</v>
      </c>
      <c r="K115" s="78">
        <v>1</v>
      </c>
      <c r="L115" s="78">
        <v>1</v>
      </c>
      <c r="M115" s="78">
        <v>2</v>
      </c>
      <c r="N115" s="137">
        <v>1</v>
      </c>
      <c r="P115" s="143" t="s">
        <v>781</v>
      </c>
      <c r="Q115" s="143" t="s">
        <v>782</v>
      </c>
      <c r="R115" s="143" t="s">
        <v>728</v>
      </c>
      <c r="S115" s="143">
        <v>690</v>
      </c>
      <c r="T115" s="78">
        <v>1</v>
      </c>
      <c r="U115" s="78">
        <v>1</v>
      </c>
      <c r="V115" s="78">
        <v>2.5</v>
      </c>
      <c r="W115" s="78">
        <v>0.5</v>
      </c>
      <c r="X115" s="78">
        <v>12</v>
      </c>
      <c r="Y115" s="78">
        <v>1</v>
      </c>
      <c r="Z115" s="78">
        <v>3</v>
      </c>
      <c r="AA115" s="78">
        <v>0</v>
      </c>
      <c r="AB115" s="78">
        <v>6</v>
      </c>
      <c r="AC115" s="78">
        <v>3</v>
      </c>
      <c r="AD115" s="137">
        <v>0.8823529</v>
      </c>
      <c r="AF115" s="143" t="s">
        <v>781</v>
      </c>
      <c r="AG115" s="143" t="s">
        <v>782</v>
      </c>
      <c r="AH115" s="143" t="s">
        <v>728</v>
      </c>
      <c r="AI115" s="143">
        <v>690</v>
      </c>
      <c r="AJ115" s="78">
        <v>0</v>
      </c>
      <c r="AK115" s="78">
        <v>1</v>
      </c>
      <c r="AL115" s="78">
        <v>1</v>
      </c>
      <c r="AM115" s="78">
        <v>5</v>
      </c>
      <c r="AN115" s="78">
        <v>1</v>
      </c>
      <c r="AO115" s="78">
        <v>2</v>
      </c>
      <c r="AP115" s="78">
        <v>1</v>
      </c>
      <c r="AQ115" s="78">
        <v>1</v>
      </c>
      <c r="AR115" s="78">
        <v>2</v>
      </c>
      <c r="AS115" s="78">
        <v>2</v>
      </c>
      <c r="AT115" s="78">
        <v>2</v>
      </c>
      <c r="AU115" s="78">
        <v>1</v>
      </c>
      <c r="AV115" s="78">
        <v>2</v>
      </c>
      <c r="AW115" s="78">
        <v>1</v>
      </c>
      <c r="AX115" s="78">
        <v>4</v>
      </c>
      <c r="AY115" s="78">
        <v>1</v>
      </c>
      <c r="AZ115" s="78">
        <v>2</v>
      </c>
      <c r="BA115" s="78">
        <v>0.5</v>
      </c>
      <c r="BB115" s="78">
        <v>0.5</v>
      </c>
      <c r="BC115" s="78">
        <v>0.5</v>
      </c>
      <c r="BD115" s="78">
        <v>1</v>
      </c>
      <c r="BE115" s="78">
        <v>0.5</v>
      </c>
      <c r="BF115" s="78">
        <v>1</v>
      </c>
      <c r="BG115" s="78">
        <v>8</v>
      </c>
      <c r="BH115" s="137">
        <v>0.93181820000000004</v>
      </c>
      <c r="BJ115" s="143" t="s">
        <v>781</v>
      </c>
      <c r="BK115" s="143" t="s">
        <v>782</v>
      </c>
      <c r="BL115" s="143" t="s">
        <v>728</v>
      </c>
      <c r="BM115" s="143">
        <v>690</v>
      </c>
      <c r="BN115" s="78">
        <v>1</v>
      </c>
      <c r="BO115" s="78">
        <v>4</v>
      </c>
      <c r="BP115" s="78">
        <v>7</v>
      </c>
      <c r="BQ115" s="78">
        <v>3</v>
      </c>
      <c r="BR115" s="78">
        <v>3</v>
      </c>
      <c r="BS115" s="78">
        <v>0</v>
      </c>
      <c r="BT115" s="78">
        <v>2</v>
      </c>
      <c r="BU115" s="137">
        <v>0.86956520000000004</v>
      </c>
      <c r="BW115" s="143" t="s">
        <v>781</v>
      </c>
      <c r="BX115" s="143" t="s">
        <v>782</v>
      </c>
      <c r="BY115" s="143" t="s">
        <v>728</v>
      </c>
      <c r="BZ115" s="143">
        <v>690</v>
      </c>
      <c r="CM115" s="143" t="s">
        <v>781</v>
      </c>
      <c r="CN115" s="143" t="s">
        <v>782</v>
      </c>
      <c r="CO115" s="143" t="s">
        <v>728</v>
      </c>
      <c r="CP115" s="143">
        <v>690</v>
      </c>
      <c r="CQ115" s="78">
        <v>8</v>
      </c>
      <c r="CR115" s="78">
        <v>0</v>
      </c>
      <c r="CS115" s="78">
        <v>20</v>
      </c>
      <c r="CT115" s="78">
        <v>4</v>
      </c>
      <c r="CU115" s="78">
        <v>0</v>
      </c>
      <c r="CV115" s="78">
        <v>8</v>
      </c>
      <c r="CW115" s="137">
        <v>0.76923079999999999</v>
      </c>
      <c r="CY115" s="143" t="s">
        <v>781</v>
      </c>
      <c r="CZ115" s="143" t="s">
        <v>782</v>
      </c>
      <c r="DA115" s="143" t="s">
        <v>728</v>
      </c>
      <c r="DB115" s="143">
        <v>690</v>
      </c>
      <c r="DC115" s="78">
        <v>66</v>
      </c>
      <c r="DD115" s="137">
        <v>0.2</v>
      </c>
      <c r="DE115" s="137">
        <v>0.14666670000000001</v>
      </c>
      <c r="DG115" s="143" t="s">
        <v>781</v>
      </c>
      <c r="DH115" s="143" t="s">
        <v>782</v>
      </c>
      <c r="DI115" s="143" t="s">
        <v>728</v>
      </c>
      <c r="DJ115" s="143">
        <v>690</v>
      </c>
      <c r="DK115" s="78">
        <v>2</v>
      </c>
      <c r="DL115" s="78">
        <v>1</v>
      </c>
      <c r="DM115" s="78">
        <v>1</v>
      </c>
      <c r="DN115" s="78">
        <v>7</v>
      </c>
      <c r="DO115" s="78">
        <v>2</v>
      </c>
      <c r="DP115" s="78">
        <v>3</v>
      </c>
      <c r="DQ115" s="78">
        <v>8</v>
      </c>
      <c r="DR115" s="78">
        <v>1</v>
      </c>
      <c r="DS115" s="78">
        <v>1</v>
      </c>
      <c r="DT115" s="78">
        <v>0</v>
      </c>
      <c r="DU115" s="78">
        <v>0</v>
      </c>
      <c r="DV115" s="137">
        <v>0.89655169999999995</v>
      </c>
      <c r="DX115" s="143" t="s">
        <v>781</v>
      </c>
      <c r="DY115" s="143" t="s">
        <v>782</v>
      </c>
      <c r="DZ115" s="143" t="s">
        <v>728</v>
      </c>
      <c r="EA115" s="143">
        <v>690</v>
      </c>
      <c r="EB115" s="78">
        <v>1</v>
      </c>
      <c r="EC115" s="78">
        <v>8</v>
      </c>
      <c r="ED115" s="78">
        <v>1</v>
      </c>
      <c r="EE115" s="78">
        <v>4</v>
      </c>
      <c r="EF115" s="78">
        <v>1</v>
      </c>
      <c r="EG115" s="78">
        <v>1</v>
      </c>
      <c r="EH115" s="78">
        <v>2</v>
      </c>
      <c r="EI115" s="78">
        <v>1</v>
      </c>
      <c r="EJ115" s="78">
        <v>1</v>
      </c>
      <c r="EK115" s="78">
        <v>1</v>
      </c>
      <c r="EL115" s="78">
        <v>4</v>
      </c>
      <c r="EM115" s="78">
        <v>1</v>
      </c>
      <c r="EN115" s="78">
        <v>1</v>
      </c>
      <c r="EO115" s="137">
        <v>1</v>
      </c>
      <c r="EQ115" s="143" t="s">
        <v>781</v>
      </c>
      <c r="ER115" s="143" t="s">
        <v>782</v>
      </c>
      <c r="ES115" s="143" t="s">
        <v>728</v>
      </c>
      <c r="ET115" s="143">
        <v>690</v>
      </c>
      <c r="EU115" s="78">
        <v>0.5</v>
      </c>
      <c r="EV115" s="78">
        <v>1</v>
      </c>
      <c r="EW115" s="78">
        <v>3</v>
      </c>
      <c r="EX115" s="78">
        <v>2</v>
      </c>
      <c r="EY115" s="78">
        <v>0.5</v>
      </c>
      <c r="EZ115" s="78">
        <v>3</v>
      </c>
      <c r="FA115" s="78">
        <v>2</v>
      </c>
      <c r="FB115" s="78">
        <v>1</v>
      </c>
      <c r="FC115" s="137">
        <v>1</v>
      </c>
      <c r="FE115" s="137">
        <v>0.68773010000000001</v>
      </c>
    </row>
    <row r="116" spans="1:161" hidden="1" x14ac:dyDescent="0.25">
      <c r="A116" s="143" t="s">
        <v>781</v>
      </c>
      <c r="B116" s="143" t="s">
        <v>782</v>
      </c>
      <c r="C116" s="143" t="s">
        <v>727</v>
      </c>
      <c r="D116" s="143">
        <v>1031</v>
      </c>
      <c r="E116" s="78">
        <v>0.5</v>
      </c>
      <c r="F116" s="78">
        <v>2.5</v>
      </c>
      <c r="G116" s="78">
        <v>1</v>
      </c>
      <c r="H116" s="78">
        <v>4</v>
      </c>
      <c r="I116" s="78">
        <v>1</v>
      </c>
      <c r="J116" s="78">
        <v>1</v>
      </c>
      <c r="K116" s="78">
        <v>1</v>
      </c>
      <c r="L116" s="78">
        <v>1</v>
      </c>
      <c r="M116" s="78">
        <v>2</v>
      </c>
      <c r="N116" s="137">
        <v>1</v>
      </c>
      <c r="P116" s="143" t="s">
        <v>781</v>
      </c>
      <c r="Q116" s="143" t="s">
        <v>782</v>
      </c>
      <c r="R116" s="143" t="s">
        <v>727</v>
      </c>
      <c r="S116" s="143">
        <v>1031</v>
      </c>
      <c r="T116" s="78">
        <v>1</v>
      </c>
      <c r="U116" s="78">
        <v>1</v>
      </c>
      <c r="V116" s="78">
        <v>3</v>
      </c>
      <c r="W116" s="78">
        <v>2</v>
      </c>
      <c r="X116" s="78">
        <v>12</v>
      </c>
      <c r="Y116" s="78">
        <v>1</v>
      </c>
      <c r="Z116" s="78">
        <v>3</v>
      </c>
      <c r="AA116" s="78">
        <v>2</v>
      </c>
      <c r="AB116" s="78">
        <v>6</v>
      </c>
      <c r="AC116" s="78">
        <v>3</v>
      </c>
      <c r="AD116" s="137">
        <v>1</v>
      </c>
      <c r="AF116" s="143" t="s">
        <v>781</v>
      </c>
      <c r="AG116" s="143" t="s">
        <v>782</v>
      </c>
      <c r="AH116" s="143" t="s">
        <v>727</v>
      </c>
      <c r="AI116" s="143">
        <v>1031</v>
      </c>
      <c r="AJ116" s="78">
        <v>1</v>
      </c>
      <c r="AK116" s="78">
        <v>1</v>
      </c>
      <c r="AL116" s="78">
        <v>1</v>
      </c>
      <c r="AM116" s="78">
        <v>6</v>
      </c>
      <c r="AN116" s="78">
        <v>1</v>
      </c>
      <c r="AO116" s="78">
        <v>2</v>
      </c>
      <c r="AP116" s="78">
        <v>1</v>
      </c>
      <c r="AQ116" s="78">
        <v>1</v>
      </c>
      <c r="AR116" s="78">
        <v>2</v>
      </c>
      <c r="AS116" s="78">
        <v>2</v>
      </c>
      <c r="AT116" s="78">
        <v>2</v>
      </c>
      <c r="AU116" s="78">
        <v>0</v>
      </c>
      <c r="AV116" s="78">
        <v>2</v>
      </c>
      <c r="AW116" s="78">
        <v>1</v>
      </c>
      <c r="AX116" s="78">
        <v>4</v>
      </c>
      <c r="AY116" s="78">
        <v>1</v>
      </c>
      <c r="AZ116" s="78">
        <v>2</v>
      </c>
      <c r="BA116" s="78">
        <v>0.5</v>
      </c>
      <c r="BB116" s="78">
        <v>0.5</v>
      </c>
      <c r="BC116" s="78">
        <v>0.5</v>
      </c>
      <c r="BD116" s="78">
        <v>1</v>
      </c>
      <c r="BE116" s="78">
        <v>0.5</v>
      </c>
      <c r="BF116" s="78">
        <v>1</v>
      </c>
      <c r="BG116" s="78">
        <v>8</v>
      </c>
      <c r="BH116" s="137">
        <v>0.95454539999999999</v>
      </c>
      <c r="BJ116" s="143" t="s">
        <v>781</v>
      </c>
      <c r="BK116" s="143" t="s">
        <v>782</v>
      </c>
      <c r="BL116" s="143" t="s">
        <v>727</v>
      </c>
      <c r="BM116" s="143">
        <v>1031</v>
      </c>
      <c r="BN116" s="78">
        <v>1</v>
      </c>
      <c r="BO116" s="78">
        <v>4</v>
      </c>
      <c r="BP116" s="78">
        <v>7</v>
      </c>
      <c r="BQ116" s="78">
        <v>3</v>
      </c>
      <c r="BR116" s="78">
        <v>3</v>
      </c>
      <c r="BS116" s="78">
        <v>0</v>
      </c>
      <c r="BT116" s="78">
        <v>2</v>
      </c>
      <c r="BU116" s="137">
        <v>0.86956520000000004</v>
      </c>
      <c r="BW116" s="143" t="s">
        <v>781</v>
      </c>
      <c r="BX116" s="143" t="s">
        <v>782</v>
      </c>
      <c r="BY116" s="143" t="s">
        <v>727</v>
      </c>
      <c r="BZ116" s="143">
        <v>1031</v>
      </c>
      <c r="CA116" s="78">
        <v>1</v>
      </c>
      <c r="CB116" s="78">
        <v>1</v>
      </c>
      <c r="CC116" s="78">
        <v>1</v>
      </c>
      <c r="CD116" s="78">
        <v>2</v>
      </c>
      <c r="CE116" s="78">
        <v>1</v>
      </c>
      <c r="CF116" s="78">
        <v>2</v>
      </c>
      <c r="CG116" s="78">
        <v>1</v>
      </c>
      <c r="CH116" s="78">
        <v>2</v>
      </c>
      <c r="CI116" s="78">
        <v>1</v>
      </c>
      <c r="CJ116" s="78">
        <v>3</v>
      </c>
      <c r="CK116" s="137">
        <v>1</v>
      </c>
      <c r="CM116" s="143" t="s">
        <v>781</v>
      </c>
      <c r="CN116" s="143" t="s">
        <v>782</v>
      </c>
      <c r="CO116" s="143" t="s">
        <v>727</v>
      </c>
      <c r="CP116" s="143">
        <v>1031</v>
      </c>
      <c r="CQ116" s="78">
        <v>8</v>
      </c>
      <c r="CR116" s="78">
        <v>0</v>
      </c>
      <c r="CS116" s="78">
        <v>24</v>
      </c>
      <c r="CT116" s="78">
        <v>4</v>
      </c>
      <c r="CU116" s="78">
        <v>2</v>
      </c>
      <c r="CV116" s="78">
        <v>8</v>
      </c>
      <c r="CW116" s="137">
        <v>0.88461540000000005</v>
      </c>
      <c r="CY116" s="143" t="s">
        <v>781</v>
      </c>
      <c r="CZ116" s="143" t="s">
        <v>782</v>
      </c>
      <c r="DA116" s="143" t="s">
        <v>727</v>
      </c>
      <c r="DB116" s="143">
        <v>1031</v>
      </c>
      <c r="DC116" s="78">
        <v>80</v>
      </c>
      <c r="DD116" s="137">
        <v>0.2</v>
      </c>
      <c r="DE116" s="137">
        <v>0.17777780000000001</v>
      </c>
      <c r="DG116" s="143" t="s">
        <v>781</v>
      </c>
      <c r="DH116" s="143" t="s">
        <v>782</v>
      </c>
      <c r="DI116" s="143" t="s">
        <v>727</v>
      </c>
      <c r="DJ116" s="143">
        <v>1031</v>
      </c>
      <c r="DK116" s="78">
        <v>2</v>
      </c>
      <c r="DL116" s="78">
        <v>1</v>
      </c>
      <c r="DM116" s="78">
        <v>1</v>
      </c>
      <c r="DN116" s="78">
        <v>7</v>
      </c>
      <c r="DO116" s="78">
        <v>2</v>
      </c>
      <c r="DP116" s="78">
        <v>3</v>
      </c>
      <c r="DQ116" s="78">
        <v>8</v>
      </c>
      <c r="DR116" s="78">
        <v>1</v>
      </c>
      <c r="DS116" s="78">
        <v>1</v>
      </c>
      <c r="DT116" s="78">
        <v>0</v>
      </c>
      <c r="DU116" s="78">
        <v>0</v>
      </c>
      <c r="DV116" s="137">
        <v>0.89655169999999995</v>
      </c>
      <c r="DX116" s="143" t="s">
        <v>781</v>
      </c>
      <c r="DY116" s="143" t="s">
        <v>782</v>
      </c>
      <c r="DZ116" s="143" t="s">
        <v>727</v>
      </c>
      <c r="EA116" s="143">
        <v>1031</v>
      </c>
      <c r="EB116" s="78">
        <v>1</v>
      </c>
      <c r="EC116" s="78">
        <v>8</v>
      </c>
      <c r="ED116" s="78">
        <v>1</v>
      </c>
      <c r="EE116" s="78">
        <v>4</v>
      </c>
      <c r="EF116" s="78">
        <v>1</v>
      </c>
      <c r="EG116" s="78">
        <v>1</v>
      </c>
      <c r="EH116" s="78">
        <v>2</v>
      </c>
      <c r="EI116" s="78">
        <v>1</v>
      </c>
      <c r="EJ116" s="78">
        <v>1</v>
      </c>
      <c r="EK116" s="78">
        <v>1</v>
      </c>
      <c r="EL116" s="78">
        <v>4</v>
      </c>
      <c r="EM116" s="78">
        <v>1</v>
      </c>
      <c r="EN116" s="78">
        <v>1</v>
      </c>
      <c r="EO116" s="137">
        <v>1</v>
      </c>
      <c r="EQ116" s="143" t="s">
        <v>781</v>
      </c>
      <c r="ER116" s="143" t="s">
        <v>782</v>
      </c>
      <c r="ES116" s="143" t="s">
        <v>727</v>
      </c>
      <c r="ET116" s="143">
        <v>1031</v>
      </c>
      <c r="EU116" s="78">
        <v>0.5</v>
      </c>
      <c r="EV116" s="78">
        <v>1</v>
      </c>
      <c r="EW116" s="78">
        <v>3</v>
      </c>
      <c r="EX116" s="78">
        <v>2</v>
      </c>
      <c r="EY116" s="78">
        <v>0.5</v>
      </c>
      <c r="EZ116" s="78">
        <v>3</v>
      </c>
      <c r="FA116" s="78">
        <v>2</v>
      </c>
      <c r="FB116" s="78">
        <v>1</v>
      </c>
      <c r="FC116" s="137">
        <v>1</v>
      </c>
      <c r="FE116" s="137">
        <v>0.74193549999999997</v>
      </c>
    </row>
    <row r="117" spans="1:161" x14ac:dyDescent="0.25">
      <c r="A117" s="143" t="s">
        <v>781</v>
      </c>
      <c r="B117" s="143" t="s">
        <v>782</v>
      </c>
      <c r="C117" s="143" t="s">
        <v>728</v>
      </c>
      <c r="D117" s="143">
        <v>1967</v>
      </c>
      <c r="E117" s="78">
        <v>0</v>
      </c>
      <c r="F117" s="78">
        <v>2.5</v>
      </c>
      <c r="G117" s="78">
        <v>1</v>
      </c>
      <c r="H117" s="78">
        <v>3</v>
      </c>
      <c r="I117" s="78">
        <v>1</v>
      </c>
      <c r="J117" s="78">
        <v>0</v>
      </c>
      <c r="K117" s="78">
        <v>1</v>
      </c>
      <c r="L117" s="78">
        <v>1</v>
      </c>
      <c r="M117" s="78">
        <v>0</v>
      </c>
      <c r="N117" s="137">
        <v>0.67857140000000005</v>
      </c>
      <c r="P117" s="143" t="s">
        <v>781</v>
      </c>
      <c r="Q117" s="143" t="s">
        <v>782</v>
      </c>
      <c r="R117" s="143" t="s">
        <v>728</v>
      </c>
      <c r="S117" s="143">
        <v>1967</v>
      </c>
      <c r="T117" s="78">
        <v>1</v>
      </c>
      <c r="U117" s="78">
        <v>1</v>
      </c>
      <c r="V117" s="78">
        <v>3</v>
      </c>
      <c r="W117" s="78">
        <v>2</v>
      </c>
      <c r="X117" s="78">
        <v>0</v>
      </c>
      <c r="Y117" s="78">
        <v>1</v>
      </c>
      <c r="Z117" s="78">
        <v>3</v>
      </c>
      <c r="AA117" s="78">
        <v>0</v>
      </c>
      <c r="AB117" s="78">
        <v>6</v>
      </c>
      <c r="AC117" s="78">
        <v>3</v>
      </c>
      <c r="AD117" s="137">
        <v>0.58823530000000002</v>
      </c>
      <c r="AF117" s="143" t="s">
        <v>781</v>
      </c>
      <c r="AG117" s="143" t="s">
        <v>782</v>
      </c>
      <c r="AH117" s="143" t="s">
        <v>728</v>
      </c>
      <c r="AI117" s="143">
        <v>1967</v>
      </c>
      <c r="AJ117" s="78">
        <v>1</v>
      </c>
      <c r="AK117" s="78">
        <v>1</v>
      </c>
      <c r="AL117" s="78">
        <v>1</v>
      </c>
      <c r="AM117" s="78">
        <v>6</v>
      </c>
      <c r="AN117" s="78">
        <v>1</v>
      </c>
      <c r="AO117" s="78">
        <v>0</v>
      </c>
      <c r="AP117" s="78">
        <v>1</v>
      </c>
      <c r="AQ117" s="78">
        <v>1</v>
      </c>
      <c r="AR117" s="78">
        <v>0</v>
      </c>
      <c r="AS117" s="78">
        <v>2</v>
      </c>
      <c r="AT117" s="78">
        <v>2</v>
      </c>
      <c r="AU117" s="78">
        <v>1</v>
      </c>
      <c r="AV117" s="78">
        <v>2</v>
      </c>
      <c r="AW117" s="78">
        <v>0</v>
      </c>
      <c r="AX117" s="78">
        <v>4</v>
      </c>
      <c r="AY117" s="78">
        <v>1</v>
      </c>
      <c r="AZ117" s="78">
        <v>2</v>
      </c>
      <c r="BA117" s="78">
        <v>0.5</v>
      </c>
      <c r="BB117" s="78">
        <v>0.5</v>
      </c>
      <c r="BC117" s="78">
        <v>0.5</v>
      </c>
      <c r="BD117" s="78">
        <v>1</v>
      </c>
      <c r="BE117" s="78">
        <v>0.5</v>
      </c>
      <c r="BF117" s="78">
        <v>1</v>
      </c>
      <c r="BG117" s="78">
        <v>8</v>
      </c>
      <c r="BH117" s="137">
        <v>0.86363639999999997</v>
      </c>
      <c r="BJ117" s="143" t="s">
        <v>781</v>
      </c>
      <c r="BK117" s="143" t="s">
        <v>782</v>
      </c>
      <c r="BL117" s="143" t="s">
        <v>728</v>
      </c>
      <c r="BM117" s="143">
        <v>1967</v>
      </c>
      <c r="BN117" s="78">
        <v>1</v>
      </c>
      <c r="BO117" s="78">
        <v>4</v>
      </c>
      <c r="BP117" s="78">
        <v>7</v>
      </c>
      <c r="BQ117" s="78">
        <v>3</v>
      </c>
      <c r="BR117" s="78">
        <v>3</v>
      </c>
      <c r="BS117" s="78">
        <v>3</v>
      </c>
      <c r="BT117" s="78">
        <v>2</v>
      </c>
      <c r="BU117" s="137">
        <v>1</v>
      </c>
      <c r="BW117" s="143" t="s">
        <v>781</v>
      </c>
      <c r="BX117" s="143" t="s">
        <v>782</v>
      </c>
      <c r="BY117" s="143" t="s">
        <v>728</v>
      </c>
      <c r="BZ117" s="143">
        <v>1967</v>
      </c>
      <c r="CM117" s="143" t="s">
        <v>781</v>
      </c>
      <c r="CN117" s="143" t="s">
        <v>782</v>
      </c>
      <c r="CO117" s="143" t="s">
        <v>728</v>
      </c>
      <c r="CP117" s="143">
        <v>1967</v>
      </c>
      <c r="CQ117" s="78">
        <v>8</v>
      </c>
      <c r="CR117" s="78">
        <v>0</v>
      </c>
      <c r="CS117" s="78">
        <v>16</v>
      </c>
      <c r="CT117" s="78">
        <v>4</v>
      </c>
      <c r="CU117" s="78">
        <v>0</v>
      </c>
      <c r="CV117" s="78">
        <v>8</v>
      </c>
      <c r="CW117" s="137">
        <v>0.69230769999999997</v>
      </c>
      <c r="CY117" s="143" t="s">
        <v>781</v>
      </c>
      <c r="CZ117" s="143" t="s">
        <v>782</v>
      </c>
      <c r="DA117" s="143" t="s">
        <v>728</v>
      </c>
      <c r="DB117" s="143">
        <v>1967</v>
      </c>
      <c r="DC117" s="78">
        <v>60</v>
      </c>
      <c r="DD117" s="137">
        <v>0.2</v>
      </c>
      <c r="DE117" s="137">
        <v>0.13333329999999999</v>
      </c>
      <c r="DG117" s="143" t="s">
        <v>781</v>
      </c>
      <c r="DH117" s="143" t="s">
        <v>782</v>
      </c>
      <c r="DI117" s="143" t="s">
        <v>728</v>
      </c>
      <c r="DJ117" s="143">
        <v>1967</v>
      </c>
      <c r="DK117" s="78">
        <v>2</v>
      </c>
      <c r="DL117" s="78">
        <v>1</v>
      </c>
      <c r="DM117" s="78">
        <v>1</v>
      </c>
      <c r="DN117" s="78">
        <v>7</v>
      </c>
      <c r="DO117" s="78">
        <v>2</v>
      </c>
      <c r="DP117" s="78">
        <v>3</v>
      </c>
      <c r="DQ117" s="78">
        <v>8</v>
      </c>
      <c r="DR117" s="78">
        <v>1</v>
      </c>
      <c r="DS117" s="78">
        <v>1</v>
      </c>
      <c r="DT117" s="78">
        <v>2</v>
      </c>
      <c r="DU117" s="78">
        <v>1</v>
      </c>
      <c r="DV117" s="137">
        <v>1</v>
      </c>
      <c r="DX117" s="143" t="s">
        <v>781</v>
      </c>
      <c r="DY117" s="143" t="s">
        <v>782</v>
      </c>
      <c r="DZ117" s="143" t="s">
        <v>728</v>
      </c>
      <c r="EA117" s="143">
        <v>1967</v>
      </c>
      <c r="EB117" s="78">
        <v>1</v>
      </c>
      <c r="EC117" s="78">
        <v>8</v>
      </c>
      <c r="ED117" s="78">
        <v>1</v>
      </c>
      <c r="EE117" s="78">
        <v>4</v>
      </c>
      <c r="EF117" s="78">
        <v>1</v>
      </c>
      <c r="EG117" s="78">
        <v>1</v>
      </c>
      <c r="EH117" s="78">
        <v>2</v>
      </c>
      <c r="EI117" s="78">
        <v>1</v>
      </c>
      <c r="EJ117" s="78">
        <v>1</v>
      </c>
      <c r="EK117" s="78">
        <v>1</v>
      </c>
      <c r="EL117" s="78">
        <v>4</v>
      </c>
      <c r="EM117" s="78">
        <v>1</v>
      </c>
      <c r="EN117" s="78">
        <v>1</v>
      </c>
      <c r="EO117" s="137">
        <v>1</v>
      </c>
      <c r="EQ117" s="143" t="s">
        <v>781</v>
      </c>
      <c r="ER117" s="143" t="s">
        <v>782</v>
      </c>
      <c r="ES117" s="143" t="s">
        <v>728</v>
      </c>
      <c r="ET117" s="143">
        <v>1967</v>
      </c>
      <c r="EU117" s="78">
        <v>0.5</v>
      </c>
      <c r="EV117" s="78">
        <v>1</v>
      </c>
      <c r="EW117" s="78">
        <v>0</v>
      </c>
      <c r="EX117" s="78">
        <v>2</v>
      </c>
      <c r="EY117" s="78">
        <v>0.5</v>
      </c>
      <c r="EZ117" s="78">
        <v>3</v>
      </c>
      <c r="FA117" s="78">
        <v>2</v>
      </c>
      <c r="FB117" s="78">
        <v>1</v>
      </c>
      <c r="FC117" s="137">
        <v>0.76923079999999999</v>
      </c>
      <c r="FE117" s="137">
        <v>0.62730059999999999</v>
      </c>
    </row>
    <row r="118" spans="1:161" hidden="1" x14ac:dyDescent="0.25">
      <c r="A118" s="143" t="s">
        <v>781</v>
      </c>
      <c r="B118" s="143" t="s">
        <v>782</v>
      </c>
      <c r="C118" s="143" t="s">
        <v>727</v>
      </c>
      <c r="D118" s="143">
        <v>1968</v>
      </c>
      <c r="E118" s="78">
        <v>0</v>
      </c>
      <c r="F118" s="78">
        <v>2.5</v>
      </c>
      <c r="G118" s="78">
        <v>1</v>
      </c>
      <c r="H118" s="78">
        <v>0</v>
      </c>
      <c r="I118" s="78">
        <v>1</v>
      </c>
      <c r="J118" s="78">
        <v>1</v>
      </c>
      <c r="K118" s="78">
        <v>1</v>
      </c>
      <c r="L118" s="78">
        <v>1</v>
      </c>
      <c r="M118" s="78">
        <v>0</v>
      </c>
      <c r="N118" s="137">
        <v>0.53571429999999998</v>
      </c>
      <c r="P118" s="143" t="s">
        <v>781</v>
      </c>
      <c r="Q118" s="143" t="s">
        <v>782</v>
      </c>
      <c r="R118" s="143" t="s">
        <v>727</v>
      </c>
      <c r="S118" s="143">
        <v>1968</v>
      </c>
      <c r="T118" s="78">
        <v>1</v>
      </c>
      <c r="U118" s="78">
        <v>1</v>
      </c>
      <c r="V118" s="78">
        <v>3</v>
      </c>
      <c r="W118" s="78">
        <v>2</v>
      </c>
      <c r="X118" s="78">
        <v>0</v>
      </c>
      <c r="Y118" s="78">
        <v>1</v>
      </c>
      <c r="Z118" s="78">
        <v>3</v>
      </c>
      <c r="AA118" s="78">
        <v>2</v>
      </c>
      <c r="AB118" s="78">
        <v>6</v>
      </c>
      <c r="AC118" s="78">
        <v>3</v>
      </c>
      <c r="AD118" s="137">
        <v>0.64705880000000005</v>
      </c>
      <c r="AF118" s="143" t="s">
        <v>781</v>
      </c>
      <c r="AG118" s="143" t="s">
        <v>782</v>
      </c>
      <c r="AH118" s="143" t="s">
        <v>727</v>
      </c>
      <c r="AI118" s="143">
        <v>1968</v>
      </c>
      <c r="AJ118" s="78">
        <v>1</v>
      </c>
      <c r="AK118" s="78">
        <v>0</v>
      </c>
      <c r="AL118" s="78">
        <v>1</v>
      </c>
      <c r="AM118" s="78">
        <v>6</v>
      </c>
      <c r="AN118" s="78">
        <v>1</v>
      </c>
      <c r="AO118" s="78">
        <v>2</v>
      </c>
      <c r="AP118" s="78">
        <v>1</v>
      </c>
      <c r="AQ118" s="78">
        <v>1</v>
      </c>
      <c r="AR118" s="78">
        <v>2</v>
      </c>
      <c r="AS118" s="78">
        <v>2</v>
      </c>
      <c r="AT118" s="78">
        <v>0</v>
      </c>
      <c r="AU118" s="78">
        <v>0</v>
      </c>
      <c r="AV118" s="78">
        <v>2</v>
      </c>
      <c r="AW118" s="78">
        <v>0</v>
      </c>
      <c r="AX118" s="78">
        <v>4</v>
      </c>
      <c r="AY118" s="78">
        <v>1</v>
      </c>
      <c r="AZ118" s="78">
        <v>2</v>
      </c>
      <c r="BA118" s="78">
        <v>0.5</v>
      </c>
      <c r="BB118" s="78">
        <v>0.5</v>
      </c>
      <c r="BC118" s="78">
        <v>0.5</v>
      </c>
      <c r="BD118" s="78">
        <v>1</v>
      </c>
      <c r="BE118" s="78">
        <v>0.5</v>
      </c>
      <c r="BF118" s="78">
        <v>1</v>
      </c>
      <c r="BG118" s="78">
        <v>8</v>
      </c>
      <c r="BH118" s="137">
        <v>0.86363639999999997</v>
      </c>
      <c r="BJ118" s="143" t="s">
        <v>781</v>
      </c>
      <c r="BK118" s="143" t="s">
        <v>782</v>
      </c>
      <c r="BL118" s="143" t="s">
        <v>727</v>
      </c>
      <c r="BM118" s="143">
        <v>1968</v>
      </c>
      <c r="BN118" s="78">
        <v>1</v>
      </c>
      <c r="BO118" s="78">
        <v>4</v>
      </c>
      <c r="BP118" s="78">
        <v>7</v>
      </c>
      <c r="BQ118" s="78">
        <v>3</v>
      </c>
      <c r="BR118" s="78">
        <v>3</v>
      </c>
      <c r="BS118" s="78">
        <v>3</v>
      </c>
      <c r="BT118" s="78">
        <v>2</v>
      </c>
      <c r="BU118" s="137">
        <v>1</v>
      </c>
      <c r="BW118" s="143" t="s">
        <v>781</v>
      </c>
      <c r="BX118" s="143" t="s">
        <v>782</v>
      </c>
      <c r="BY118" s="143" t="s">
        <v>727</v>
      </c>
      <c r="BZ118" s="143">
        <v>1968</v>
      </c>
      <c r="CA118" s="78">
        <v>1</v>
      </c>
      <c r="CB118" s="78">
        <v>1</v>
      </c>
      <c r="CC118" s="78">
        <v>1</v>
      </c>
      <c r="CD118" s="78">
        <v>2</v>
      </c>
      <c r="CE118" s="78">
        <v>1</v>
      </c>
      <c r="CF118" s="78">
        <v>2</v>
      </c>
      <c r="CG118" s="78">
        <v>1</v>
      </c>
      <c r="CH118" s="78">
        <v>2</v>
      </c>
      <c r="CI118" s="78">
        <v>1</v>
      </c>
      <c r="CJ118" s="78">
        <v>3</v>
      </c>
      <c r="CK118" s="137">
        <v>1</v>
      </c>
      <c r="CM118" s="143" t="s">
        <v>781</v>
      </c>
      <c r="CN118" s="143" t="s">
        <v>782</v>
      </c>
      <c r="CO118" s="143" t="s">
        <v>727</v>
      </c>
      <c r="CP118" s="143">
        <v>1968</v>
      </c>
      <c r="CQ118" s="78">
        <v>8</v>
      </c>
      <c r="CR118" s="78">
        <v>6</v>
      </c>
      <c r="CS118" s="78">
        <v>24</v>
      </c>
      <c r="CT118" s="78">
        <v>4</v>
      </c>
      <c r="CU118" s="78">
        <v>2</v>
      </c>
      <c r="CV118" s="78">
        <v>8</v>
      </c>
      <c r="CW118" s="137">
        <v>1</v>
      </c>
      <c r="CY118" s="143" t="s">
        <v>781</v>
      </c>
      <c r="CZ118" s="143" t="s">
        <v>782</v>
      </c>
      <c r="DA118" s="143" t="s">
        <v>727</v>
      </c>
      <c r="DB118" s="143">
        <v>1968</v>
      </c>
      <c r="DC118" s="78">
        <v>68</v>
      </c>
      <c r="DD118" s="137">
        <v>0</v>
      </c>
      <c r="DE118" s="137">
        <v>0</v>
      </c>
      <c r="DG118" s="143" t="s">
        <v>781</v>
      </c>
      <c r="DH118" s="143" t="s">
        <v>782</v>
      </c>
      <c r="DI118" s="143" t="s">
        <v>727</v>
      </c>
      <c r="DJ118" s="143">
        <v>1968</v>
      </c>
      <c r="DK118" s="78">
        <v>2</v>
      </c>
      <c r="DL118" s="78">
        <v>1</v>
      </c>
      <c r="DM118" s="78">
        <v>1</v>
      </c>
      <c r="DN118" s="78">
        <v>7</v>
      </c>
      <c r="DO118" s="78">
        <v>2</v>
      </c>
      <c r="DP118" s="78">
        <v>3</v>
      </c>
      <c r="DQ118" s="78">
        <v>8</v>
      </c>
      <c r="DR118" s="78">
        <v>1</v>
      </c>
      <c r="DS118" s="78">
        <v>1</v>
      </c>
      <c r="DT118" s="78">
        <v>2</v>
      </c>
      <c r="DU118" s="78">
        <v>1</v>
      </c>
      <c r="DV118" s="137">
        <v>1</v>
      </c>
      <c r="DX118" s="143" t="s">
        <v>781</v>
      </c>
      <c r="DY118" s="143" t="s">
        <v>782</v>
      </c>
      <c r="DZ118" s="143" t="s">
        <v>727</v>
      </c>
      <c r="EA118" s="143">
        <v>1968</v>
      </c>
      <c r="EB118" s="78">
        <v>1</v>
      </c>
      <c r="EC118" s="78">
        <v>8</v>
      </c>
      <c r="ED118" s="78">
        <v>1</v>
      </c>
      <c r="EE118" s="78">
        <v>4</v>
      </c>
      <c r="EF118" s="78">
        <v>1</v>
      </c>
      <c r="EG118" s="78">
        <v>1</v>
      </c>
      <c r="EH118" s="78">
        <v>2</v>
      </c>
      <c r="EI118" s="78">
        <v>1</v>
      </c>
      <c r="EJ118" s="78">
        <v>1</v>
      </c>
      <c r="EK118" s="78">
        <v>1</v>
      </c>
      <c r="EL118" s="78">
        <v>4</v>
      </c>
      <c r="EM118" s="78">
        <v>1</v>
      </c>
      <c r="EN118" s="78">
        <v>1</v>
      </c>
      <c r="EO118" s="137">
        <v>1</v>
      </c>
      <c r="EQ118" s="143" t="s">
        <v>781</v>
      </c>
      <c r="ER118" s="143" t="s">
        <v>782</v>
      </c>
      <c r="ES118" s="143" t="s">
        <v>727</v>
      </c>
      <c r="ET118" s="143">
        <v>1968</v>
      </c>
      <c r="EU118" s="78">
        <v>0.5</v>
      </c>
      <c r="EV118" s="78">
        <v>1</v>
      </c>
      <c r="EW118" s="78">
        <v>3</v>
      </c>
      <c r="EX118" s="78">
        <v>2</v>
      </c>
      <c r="EY118" s="78">
        <v>0.5</v>
      </c>
      <c r="EZ118" s="78">
        <v>3</v>
      </c>
      <c r="FA118" s="78">
        <v>2</v>
      </c>
      <c r="FB118" s="78">
        <v>1</v>
      </c>
      <c r="FC118" s="137">
        <v>1</v>
      </c>
      <c r="FE118" s="137">
        <v>0.66422289999999995</v>
      </c>
    </row>
    <row r="119" spans="1:161" x14ac:dyDescent="0.25">
      <c r="A119" s="143" t="s">
        <v>781</v>
      </c>
      <c r="B119" s="143" t="s">
        <v>782</v>
      </c>
      <c r="C119" s="143" t="s">
        <v>728</v>
      </c>
      <c r="D119" s="143">
        <v>3869</v>
      </c>
      <c r="E119" s="78">
        <v>0</v>
      </c>
      <c r="F119" s="78">
        <v>2.5</v>
      </c>
      <c r="G119" s="78">
        <v>1</v>
      </c>
      <c r="H119" s="78">
        <v>0</v>
      </c>
      <c r="I119" s="78">
        <v>1</v>
      </c>
      <c r="J119" s="78">
        <v>0</v>
      </c>
      <c r="K119" s="78">
        <v>1</v>
      </c>
      <c r="L119" s="78">
        <v>1</v>
      </c>
      <c r="M119" s="78">
        <v>0</v>
      </c>
      <c r="N119" s="137">
        <v>0.46428570000000002</v>
      </c>
      <c r="P119" s="143" t="s">
        <v>781</v>
      </c>
      <c r="Q119" s="143" t="s">
        <v>782</v>
      </c>
      <c r="R119" s="143" t="s">
        <v>728</v>
      </c>
      <c r="S119" s="143">
        <v>3869</v>
      </c>
      <c r="T119" s="78">
        <v>1</v>
      </c>
      <c r="U119" s="78">
        <v>1</v>
      </c>
      <c r="V119" s="78">
        <v>2.5</v>
      </c>
      <c r="W119" s="78">
        <v>2</v>
      </c>
      <c r="X119" s="78">
        <v>0</v>
      </c>
      <c r="Y119" s="78">
        <v>1</v>
      </c>
      <c r="Z119" s="78">
        <v>3</v>
      </c>
      <c r="AA119" s="78">
        <v>0</v>
      </c>
      <c r="AB119" s="78">
        <v>6</v>
      </c>
      <c r="AC119" s="78">
        <v>3</v>
      </c>
      <c r="AD119" s="137">
        <v>0.57352939999999997</v>
      </c>
      <c r="AF119" s="143" t="s">
        <v>781</v>
      </c>
      <c r="AG119" s="143" t="s">
        <v>782</v>
      </c>
      <c r="AH119" s="143" t="s">
        <v>728</v>
      </c>
      <c r="AI119" s="143">
        <v>3869</v>
      </c>
      <c r="AJ119" s="78">
        <v>0</v>
      </c>
      <c r="AK119" s="78">
        <v>1</v>
      </c>
      <c r="AL119" s="78">
        <v>1</v>
      </c>
      <c r="AM119" s="78">
        <v>6</v>
      </c>
      <c r="AN119" s="78">
        <v>1</v>
      </c>
      <c r="AO119" s="78">
        <v>0</v>
      </c>
      <c r="AP119" s="78">
        <v>1</v>
      </c>
      <c r="AQ119" s="78">
        <v>1</v>
      </c>
      <c r="AR119" s="78">
        <v>0</v>
      </c>
      <c r="AS119" s="78">
        <v>2</v>
      </c>
      <c r="AT119" s="78">
        <v>0</v>
      </c>
      <c r="AU119" s="78">
        <v>0</v>
      </c>
      <c r="AV119" s="78">
        <v>2</v>
      </c>
      <c r="AW119" s="78">
        <v>0</v>
      </c>
      <c r="AX119" s="78">
        <v>0</v>
      </c>
      <c r="AY119" s="78">
        <v>1</v>
      </c>
      <c r="AZ119" s="78">
        <v>0</v>
      </c>
      <c r="BA119" s="78">
        <v>0.5</v>
      </c>
      <c r="BB119" s="78">
        <v>0.5</v>
      </c>
      <c r="BC119" s="78">
        <v>0.5</v>
      </c>
      <c r="BD119" s="78">
        <v>1</v>
      </c>
      <c r="BE119" s="78">
        <v>0.5</v>
      </c>
      <c r="BF119" s="78">
        <v>1</v>
      </c>
      <c r="BG119" s="78">
        <v>8</v>
      </c>
      <c r="BH119" s="137">
        <v>0.63636360000000003</v>
      </c>
      <c r="BJ119" s="143" t="s">
        <v>781</v>
      </c>
      <c r="BK119" s="143" t="s">
        <v>782</v>
      </c>
      <c r="BL119" s="143" t="s">
        <v>728</v>
      </c>
      <c r="BM119" s="143">
        <v>3869</v>
      </c>
      <c r="BN119" s="78">
        <v>1</v>
      </c>
      <c r="BO119" s="78">
        <v>4</v>
      </c>
      <c r="BP119" s="78">
        <v>7</v>
      </c>
      <c r="BQ119" s="78">
        <v>3</v>
      </c>
      <c r="BR119" s="78">
        <v>3</v>
      </c>
      <c r="BS119" s="78">
        <v>0</v>
      </c>
      <c r="BT119" s="78">
        <v>2</v>
      </c>
      <c r="BU119" s="137">
        <v>0.86956520000000004</v>
      </c>
      <c r="BW119" s="143" t="s">
        <v>781</v>
      </c>
      <c r="BX119" s="143" t="s">
        <v>782</v>
      </c>
      <c r="BY119" s="143" t="s">
        <v>728</v>
      </c>
      <c r="BZ119" s="143">
        <v>3869</v>
      </c>
      <c r="CM119" s="143" t="s">
        <v>781</v>
      </c>
      <c r="CN119" s="143" t="s">
        <v>782</v>
      </c>
      <c r="CO119" s="143" t="s">
        <v>728</v>
      </c>
      <c r="CP119" s="143">
        <v>3869</v>
      </c>
      <c r="CQ119" s="78">
        <v>8</v>
      </c>
      <c r="CR119" s="78">
        <v>0</v>
      </c>
      <c r="CS119" s="78">
        <v>12</v>
      </c>
      <c r="CT119" s="78">
        <v>4</v>
      </c>
      <c r="CU119" s="78">
        <v>2</v>
      </c>
      <c r="CV119" s="78">
        <v>8</v>
      </c>
      <c r="CW119" s="137">
        <v>0.65384609999999999</v>
      </c>
      <c r="CY119" s="143" t="s">
        <v>781</v>
      </c>
      <c r="CZ119" s="143" t="s">
        <v>782</v>
      </c>
      <c r="DA119" s="143" t="s">
        <v>728</v>
      </c>
      <c r="DB119" s="143">
        <v>3869</v>
      </c>
      <c r="DC119" s="78">
        <v>0</v>
      </c>
      <c r="DD119" s="137">
        <v>0</v>
      </c>
      <c r="DE119" s="137">
        <v>0</v>
      </c>
      <c r="DG119" s="143" t="s">
        <v>781</v>
      </c>
      <c r="DH119" s="143" t="s">
        <v>782</v>
      </c>
      <c r="DI119" s="143" t="s">
        <v>728</v>
      </c>
      <c r="DJ119" s="143">
        <v>3869</v>
      </c>
      <c r="DK119" s="78">
        <v>2</v>
      </c>
      <c r="DL119" s="78">
        <v>1</v>
      </c>
      <c r="DM119" s="78">
        <v>1</v>
      </c>
      <c r="DN119" s="78">
        <v>5</v>
      </c>
      <c r="DO119" s="78">
        <v>2</v>
      </c>
      <c r="DP119" s="78">
        <v>3</v>
      </c>
      <c r="DQ119" s="78">
        <v>8</v>
      </c>
      <c r="DR119" s="78">
        <v>1</v>
      </c>
      <c r="DS119" s="78">
        <v>1</v>
      </c>
      <c r="DT119" s="78">
        <v>2</v>
      </c>
      <c r="DU119" s="78">
        <v>0</v>
      </c>
      <c r="DV119" s="137">
        <v>0.89655169999999995</v>
      </c>
      <c r="DX119" s="143" t="s">
        <v>781</v>
      </c>
      <c r="DY119" s="143" t="s">
        <v>782</v>
      </c>
      <c r="DZ119" s="143" t="s">
        <v>728</v>
      </c>
      <c r="EA119" s="143">
        <v>3869</v>
      </c>
      <c r="EB119" s="78">
        <v>1</v>
      </c>
      <c r="EC119" s="78">
        <v>8</v>
      </c>
      <c r="ED119" s="78">
        <v>1</v>
      </c>
      <c r="EE119" s="78">
        <v>4</v>
      </c>
      <c r="EF119" s="78">
        <v>1</v>
      </c>
      <c r="EG119" s="78">
        <v>1</v>
      </c>
      <c r="EH119" s="78">
        <v>0</v>
      </c>
      <c r="EI119" s="78">
        <v>1</v>
      </c>
      <c r="EJ119" s="78">
        <v>1</v>
      </c>
      <c r="EK119" s="78">
        <v>1</v>
      </c>
      <c r="EL119" s="78">
        <v>4</v>
      </c>
      <c r="EM119" s="78">
        <v>0</v>
      </c>
      <c r="EN119" s="78">
        <v>1</v>
      </c>
      <c r="EO119" s="137">
        <v>0.88888889999999998</v>
      </c>
      <c r="EQ119" s="143" t="s">
        <v>781</v>
      </c>
      <c r="ER119" s="143" t="s">
        <v>782</v>
      </c>
      <c r="ES119" s="143" t="s">
        <v>728</v>
      </c>
      <c r="ET119" s="143">
        <v>3869</v>
      </c>
      <c r="EU119" s="78">
        <v>0.5</v>
      </c>
      <c r="EV119" s="78">
        <v>1</v>
      </c>
      <c r="EW119" s="78">
        <v>3</v>
      </c>
      <c r="EX119" s="78">
        <v>2</v>
      </c>
      <c r="EY119" s="78">
        <v>0.5</v>
      </c>
      <c r="EZ119" s="78">
        <v>3</v>
      </c>
      <c r="FA119" s="78">
        <v>2</v>
      </c>
      <c r="FB119" s="78">
        <v>1</v>
      </c>
      <c r="FC119" s="137">
        <v>1</v>
      </c>
      <c r="FE119" s="137">
        <v>0.52453989999999995</v>
      </c>
    </row>
    <row r="120" spans="1:161" hidden="1" x14ac:dyDescent="0.25">
      <c r="A120" s="143" t="s">
        <v>783</v>
      </c>
      <c r="B120" s="143" t="s">
        <v>772</v>
      </c>
      <c r="C120" s="143" t="s">
        <v>727</v>
      </c>
      <c r="D120" s="143">
        <v>1578</v>
      </c>
      <c r="E120" s="78">
        <v>0</v>
      </c>
      <c r="F120" s="78">
        <v>2.5</v>
      </c>
      <c r="G120" s="78">
        <v>1</v>
      </c>
      <c r="H120" s="78">
        <v>2</v>
      </c>
      <c r="I120" s="78">
        <v>1</v>
      </c>
      <c r="J120" s="78">
        <v>0</v>
      </c>
      <c r="K120" s="78">
        <v>1</v>
      </c>
      <c r="L120" s="78">
        <v>1</v>
      </c>
      <c r="M120" s="78">
        <v>2</v>
      </c>
      <c r="N120" s="137">
        <v>0.75</v>
      </c>
      <c r="P120" s="143" t="s">
        <v>783</v>
      </c>
      <c r="Q120" s="143" t="s">
        <v>772</v>
      </c>
      <c r="R120" s="143" t="s">
        <v>727</v>
      </c>
      <c r="S120" s="143">
        <v>1578</v>
      </c>
      <c r="T120" s="78">
        <v>0</v>
      </c>
      <c r="U120" s="78">
        <v>0</v>
      </c>
      <c r="V120" s="78">
        <v>0</v>
      </c>
      <c r="W120" s="78">
        <v>0</v>
      </c>
      <c r="X120" s="78">
        <v>0</v>
      </c>
      <c r="Y120" s="78">
        <v>1</v>
      </c>
      <c r="Z120" s="78">
        <v>3</v>
      </c>
      <c r="AA120" s="78">
        <v>2</v>
      </c>
      <c r="AB120" s="78">
        <v>0</v>
      </c>
      <c r="AC120" s="78">
        <v>0</v>
      </c>
      <c r="AD120" s="137">
        <v>0.17647060000000001</v>
      </c>
      <c r="AF120" s="143" t="s">
        <v>783</v>
      </c>
      <c r="AG120" s="143" t="s">
        <v>772</v>
      </c>
      <c r="AH120" s="143" t="s">
        <v>727</v>
      </c>
      <c r="AI120" s="143">
        <v>1578</v>
      </c>
      <c r="AJ120" s="78">
        <v>0</v>
      </c>
      <c r="AK120" s="78">
        <v>1</v>
      </c>
      <c r="AL120" s="78">
        <v>1</v>
      </c>
      <c r="AM120" s="78">
        <v>0</v>
      </c>
      <c r="AN120" s="78">
        <v>1</v>
      </c>
      <c r="AO120" s="78">
        <v>2</v>
      </c>
      <c r="AP120" s="78">
        <v>1</v>
      </c>
      <c r="AQ120" s="78">
        <v>1</v>
      </c>
      <c r="AR120" s="78">
        <v>2</v>
      </c>
      <c r="AS120" s="78">
        <v>2</v>
      </c>
      <c r="AT120" s="78">
        <v>2</v>
      </c>
      <c r="AU120" s="78">
        <v>0</v>
      </c>
      <c r="AV120" s="78">
        <v>2</v>
      </c>
      <c r="AW120" s="78">
        <v>0</v>
      </c>
      <c r="AX120" s="78">
        <v>0</v>
      </c>
      <c r="AY120" s="78">
        <v>0</v>
      </c>
      <c r="AZ120" s="78">
        <v>2</v>
      </c>
      <c r="BA120" s="78">
        <v>0.5</v>
      </c>
      <c r="BB120" s="78">
        <v>0.5</v>
      </c>
      <c r="BC120" s="78">
        <v>0.5</v>
      </c>
      <c r="BD120" s="78">
        <v>1</v>
      </c>
      <c r="BE120" s="78">
        <v>0</v>
      </c>
      <c r="BF120" s="78">
        <v>0</v>
      </c>
      <c r="BG120" s="78">
        <v>2</v>
      </c>
      <c r="BH120" s="137">
        <v>0.48863640000000003</v>
      </c>
      <c r="BJ120" s="143" t="s">
        <v>783</v>
      </c>
      <c r="BK120" s="143" t="s">
        <v>772</v>
      </c>
      <c r="BL120" s="143" t="s">
        <v>727</v>
      </c>
      <c r="BM120" s="143">
        <v>1578</v>
      </c>
      <c r="BN120" s="78">
        <v>0</v>
      </c>
      <c r="BO120" s="78">
        <v>0</v>
      </c>
      <c r="BP120" s="78">
        <v>0</v>
      </c>
      <c r="BQ120" s="78">
        <v>0</v>
      </c>
      <c r="BR120" s="78">
        <v>0</v>
      </c>
      <c r="BS120" s="78">
        <v>0</v>
      </c>
      <c r="BT120" s="78">
        <v>0</v>
      </c>
      <c r="BU120" s="137">
        <v>0</v>
      </c>
      <c r="BW120" s="143" t="s">
        <v>783</v>
      </c>
      <c r="BX120" s="143" t="s">
        <v>772</v>
      </c>
      <c r="BY120" s="143" t="s">
        <v>727</v>
      </c>
      <c r="BZ120" s="143">
        <v>1578</v>
      </c>
      <c r="CA120" s="78">
        <v>1</v>
      </c>
      <c r="CB120" s="78">
        <v>1</v>
      </c>
      <c r="CC120" s="78">
        <v>1</v>
      </c>
      <c r="CD120" s="78">
        <v>2</v>
      </c>
      <c r="CE120" s="78">
        <v>1</v>
      </c>
      <c r="CF120" s="78">
        <v>2</v>
      </c>
      <c r="CG120" s="78">
        <v>1</v>
      </c>
      <c r="CH120" s="78">
        <v>2</v>
      </c>
      <c r="CI120" s="78">
        <v>1</v>
      </c>
      <c r="CJ120" s="78">
        <v>0</v>
      </c>
      <c r="CK120" s="137">
        <v>0.8</v>
      </c>
      <c r="CM120" s="143" t="s">
        <v>783</v>
      </c>
      <c r="CN120" s="143" t="s">
        <v>772</v>
      </c>
      <c r="CO120" s="143" t="s">
        <v>727</v>
      </c>
      <c r="CP120" s="143">
        <v>1578</v>
      </c>
      <c r="CQ120" s="78">
        <v>8</v>
      </c>
      <c r="CR120" s="78">
        <v>0</v>
      </c>
      <c r="CS120" s="78">
        <v>4</v>
      </c>
      <c r="CT120" s="78">
        <v>4</v>
      </c>
      <c r="CU120" s="78">
        <v>2</v>
      </c>
      <c r="CV120" s="78">
        <v>8</v>
      </c>
      <c r="CW120" s="137">
        <v>0.5</v>
      </c>
      <c r="CY120" s="143" t="s">
        <v>783</v>
      </c>
      <c r="CZ120" s="143" t="s">
        <v>772</v>
      </c>
      <c r="DA120" s="143" t="s">
        <v>727</v>
      </c>
      <c r="DB120" s="143">
        <v>1578</v>
      </c>
      <c r="DC120" s="78">
        <v>58</v>
      </c>
      <c r="DD120" s="137">
        <v>0</v>
      </c>
      <c r="DE120" s="137">
        <v>0</v>
      </c>
      <c r="DG120" s="143" t="s">
        <v>783</v>
      </c>
      <c r="DH120" s="143" t="s">
        <v>772</v>
      </c>
      <c r="DI120" s="143" t="s">
        <v>727</v>
      </c>
      <c r="DJ120" s="143">
        <v>1578</v>
      </c>
      <c r="DK120" s="78">
        <v>2</v>
      </c>
      <c r="DL120" s="78">
        <v>1</v>
      </c>
      <c r="DM120" s="78">
        <v>0</v>
      </c>
      <c r="DN120" s="78">
        <v>0</v>
      </c>
      <c r="DO120" s="78">
        <v>2</v>
      </c>
      <c r="DP120" s="78">
        <v>3</v>
      </c>
      <c r="DQ120" s="78">
        <v>6</v>
      </c>
      <c r="DR120" s="78">
        <v>1</v>
      </c>
      <c r="DS120" s="78">
        <v>1</v>
      </c>
      <c r="DT120" s="78">
        <v>0</v>
      </c>
      <c r="DU120" s="78">
        <v>0</v>
      </c>
      <c r="DV120" s="137">
        <v>0.55172410000000005</v>
      </c>
      <c r="DX120" s="143" t="s">
        <v>783</v>
      </c>
      <c r="DY120" s="143" t="s">
        <v>772</v>
      </c>
      <c r="DZ120" s="143" t="s">
        <v>727</v>
      </c>
      <c r="EA120" s="143">
        <v>1578</v>
      </c>
      <c r="EB120" s="78">
        <v>1</v>
      </c>
      <c r="EC120" s="78">
        <v>8</v>
      </c>
      <c r="ED120" s="78">
        <v>1</v>
      </c>
      <c r="EE120" s="78">
        <v>4</v>
      </c>
      <c r="EF120" s="78">
        <v>1</v>
      </c>
      <c r="EG120" s="78">
        <v>1</v>
      </c>
      <c r="EH120" s="78">
        <v>2</v>
      </c>
      <c r="EI120" s="78">
        <v>1</v>
      </c>
      <c r="EJ120" s="78">
        <v>1</v>
      </c>
      <c r="EK120" s="78">
        <v>1</v>
      </c>
      <c r="EL120" s="78">
        <v>4</v>
      </c>
      <c r="EM120" s="78">
        <v>0</v>
      </c>
      <c r="EN120" s="78">
        <v>0</v>
      </c>
      <c r="EO120" s="137">
        <v>0.92592589999999997</v>
      </c>
      <c r="EQ120" s="143" t="s">
        <v>783</v>
      </c>
      <c r="ER120" s="143" t="s">
        <v>772</v>
      </c>
      <c r="ES120" s="143" t="s">
        <v>727</v>
      </c>
      <c r="ET120" s="143">
        <v>1578</v>
      </c>
      <c r="EU120" s="78">
        <v>0</v>
      </c>
      <c r="EV120" s="78">
        <v>0</v>
      </c>
      <c r="EW120" s="78">
        <v>0</v>
      </c>
      <c r="EX120" s="78">
        <v>0</v>
      </c>
      <c r="EY120" s="78">
        <v>0.5</v>
      </c>
      <c r="EZ120" s="78">
        <v>0</v>
      </c>
      <c r="FA120" s="78">
        <v>2</v>
      </c>
      <c r="FB120" s="78">
        <v>0</v>
      </c>
      <c r="FC120" s="137">
        <v>0.1923077</v>
      </c>
      <c r="FE120" s="137">
        <v>0.35043990000000003</v>
      </c>
    </row>
    <row r="121" spans="1:161" x14ac:dyDescent="0.25">
      <c r="A121" s="143" t="s">
        <v>783</v>
      </c>
      <c r="B121" s="143" t="s">
        <v>772</v>
      </c>
      <c r="C121" s="143" t="s">
        <v>728</v>
      </c>
      <c r="D121" s="143">
        <v>2077</v>
      </c>
      <c r="E121" s="78">
        <v>0.5</v>
      </c>
      <c r="F121" s="78">
        <v>2.5</v>
      </c>
      <c r="G121" s="78">
        <v>1</v>
      </c>
      <c r="H121" s="78">
        <v>2</v>
      </c>
      <c r="I121" s="78">
        <v>1</v>
      </c>
      <c r="J121" s="78">
        <v>1</v>
      </c>
      <c r="K121" s="78">
        <v>1</v>
      </c>
      <c r="L121" s="78">
        <v>1</v>
      </c>
      <c r="M121" s="78">
        <v>2</v>
      </c>
      <c r="N121" s="137">
        <v>0.85714290000000004</v>
      </c>
      <c r="P121" s="143" t="s">
        <v>783</v>
      </c>
      <c r="Q121" s="143" t="s">
        <v>772</v>
      </c>
      <c r="R121" s="143" t="s">
        <v>728</v>
      </c>
      <c r="S121" s="143">
        <v>2077</v>
      </c>
      <c r="T121" s="78">
        <v>1</v>
      </c>
      <c r="U121" s="78">
        <v>1</v>
      </c>
      <c r="V121" s="78">
        <v>2</v>
      </c>
      <c r="W121" s="78">
        <v>2</v>
      </c>
      <c r="X121" s="78">
        <v>12</v>
      </c>
      <c r="Y121" s="78">
        <v>1</v>
      </c>
      <c r="Z121" s="78">
        <v>3</v>
      </c>
      <c r="AA121" s="78">
        <v>2</v>
      </c>
      <c r="AB121" s="78">
        <v>6</v>
      </c>
      <c r="AC121" s="78">
        <v>3</v>
      </c>
      <c r="AD121" s="137">
        <v>0.97058820000000001</v>
      </c>
      <c r="AF121" s="143" t="s">
        <v>783</v>
      </c>
      <c r="AG121" s="143" t="s">
        <v>772</v>
      </c>
      <c r="AH121" s="143" t="s">
        <v>728</v>
      </c>
      <c r="AI121" s="143">
        <v>2077</v>
      </c>
      <c r="AJ121" s="78">
        <v>1</v>
      </c>
      <c r="AK121" s="78">
        <v>1</v>
      </c>
      <c r="AL121" s="78">
        <v>1</v>
      </c>
      <c r="AM121" s="78">
        <v>1</v>
      </c>
      <c r="AN121" s="78">
        <v>1</v>
      </c>
      <c r="AO121" s="78">
        <v>2</v>
      </c>
      <c r="AP121" s="78">
        <v>1</v>
      </c>
      <c r="AQ121" s="78">
        <v>1</v>
      </c>
      <c r="AR121" s="78">
        <v>2</v>
      </c>
      <c r="AS121" s="78">
        <v>2</v>
      </c>
      <c r="AT121" s="78">
        <v>2</v>
      </c>
      <c r="AU121" s="78">
        <v>0</v>
      </c>
      <c r="AV121" s="78">
        <v>2</v>
      </c>
      <c r="AW121" s="78">
        <v>0</v>
      </c>
      <c r="AX121" s="78">
        <v>0</v>
      </c>
      <c r="AY121" s="78">
        <v>1</v>
      </c>
      <c r="AZ121" s="78">
        <v>2</v>
      </c>
      <c r="BA121" s="78">
        <v>0.5</v>
      </c>
      <c r="BB121" s="78">
        <v>0.5</v>
      </c>
      <c r="BC121" s="78">
        <v>0.5</v>
      </c>
      <c r="BD121" s="78">
        <v>1</v>
      </c>
      <c r="BE121" s="78">
        <v>0.5</v>
      </c>
      <c r="BF121" s="78">
        <v>0</v>
      </c>
      <c r="BG121" s="78">
        <v>2</v>
      </c>
      <c r="BH121" s="137">
        <v>0.56818179999999996</v>
      </c>
      <c r="BJ121" s="143" t="s">
        <v>783</v>
      </c>
      <c r="BK121" s="143" t="s">
        <v>772</v>
      </c>
      <c r="BL121" s="143" t="s">
        <v>728</v>
      </c>
      <c r="BM121" s="143">
        <v>2077</v>
      </c>
      <c r="BN121" s="78">
        <v>1</v>
      </c>
      <c r="BO121" s="78">
        <v>0</v>
      </c>
      <c r="BP121" s="78">
        <v>0</v>
      </c>
      <c r="BQ121" s="78">
        <v>3</v>
      </c>
      <c r="BR121" s="78">
        <v>0</v>
      </c>
      <c r="BS121" s="78">
        <v>3</v>
      </c>
      <c r="BT121" s="78">
        <v>0</v>
      </c>
      <c r="BU121" s="137">
        <v>0.3043478</v>
      </c>
      <c r="BW121" s="143" t="s">
        <v>783</v>
      </c>
      <c r="BX121" s="143" t="s">
        <v>772</v>
      </c>
      <c r="BY121" s="143" t="s">
        <v>728</v>
      </c>
      <c r="BZ121" s="143">
        <v>2077</v>
      </c>
      <c r="CA121" s="78">
        <v>1</v>
      </c>
      <c r="CB121" s="78">
        <v>1</v>
      </c>
      <c r="CC121" s="78">
        <v>1</v>
      </c>
      <c r="CD121" s="78">
        <v>2</v>
      </c>
      <c r="CE121" s="78">
        <v>1</v>
      </c>
      <c r="CF121" s="78">
        <v>2</v>
      </c>
      <c r="CG121" s="78">
        <v>1</v>
      </c>
      <c r="CH121" s="78">
        <v>2</v>
      </c>
      <c r="CI121" s="78">
        <v>1</v>
      </c>
      <c r="CJ121" s="78">
        <v>0</v>
      </c>
      <c r="CK121" s="137">
        <v>0.8</v>
      </c>
      <c r="CM121" s="143" t="s">
        <v>783</v>
      </c>
      <c r="CN121" s="143" t="s">
        <v>772</v>
      </c>
      <c r="CO121" s="143" t="s">
        <v>728</v>
      </c>
      <c r="CP121" s="143">
        <v>2077</v>
      </c>
      <c r="CQ121" s="78">
        <v>8</v>
      </c>
      <c r="CR121" s="78">
        <v>0</v>
      </c>
      <c r="CS121" s="78">
        <v>16</v>
      </c>
      <c r="CT121" s="78">
        <v>4</v>
      </c>
      <c r="CU121" s="78">
        <v>2</v>
      </c>
      <c r="CV121" s="78">
        <v>8</v>
      </c>
      <c r="CW121" s="137">
        <v>0.73076920000000001</v>
      </c>
      <c r="CY121" s="143" t="s">
        <v>783</v>
      </c>
      <c r="CZ121" s="143" t="s">
        <v>772</v>
      </c>
      <c r="DA121" s="143" t="s">
        <v>728</v>
      </c>
      <c r="DB121" s="143">
        <v>2077</v>
      </c>
      <c r="DC121" s="78">
        <v>46</v>
      </c>
      <c r="DD121" s="137">
        <v>0.2</v>
      </c>
      <c r="DE121" s="137">
        <v>0.1022222</v>
      </c>
      <c r="DG121" s="143" t="s">
        <v>783</v>
      </c>
      <c r="DH121" s="143" t="s">
        <v>772</v>
      </c>
      <c r="DI121" s="143" t="s">
        <v>728</v>
      </c>
      <c r="DJ121" s="143">
        <v>2077</v>
      </c>
      <c r="DK121" s="78">
        <v>2</v>
      </c>
      <c r="DL121" s="78">
        <v>1</v>
      </c>
      <c r="DM121" s="78">
        <v>1</v>
      </c>
      <c r="DN121" s="78">
        <v>7</v>
      </c>
      <c r="DO121" s="78">
        <v>2</v>
      </c>
      <c r="DP121" s="78">
        <v>3</v>
      </c>
      <c r="DQ121" s="78">
        <v>8</v>
      </c>
      <c r="DR121" s="78">
        <v>1</v>
      </c>
      <c r="DS121" s="78">
        <v>1</v>
      </c>
      <c r="DT121" s="78">
        <v>0</v>
      </c>
      <c r="DU121" s="78">
        <v>1</v>
      </c>
      <c r="DV121" s="137">
        <v>0.93103449999999999</v>
      </c>
      <c r="DX121" s="143" t="s">
        <v>783</v>
      </c>
      <c r="DY121" s="143" t="s">
        <v>772</v>
      </c>
      <c r="DZ121" s="143" t="s">
        <v>728</v>
      </c>
      <c r="EA121" s="143">
        <v>2077</v>
      </c>
      <c r="EB121" s="78">
        <v>1</v>
      </c>
      <c r="EC121" s="78">
        <v>8</v>
      </c>
      <c r="ED121" s="78">
        <v>1</v>
      </c>
      <c r="EE121" s="78">
        <v>4</v>
      </c>
      <c r="EF121" s="78">
        <v>1</v>
      </c>
      <c r="EG121" s="78">
        <v>1</v>
      </c>
      <c r="EH121" s="78">
        <v>0</v>
      </c>
      <c r="EI121" s="78">
        <v>1</v>
      </c>
      <c r="EJ121" s="78">
        <v>1</v>
      </c>
      <c r="EK121" s="78">
        <v>1</v>
      </c>
      <c r="EL121" s="78">
        <v>4</v>
      </c>
      <c r="EM121" s="78">
        <v>1</v>
      </c>
      <c r="EN121" s="78">
        <v>1</v>
      </c>
      <c r="EO121" s="137">
        <v>0.92592589999999997</v>
      </c>
      <c r="EQ121" s="143" t="s">
        <v>783</v>
      </c>
      <c r="ER121" s="143" t="s">
        <v>772</v>
      </c>
      <c r="ES121" s="143" t="s">
        <v>728</v>
      </c>
      <c r="ET121" s="143">
        <v>2077</v>
      </c>
      <c r="EU121" s="78">
        <v>0</v>
      </c>
      <c r="EV121" s="78">
        <v>0</v>
      </c>
      <c r="EW121" s="78">
        <v>0</v>
      </c>
      <c r="EX121" s="78">
        <v>0</v>
      </c>
      <c r="EY121" s="78">
        <v>0.5</v>
      </c>
      <c r="EZ121" s="78">
        <v>3</v>
      </c>
      <c r="FA121" s="78">
        <v>2</v>
      </c>
      <c r="FB121" s="78">
        <v>0</v>
      </c>
      <c r="FC121" s="137">
        <v>0.42307689999999998</v>
      </c>
      <c r="FE121" s="137">
        <v>0.56803519999999996</v>
      </c>
    </row>
    <row r="122" spans="1:161" hidden="1" x14ac:dyDescent="0.25">
      <c r="A122" s="143" t="s">
        <v>783</v>
      </c>
      <c r="B122" s="143" t="s">
        <v>772</v>
      </c>
      <c r="C122" s="143" t="s">
        <v>729</v>
      </c>
      <c r="D122" s="143">
        <v>2078</v>
      </c>
      <c r="E122" s="78">
        <v>0</v>
      </c>
      <c r="F122" s="78">
        <v>2.5</v>
      </c>
      <c r="G122" s="78">
        <v>1</v>
      </c>
      <c r="H122" s="78">
        <v>3</v>
      </c>
      <c r="I122" s="78">
        <v>1</v>
      </c>
      <c r="J122" s="78">
        <v>0</v>
      </c>
      <c r="K122" s="78">
        <v>1</v>
      </c>
      <c r="L122" s="78">
        <v>1</v>
      </c>
      <c r="M122" s="78">
        <v>2</v>
      </c>
      <c r="N122" s="137">
        <v>0.82142859999999995</v>
      </c>
      <c r="P122" s="143" t="s">
        <v>783</v>
      </c>
      <c r="Q122" s="143" t="s">
        <v>772</v>
      </c>
      <c r="R122" s="143" t="s">
        <v>729</v>
      </c>
      <c r="S122" s="143">
        <v>2078</v>
      </c>
      <c r="T122" s="78">
        <v>1</v>
      </c>
      <c r="U122" s="78">
        <v>1</v>
      </c>
      <c r="V122" s="78">
        <v>3</v>
      </c>
      <c r="W122" s="78">
        <v>2</v>
      </c>
      <c r="X122" s="78">
        <v>12</v>
      </c>
      <c r="Y122" s="78">
        <v>1</v>
      </c>
      <c r="Z122" s="78">
        <v>3</v>
      </c>
      <c r="AA122" s="78">
        <v>2</v>
      </c>
      <c r="AB122" s="78">
        <v>6</v>
      </c>
      <c r="AC122" s="78">
        <v>3</v>
      </c>
      <c r="AD122" s="137">
        <v>1</v>
      </c>
      <c r="AF122" s="143" t="s">
        <v>783</v>
      </c>
      <c r="AG122" s="143" t="s">
        <v>772</v>
      </c>
      <c r="AH122" s="143" t="s">
        <v>729</v>
      </c>
      <c r="AI122" s="143">
        <v>2078</v>
      </c>
      <c r="AJ122" s="78">
        <v>1</v>
      </c>
      <c r="AK122" s="78">
        <v>1</v>
      </c>
      <c r="AL122" s="78">
        <v>0</v>
      </c>
      <c r="AM122" s="78">
        <v>6</v>
      </c>
      <c r="AN122" s="78">
        <v>1</v>
      </c>
      <c r="AO122" s="78">
        <v>2</v>
      </c>
      <c r="AP122" s="78">
        <v>1</v>
      </c>
      <c r="AQ122" s="78">
        <v>1</v>
      </c>
      <c r="AR122" s="78">
        <v>2</v>
      </c>
      <c r="AS122" s="78">
        <v>2</v>
      </c>
      <c r="AT122" s="78">
        <v>2</v>
      </c>
      <c r="AU122" s="78">
        <v>1</v>
      </c>
      <c r="AV122" s="78">
        <v>2</v>
      </c>
      <c r="AW122" s="78">
        <v>1</v>
      </c>
      <c r="AX122" s="78">
        <v>0</v>
      </c>
      <c r="AY122" s="78">
        <v>0</v>
      </c>
      <c r="AZ122" s="78">
        <v>2</v>
      </c>
      <c r="BA122" s="78">
        <v>0.5</v>
      </c>
      <c r="BB122" s="78">
        <v>0.5</v>
      </c>
      <c r="BC122" s="78">
        <v>0.5</v>
      </c>
      <c r="BD122" s="78">
        <v>1</v>
      </c>
      <c r="BE122" s="78">
        <v>0.5</v>
      </c>
      <c r="BF122" s="78">
        <v>1</v>
      </c>
      <c r="BG122" s="78">
        <v>8</v>
      </c>
      <c r="BH122" s="137">
        <v>0.84090909999999996</v>
      </c>
      <c r="BJ122" s="143" t="s">
        <v>783</v>
      </c>
      <c r="BK122" s="143" t="s">
        <v>772</v>
      </c>
      <c r="BL122" s="143" t="s">
        <v>729</v>
      </c>
      <c r="BM122" s="143">
        <v>2078</v>
      </c>
      <c r="BN122" s="78">
        <v>1</v>
      </c>
      <c r="BO122" s="78">
        <v>0</v>
      </c>
      <c r="BP122" s="78">
        <v>7</v>
      </c>
      <c r="BQ122" s="78">
        <v>3</v>
      </c>
      <c r="BR122" s="78">
        <v>0</v>
      </c>
      <c r="BS122" s="78">
        <v>3</v>
      </c>
      <c r="BT122" s="78">
        <v>2</v>
      </c>
      <c r="BU122" s="137">
        <v>0.69565220000000005</v>
      </c>
      <c r="BW122" s="143" t="s">
        <v>783</v>
      </c>
      <c r="BX122" s="143" t="s">
        <v>772</v>
      </c>
      <c r="BY122" s="143" t="s">
        <v>729</v>
      </c>
      <c r="BZ122" s="143">
        <v>2078</v>
      </c>
      <c r="CA122" s="78">
        <v>1</v>
      </c>
      <c r="CB122" s="78">
        <v>1</v>
      </c>
      <c r="CC122" s="78">
        <v>1</v>
      </c>
      <c r="CD122" s="78">
        <v>2</v>
      </c>
      <c r="CE122" s="78">
        <v>1</v>
      </c>
      <c r="CF122" s="78">
        <v>2</v>
      </c>
      <c r="CG122" s="78">
        <v>1</v>
      </c>
      <c r="CH122" s="78">
        <v>2</v>
      </c>
      <c r="CI122" s="78">
        <v>1</v>
      </c>
      <c r="CJ122" s="78">
        <v>3</v>
      </c>
      <c r="CK122" s="137">
        <v>1</v>
      </c>
      <c r="CM122" s="143" t="s">
        <v>783</v>
      </c>
      <c r="CN122" s="143" t="s">
        <v>772</v>
      </c>
      <c r="CO122" s="143" t="s">
        <v>729</v>
      </c>
      <c r="CP122" s="143">
        <v>2078</v>
      </c>
      <c r="CQ122" s="78">
        <v>8</v>
      </c>
      <c r="CR122" s="78">
        <v>0</v>
      </c>
      <c r="CS122" s="78">
        <v>24</v>
      </c>
      <c r="CT122" s="78">
        <v>4</v>
      </c>
      <c r="CU122" s="78">
        <v>2</v>
      </c>
      <c r="CV122" s="78">
        <v>8</v>
      </c>
      <c r="CW122" s="137">
        <v>0.88461540000000005</v>
      </c>
      <c r="CY122" s="143" t="s">
        <v>783</v>
      </c>
      <c r="CZ122" s="143" t="s">
        <v>772</v>
      </c>
      <c r="DA122" s="143" t="s">
        <v>729</v>
      </c>
      <c r="DB122" s="143">
        <v>2078</v>
      </c>
      <c r="DC122" s="78">
        <v>66</v>
      </c>
      <c r="DD122" s="137">
        <v>1</v>
      </c>
      <c r="DE122" s="137">
        <v>0.73333329999999997</v>
      </c>
      <c r="DG122" s="143" t="s">
        <v>783</v>
      </c>
      <c r="DH122" s="143" t="s">
        <v>772</v>
      </c>
      <c r="DI122" s="143" t="s">
        <v>729</v>
      </c>
      <c r="DJ122" s="143">
        <v>2078</v>
      </c>
      <c r="DK122" s="78">
        <v>2</v>
      </c>
      <c r="DL122" s="78">
        <v>1</v>
      </c>
      <c r="DM122" s="78">
        <v>1</v>
      </c>
      <c r="DN122" s="78">
        <v>7</v>
      </c>
      <c r="DO122" s="78">
        <v>2</v>
      </c>
      <c r="DP122" s="78">
        <v>3</v>
      </c>
      <c r="DQ122" s="78">
        <v>8</v>
      </c>
      <c r="DR122" s="78">
        <v>1</v>
      </c>
      <c r="DS122" s="78">
        <v>1</v>
      </c>
      <c r="DT122" s="78">
        <v>2</v>
      </c>
      <c r="DU122" s="78">
        <v>1</v>
      </c>
      <c r="DV122" s="137">
        <v>1</v>
      </c>
      <c r="DX122" s="143" t="s">
        <v>783</v>
      </c>
      <c r="DY122" s="143" t="s">
        <v>772</v>
      </c>
      <c r="DZ122" s="143" t="s">
        <v>729</v>
      </c>
      <c r="EA122" s="143">
        <v>2078</v>
      </c>
      <c r="EB122" s="78">
        <v>1</v>
      </c>
      <c r="EC122" s="78">
        <v>8</v>
      </c>
      <c r="ED122" s="78">
        <v>1</v>
      </c>
      <c r="EE122" s="78">
        <v>4</v>
      </c>
      <c r="EF122" s="78">
        <v>1</v>
      </c>
      <c r="EG122" s="78">
        <v>1</v>
      </c>
      <c r="EH122" s="78">
        <v>0</v>
      </c>
      <c r="EI122" s="78">
        <v>1</v>
      </c>
      <c r="EJ122" s="78">
        <v>1</v>
      </c>
      <c r="EK122" s="78">
        <v>1</v>
      </c>
      <c r="EL122" s="78">
        <v>4</v>
      </c>
      <c r="EM122" s="78">
        <v>1</v>
      </c>
      <c r="EN122" s="78">
        <v>1</v>
      </c>
      <c r="EO122" s="137">
        <v>0.92592589999999997</v>
      </c>
      <c r="EQ122" s="143" t="s">
        <v>783</v>
      </c>
      <c r="ER122" s="143" t="s">
        <v>772</v>
      </c>
      <c r="ES122" s="143" t="s">
        <v>729</v>
      </c>
      <c r="ET122" s="143">
        <v>2078</v>
      </c>
      <c r="EU122" s="78">
        <v>0.5</v>
      </c>
      <c r="EV122" s="78">
        <v>1</v>
      </c>
      <c r="EW122" s="78">
        <v>3</v>
      </c>
      <c r="EX122" s="78">
        <v>2</v>
      </c>
      <c r="EY122" s="78">
        <v>0.5</v>
      </c>
      <c r="EZ122" s="78">
        <v>3</v>
      </c>
      <c r="FA122" s="78">
        <v>2</v>
      </c>
      <c r="FB122" s="78">
        <v>1</v>
      </c>
      <c r="FC122" s="137">
        <v>1</v>
      </c>
      <c r="FE122" s="137">
        <v>0.85777130000000001</v>
      </c>
    </row>
    <row r="123" spans="1:161" x14ac:dyDescent="0.25">
      <c r="A123" s="143" t="s">
        <v>783</v>
      </c>
      <c r="B123" s="143" t="s">
        <v>772</v>
      </c>
      <c r="C123" s="143" t="s">
        <v>728</v>
      </c>
      <c r="D123" s="143">
        <v>2140</v>
      </c>
      <c r="E123" s="78">
        <v>0.5</v>
      </c>
      <c r="F123" s="78">
        <v>2.5</v>
      </c>
      <c r="G123" s="78">
        <v>1</v>
      </c>
      <c r="H123" s="78">
        <v>4</v>
      </c>
      <c r="I123" s="78">
        <v>1</v>
      </c>
      <c r="J123" s="78">
        <v>1</v>
      </c>
      <c r="K123" s="78">
        <v>1</v>
      </c>
      <c r="L123" s="78">
        <v>1</v>
      </c>
      <c r="M123" s="78">
        <v>2</v>
      </c>
      <c r="N123" s="137">
        <v>1</v>
      </c>
      <c r="P123" s="143" t="s">
        <v>783</v>
      </c>
      <c r="Q123" s="143" t="s">
        <v>772</v>
      </c>
      <c r="R123" s="143" t="s">
        <v>728</v>
      </c>
      <c r="S123" s="143">
        <v>2140</v>
      </c>
      <c r="T123" s="78">
        <v>1</v>
      </c>
      <c r="U123" s="78">
        <v>1</v>
      </c>
      <c r="V123" s="78">
        <v>3</v>
      </c>
      <c r="W123" s="78">
        <v>2</v>
      </c>
      <c r="X123" s="78">
        <v>12</v>
      </c>
      <c r="Y123" s="78">
        <v>1</v>
      </c>
      <c r="Z123" s="78">
        <v>3</v>
      </c>
      <c r="AA123" s="78">
        <v>0</v>
      </c>
      <c r="AB123" s="78">
        <v>0</v>
      </c>
      <c r="AC123" s="78">
        <v>3</v>
      </c>
      <c r="AD123" s="137">
        <v>0.76470590000000005</v>
      </c>
      <c r="AF123" s="143" t="s">
        <v>783</v>
      </c>
      <c r="AG123" s="143" t="s">
        <v>772</v>
      </c>
      <c r="AH123" s="143" t="s">
        <v>728</v>
      </c>
      <c r="AI123" s="143">
        <v>2140</v>
      </c>
      <c r="AJ123" s="78">
        <v>1</v>
      </c>
      <c r="AK123" s="78">
        <v>1</v>
      </c>
      <c r="AL123" s="78">
        <v>1</v>
      </c>
      <c r="AM123" s="78">
        <v>1</v>
      </c>
      <c r="AN123" s="78">
        <v>1</v>
      </c>
      <c r="AO123" s="78">
        <v>2</v>
      </c>
      <c r="AP123" s="78">
        <v>1</v>
      </c>
      <c r="AQ123" s="78">
        <v>1</v>
      </c>
      <c r="AR123" s="78">
        <v>2</v>
      </c>
      <c r="AS123" s="78">
        <v>2</v>
      </c>
      <c r="AT123" s="78">
        <v>2</v>
      </c>
      <c r="AU123" s="78">
        <v>1</v>
      </c>
      <c r="AV123" s="78">
        <v>2</v>
      </c>
      <c r="AW123" s="78">
        <v>1</v>
      </c>
      <c r="AX123" s="78">
        <v>0</v>
      </c>
      <c r="AY123" s="78">
        <v>1</v>
      </c>
      <c r="AZ123" s="78">
        <v>2</v>
      </c>
      <c r="BA123" s="78">
        <v>0.5</v>
      </c>
      <c r="BB123" s="78">
        <v>0.5</v>
      </c>
      <c r="BC123" s="78">
        <v>0.5</v>
      </c>
      <c r="BD123" s="78">
        <v>1</v>
      </c>
      <c r="BE123" s="78">
        <v>0.5</v>
      </c>
      <c r="BF123" s="78">
        <v>1</v>
      </c>
      <c r="BG123" s="78">
        <v>8</v>
      </c>
      <c r="BH123" s="137">
        <v>0.77272730000000001</v>
      </c>
      <c r="BJ123" s="143" t="s">
        <v>783</v>
      </c>
      <c r="BK123" s="143" t="s">
        <v>772</v>
      </c>
      <c r="BL123" s="143" t="s">
        <v>728</v>
      </c>
      <c r="BM123" s="143">
        <v>2140</v>
      </c>
      <c r="BN123" s="78">
        <v>0</v>
      </c>
      <c r="BO123" s="78">
        <v>4</v>
      </c>
      <c r="BP123" s="78">
        <v>0</v>
      </c>
      <c r="BQ123" s="78">
        <v>0</v>
      </c>
      <c r="BR123" s="78">
        <v>0</v>
      </c>
      <c r="BS123" s="78">
        <v>0</v>
      </c>
      <c r="BT123" s="78">
        <v>2</v>
      </c>
      <c r="BU123" s="137">
        <v>0.26086959999999998</v>
      </c>
      <c r="BW123" s="143" t="s">
        <v>783</v>
      </c>
      <c r="BX123" s="143" t="s">
        <v>772</v>
      </c>
      <c r="BY123" s="143" t="s">
        <v>728</v>
      </c>
      <c r="BZ123" s="143">
        <v>2140</v>
      </c>
      <c r="CA123" s="78">
        <v>1</v>
      </c>
      <c r="CB123" s="78">
        <v>1</v>
      </c>
      <c r="CC123" s="78">
        <v>1</v>
      </c>
      <c r="CD123" s="78">
        <v>2</v>
      </c>
      <c r="CE123" s="78">
        <v>1</v>
      </c>
      <c r="CF123" s="78">
        <v>2</v>
      </c>
      <c r="CG123" s="78">
        <v>1</v>
      </c>
      <c r="CH123" s="78">
        <v>2</v>
      </c>
      <c r="CI123" s="78">
        <v>1</v>
      </c>
      <c r="CJ123" s="78">
        <v>3</v>
      </c>
      <c r="CK123" s="137">
        <v>1</v>
      </c>
      <c r="CM123" s="143" t="s">
        <v>783</v>
      </c>
      <c r="CN123" s="143" t="s">
        <v>772</v>
      </c>
      <c r="CO123" s="143" t="s">
        <v>728</v>
      </c>
      <c r="CP123" s="143">
        <v>2140</v>
      </c>
      <c r="CQ123" s="78">
        <v>8</v>
      </c>
      <c r="CR123" s="78">
        <v>0</v>
      </c>
      <c r="CS123" s="78">
        <v>24</v>
      </c>
      <c r="CT123" s="78">
        <v>4</v>
      </c>
      <c r="CU123" s="78">
        <v>2</v>
      </c>
      <c r="CV123" s="78">
        <v>8</v>
      </c>
      <c r="CW123" s="137">
        <v>0.88461540000000005</v>
      </c>
      <c r="CY123" s="143" t="s">
        <v>783</v>
      </c>
      <c r="CZ123" s="143" t="s">
        <v>772</v>
      </c>
      <c r="DA123" s="143" t="s">
        <v>728</v>
      </c>
      <c r="DB123" s="143">
        <v>2140</v>
      </c>
      <c r="DC123" s="78">
        <v>76</v>
      </c>
      <c r="DD123" s="137">
        <v>0.8</v>
      </c>
      <c r="DE123" s="137">
        <v>0.67555549999999998</v>
      </c>
      <c r="DG123" s="143" t="s">
        <v>783</v>
      </c>
      <c r="DH123" s="143" t="s">
        <v>772</v>
      </c>
      <c r="DI123" s="143" t="s">
        <v>728</v>
      </c>
      <c r="DJ123" s="143">
        <v>2140</v>
      </c>
      <c r="DK123" s="78">
        <v>2</v>
      </c>
      <c r="DL123" s="78">
        <v>1</v>
      </c>
      <c r="DM123" s="78">
        <v>1</v>
      </c>
      <c r="DN123" s="78">
        <v>5</v>
      </c>
      <c r="DO123" s="78">
        <v>2</v>
      </c>
      <c r="DP123" s="78">
        <v>3</v>
      </c>
      <c r="DQ123" s="78">
        <v>8</v>
      </c>
      <c r="DR123" s="78">
        <v>1</v>
      </c>
      <c r="DS123" s="78">
        <v>1</v>
      </c>
      <c r="DT123" s="78">
        <v>2</v>
      </c>
      <c r="DU123" s="78">
        <v>1</v>
      </c>
      <c r="DV123" s="137">
        <v>0.93103449999999999</v>
      </c>
      <c r="DX123" s="143" t="s">
        <v>783</v>
      </c>
      <c r="DY123" s="143" t="s">
        <v>772</v>
      </c>
      <c r="DZ123" s="143" t="s">
        <v>728</v>
      </c>
      <c r="EA123" s="143">
        <v>2140</v>
      </c>
      <c r="EB123" s="78">
        <v>1</v>
      </c>
      <c r="EC123" s="78">
        <v>8</v>
      </c>
      <c r="ED123" s="78">
        <v>1</v>
      </c>
      <c r="EE123" s="78">
        <v>4</v>
      </c>
      <c r="EF123" s="78">
        <v>1</v>
      </c>
      <c r="EG123" s="78">
        <v>1</v>
      </c>
      <c r="EH123" s="78">
        <v>0</v>
      </c>
      <c r="EI123" s="78">
        <v>1</v>
      </c>
      <c r="EJ123" s="78">
        <v>1</v>
      </c>
      <c r="EK123" s="78">
        <v>1</v>
      </c>
      <c r="EL123" s="78">
        <v>4</v>
      </c>
      <c r="EM123" s="78">
        <v>1</v>
      </c>
      <c r="EN123" s="78">
        <v>1</v>
      </c>
      <c r="EO123" s="137">
        <v>0.92592589999999997</v>
      </c>
      <c r="EQ123" s="143" t="s">
        <v>783</v>
      </c>
      <c r="ER123" s="143" t="s">
        <v>772</v>
      </c>
      <c r="ES123" s="143" t="s">
        <v>728</v>
      </c>
      <c r="ET123" s="143">
        <v>2140</v>
      </c>
      <c r="EU123" s="78">
        <v>0.5</v>
      </c>
      <c r="EV123" s="78">
        <v>0</v>
      </c>
      <c r="EW123" s="78">
        <v>3</v>
      </c>
      <c r="EX123" s="78">
        <v>2</v>
      </c>
      <c r="EY123" s="78">
        <v>0.5</v>
      </c>
      <c r="EZ123" s="78">
        <v>3</v>
      </c>
      <c r="FA123" s="78">
        <v>2</v>
      </c>
      <c r="FB123" s="78">
        <v>1</v>
      </c>
      <c r="FC123" s="137">
        <v>0.92307689999999998</v>
      </c>
      <c r="FE123" s="137">
        <v>0.7794721</v>
      </c>
    </row>
    <row r="124" spans="1:161" hidden="1" x14ac:dyDescent="0.25">
      <c r="A124" s="143" t="s">
        <v>784</v>
      </c>
      <c r="B124" s="143" t="s">
        <v>768</v>
      </c>
      <c r="C124" s="143" t="s">
        <v>729</v>
      </c>
      <c r="D124" s="143">
        <v>815</v>
      </c>
      <c r="E124" s="78">
        <v>0</v>
      </c>
      <c r="F124" s="78">
        <v>1.5</v>
      </c>
      <c r="G124" s="78">
        <v>1</v>
      </c>
      <c r="H124" s="78">
        <v>2</v>
      </c>
      <c r="I124" s="78">
        <v>1</v>
      </c>
      <c r="J124" s="78">
        <v>0</v>
      </c>
      <c r="K124" s="78">
        <v>1</v>
      </c>
      <c r="L124" s="78">
        <v>1</v>
      </c>
      <c r="M124" s="78">
        <v>0</v>
      </c>
      <c r="N124" s="137">
        <v>0.53571429999999998</v>
      </c>
      <c r="P124" s="143" t="s">
        <v>784</v>
      </c>
      <c r="Q124" s="143" t="s">
        <v>768</v>
      </c>
      <c r="R124" s="143" t="s">
        <v>729</v>
      </c>
      <c r="S124" s="143">
        <v>815</v>
      </c>
      <c r="T124" s="78">
        <v>1</v>
      </c>
      <c r="U124" s="78">
        <v>0</v>
      </c>
      <c r="V124" s="78">
        <v>2.5</v>
      </c>
      <c r="W124" s="78">
        <v>2</v>
      </c>
      <c r="X124" s="78">
        <v>9</v>
      </c>
      <c r="Y124" s="78">
        <v>1</v>
      </c>
      <c r="Z124" s="78">
        <v>0</v>
      </c>
      <c r="AA124" s="78">
        <v>0</v>
      </c>
      <c r="AB124" s="78">
        <v>0</v>
      </c>
      <c r="AC124" s="78">
        <v>0</v>
      </c>
      <c r="AD124" s="137">
        <v>0.45588230000000002</v>
      </c>
      <c r="AF124" s="143" t="s">
        <v>784</v>
      </c>
      <c r="AG124" s="143" t="s">
        <v>768</v>
      </c>
      <c r="AH124" s="143" t="s">
        <v>729</v>
      </c>
      <c r="AI124" s="143">
        <v>815</v>
      </c>
      <c r="AJ124" s="78">
        <v>1</v>
      </c>
      <c r="AK124" s="78">
        <v>0</v>
      </c>
      <c r="AL124" s="78">
        <v>1</v>
      </c>
      <c r="AM124" s="78">
        <v>1</v>
      </c>
      <c r="AN124" s="78">
        <v>1</v>
      </c>
      <c r="AO124" s="78">
        <v>2</v>
      </c>
      <c r="AP124" s="78">
        <v>1</v>
      </c>
      <c r="AQ124" s="78">
        <v>1</v>
      </c>
      <c r="AR124" s="78">
        <v>0</v>
      </c>
      <c r="AS124" s="78">
        <v>2</v>
      </c>
      <c r="AT124" s="78">
        <v>0</v>
      </c>
      <c r="AU124" s="78">
        <v>1</v>
      </c>
      <c r="AV124" s="78">
        <v>2</v>
      </c>
      <c r="AW124" s="78">
        <v>0</v>
      </c>
      <c r="AX124" s="78">
        <v>0</v>
      </c>
      <c r="AY124" s="78">
        <v>0</v>
      </c>
      <c r="AZ124" s="78">
        <v>2</v>
      </c>
      <c r="BA124" s="78">
        <v>0.5</v>
      </c>
      <c r="BB124" s="78">
        <v>0.5</v>
      </c>
      <c r="BC124" s="78">
        <v>0.5</v>
      </c>
      <c r="BD124" s="78">
        <v>1</v>
      </c>
      <c r="BE124" s="78">
        <v>0.5</v>
      </c>
      <c r="BF124" s="78">
        <v>1</v>
      </c>
      <c r="BG124" s="78">
        <v>8</v>
      </c>
      <c r="BH124" s="137">
        <v>0.61363639999999997</v>
      </c>
      <c r="BJ124" s="143" t="s">
        <v>784</v>
      </c>
      <c r="BK124" s="143" t="s">
        <v>768</v>
      </c>
      <c r="BL124" s="143" t="s">
        <v>729</v>
      </c>
      <c r="BM124" s="143">
        <v>815</v>
      </c>
      <c r="BN124" s="78">
        <v>0</v>
      </c>
      <c r="BO124" s="78">
        <v>4</v>
      </c>
      <c r="BP124" s="78">
        <v>0</v>
      </c>
      <c r="BQ124" s="78">
        <v>3</v>
      </c>
      <c r="BR124" s="78">
        <v>0</v>
      </c>
      <c r="BS124" s="78">
        <v>0</v>
      </c>
      <c r="BT124" s="78">
        <v>0</v>
      </c>
      <c r="BU124" s="137">
        <v>0.3043478</v>
      </c>
      <c r="BW124" s="143" t="s">
        <v>784</v>
      </c>
      <c r="BX124" s="143" t="s">
        <v>768</v>
      </c>
      <c r="BY124" s="143" t="s">
        <v>729</v>
      </c>
      <c r="BZ124" s="143">
        <v>815</v>
      </c>
      <c r="CA124" s="78">
        <v>1</v>
      </c>
      <c r="CB124" s="78">
        <v>1</v>
      </c>
      <c r="CC124" s="78">
        <v>0</v>
      </c>
      <c r="CD124" s="78">
        <v>2</v>
      </c>
      <c r="CE124" s="78">
        <v>0</v>
      </c>
      <c r="CF124" s="78">
        <v>2</v>
      </c>
      <c r="CG124" s="78">
        <v>1</v>
      </c>
      <c r="CH124" s="78">
        <v>0</v>
      </c>
      <c r="CI124" s="78">
        <v>1</v>
      </c>
      <c r="CJ124" s="78">
        <v>0</v>
      </c>
      <c r="CK124" s="137">
        <v>0.53333339999999996</v>
      </c>
      <c r="CM124" s="143" t="s">
        <v>784</v>
      </c>
      <c r="CN124" s="143" t="s">
        <v>768</v>
      </c>
      <c r="CO124" s="143" t="s">
        <v>729</v>
      </c>
      <c r="CP124" s="143">
        <v>815</v>
      </c>
      <c r="CQ124" s="78">
        <v>8</v>
      </c>
      <c r="CR124" s="78">
        <v>6</v>
      </c>
      <c r="CS124" s="78">
        <v>16</v>
      </c>
      <c r="CT124" s="78">
        <v>0</v>
      </c>
      <c r="CU124" s="78">
        <v>0</v>
      </c>
      <c r="CV124" s="78">
        <v>8</v>
      </c>
      <c r="CW124" s="137">
        <v>0.73076920000000001</v>
      </c>
      <c r="CY124" s="143" t="s">
        <v>784</v>
      </c>
      <c r="CZ124" s="143" t="s">
        <v>768</v>
      </c>
      <c r="DA124" s="143" t="s">
        <v>729</v>
      </c>
      <c r="DB124" s="143">
        <v>815</v>
      </c>
      <c r="DC124" s="78">
        <v>0</v>
      </c>
      <c r="DD124" s="137">
        <v>0</v>
      </c>
      <c r="DE124" s="137">
        <v>0</v>
      </c>
      <c r="DG124" s="143" t="s">
        <v>784</v>
      </c>
      <c r="DH124" s="143" t="s">
        <v>768</v>
      </c>
      <c r="DI124" s="143" t="s">
        <v>729</v>
      </c>
      <c r="DJ124" s="143">
        <v>815</v>
      </c>
      <c r="DK124" s="78">
        <v>2</v>
      </c>
      <c r="DL124" s="78">
        <v>1</v>
      </c>
      <c r="DM124" s="78">
        <v>1</v>
      </c>
      <c r="DN124" s="78">
        <v>5</v>
      </c>
      <c r="DO124" s="78">
        <v>2</v>
      </c>
      <c r="DP124" s="78">
        <v>1</v>
      </c>
      <c r="DQ124" s="78">
        <v>5</v>
      </c>
      <c r="DR124" s="78">
        <v>1</v>
      </c>
      <c r="DS124" s="78">
        <v>1</v>
      </c>
      <c r="DT124" s="78">
        <v>0</v>
      </c>
      <c r="DU124" s="78">
        <v>1</v>
      </c>
      <c r="DV124" s="137">
        <v>0.68965520000000002</v>
      </c>
      <c r="DX124" s="143" t="s">
        <v>784</v>
      </c>
      <c r="DY124" s="143" t="s">
        <v>768</v>
      </c>
      <c r="DZ124" s="143" t="s">
        <v>729</v>
      </c>
      <c r="EA124" s="143">
        <v>815</v>
      </c>
      <c r="EB124" s="78">
        <v>1</v>
      </c>
      <c r="EC124" s="78">
        <v>8</v>
      </c>
      <c r="ED124" s="78">
        <v>1</v>
      </c>
      <c r="EE124" s="78">
        <v>4</v>
      </c>
      <c r="EF124" s="78">
        <v>1</v>
      </c>
      <c r="EG124" s="78">
        <v>1</v>
      </c>
      <c r="EH124" s="78">
        <v>0</v>
      </c>
      <c r="EI124" s="78">
        <v>1</v>
      </c>
      <c r="EJ124" s="78">
        <v>1</v>
      </c>
      <c r="EK124" s="78">
        <v>0</v>
      </c>
      <c r="EL124" s="78">
        <v>4</v>
      </c>
      <c r="EM124" s="78">
        <v>1</v>
      </c>
      <c r="EN124" s="78">
        <v>1</v>
      </c>
      <c r="EO124" s="137">
        <v>0.88888889999999998</v>
      </c>
      <c r="EQ124" s="143" t="s">
        <v>784</v>
      </c>
      <c r="ER124" s="143" t="s">
        <v>768</v>
      </c>
      <c r="ES124" s="143" t="s">
        <v>729</v>
      </c>
      <c r="ET124" s="143">
        <v>815</v>
      </c>
      <c r="EU124" s="78">
        <v>0</v>
      </c>
      <c r="EV124" s="78">
        <v>0</v>
      </c>
      <c r="EW124" s="78">
        <v>0</v>
      </c>
      <c r="EX124" s="78">
        <v>0</v>
      </c>
      <c r="EY124" s="78">
        <v>0</v>
      </c>
      <c r="EZ124" s="78">
        <v>0</v>
      </c>
      <c r="FA124" s="78">
        <v>0</v>
      </c>
      <c r="FB124" s="78">
        <v>0</v>
      </c>
      <c r="FC124" s="137">
        <v>0</v>
      </c>
      <c r="FE124" s="137">
        <v>0.4310851</v>
      </c>
    </row>
    <row r="125" spans="1:161" x14ac:dyDescent="0.25">
      <c r="A125" s="143" t="s">
        <v>784</v>
      </c>
      <c r="B125" s="143" t="s">
        <v>768</v>
      </c>
      <c r="C125" s="143" t="s">
        <v>728</v>
      </c>
      <c r="D125" s="143">
        <v>830</v>
      </c>
      <c r="E125" s="78">
        <v>0</v>
      </c>
      <c r="F125" s="78">
        <v>1</v>
      </c>
      <c r="G125" s="78">
        <v>0</v>
      </c>
      <c r="H125" s="78">
        <v>0</v>
      </c>
      <c r="I125" s="78">
        <v>1</v>
      </c>
      <c r="J125" s="78">
        <v>0</v>
      </c>
      <c r="K125" s="78">
        <v>1</v>
      </c>
      <c r="L125" s="78">
        <v>0</v>
      </c>
      <c r="M125" s="78">
        <v>0</v>
      </c>
      <c r="N125" s="137">
        <v>0.2142857</v>
      </c>
      <c r="P125" s="143" t="s">
        <v>784</v>
      </c>
      <c r="Q125" s="143" t="s">
        <v>768</v>
      </c>
      <c r="R125" s="143" t="s">
        <v>728</v>
      </c>
      <c r="S125" s="143">
        <v>830</v>
      </c>
      <c r="T125" s="78">
        <v>1</v>
      </c>
      <c r="U125" s="78">
        <v>0</v>
      </c>
      <c r="V125" s="78">
        <v>0</v>
      </c>
      <c r="W125" s="78">
        <v>0</v>
      </c>
      <c r="X125" s="78">
        <v>0</v>
      </c>
      <c r="Y125" s="78">
        <v>1</v>
      </c>
      <c r="Z125" s="78">
        <v>0</v>
      </c>
      <c r="AA125" s="78">
        <v>0</v>
      </c>
      <c r="AB125" s="78">
        <v>0</v>
      </c>
      <c r="AC125" s="78">
        <v>0</v>
      </c>
      <c r="AD125" s="137">
        <v>5.8823500000000001E-2</v>
      </c>
      <c r="AF125" s="143" t="s">
        <v>784</v>
      </c>
      <c r="AG125" s="143" t="s">
        <v>768</v>
      </c>
      <c r="AH125" s="143" t="s">
        <v>728</v>
      </c>
      <c r="AI125" s="143">
        <v>830</v>
      </c>
      <c r="AJ125" s="78">
        <v>0</v>
      </c>
      <c r="AK125" s="78">
        <v>0</v>
      </c>
      <c r="AL125" s="78">
        <v>0</v>
      </c>
      <c r="AM125" s="78">
        <v>0</v>
      </c>
      <c r="AN125" s="78">
        <v>1</v>
      </c>
      <c r="AO125" s="78">
        <v>2</v>
      </c>
      <c r="AP125" s="78">
        <v>1</v>
      </c>
      <c r="AQ125" s="78">
        <v>1</v>
      </c>
      <c r="AR125" s="78">
        <v>0</v>
      </c>
      <c r="AS125" s="78">
        <v>2</v>
      </c>
      <c r="AT125" s="78">
        <v>2</v>
      </c>
      <c r="AU125" s="78">
        <v>1</v>
      </c>
      <c r="AV125" s="78">
        <v>2</v>
      </c>
      <c r="AW125" s="78">
        <v>1</v>
      </c>
      <c r="AX125" s="78">
        <v>0</v>
      </c>
      <c r="AY125" s="78">
        <v>1</v>
      </c>
      <c r="AZ125" s="78">
        <v>2</v>
      </c>
      <c r="BA125" s="78">
        <v>0.5</v>
      </c>
      <c r="BB125" s="78">
        <v>0.5</v>
      </c>
      <c r="BC125" s="78">
        <v>0.5</v>
      </c>
      <c r="BD125" s="78">
        <v>1</v>
      </c>
      <c r="BE125" s="78">
        <v>0.5</v>
      </c>
      <c r="BF125" s="78">
        <v>1</v>
      </c>
      <c r="BG125" s="78">
        <v>8</v>
      </c>
      <c r="BH125" s="137">
        <v>0.63636360000000003</v>
      </c>
      <c r="BJ125" s="143" t="s">
        <v>784</v>
      </c>
      <c r="BK125" s="143" t="s">
        <v>768</v>
      </c>
      <c r="BL125" s="143" t="s">
        <v>728</v>
      </c>
      <c r="BM125" s="143">
        <v>830</v>
      </c>
      <c r="BN125" s="78">
        <v>0</v>
      </c>
      <c r="BO125" s="78">
        <v>0</v>
      </c>
      <c r="BP125" s="78">
        <v>0</v>
      </c>
      <c r="BQ125" s="78">
        <v>0</v>
      </c>
      <c r="BR125" s="78">
        <v>0</v>
      </c>
      <c r="BS125" s="78">
        <v>0</v>
      </c>
      <c r="BT125" s="78">
        <v>0</v>
      </c>
      <c r="BU125" s="137">
        <v>0</v>
      </c>
      <c r="BW125" s="143" t="s">
        <v>784</v>
      </c>
      <c r="BX125" s="143" t="s">
        <v>768</v>
      </c>
      <c r="BY125" s="143" t="s">
        <v>728</v>
      </c>
      <c r="BZ125" s="143">
        <v>830</v>
      </c>
      <c r="CA125" s="78">
        <v>1</v>
      </c>
      <c r="CB125" s="78">
        <v>0</v>
      </c>
      <c r="CC125" s="78">
        <v>0</v>
      </c>
      <c r="CD125" s="78">
        <v>2</v>
      </c>
      <c r="CE125" s="78">
        <v>0</v>
      </c>
      <c r="CF125" s="78">
        <v>2</v>
      </c>
      <c r="CG125" s="78">
        <v>0</v>
      </c>
      <c r="CH125" s="78">
        <v>2</v>
      </c>
      <c r="CI125" s="78">
        <v>1</v>
      </c>
      <c r="CJ125" s="78">
        <v>3</v>
      </c>
      <c r="CK125" s="137">
        <v>0.73333329999999997</v>
      </c>
      <c r="CM125" s="143" t="s">
        <v>784</v>
      </c>
      <c r="CN125" s="143" t="s">
        <v>768</v>
      </c>
      <c r="CO125" s="143" t="s">
        <v>728</v>
      </c>
      <c r="CP125" s="143">
        <v>830</v>
      </c>
      <c r="CQ125" s="78">
        <v>0</v>
      </c>
      <c r="CR125" s="78">
        <v>0</v>
      </c>
      <c r="CS125" s="78">
        <v>16</v>
      </c>
      <c r="CT125" s="78">
        <v>4</v>
      </c>
      <c r="CU125" s="78">
        <v>0</v>
      </c>
      <c r="CV125" s="78">
        <v>8</v>
      </c>
      <c r="CW125" s="137">
        <v>0.53846159999999998</v>
      </c>
      <c r="CY125" s="143" t="s">
        <v>784</v>
      </c>
      <c r="CZ125" s="143" t="s">
        <v>768</v>
      </c>
      <c r="DA125" s="143" t="s">
        <v>728</v>
      </c>
      <c r="DB125" s="143">
        <v>830</v>
      </c>
      <c r="DC125" s="78">
        <v>42</v>
      </c>
      <c r="DD125" s="137">
        <v>0.2</v>
      </c>
      <c r="DE125" s="137">
        <v>9.3333299999999994E-2</v>
      </c>
      <c r="DG125" s="143" t="s">
        <v>784</v>
      </c>
      <c r="DH125" s="143" t="s">
        <v>768</v>
      </c>
      <c r="DI125" s="143" t="s">
        <v>728</v>
      </c>
      <c r="DJ125" s="143">
        <v>830</v>
      </c>
      <c r="DK125" s="78">
        <v>2</v>
      </c>
      <c r="DL125" s="78">
        <v>1</v>
      </c>
      <c r="DM125" s="78">
        <v>1</v>
      </c>
      <c r="DN125" s="78">
        <v>0</v>
      </c>
      <c r="DO125" s="78">
        <v>2</v>
      </c>
      <c r="DP125" s="78">
        <v>3</v>
      </c>
      <c r="DQ125" s="78">
        <v>7</v>
      </c>
      <c r="DR125" s="78">
        <v>0</v>
      </c>
      <c r="DS125" s="78">
        <v>1</v>
      </c>
      <c r="DT125" s="78">
        <v>2</v>
      </c>
      <c r="DU125" s="78">
        <v>0</v>
      </c>
      <c r="DV125" s="137">
        <v>0.65517239999999999</v>
      </c>
      <c r="DX125" s="143" t="s">
        <v>784</v>
      </c>
      <c r="DY125" s="143" t="s">
        <v>768</v>
      </c>
      <c r="DZ125" s="143" t="s">
        <v>728</v>
      </c>
      <c r="EA125" s="143">
        <v>830</v>
      </c>
      <c r="EB125" s="78">
        <v>0</v>
      </c>
      <c r="EC125" s="78">
        <v>0</v>
      </c>
      <c r="ED125" s="78">
        <v>0</v>
      </c>
      <c r="EE125" s="78">
        <v>0</v>
      </c>
      <c r="EF125" s="78">
        <v>1</v>
      </c>
      <c r="EG125" s="78">
        <v>0</v>
      </c>
      <c r="EH125" s="78">
        <v>2</v>
      </c>
      <c r="EI125" s="78">
        <v>1</v>
      </c>
      <c r="EJ125" s="78">
        <v>1</v>
      </c>
      <c r="EK125" s="78">
        <v>1</v>
      </c>
      <c r="EL125" s="78">
        <v>4</v>
      </c>
      <c r="EM125" s="78">
        <v>0</v>
      </c>
      <c r="EN125" s="78">
        <v>1</v>
      </c>
      <c r="EO125" s="137">
        <v>0.40740739999999998</v>
      </c>
      <c r="EQ125" s="143" t="s">
        <v>784</v>
      </c>
      <c r="ER125" s="143" t="s">
        <v>768</v>
      </c>
      <c r="ES125" s="143" t="s">
        <v>728</v>
      </c>
      <c r="ET125" s="143">
        <v>830</v>
      </c>
      <c r="EU125" s="78">
        <v>0</v>
      </c>
      <c r="EV125" s="78">
        <v>0</v>
      </c>
      <c r="EW125" s="78">
        <v>0</v>
      </c>
      <c r="EX125" s="78">
        <v>0</v>
      </c>
      <c r="EY125" s="78">
        <v>0.5</v>
      </c>
      <c r="EZ125" s="78">
        <v>3</v>
      </c>
      <c r="FA125" s="78">
        <v>2</v>
      </c>
      <c r="FB125" s="78">
        <v>0</v>
      </c>
      <c r="FC125" s="137">
        <v>0.42307689999999998</v>
      </c>
      <c r="FE125" s="137">
        <v>0.33988269999999998</v>
      </c>
    </row>
    <row r="126" spans="1:161" x14ac:dyDescent="0.25">
      <c r="A126" s="143" t="s">
        <v>784</v>
      </c>
      <c r="B126" s="143" t="s">
        <v>768</v>
      </c>
      <c r="C126" s="143" t="s">
        <v>728</v>
      </c>
      <c r="D126" s="143">
        <v>837</v>
      </c>
      <c r="E126" s="78">
        <v>0</v>
      </c>
      <c r="F126" s="78">
        <v>1.5</v>
      </c>
      <c r="G126" s="78">
        <v>0</v>
      </c>
      <c r="H126" s="78">
        <v>0</v>
      </c>
      <c r="I126" s="78">
        <v>1</v>
      </c>
      <c r="J126" s="78">
        <v>0</v>
      </c>
      <c r="K126" s="78">
        <v>1</v>
      </c>
      <c r="L126" s="78">
        <v>0</v>
      </c>
      <c r="M126" s="78">
        <v>0</v>
      </c>
      <c r="N126" s="137">
        <v>0.25</v>
      </c>
      <c r="P126" s="143" t="s">
        <v>784</v>
      </c>
      <c r="Q126" s="143" t="s">
        <v>768</v>
      </c>
      <c r="R126" s="143" t="s">
        <v>728</v>
      </c>
      <c r="S126" s="143">
        <v>837</v>
      </c>
      <c r="T126" s="78">
        <v>1</v>
      </c>
      <c r="U126" s="78">
        <v>0</v>
      </c>
      <c r="V126" s="78">
        <v>0</v>
      </c>
      <c r="W126" s="78">
        <v>0</v>
      </c>
      <c r="X126" s="78">
        <v>0</v>
      </c>
      <c r="Y126" s="78">
        <v>1</v>
      </c>
      <c r="Z126" s="78">
        <v>0</v>
      </c>
      <c r="AA126" s="78">
        <v>0</v>
      </c>
      <c r="AB126" s="78">
        <v>0</v>
      </c>
      <c r="AC126" s="78">
        <v>0</v>
      </c>
      <c r="AD126" s="137">
        <v>5.8823500000000001E-2</v>
      </c>
      <c r="AF126" s="143" t="s">
        <v>784</v>
      </c>
      <c r="AG126" s="143" t="s">
        <v>768</v>
      </c>
      <c r="AH126" s="143" t="s">
        <v>728</v>
      </c>
      <c r="AI126" s="143">
        <v>837</v>
      </c>
      <c r="AJ126" s="78">
        <v>0</v>
      </c>
      <c r="AK126" s="78">
        <v>0</v>
      </c>
      <c r="AL126" s="78">
        <v>0</v>
      </c>
      <c r="AM126" s="78">
        <v>0</v>
      </c>
      <c r="AN126" s="78">
        <v>1</v>
      </c>
      <c r="AO126" s="78">
        <v>2</v>
      </c>
      <c r="AP126" s="78">
        <v>1</v>
      </c>
      <c r="AQ126" s="78">
        <v>1</v>
      </c>
      <c r="AR126" s="78">
        <v>0</v>
      </c>
      <c r="AS126" s="78">
        <v>2</v>
      </c>
      <c r="AT126" s="78">
        <v>2</v>
      </c>
      <c r="AU126" s="78">
        <v>0</v>
      </c>
      <c r="AV126" s="78">
        <v>2</v>
      </c>
      <c r="AW126" s="78">
        <v>1</v>
      </c>
      <c r="AX126" s="78">
        <v>0</v>
      </c>
      <c r="AY126" s="78">
        <v>1</v>
      </c>
      <c r="AZ126" s="78">
        <v>0</v>
      </c>
      <c r="BA126" s="78">
        <v>0.5</v>
      </c>
      <c r="BB126" s="78">
        <v>0.5</v>
      </c>
      <c r="BC126" s="78">
        <v>0.5</v>
      </c>
      <c r="BD126" s="78">
        <v>1</v>
      </c>
      <c r="BE126" s="78">
        <v>0.5</v>
      </c>
      <c r="BF126" s="78">
        <v>1</v>
      </c>
      <c r="BG126" s="78">
        <v>6</v>
      </c>
      <c r="BH126" s="137">
        <v>0.52272730000000001</v>
      </c>
      <c r="BJ126" s="143" t="s">
        <v>784</v>
      </c>
      <c r="BK126" s="143" t="s">
        <v>768</v>
      </c>
      <c r="BL126" s="143" t="s">
        <v>728</v>
      </c>
      <c r="BM126" s="143">
        <v>837</v>
      </c>
      <c r="BN126" s="78">
        <v>0</v>
      </c>
      <c r="BO126" s="78">
        <v>4</v>
      </c>
      <c r="BP126" s="78">
        <v>0</v>
      </c>
      <c r="BQ126" s="78">
        <v>0</v>
      </c>
      <c r="BR126" s="78">
        <v>0</v>
      </c>
      <c r="BS126" s="78">
        <v>0</v>
      </c>
      <c r="BT126" s="78">
        <v>0</v>
      </c>
      <c r="BU126" s="137">
        <v>0.17391300000000001</v>
      </c>
      <c r="BW126" s="143" t="s">
        <v>784</v>
      </c>
      <c r="BX126" s="143" t="s">
        <v>768</v>
      </c>
      <c r="BY126" s="143" t="s">
        <v>728</v>
      </c>
      <c r="BZ126" s="143">
        <v>837</v>
      </c>
      <c r="CA126" s="78">
        <v>1</v>
      </c>
      <c r="CB126" s="78">
        <v>0</v>
      </c>
      <c r="CC126" s="78">
        <v>0</v>
      </c>
      <c r="CD126" s="78">
        <v>2</v>
      </c>
      <c r="CE126" s="78">
        <v>0</v>
      </c>
      <c r="CF126" s="78">
        <v>2</v>
      </c>
      <c r="CG126" s="78">
        <v>0</v>
      </c>
      <c r="CH126" s="78">
        <v>2</v>
      </c>
      <c r="CI126" s="78">
        <v>1</v>
      </c>
      <c r="CJ126" s="78">
        <v>0</v>
      </c>
      <c r="CK126" s="137">
        <v>0.53333339999999996</v>
      </c>
      <c r="CM126" s="143" t="s">
        <v>784</v>
      </c>
      <c r="CN126" s="143" t="s">
        <v>768</v>
      </c>
      <c r="CO126" s="143" t="s">
        <v>728</v>
      </c>
      <c r="CP126" s="143">
        <v>837</v>
      </c>
      <c r="CQ126" s="78">
        <v>8</v>
      </c>
      <c r="CR126" s="78">
        <v>0</v>
      </c>
      <c r="CS126" s="78">
        <v>0</v>
      </c>
      <c r="CT126" s="78">
        <v>4</v>
      </c>
      <c r="CU126" s="78">
        <v>0</v>
      </c>
      <c r="CV126" s="78">
        <v>8</v>
      </c>
      <c r="CW126" s="137">
        <v>0.3846154</v>
      </c>
      <c r="CY126" s="143" t="s">
        <v>784</v>
      </c>
      <c r="CZ126" s="143" t="s">
        <v>768</v>
      </c>
      <c r="DA126" s="143" t="s">
        <v>728</v>
      </c>
      <c r="DB126" s="143">
        <v>837</v>
      </c>
      <c r="DC126" s="78">
        <v>0</v>
      </c>
      <c r="DD126" s="137">
        <v>0</v>
      </c>
      <c r="DE126" s="137">
        <v>0</v>
      </c>
      <c r="DG126" s="143" t="s">
        <v>784</v>
      </c>
      <c r="DH126" s="143" t="s">
        <v>768</v>
      </c>
      <c r="DI126" s="143" t="s">
        <v>728</v>
      </c>
      <c r="DJ126" s="143">
        <v>837</v>
      </c>
      <c r="DK126" s="78">
        <v>2</v>
      </c>
      <c r="DL126" s="78">
        <v>1</v>
      </c>
      <c r="DM126" s="78">
        <v>1</v>
      </c>
      <c r="DN126" s="78">
        <v>4</v>
      </c>
      <c r="DO126" s="78">
        <v>2</v>
      </c>
      <c r="DP126" s="78">
        <v>3</v>
      </c>
      <c r="DQ126" s="78">
        <v>8</v>
      </c>
      <c r="DR126" s="78">
        <v>0</v>
      </c>
      <c r="DS126" s="78">
        <v>1</v>
      </c>
      <c r="DT126" s="78">
        <v>0</v>
      </c>
      <c r="DU126" s="78">
        <v>1</v>
      </c>
      <c r="DV126" s="137">
        <v>0.79310349999999996</v>
      </c>
      <c r="DX126" s="143" t="s">
        <v>784</v>
      </c>
      <c r="DY126" s="143" t="s">
        <v>768</v>
      </c>
      <c r="DZ126" s="143" t="s">
        <v>728</v>
      </c>
      <c r="EA126" s="143">
        <v>837</v>
      </c>
      <c r="EB126" s="78">
        <v>1</v>
      </c>
      <c r="EC126" s="78">
        <v>8</v>
      </c>
      <c r="ED126" s="78">
        <v>0</v>
      </c>
      <c r="EE126" s="78">
        <v>4</v>
      </c>
      <c r="EF126" s="78">
        <v>1</v>
      </c>
      <c r="EG126" s="78">
        <v>1</v>
      </c>
      <c r="EH126" s="78">
        <v>0</v>
      </c>
      <c r="EI126" s="78">
        <v>1</v>
      </c>
      <c r="EJ126" s="78">
        <v>1</v>
      </c>
      <c r="EK126" s="78">
        <v>1</v>
      </c>
      <c r="EL126" s="78">
        <v>4</v>
      </c>
      <c r="EM126" s="78">
        <v>0</v>
      </c>
      <c r="EN126" s="78">
        <v>1</v>
      </c>
      <c r="EO126" s="137">
        <v>0.8518519</v>
      </c>
      <c r="EQ126" s="143" t="s">
        <v>784</v>
      </c>
      <c r="ER126" s="143" t="s">
        <v>768</v>
      </c>
      <c r="ES126" s="143" t="s">
        <v>728</v>
      </c>
      <c r="ET126" s="143">
        <v>837</v>
      </c>
      <c r="EU126" s="78">
        <v>0</v>
      </c>
      <c r="EV126" s="78">
        <v>0</v>
      </c>
      <c r="EW126" s="78">
        <v>0</v>
      </c>
      <c r="EX126" s="78">
        <v>0</v>
      </c>
      <c r="EY126" s="78">
        <v>0.5</v>
      </c>
      <c r="EZ126" s="78">
        <v>3</v>
      </c>
      <c r="FA126" s="78">
        <v>2</v>
      </c>
      <c r="FB126" s="78">
        <v>1</v>
      </c>
      <c r="FC126" s="137">
        <v>0.5</v>
      </c>
      <c r="FE126" s="137">
        <v>0.33137830000000001</v>
      </c>
    </row>
    <row r="127" spans="1:161" hidden="1" x14ac:dyDescent="0.25">
      <c r="A127" s="143" t="s">
        <v>784</v>
      </c>
      <c r="B127" s="143" t="s">
        <v>768</v>
      </c>
      <c r="C127" s="143" t="s">
        <v>727</v>
      </c>
      <c r="D127" s="143">
        <v>840</v>
      </c>
      <c r="E127" s="78">
        <v>0</v>
      </c>
      <c r="F127" s="78">
        <v>2</v>
      </c>
      <c r="G127" s="78">
        <v>0</v>
      </c>
      <c r="H127" s="78">
        <v>0</v>
      </c>
      <c r="I127" s="78">
        <v>1</v>
      </c>
      <c r="J127" s="78">
        <v>0</v>
      </c>
      <c r="K127" s="78">
        <v>1</v>
      </c>
      <c r="L127" s="78">
        <v>0</v>
      </c>
      <c r="M127" s="78">
        <v>0</v>
      </c>
      <c r="N127" s="137">
        <v>0.28571429999999998</v>
      </c>
      <c r="P127" s="143" t="s">
        <v>784</v>
      </c>
      <c r="Q127" s="143" t="s">
        <v>768</v>
      </c>
      <c r="R127" s="143" t="s">
        <v>727</v>
      </c>
      <c r="S127" s="143">
        <v>840</v>
      </c>
      <c r="T127" s="78">
        <v>1</v>
      </c>
      <c r="U127" s="78">
        <v>0</v>
      </c>
      <c r="V127" s="78">
        <v>0</v>
      </c>
      <c r="W127" s="78">
        <v>0</v>
      </c>
      <c r="X127" s="78">
        <v>9</v>
      </c>
      <c r="Y127" s="78">
        <v>1</v>
      </c>
      <c r="Z127" s="78">
        <v>0</v>
      </c>
      <c r="AA127" s="78">
        <v>0</v>
      </c>
      <c r="AB127" s="78">
        <v>0</v>
      </c>
      <c r="AC127" s="78">
        <v>0</v>
      </c>
      <c r="AD127" s="137">
        <v>0.32352940000000002</v>
      </c>
      <c r="AF127" s="143" t="s">
        <v>784</v>
      </c>
      <c r="AG127" s="143" t="s">
        <v>768</v>
      </c>
      <c r="AH127" s="143" t="s">
        <v>727</v>
      </c>
      <c r="AI127" s="143">
        <v>840</v>
      </c>
      <c r="AJ127" s="78">
        <v>0</v>
      </c>
      <c r="AK127" s="78">
        <v>0</v>
      </c>
      <c r="AL127" s="78">
        <v>0</v>
      </c>
      <c r="AM127" s="78">
        <v>0</v>
      </c>
      <c r="AN127" s="78">
        <v>1</v>
      </c>
      <c r="AO127" s="78">
        <v>2</v>
      </c>
      <c r="AP127" s="78">
        <v>1</v>
      </c>
      <c r="AQ127" s="78">
        <v>1</v>
      </c>
      <c r="AR127" s="78">
        <v>0</v>
      </c>
      <c r="AS127" s="78">
        <v>2</v>
      </c>
      <c r="AT127" s="78">
        <v>2</v>
      </c>
      <c r="AU127" s="78">
        <v>1</v>
      </c>
      <c r="AV127" s="78">
        <v>2</v>
      </c>
      <c r="AW127" s="78">
        <v>1</v>
      </c>
      <c r="AX127" s="78">
        <v>0</v>
      </c>
      <c r="AY127" s="78">
        <v>1</v>
      </c>
      <c r="AZ127" s="78">
        <v>2</v>
      </c>
      <c r="BA127" s="78">
        <v>0.5</v>
      </c>
      <c r="BB127" s="78">
        <v>0.5</v>
      </c>
      <c r="BC127" s="78">
        <v>0.5</v>
      </c>
      <c r="BD127" s="78">
        <v>1</v>
      </c>
      <c r="BE127" s="78">
        <v>0.5</v>
      </c>
      <c r="BF127" s="78">
        <v>0</v>
      </c>
      <c r="BG127" s="78">
        <v>8</v>
      </c>
      <c r="BH127" s="137">
        <v>0.61363639999999997</v>
      </c>
      <c r="BJ127" s="143" t="s">
        <v>784</v>
      </c>
      <c r="BK127" s="143" t="s">
        <v>768</v>
      </c>
      <c r="BL127" s="143" t="s">
        <v>727</v>
      </c>
      <c r="BM127" s="143">
        <v>840</v>
      </c>
      <c r="BN127" s="78">
        <v>0</v>
      </c>
      <c r="BO127" s="78">
        <v>0</v>
      </c>
      <c r="BP127" s="78">
        <v>7</v>
      </c>
      <c r="BQ127" s="78">
        <v>0</v>
      </c>
      <c r="BR127" s="78">
        <v>0</v>
      </c>
      <c r="BS127" s="78">
        <v>0</v>
      </c>
      <c r="BT127" s="78">
        <v>0</v>
      </c>
      <c r="BU127" s="137">
        <v>0.3043478</v>
      </c>
      <c r="BW127" s="143" t="s">
        <v>784</v>
      </c>
      <c r="BX127" s="143" t="s">
        <v>768</v>
      </c>
      <c r="BY127" s="143" t="s">
        <v>727</v>
      </c>
      <c r="BZ127" s="143">
        <v>840</v>
      </c>
      <c r="CA127" s="78">
        <v>1</v>
      </c>
      <c r="CB127" s="78">
        <v>0</v>
      </c>
      <c r="CC127" s="78">
        <v>0</v>
      </c>
      <c r="CD127" s="78">
        <v>2</v>
      </c>
      <c r="CE127" s="78">
        <v>0</v>
      </c>
      <c r="CF127" s="78">
        <v>2</v>
      </c>
      <c r="CG127" s="78">
        <v>1</v>
      </c>
      <c r="CH127" s="78">
        <v>2</v>
      </c>
      <c r="CI127" s="78">
        <v>1</v>
      </c>
      <c r="CJ127" s="78">
        <v>0</v>
      </c>
      <c r="CK127" s="137">
        <v>0.6</v>
      </c>
      <c r="CM127" s="143" t="s">
        <v>784</v>
      </c>
      <c r="CN127" s="143" t="s">
        <v>768</v>
      </c>
      <c r="CO127" s="143" t="s">
        <v>727</v>
      </c>
      <c r="CP127" s="143">
        <v>840</v>
      </c>
      <c r="CQ127" s="78">
        <v>8</v>
      </c>
      <c r="CR127" s="78">
        <v>0</v>
      </c>
      <c r="CS127" s="78">
        <v>20</v>
      </c>
      <c r="CT127" s="78">
        <v>4</v>
      </c>
      <c r="CU127" s="78">
        <v>0</v>
      </c>
      <c r="CV127" s="78">
        <v>8</v>
      </c>
      <c r="CW127" s="137">
        <v>0.76923079999999999</v>
      </c>
      <c r="CY127" s="143" t="s">
        <v>784</v>
      </c>
      <c r="CZ127" s="143" t="s">
        <v>768</v>
      </c>
      <c r="DA127" s="143" t="s">
        <v>727</v>
      </c>
      <c r="DB127" s="143">
        <v>840</v>
      </c>
      <c r="DC127" s="78">
        <v>42</v>
      </c>
      <c r="DD127" s="137">
        <v>0</v>
      </c>
      <c r="DE127" s="137">
        <v>0</v>
      </c>
      <c r="DG127" s="143" t="s">
        <v>784</v>
      </c>
      <c r="DH127" s="143" t="s">
        <v>768</v>
      </c>
      <c r="DI127" s="143" t="s">
        <v>727</v>
      </c>
      <c r="DJ127" s="143">
        <v>840</v>
      </c>
      <c r="DK127" s="78">
        <v>0</v>
      </c>
      <c r="DL127" s="78">
        <v>1</v>
      </c>
      <c r="DM127" s="78">
        <v>1</v>
      </c>
      <c r="DN127" s="78">
        <v>2</v>
      </c>
      <c r="DO127" s="78">
        <v>2</v>
      </c>
      <c r="DP127" s="78">
        <v>3</v>
      </c>
      <c r="DQ127" s="78">
        <v>8</v>
      </c>
      <c r="DR127" s="78">
        <v>1</v>
      </c>
      <c r="DS127" s="78">
        <v>0</v>
      </c>
      <c r="DT127" s="78">
        <v>2</v>
      </c>
      <c r="DU127" s="78">
        <v>1</v>
      </c>
      <c r="DV127" s="137">
        <v>0.7241379</v>
      </c>
      <c r="DX127" s="143" t="s">
        <v>784</v>
      </c>
      <c r="DY127" s="143" t="s">
        <v>768</v>
      </c>
      <c r="DZ127" s="143" t="s">
        <v>727</v>
      </c>
      <c r="EA127" s="143">
        <v>840</v>
      </c>
      <c r="EB127" s="78">
        <v>1</v>
      </c>
      <c r="EC127" s="78">
        <v>8</v>
      </c>
      <c r="ED127" s="78">
        <v>0</v>
      </c>
      <c r="EE127" s="78">
        <v>4</v>
      </c>
      <c r="EF127" s="78">
        <v>1</v>
      </c>
      <c r="EG127" s="78">
        <v>1</v>
      </c>
      <c r="EH127" s="78">
        <v>0</v>
      </c>
      <c r="EI127" s="78">
        <v>1</v>
      </c>
      <c r="EJ127" s="78">
        <v>1</v>
      </c>
      <c r="EK127" s="78">
        <v>1</v>
      </c>
      <c r="EL127" s="78">
        <v>4</v>
      </c>
      <c r="EM127" s="78">
        <v>0</v>
      </c>
      <c r="EN127" s="78">
        <v>1</v>
      </c>
      <c r="EO127" s="137">
        <v>0.8518519</v>
      </c>
      <c r="EQ127" s="143" t="s">
        <v>784</v>
      </c>
      <c r="ER127" s="143" t="s">
        <v>768</v>
      </c>
      <c r="ES127" s="143" t="s">
        <v>727</v>
      </c>
      <c r="ET127" s="143">
        <v>840</v>
      </c>
      <c r="EU127" s="78">
        <v>0</v>
      </c>
      <c r="EV127" s="78">
        <v>0</v>
      </c>
      <c r="EW127" s="78">
        <v>0</v>
      </c>
      <c r="EX127" s="78">
        <v>0</v>
      </c>
      <c r="EY127" s="78">
        <v>0</v>
      </c>
      <c r="EZ127" s="78">
        <v>0</v>
      </c>
      <c r="FA127" s="78">
        <v>2</v>
      </c>
      <c r="FB127" s="78">
        <v>0</v>
      </c>
      <c r="FC127" s="137">
        <v>0.15384619999999999</v>
      </c>
      <c r="FE127" s="137">
        <v>0.42228739999999998</v>
      </c>
    </row>
    <row r="128" spans="1:161" hidden="1" x14ac:dyDescent="0.25">
      <c r="A128" s="143" t="s">
        <v>784</v>
      </c>
      <c r="B128" s="143" t="s">
        <v>768</v>
      </c>
      <c r="C128" s="143" t="s">
        <v>727</v>
      </c>
      <c r="D128" s="143">
        <v>841</v>
      </c>
      <c r="E128" s="78">
        <v>0</v>
      </c>
      <c r="F128" s="78">
        <v>2</v>
      </c>
      <c r="G128" s="78">
        <v>1</v>
      </c>
      <c r="H128" s="78">
        <v>2</v>
      </c>
      <c r="I128" s="78">
        <v>1</v>
      </c>
      <c r="J128" s="78">
        <v>0</v>
      </c>
      <c r="K128" s="78">
        <v>1</v>
      </c>
      <c r="L128" s="78">
        <v>0</v>
      </c>
      <c r="M128" s="78">
        <v>2</v>
      </c>
      <c r="N128" s="137">
        <v>0.64285709999999996</v>
      </c>
      <c r="P128" s="143" t="s">
        <v>784</v>
      </c>
      <c r="Q128" s="143" t="s">
        <v>768</v>
      </c>
      <c r="R128" s="143" t="s">
        <v>727</v>
      </c>
      <c r="S128" s="143">
        <v>841</v>
      </c>
      <c r="T128" s="78">
        <v>1</v>
      </c>
      <c r="U128" s="78">
        <v>0</v>
      </c>
      <c r="V128" s="78">
        <v>0</v>
      </c>
      <c r="W128" s="78">
        <v>0</v>
      </c>
      <c r="X128" s="78">
        <v>0</v>
      </c>
      <c r="Y128" s="78">
        <v>1</v>
      </c>
      <c r="Z128" s="78">
        <v>0</v>
      </c>
      <c r="AA128" s="78">
        <v>0</v>
      </c>
      <c r="AB128" s="78">
        <v>0</v>
      </c>
      <c r="AC128" s="78">
        <v>0</v>
      </c>
      <c r="AD128" s="137">
        <v>5.8823500000000001E-2</v>
      </c>
      <c r="AF128" s="143" t="s">
        <v>784</v>
      </c>
      <c r="AG128" s="143" t="s">
        <v>768</v>
      </c>
      <c r="AH128" s="143" t="s">
        <v>727</v>
      </c>
      <c r="AI128" s="143">
        <v>841</v>
      </c>
      <c r="AJ128" s="78">
        <v>0</v>
      </c>
      <c r="AK128" s="78">
        <v>0</v>
      </c>
      <c r="AL128" s="78">
        <v>1</v>
      </c>
      <c r="AM128" s="78">
        <v>1</v>
      </c>
      <c r="AN128" s="78">
        <v>1</v>
      </c>
      <c r="AO128" s="78">
        <v>2</v>
      </c>
      <c r="AP128" s="78">
        <v>1</v>
      </c>
      <c r="AQ128" s="78">
        <v>1</v>
      </c>
      <c r="AR128" s="78">
        <v>2</v>
      </c>
      <c r="AS128" s="78">
        <v>2</v>
      </c>
      <c r="AT128" s="78">
        <v>2</v>
      </c>
      <c r="AU128" s="78">
        <v>0</v>
      </c>
      <c r="AV128" s="78">
        <v>2</v>
      </c>
      <c r="AW128" s="78">
        <v>0</v>
      </c>
      <c r="AX128" s="78">
        <v>0</v>
      </c>
      <c r="AY128" s="78">
        <v>1</v>
      </c>
      <c r="AZ128" s="78">
        <v>2</v>
      </c>
      <c r="BA128" s="78">
        <v>0.5</v>
      </c>
      <c r="BB128" s="78">
        <v>0.5</v>
      </c>
      <c r="BC128" s="78">
        <v>0.5</v>
      </c>
      <c r="BD128" s="78">
        <v>1</v>
      </c>
      <c r="BE128" s="78">
        <v>0.5</v>
      </c>
      <c r="BF128" s="78">
        <v>0</v>
      </c>
      <c r="BG128" s="78">
        <v>2</v>
      </c>
      <c r="BH128" s="137">
        <v>0.52272730000000001</v>
      </c>
      <c r="BJ128" s="143" t="s">
        <v>784</v>
      </c>
      <c r="BK128" s="143" t="s">
        <v>768</v>
      </c>
      <c r="BL128" s="143" t="s">
        <v>727</v>
      </c>
      <c r="BM128" s="143">
        <v>841</v>
      </c>
      <c r="BN128" s="78">
        <v>1</v>
      </c>
      <c r="BO128" s="78">
        <v>4</v>
      </c>
      <c r="BP128" s="78">
        <v>7</v>
      </c>
      <c r="BQ128" s="78">
        <v>0</v>
      </c>
      <c r="BR128" s="78">
        <v>0</v>
      </c>
      <c r="BS128" s="78">
        <v>0</v>
      </c>
      <c r="BT128" s="78">
        <v>0</v>
      </c>
      <c r="BU128" s="137">
        <v>0.52173910000000001</v>
      </c>
      <c r="BW128" s="143" t="s">
        <v>784</v>
      </c>
      <c r="BX128" s="143" t="s">
        <v>768</v>
      </c>
      <c r="BY128" s="143" t="s">
        <v>727</v>
      </c>
      <c r="BZ128" s="143">
        <v>841</v>
      </c>
      <c r="CA128" s="78">
        <v>1</v>
      </c>
      <c r="CB128" s="78">
        <v>0</v>
      </c>
      <c r="CC128" s="78">
        <v>1</v>
      </c>
      <c r="CD128" s="78">
        <v>2</v>
      </c>
      <c r="CE128" s="78">
        <v>1</v>
      </c>
      <c r="CF128" s="78">
        <v>2</v>
      </c>
      <c r="CG128" s="78">
        <v>1</v>
      </c>
      <c r="CH128" s="78">
        <v>2</v>
      </c>
      <c r="CI128" s="78">
        <v>1</v>
      </c>
      <c r="CJ128" s="78">
        <v>3</v>
      </c>
      <c r="CK128" s="137">
        <v>0.93333330000000003</v>
      </c>
      <c r="CM128" s="143" t="s">
        <v>784</v>
      </c>
      <c r="CN128" s="143" t="s">
        <v>768</v>
      </c>
      <c r="CO128" s="143" t="s">
        <v>727</v>
      </c>
      <c r="CP128" s="143">
        <v>841</v>
      </c>
      <c r="CQ128" s="78">
        <v>8</v>
      </c>
      <c r="CR128" s="78">
        <v>6</v>
      </c>
      <c r="CS128" s="78">
        <v>20</v>
      </c>
      <c r="CT128" s="78">
        <v>4</v>
      </c>
      <c r="CU128" s="78">
        <v>2</v>
      </c>
      <c r="CV128" s="78">
        <v>8</v>
      </c>
      <c r="CW128" s="137">
        <v>0.92307689999999998</v>
      </c>
      <c r="CY128" s="143" t="s">
        <v>784</v>
      </c>
      <c r="CZ128" s="143" t="s">
        <v>768</v>
      </c>
      <c r="DA128" s="143" t="s">
        <v>727</v>
      </c>
      <c r="DB128" s="143">
        <v>841</v>
      </c>
      <c r="DC128" s="78">
        <v>64</v>
      </c>
      <c r="DD128" s="137">
        <v>0.4</v>
      </c>
      <c r="DE128" s="137">
        <v>0.28444449999999999</v>
      </c>
      <c r="DG128" s="143" t="s">
        <v>784</v>
      </c>
      <c r="DH128" s="143" t="s">
        <v>768</v>
      </c>
      <c r="DI128" s="143" t="s">
        <v>727</v>
      </c>
      <c r="DJ128" s="143">
        <v>841</v>
      </c>
      <c r="DK128" s="78">
        <v>0</v>
      </c>
      <c r="DL128" s="78">
        <v>1</v>
      </c>
      <c r="DM128" s="78">
        <v>0</v>
      </c>
      <c r="DN128" s="78">
        <v>7</v>
      </c>
      <c r="DO128" s="78">
        <v>2</v>
      </c>
      <c r="DP128" s="78">
        <v>3</v>
      </c>
      <c r="DQ128" s="78">
        <v>8</v>
      </c>
      <c r="DR128" s="78">
        <v>1</v>
      </c>
      <c r="DS128" s="78">
        <v>1</v>
      </c>
      <c r="DT128" s="78">
        <v>2</v>
      </c>
      <c r="DU128" s="78">
        <v>1</v>
      </c>
      <c r="DV128" s="137">
        <v>0.89655169999999995</v>
      </c>
      <c r="DX128" s="143" t="s">
        <v>784</v>
      </c>
      <c r="DY128" s="143" t="s">
        <v>768</v>
      </c>
      <c r="DZ128" s="143" t="s">
        <v>727</v>
      </c>
      <c r="EA128" s="143">
        <v>841</v>
      </c>
      <c r="EB128" s="78">
        <v>1</v>
      </c>
      <c r="EC128" s="78">
        <v>8</v>
      </c>
      <c r="ED128" s="78">
        <v>1</v>
      </c>
      <c r="EE128" s="78">
        <v>4</v>
      </c>
      <c r="EF128" s="78">
        <v>1</v>
      </c>
      <c r="EG128" s="78">
        <v>1</v>
      </c>
      <c r="EH128" s="78">
        <v>0</v>
      </c>
      <c r="EI128" s="78">
        <v>1</v>
      </c>
      <c r="EJ128" s="78">
        <v>1</v>
      </c>
      <c r="EK128" s="78">
        <v>1</v>
      </c>
      <c r="EL128" s="78">
        <v>4</v>
      </c>
      <c r="EM128" s="78">
        <v>0</v>
      </c>
      <c r="EN128" s="78">
        <v>1</v>
      </c>
      <c r="EO128" s="137">
        <v>0.88888889999999998</v>
      </c>
      <c r="EQ128" s="143" t="s">
        <v>784</v>
      </c>
      <c r="ER128" s="143" t="s">
        <v>768</v>
      </c>
      <c r="ES128" s="143" t="s">
        <v>727</v>
      </c>
      <c r="ET128" s="143">
        <v>841</v>
      </c>
      <c r="EU128" s="78">
        <v>0</v>
      </c>
      <c r="EV128" s="78">
        <v>0</v>
      </c>
      <c r="EW128" s="78">
        <v>0</v>
      </c>
      <c r="EX128" s="78">
        <v>0</v>
      </c>
      <c r="EY128" s="78">
        <v>0.5</v>
      </c>
      <c r="EZ128" s="78">
        <v>0</v>
      </c>
      <c r="FA128" s="78">
        <v>2</v>
      </c>
      <c r="FB128" s="78">
        <v>1</v>
      </c>
      <c r="FC128" s="137">
        <v>0.26923079999999999</v>
      </c>
      <c r="FE128" s="137">
        <v>0.54868039999999996</v>
      </c>
    </row>
    <row r="129" spans="1:161" x14ac:dyDescent="0.25">
      <c r="A129" s="143" t="s">
        <v>784</v>
      </c>
      <c r="B129" s="143" t="s">
        <v>768</v>
      </c>
      <c r="C129" s="143" t="s">
        <v>728</v>
      </c>
      <c r="D129" s="143">
        <v>1629</v>
      </c>
      <c r="E129" s="78">
        <v>0</v>
      </c>
      <c r="F129" s="78">
        <v>1.5</v>
      </c>
      <c r="G129" s="78">
        <v>0</v>
      </c>
      <c r="H129" s="78">
        <v>0</v>
      </c>
      <c r="I129" s="78">
        <v>1</v>
      </c>
      <c r="J129" s="78">
        <v>0</v>
      </c>
      <c r="K129" s="78">
        <v>0</v>
      </c>
      <c r="L129" s="78">
        <v>0</v>
      </c>
      <c r="M129" s="78">
        <v>0</v>
      </c>
      <c r="N129" s="137">
        <v>0.17857139999999999</v>
      </c>
      <c r="P129" s="143" t="s">
        <v>784</v>
      </c>
      <c r="Q129" s="143" t="s">
        <v>768</v>
      </c>
      <c r="R129" s="143" t="s">
        <v>728</v>
      </c>
      <c r="S129" s="143">
        <v>1629</v>
      </c>
      <c r="T129" s="78">
        <v>0</v>
      </c>
      <c r="U129" s="78">
        <v>0</v>
      </c>
      <c r="V129" s="78">
        <v>0</v>
      </c>
      <c r="W129" s="78">
        <v>0</v>
      </c>
      <c r="X129" s="78">
        <v>0</v>
      </c>
      <c r="Y129" s="78">
        <v>0</v>
      </c>
      <c r="Z129" s="78">
        <v>0</v>
      </c>
      <c r="AA129" s="78">
        <v>0</v>
      </c>
      <c r="AB129" s="78">
        <v>0</v>
      </c>
      <c r="AC129" s="78">
        <v>0</v>
      </c>
      <c r="AD129" s="137">
        <v>0</v>
      </c>
      <c r="AF129" s="143" t="s">
        <v>784</v>
      </c>
      <c r="AG129" s="143" t="s">
        <v>768</v>
      </c>
      <c r="AH129" s="143" t="s">
        <v>728</v>
      </c>
      <c r="AI129" s="143">
        <v>1629</v>
      </c>
      <c r="AJ129" s="78">
        <v>0</v>
      </c>
      <c r="AK129" s="78">
        <v>0</v>
      </c>
      <c r="AL129" s="78">
        <v>1</v>
      </c>
      <c r="AM129" s="78">
        <v>0</v>
      </c>
      <c r="AN129" s="78">
        <v>0</v>
      </c>
      <c r="AO129" s="78">
        <v>2</v>
      </c>
      <c r="AP129" s="78">
        <v>1</v>
      </c>
      <c r="AQ129" s="78">
        <v>1</v>
      </c>
      <c r="AR129" s="78">
        <v>0</v>
      </c>
      <c r="AS129" s="78">
        <v>2</v>
      </c>
      <c r="AT129" s="78">
        <v>2</v>
      </c>
      <c r="AU129" s="78">
        <v>1</v>
      </c>
      <c r="AV129" s="78">
        <v>2</v>
      </c>
      <c r="AW129" s="78">
        <v>1</v>
      </c>
      <c r="AX129" s="78">
        <v>0</v>
      </c>
      <c r="AY129" s="78">
        <v>1</v>
      </c>
      <c r="AZ129" s="78">
        <v>2</v>
      </c>
      <c r="BA129" s="78">
        <v>0.5</v>
      </c>
      <c r="BB129" s="78">
        <v>0.5</v>
      </c>
      <c r="BC129" s="78">
        <v>0.5</v>
      </c>
      <c r="BD129" s="78">
        <v>1</v>
      </c>
      <c r="BE129" s="78">
        <v>0.5</v>
      </c>
      <c r="BF129" s="78">
        <v>1</v>
      </c>
      <c r="BG129" s="78">
        <v>8</v>
      </c>
      <c r="BH129" s="137">
        <v>0.63636360000000003</v>
      </c>
      <c r="BJ129" s="143" t="s">
        <v>784</v>
      </c>
      <c r="BK129" s="143" t="s">
        <v>768</v>
      </c>
      <c r="BL129" s="143" t="s">
        <v>728</v>
      </c>
      <c r="BM129" s="143">
        <v>1629</v>
      </c>
      <c r="BN129" s="78">
        <v>0</v>
      </c>
      <c r="BO129" s="78">
        <v>0</v>
      </c>
      <c r="BP129" s="78">
        <v>0</v>
      </c>
      <c r="BQ129" s="78">
        <v>0</v>
      </c>
      <c r="BR129" s="78">
        <v>0</v>
      </c>
      <c r="BS129" s="78">
        <v>0</v>
      </c>
      <c r="BT129" s="78">
        <v>0</v>
      </c>
      <c r="BU129" s="137">
        <v>0</v>
      </c>
      <c r="BW129" s="143" t="s">
        <v>784</v>
      </c>
      <c r="BX129" s="143" t="s">
        <v>768</v>
      </c>
      <c r="BY129" s="143" t="s">
        <v>728</v>
      </c>
      <c r="BZ129" s="143">
        <v>1629</v>
      </c>
      <c r="CA129" s="78">
        <v>0</v>
      </c>
      <c r="CB129" s="78">
        <v>0</v>
      </c>
      <c r="CC129" s="78">
        <v>0</v>
      </c>
      <c r="CD129" s="78">
        <v>0</v>
      </c>
      <c r="CE129" s="78">
        <v>0</v>
      </c>
      <c r="CF129" s="78">
        <v>0</v>
      </c>
      <c r="CG129" s="78">
        <v>0</v>
      </c>
      <c r="CH129" s="78">
        <v>0</v>
      </c>
      <c r="CI129" s="78">
        <v>0</v>
      </c>
      <c r="CJ129" s="78">
        <v>0</v>
      </c>
      <c r="CK129" s="137">
        <v>0</v>
      </c>
      <c r="CM129" s="143" t="s">
        <v>784</v>
      </c>
      <c r="CN129" s="143" t="s">
        <v>768</v>
      </c>
      <c r="CO129" s="143" t="s">
        <v>728</v>
      </c>
      <c r="CP129" s="143">
        <v>1629</v>
      </c>
      <c r="CQ129" s="78">
        <v>0</v>
      </c>
      <c r="CR129" s="78">
        <v>0</v>
      </c>
      <c r="CS129" s="78">
        <v>16</v>
      </c>
      <c r="CT129" s="78">
        <v>0</v>
      </c>
      <c r="CU129" s="78">
        <v>0</v>
      </c>
      <c r="CV129" s="78">
        <v>8</v>
      </c>
      <c r="CW129" s="137">
        <v>0.46153850000000002</v>
      </c>
      <c r="CY129" s="143" t="s">
        <v>784</v>
      </c>
      <c r="CZ129" s="143" t="s">
        <v>768</v>
      </c>
      <c r="DA129" s="143" t="s">
        <v>728</v>
      </c>
      <c r="DB129" s="143">
        <v>1629</v>
      </c>
      <c r="DC129" s="78">
        <v>34</v>
      </c>
      <c r="DD129" s="137">
        <v>0.2</v>
      </c>
      <c r="DE129" s="137">
        <v>7.5555600000000001E-2</v>
      </c>
      <c r="DG129" s="143" t="s">
        <v>784</v>
      </c>
      <c r="DH129" s="143" t="s">
        <v>768</v>
      </c>
      <c r="DI129" s="143" t="s">
        <v>728</v>
      </c>
      <c r="DJ129" s="143">
        <v>1629</v>
      </c>
      <c r="DK129" s="78">
        <v>0</v>
      </c>
      <c r="DL129" s="78">
        <v>0</v>
      </c>
      <c r="DM129" s="78">
        <v>0</v>
      </c>
      <c r="DN129" s="78">
        <v>0</v>
      </c>
      <c r="DO129" s="78">
        <v>2</v>
      </c>
      <c r="DP129" s="78">
        <v>3</v>
      </c>
      <c r="DQ129" s="78">
        <v>2</v>
      </c>
      <c r="DR129" s="78">
        <v>0</v>
      </c>
      <c r="DS129" s="78">
        <v>0</v>
      </c>
      <c r="DT129" s="78">
        <v>0</v>
      </c>
      <c r="DU129" s="78">
        <v>0</v>
      </c>
      <c r="DV129" s="137">
        <v>0.24137929999999999</v>
      </c>
      <c r="DX129" s="143" t="s">
        <v>784</v>
      </c>
      <c r="DY129" s="143" t="s">
        <v>768</v>
      </c>
      <c r="DZ129" s="143" t="s">
        <v>728</v>
      </c>
      <c r="EA129" s="143">
        <v>1629</v>
      </c>
      <c r="EB129" s="78">
        <v>1</v>
      </c>
      <c r="EC129" s="78">
        <v>8</v>
      </c>
      <c r="ED129" s="78">
        <v>0</v>
      </c>
      <c r="EE129" s="78">
        <v>4</v>
      </c>
      <c r="EF129" s="78">
        <v>1</v>
      </c>
      <c r="EG129" s="78">
        <v>1</v>
      </c>
      <c r="EH129" s="78">
        <v>0</v>
      </c>
      <c r="EI129" s="78">
        <v>1</v>
      </c>
      <c r="EJ129" s="78">
        <v>1</v>
      </c>
      <c r="EK129" s="78">
        <v>1</v>
      </c>
      <c r="EL129" s="78">
        <v>4</v>
      </c>
      <c r="EM129" s="78">
        <v>0</v>
      </c>
      <c r="EN129" s="78">
        <v>0</v>
      </c>
      <c r="EO129" s="137">
        <v>0.81481479999999995</v>
      </c>
      <c r="EQ129" s="143" t="s">
        <v>784</v>
      </c>
      <c r="ER129" s="143" t="s">
        <v>768</v>
      </c>
      <c r="ES129" s="143" t="s">
        <v>728</v>
      </c>
      <c r="ET129" s="143">
        <v>1629</v>
      </c>
      <c r="EU129" s="78">
        <v>0</v>
      </c>
      <c r="EV129" s="78">
        <v>0</v>
      </c>
      <c r="EW129" s="78">
        <v>0</v>
      </c>
      <c r="EX129" s="78">
        <v>0</v>
      </c>
      <c r="EY129" s="78">
        <v>0</v>
      </c>
      <c r="EZ129" s="78">
        <v>3</v>
      </c>
      <c r="FA129" s="78">
        <v>2</v>
      </c>
      <c r="FB129" s="78">
        <v>0</v>
      </c>
      <c r="FC129" s="137">
        <v>0.3846154</v>
      </c>
      <c r="FE129" s="137">
        <v>0.2794721</v>
      </c>
    </row>
    <row r="130" spans="1:161" hidden="1" x14ac:dyDescent="0.25">
      <c r="A130" s="143" t="s">
        <v>785</v>
      </c>
      <c r="B130" s="143" t="s">
        <v>772</v>
      </c>
      <c r="C130" s="143" t="s">
        <v>729</v>
      </c>
      <c r="D130" s="143">
        <v>282</v>
      </c>
      <c r="E130" s="78">
        <v>0.5</v>
      </c>
      <c r="F130" s="78">
        <v>2.5</v>
      </c>
      <c r="G130" s="78">
        <v>0</v>
      </c>
      <c r="H130" s="78">
        <v>0</v>
      </c>
      <c r="I130" s="78">
        <v>1</v>
      </c>
      <c r="J130" s="78">
        <v>0</v>
      </c>
      <c r="K130" s="78">
        <v>1</v>
      </c>
      <c r="L130" s="78">
        <v>1</v>
      </c>
      <c r="M130" s="78">
        <v>2</v>
      </c>
      <c r="N130" s="137">
        <v>0.57142859999999995</v>
      </c>
      <c r="P130" s="143" t="s">
        <v>785</v>
      </c>
      <c r="Q130" s="143" t="s">
        <v>772</v>
      </c>
      <c r="R130" s="143" t="s">
        <v>729</v>
      </c>
      <c r="S130" s="143">
        <v>282</v>
      </c>
      <c r="T130" s="78">
        <v>1</v>
      </c>
      <c r="U130" s="78">
        <v>1</v>
      </c>
      <c r="V130" s="78">
        <v>0.5</v>
      </c>
      <c r="W130" s="78">
        <v>0</v>
      </c>
      <c r="X130" s="78">
        <v>6</v>
      </c>
      <c r="Y130" s="78">
        <v>1</v>
      </c>
      <c r="Z130" s="78">
        <v>3</v>
      </c>
      <c r="AA130" s="78">
        <v>2</v>
      </c>
      <c r="AB130" s="78">
        <v>0</v>
      </c>
      <c r="AC130" s="78">
        <v>3</v>
      </c>
      <c r="AD130" s="137">
        <v>0.51470590000000005</v>
      </c>
      <c r="AF130" s="143" t="s">
        <v>785</v>
      </c>
      <c r="AG130" s="143" t="s">
        <v>772</v>
      </c>
      <c r="AH130" s="143" t="s">
        <v>729</v>
      </c>
      <c r="AI130" s="143">
        <v>282</v>
      </c>
      <c r="AJ130" s="78">
        <v>0</v>
      </c>
      <c r="AK130" s="78">
        <v>0</v>
      </c>
      <c r="AL130" s="78">
        <v>0</v>
      </c>
      <c r="AM130" s="78">
        <v>0</v>
      </c>
      <c r="AN130" s="78">
        <v>1</v>
      </c>
      <c r="AO130" s="78">
        <v>2</v>
      </c>
      <c r="AP130" s="78">
        <v>1</v>
      </c>
      <c r="AQ130" s="78">
        <v>0</v>
      </c>
      <c r="AR130" s="78">
        <v>2</v>
      </c>
      <c r="AS130" s="78">
        <v>2</v>
      </c>
      <c r="AT130" s="78">
        <v>2</v>
      </c>
      <c r="AU130" s="78">
        <v>0</v>
      </c>
      <c r="AV130" s="78">
        <v>2</v>
      </c>
      <c r="AW130" s="78">
        <v>0</v>
      </c>
      <c r="AX130" s="78">
        <v>0</v>
      </c>
      <c r="AY130" s="78">
        <v>1</v>
      </c>
      <c r="AZ130" s="78">
        <v>2</v>
      </c>
      <c r="BA130" s="78">
        <v>0.5</v>
      </c>
      <c r="BB130" s="78">
        <v>0.5</v>
      </c>
      <c r="BC130" s="78">
        <v>0.5</v>
      </c>
      <c r="BD130" s="78">
        <v>1</v>
      </c>
      <c r="BE130" s="78">
        <v>0.5</v>
      </c>
      <c r="BF130" s="78">
        <v>0</v>
      </c>
      <c r="BG130" s="78">
        <v>8</v>
      </c>
      <c r="BH130" s="137">
        <v>0.59090909999999996</v>
      </c>
      <c r="BJ130" s="143" t="s">
        <v>785</v>
      </c>
      <c r="BK130" s="143" t="s">
        <v>772</v>
      </c>
      <c r="BL130" s="143" t="s">
        <v>729</v>
      </c>
      <c r="BM130" s="143">
        <v>282</v>
      </c>
      <c r="BN130" s="78">
        <v>0</v>
      </c>
      <c r="BO130" s="78">
        <v>4</v>
      </c>
      <c r="BP130" s="78">
        <v>0</v>
      </c>
      <c r="BQ130" s="78">
        <v>0</v>
      </c>
      <c r="BR130" s="78">
        <v>0</v>
      </c>
      <c r="BS130" s="78">
        <v>0</v>
      </c>
      <c r="BT130" s="78">
        <v>2</v>
      </c>
      <c r="BU130" s="137">
        <v>0.26086959999999998</v>
      </c>
      <c r="BW130" s="143" t="s">
        <v>785</v>
      </c>
      <c r="BX130" s="143" t="s">
        <v>772</v>
      </c>
      <c r="BY130" s="143" t="s">
        <v>729</v>
      </c>
      <c r="BZ130" s="143">
        <v>282</v>
      </c>
      <c r="CA130" s="78">
        <v>1</v>
      </c>
      <c r="CB130" s="78">
        <v>1</v>
      </c>
      <c r="CC130" s="78">
        <v>1</v>
      </c>
      <c r="CD130" s="78">
        <v>2</v>
      </c>
      <c r="CE130" s="78">
        <v>0</v>
      </c>
      <c r="CF130" s="78">
        <v>2</v>
      </c>
      <c r="CG130" s="78">
        <v>1</v>
      </c>
      <c r="CH130" s="78">
        <v>2</v>
      </c>
      <c r="CI130" s="78">
        <v>1</v>
      </c>
      <c r="CJ130" s="78">
        <v>0</v>
      </c>
      <c r="CK130" s="137">
        <v>0.73333329999999997</v>
      </c>
      <c r="CM130" s="143" t="s">
        <v>785</v>
      </c>
      <c r="CN130" s="143" t="s">
        <v>772</v>
      </c>
      <c r="CO130" s="143" t="s">
        <v>729</v>
      </c>
      <c r="CP130" s="143">
        <v>282</v>
      </c>
      <c r="CQ130" s="78">
        <v>8</v>
      </c>
      <c r="CR130" s="78">
        <v>0</v>
      </c>
      <c r="CS130" s="78">
        <v>16</v>
      </c>
      <c r="CT130" s="78">
        <v>0</v>
      </c>
      <c r="CU130" s="78">
        <v>0</v>
      </c>
      <c r="CV130" s="78">
        <v>4</v>
      </c>
      <c r="CW130" s="137">
        <v>0.53846159999999998</v>
      </c>
      <c r="CY130" s="143" t="s">
        <v>785</v>
      </c>
      <c r="CZ130" s="143" t="s">
        <v>772</v>
      </c>
      <c r="DA130" s="143" t="s">
        <v>729</v>
      </c>
      <c r="DB130" s="143">
        <v>282</v>
      </c>
      <c r="DC130" s="78">
        <v>50</v>
      </c>
      <c r="DD130" s="137">
        <v>0</v>
      </c>
      <c r="DE130" s="137">
        <v>0</v>
      </c>
      <c r="DG130" s="143" t="s">
        <v>785</v>
      </c>
      <c r="DH130" s="143" t="s">
        <v>772</v>
      </c>
      <c r="DI130" s="143" t="s">
        <v>729</v>
      </c>
      <c r="DJ130" s="143">
        <v>282</v>
      </c>
      <c r="DK130" s="78">
        <v>0</v>
      </c>
      <c r="DL130" s="78">
        <v>1</v>
      </c>
      <c r="DM130" s="78">
        <v>0</v>
      </c>
      <c r="DN130" s="78">
        <v>4</v>
      </c>
      <c r="DO130" s="78">
        <v>2</v>
      </c>
      <c r="DP130" s="78">
        <v>3</v>
      </c>
      <c r="DQ130" s="78">
        <v>6</v>
      </c>
      <c r="DR130" s="78">
        <v>1</v>
      </c>
      <c r="DS130" s="78">
        <v>0</v>
      </c>
      <c r="DT130" s="78">
        <v>0</v>
      </c>
      <c r="DU130" s="78">
        <v>0</v>
      </c>
      <c r="DV130" s="137">
        <v>0.58620689999999998</v>
      </c>
      <c r="DX130" s="143" t="s">
        <v>785</v>
      </c>
      <c r="DY130" s="143" t="s">
        <v>772</v>
      </c>
      <c r="DZ130" s="143" t="s">
        <v>729</v>
      </c>
      <c r="EA130" s="143">
        <v>282</v>
      </c>
      <c r="EB130" s="78">
        <v>1</v>
      </c>
      <c r="EC130" s="78">
        <v>8</v>
      </c>
      <c r="ED130" s="78">
        <v>1</v>
      </c>
      <c r="EE130" s="78">
        <v>4</v>
      </c>
      <c r="EF130" s="78">
        <v>0</v>
      </c>
      <c r="EG130" s="78">
        <v>1</v>
      </c>
      <c r="EH130" s="78">
        <v>0</v>
      </c>
      <c r="EI130" s="78">
        <v>1</v>
      </c>
      <c r="EJ130" s="78">
        <v>1</v>
      </c>
      <c r="EK130" s="78">
        <v>1</v>
      </c>
      <c r="EL130" s="78">
        <v>4</v>
      </c>
      <c r="EM130" s="78">
        <v>0</v>
      </c>
      <c r="EN130" s="78">
        <v>1</v>
      </c>
      <c r="EO130" s="137">
        <v>0.8518519</v>
      </c>
      <c r="EQ130" s="143" t="s">
        <v>785</v>
      </c>
      <c r="ER130" s="143" t="s">
        <v>772</v>
      </c>
      <c r="ES130" s="143" t="s">
        <v>729</v>
      </c>
      <c r="ET130" s="143">
        <v>282</v>
      </c>
      <c r="EU130" s="78">
        <v>0</v>
      </c>
      <c r="EV130" s="78">
        <v>0</v>
      </c>
      <c r="EW130" s="78">
        <v>0</v>
      </c>
      <c r="EX130" s="78">
        <v>0</v>
      </c>
      <c r="EY130" s="78">
        <v>0.5</v>
      </c>
      <c r="EZ130" s="78">
        <v>3</v>
      </c>
      <c r="FA130" s="78">
        <v>2</v>
      </c>
      <c r="FB130" s="78">
        <v>1</v>
      </c>
      <c r="FC130" s="137">
        <v>0.5</v>
      </c>
      <c r="FE130" s="137">
        <v>0.41935480000000003</v>
      </c>
    </row>
    <row r="131" spans="1:161" x14ac:dyDescent="0.25">
      <c r="A131" s="143" t="s">
        <v>785</v>
      </c>
      <c r="B131" s="143" t="s">
        <v>772</v>
      </c>
      <c r="C131" s="143" t="s">
        <v>728</v>
      </c>
      <c r="D131" s="143">
        <v>1519</v>
      </c>
      <c r="E131" s="78">
        <v>0.5</v>
      </c>
      <c r="F131" s="78">
        <v>2</v>
      </c>
      <c r="G131" s="78">
        <v>1</v>
      </c>
      <c r="H131" s="78">
        <v>0</v>
      </c>
      <c r="I131" s="78">
        <v>1</v>
      </c>
      <c r="J131" s="78">
        <v>0</v>
      </c>
      <c r="K131" s="78">
        <v>0</v>
      </c>
      <c r="L131" s="78">
        <v>1</v>
      </c>
      <c r="M131" s="78">
        <v>0</v>
      </c>
      <c r="N131" s="137">
        <v>0.39285710000000001</v>
      </c>
      <c r="P131" s="143" t="s">
        <v>785</v>
      </c>
      <c r="Q131" s="143" t="s">
        <v>772</v>
      </c>
      <c r="R131" s="143" t="s">
        <v>728</v>
      </c>
      <c r="S131" s="143">
        <v>1519</v>
      </c>
      <c r="T131" s="78">
        <v>1</v>
      </c>
      <c r="U131" s="78">
        <v>1</v>
      </c>
      <c r="V131" s="78">
        <v>0</v>
      </c>
      <c r="W131" s="78">
        <v>0</v>
      </c>
      <c r="X131" s="78">
        <v>12</v>
      </c>
      <c r="Y131" s="78">
        <v>0</v>
      </c>
      <c r="Z131" s="78">
        <v>3</v>
      </c>
      <c r="AA131" s="78">
        <v>2</v>
      </c>
      <c r="AB131" s="78">
        <v>0</v>
      </c>
      <c r="AC131" s="78">
        <v>0</v>
      </c>
      <c r="AD131" s="137">
        <v>0.55882350000000003</v>
      </c>
      <c r="AF131" s="143" t="s">
        <v>785</v>
      </c>
      <c r="AG131" s="143" t="s">
        <v>772</v>
      </c>
      <c r="AH131" s="143" t="s">
        <v>728</v>
      </c>
      <c r="AI131" s="143">
        <v>1519</v>
      </c>
      <c r="AJ131" s="78">
        <v>0</v>
      </c>
      <c r="AK131" s="78">
        <v>1</v>
      </c>
      <c r="AL131" s="78">
        <v>1</v>
      </c>
      <c r="AM131" s="78">
        <v>0</v>
      </c>
      <c r="AN131" s="78">
        <v>1</v>
      </c>
      <c r="AO131" s="78">
        <v>0</v>
      </c>
      <c r="AP131" s="78">
        <v>1</v>
      </c>
      <c r="AQ131" s="78">
        <v>1</v>
      </c>
      <c r="AR131" s="78">
        <v>2</v>
      </c>
      <c r="AS131" s="78">
        <v>0</v>
      </c>
      <c r="AT131" s="78">
        <v>0</v>
      </c>
      <c r="AU131" s="78">
        <v>1</v>
      </c>
      <c r="AV131" s="78">
        <v>2</v>
      </c>
      <c r="AW131" s="78">
        <v>1</v>
      </c>
      <c r="AX131" s="78">
        <v>4</v>
      </c>
      <c r="AY131" s="78">
        <v>0</v>
      </c>
      <c r="AZ131" s="78">
        <v>2</v>
      </c>
      <c r="BA131" s="78">
        <v>0.5</v>
      </c>
      <c r="BB131" s="78">
        <v>0.5</v>
      </c>
      <c r="BC131" s="78">
        <v>0.5</v>
      </c>
      <c r="BD131" s="78">
        <v>1</v>
      </c>
      <c r="BE131" s="78">
        <v>0</v>
      </c>
      <c r="BF131" s="78">
        <v>1</v>
      </c>
      <c r="BG131" s="78">
        <v>6</v>
      </c>
      <c r="BH131" s="137">
        <v>0.60227269999999999</v>
      </c>
      <c r="BJ131" s="143" t="s">
        <v>785</v>
      </c>
      <c r="BK131" s="143" t="s">
        <v>772</v>
      </c>
      <c r="BL131" s="143" t="s">
        <v>728</v>
      </c>
      <c r="BM131" s="143">
        <v>1519</v>
      </c>
      <c r="BN131" s="78">
        <v>0</v>
      </c>
      <c r="BO131" s="78">
        <v>0</v>
      </c>
      <c r="BP131" s="78">
        <v>7</v>
      </c>
      <c r="BQ131" s="78">
        <v>3</v>
      </c>
      <c r="BR131" s="78">
        <v>0</v>
      </c>
      <c r="BS131" s="78">
        <v>0</v>
      </c>
      <c r="BT131" s="78">
        <v>2</v>
      </c>
      <c r="BU131" s="137">
        <v>0.52173910000000001</v>
      </c>
      <c r="BW131" s="143" t="s">
        <v>785</v>
      </c>
      <c r="BX131" s="143" t="s">
        <v>772</v>
      </c>
      <c r="BY131" s="143" t="s">
        <v>728</v>
      </c>
      <c r="BZ131" s="143">
        <v>1519</v>
      </c>
      <c r="CA131" s="78">
        <v>1</v>
      </c>
      <c r="CB131" s="78">
        <v>1</v>
      </c>
      <c r="CC131" s="78">
        <v>1</v>
      </c>
      <c r="CD131" s="78">
        <v>2</v>
      </c>
      <c r="CE131" s="78">
        <v>1</v>
      </c>
      <c r="CF131" s="78">
        <v>0</v>
      </c>
      <c r="CG131" s="78">
        <v>1</v>
      </c>
      <c r="CH131" s="78">
        <v>2</v>
      </c>
      <c r="CI131" s="78">
        <v>1</v>
      </c>
      <c r="CJ131" s="78">
        <v>3</v>
      </c>
      <c r="CK131" s="137">
        <v>0.86666670000000001</v>
      </c>
      <c r="CM131" s="143" t="s">
        <v>785</v>
      </c>
      <c r="CN131" s="143" t="s">
        <v>772</v>
      </c>
      <c r="CO131" s="143" t="s">
        <v>728</v>
      </c>
      <c r="CP131" s="143">
        <v>1519</v>
      </c>
      <c r="CQ131" s="78">
        <v>0</v>
      </c>
      <c r="CR131" s="78">
        <v>0</v>
      </c>
      <c r="CS131" s="78">
        <v>4</v>
      </c>
      <c r="CT131" s="78">
        <v>4</v>
      </c>
      <c r="CU131" s="78">
        <v>2</v>
      </c>
      <c r="CV131" s="78">
        <v>8</v>
      </c>
      <c r="CW131" s="137">
        <v>0.34615390000000001</v>
      </c>
      <c r="CY131" s="143" t="s">
        <v>785</v>
      </c>
      <c r="CZ131" s="143" t="s">
        <v>772</v>
      </c>
      <c r="DA131" s="143" t="s">
        <v>728</v>
      </c>
      <c r="DB131" s="143">
        <v>1519</v>
      </c>
      <c r="DC131" s="78">
        <v>0</v>
      </c>
      <c r="DD131" s="137">
        <v>0</v>
      </c>
      <c r="DE131" s="137">
        <v>0</v>
      </c>
      <c r="DG131" s="143" t="s">
        <v>785</v>
      </c>
      <c r="DH131" s="143" t="s">
        <v>772</v>
      </c>
      <c r="DI131" s="143" t="s">
        <v>728</v>
      </c>
      <c r="DJ131" s="143">
        <v>1519</v>
      </c>
      <c r="DK131" s="78">
        <v>2</v>
      </c>
      <c r="DL131" s="78">
        <v>1</v>
      </c>
      <c r="DM131" s="78">
        <v>0</v>
      </c>
      <c r="DN131" s="78">
        <v>5</v>
      </c>
      <c r="DO131" s="78">
        <v>2</v>
      </c>
      <c r="DP131" s="78">
        <v>3</v>
      </c>
      <c r="DQ131" s="78">
        <v>8</v>
      </c>
      <c r="DR131" s="78">
        <v>1</v>
      </c>
      <c r="DS131" s="78">
        <v>1</v>
      </c>
      <c r="DT131" s="78">
        <v>0</v>
      </c>
      <c r="DU131" s="78">
        <v>0</v>
      </c>
      <c r="DV131" s="137">
        <v>0.79310349999999996</v>
      </c>
      <c r="DX131" s="143" t="s">
        <v>785</v>
      </c>
      <c r="DY131" s="143" t="s">
        <v>772</v>
      </c>
      <c r="DZ131" s="143" t="s">
        <v>728</v>
      </c>
      <c r="EA131" s="143">
        <v>1519</v>
      </c>
      <c r="EB131" s="78">
        <v>1</v>
      </c>
      <c r="EC131" s="78">
        <v>8</v>
      </c>
      <c r="ED131" s="78">
        <v>0</v>
      </c>
      <c r="EE131" s="78">
        <v>4</v>
      </c>
      <c r="EF131" s="78">
        <v>1</v>
      </c>
      <c r="EG131" s="78">
        <v>1</v>
      </c>
      <c r="EH131" s="78">
        <v>0</v>
      </c>
      <c r="EI131" s="78">
        <v>1</v>
      </c>
      <c r="EJ131" s="78">
        <v>1</v>
      </c>
      <c r="EK131" s="78">
        <v>1</v>
      </c>
      <c r="EL131" s="78">
        <v>4</v>
      </c>
      <c r="EM131" s="78">
        <v>0</v>
      </c>
      <c r="EN131" s="78">
        <v>1</v>
      </c>
      <c r="EO131" s="137">
        <v>0.8518519</v>
      </c>
      <c r="EQ131" s="143" t="s">
        <v>785</v>
      </c>
      <c r="ER131" s="143" t="s">
        <v>772</v>
      </c>
      <c r="ES131" s="143" t="s">
        <v>728</v>
      </c>
      <c r="ET131" s="143">
        <v>1519</v>
      </c>
      <c r="EU131" s="78">
        <v>0.5</v>
      </c>
      <c r="EV131" s="78">
        <v>0</v>
      </c>
      <c r="EW131" s="78">
        <v>0</v>
      </c>
      <c r="EX131" s="78">
        <v>0</v>
      </c>
      <c r="EY131" s="78">
        <v>0.5</v>
      </c>
      <c r="EZ131" s="78">
        <v>3</v>
      </c>
      <c r="FA131" s="78">
        <v>2</v>
      </c>
      <c r="FB131" s="78">
        <v>1</v>
      </c>
      <c r="FC131" s="137">
        <v>0.53846159999999998</v>
      </c>
      <c r="FE131" s="137">
        <v>0.4310851</v>
      </c>
    </row>
    <row r="132" spans="1:161" hidden="1" x14ac:dyDescent="0.25">
      <c r="A132" s="143" t="s">
        <v>785</v>
      </c>
      <c r="B132" s="143" t="s">
        <v>772</v>
      </c>
      <c r="C132" s="143" t="s">
        <v>727</v>
      </c>
      <c r="D132" s="143">
        <v>1520</v>
      </c>
      <c r="E132" s="78">
        <v>0.5</v>
      </c>
      <c r="F132" s="78">
        <v>2.5</v>
      </c>
      <c r="G132" s="78">
        <v>1</v>
      </c>
      <c r="H132" s="78">
        <v>3</v>
      </c>
      <c r="I132" s="78">
        <v>1</v>
      </c>
      <c r="J132" s="78">
        <v>0</v>
      </c>
      <c r="K132" s="78">
        <v>0</v>
      </c>
      <c r="L132" s="78">
        <v>1</v>
      </c>
      <c r="M132" s="78">
        <v>2</v>
      </c>
      <c r="N132" s="137">
        <v>0.78571429999999998</v>
      </c>
      <c r="P132" s="143" t="s">
        <v>785</v>
      </c>
      <c r="Q132" s="143" t="s">
        <v>772</v>
      </c>
      <c r="R132" s="143" t="s">
        <v>727</v>
      </c>
      <c r="S132" s="143">
        <v>1520</v>
      </c>
      <c r="T132" s="78">
        <v>1</v>
      </c>
      <c r="U132" s="78">
        <v>1</v>
      </c>
      <c r="V132" s="78">
        <v>0</v>
      </c>
      <c r="W132" s="78">
        <v>1.5</v>
      </c>
      <c r="X132" s="78">
        <v>6</v>
      </c>
      <c r="Y132" s="78">
        <v>0</v>
      </c>
      <c r="Z132" s="78">
        <v>0</v>
      </c>
      <c r="AA132" s="78">
        <v>0</v>
      </c>
      <c r="AB132" s="78">
        <v>0</v>
      </c>
      <c r="AC132" s="78">
        <v>0</v>
      </c>
      <c r="AD132" s="137">
        <v>0.27941179999999999</v>
      </c>
      <c r="AF132" s="143" t="s">
        <v>785</v>
      </c>
      <c r="AG132" s="143" t="s">
        <v>772</v>
      </c>
      <c r="AH132" s="143" t="s">
        <v>727</v>
      </c>
      <c r="AI132" s="143">
        <v>1520</v>
      </c>
      <c r="AJ132" s="78">
        <v>0</v>
      </c>
      <c r="AK132" s="78">
        <v>0</v>
      </c>
      <c r="AL132" s="78">
        <v>0</v>
      </c>
      <c r="AM132" s="78">
        <v>0</v>
      </c>
      <c r="AN132" s="78">
        <v>1</v>
      </c>
      <c r="AO132" s="78">
        <v>2</v>
      </c>
      <c r="AP132" s="78">
        <v>1</v>
      </c>
      <c r="AQ132" s="78">
        <v>1</v>
      </c>
      <c r="AR132" s="78">
        <v>0</v>
      </c>
      <c r="AS132" s="78">
        <v>2</v>
      </c>
      <c r="AT132" s="78">
        <v>2</v>
      </c>
      <c r="AU132" s="78">
        <v>0</v>
      </c>
      <c r="AV132" s="78">
        <v>2</v>
      </c>
      <c r="AW132" s="78">
        <v>0</v>
      </c>
      <c r="AX132" s="78">
        <v>0</v>
      </c>
      <c r="AY132" s="78">
        <v>1</v>
      </c>
      <c r="AZ132" s="78">
        <v>2</v>
      </c>
      <c r="BA132" s="78">
        <v>0.5</v>
      </c>
      <c r="BB132" s="78">
        <v>0.5</v>
      </c>
      <c r="BC132" s="78">
        <v>0.5</v>
      </c>
      <c r="BD132" s="78">
        <v>1</v>
      </c>
      <c r="BE132" s="78">
        <v>0</v>
      </c>
      <c r="BF132" s="78">
        <v>0</v>
      </c>
      <c r="BG132" s="78">
        <v>8</v>
      </c>
      <c r="BH132" s="137">
        <v>0.55681820000000004</v>
      </c>
      <c r="BJ132" s="143" t="s">
        <v>785</v>
      </c>
      <c r="BK132" s="143" t="s">
        <v>772</v>
      </c>
      <c r="BL132" s="143" t="s">
        <v>727</v>
      </c>
      <c r="BM132" s="143">
        <v>1520</v>
      </c>
      <c r="BN132" s="78">
        <v>0</v>
      </c>
      <c r="BO132" s="78">
        <v>0</v>
      </c>
      <c r="BP132" s="78">
        <v>0</v>
      </c>
      <c r="BQ132" s="78">
        <v>0</v>
      </c>
      <c r="BR132" s="78">
        <v>0</v>
      </c>
      <c r="BS132" s="78">
        <v>0</v>
      </c>
      <c r="BT132" s="78">
        <v>0</v>
      </c>
      <c r="BU132" s="137">
        <v>0</v>
      </c>
      <c r="BW132" s="143" t="s">
        <v>785</v>
      </c>
      <c r="BX132" s="143" t="s">
        <v>772</v>
      </c>
      <c r="BY132" s="143" t="s">
        <v>727</v>
      </c>
      <c r="BZ132" s="143">
        <v>1520</v>
      </c>
      <c r="CA132" s="78">
        <v>1</v>
      </c>
      <c r="CB132" s="78">
        <v>0</v>
      </c>
      <c r="CC132" s="78">
        <v>1</v>
      </c>
      <c r="CD132" s="78">
        <v>2</v>
      </c>
      <c r="CE132" s="78">
        <v>0</v>
      </c>
      <c r="CF132" s="78">
        <v>2</v>
      </c>
      <c r="CG132" s="78">
        <v>1</v>
      </c>
      <c r="CH132" s="78">
        <v>2</v>
      </c>
      <c r="CI132" s="78">
        <v>1</v>
      </c>
      <c r="CJ132" s="78">
        <v>0</v>
      </c>
      <c r="CK132" s="137">
        <v>0.66666669999999995</v>
      </c>
      <c r="CM132" s="143" t="s">
        <v>785</v>
      </c>
      <c r="CN132" s="143" t="s">
        <v>772</v>
      </c>
      <c r="CO132" s="143" t="s">
        <v>727</v>
      </c>
      <c r="CP132" s="143">
        <v>1520</v>
      </c>
      <c r="CQ132" s="78">
        <v>2</v>
      </c>
      <c r="CR132" s="78">
        <v>0</v>
      </c>
      <c r="CS132" s="78">
        <v>16</v>
      </c>
      <c r="CT132" s="78">
        <v>0</v>
      </c>
      <c r="CU132" s="78">
        <v>0</v>
      </c>
      <c r="CV132" s="78">
        <v>4</v>
      </c>
      <c r="CW132" s="137">
        <v>0.42307689999999998</v>
      </c>
      <c r="CY132" s="143" t="s">
        <v>785</v>
      </c>
      <c r="CZ132" s="143" t="s">
        <v>772</v>
      </c>
      <c r="DA132" s="143" t="s">
        <v>727</v>
      </c>
      <c r="DB132" s="143">
        <v>1520</v>
      </c>
      <c r="DC132" s="78">
        <v>50</v>
      </c>
      <c r="DD132" s="137">
        <v>0</v>
      </c>
      <c r="DE132" s="137">
        <v>0</v>
      </c>
      <c r="DG132" s="143" t="s">
        <v>785</v>
      </c>
      <c r="DH132" s="143" t="s">
        <v>772</v>
      </c>
      <c r="DI132" s="143" t="s">
        <v>727</v>
      </c>
      <c r="DJ132" s="143">
        <v>1520</v>
      </c>
      <c r="DK132" s="78">
        <v>0</v>
      </c>
      <c r="DL132" s="78">
        <v>1</v>
      </c>
      <c r="DM132" s="78">
        <v>0</v>
      </c>
      <c r="DN132" s="78">
        <v>5</v>
      </c>
      <c r="DO132" s="78">
        <v>2</v>
      </c>
      <c r="DP132" s="78">
        <v>3</v>
      </c>
      <c r="DQ132" s="78">
        <v>8</v>
      </c>
      <c r="DR132" s="78">
        <v>1</v>
      </c>
      <c r="DS132" s="78">
        <v>0</v>
      </c>
      <c r="DT132" s="78">
        <v>0</v>
      </c>
      <c r="DU132" s="78">
        <v>1</v>
      </c>
      <c r="DV132" s="137">
        <v>0.7241379</v>
      </c>
      <c r="DX132" s="143" t="s">
        <v>785</v>
      </c>
      <c r="DY132" s="143" t="s">
        <v>772</v>
      </c>
      <c r="DZ132" s="143" t="s">
        <v>727</v>
      </c>
      <c r="EA132" s="143">
        <v>1520</v>
      </c>
      <c r="EB132" s="78">
        <v>0</v>
      </c>
      <c r="EC132" s="78">
        <v>8</v>
      </c>
      <c r="ED132" s="78">
        <v>1</v>
      </c>
      <c r="EE132" s="78">
        <v>0</v>
      </c>
      <c r="EF132" s="78">
        <v>1</v>
      </c>
      <c r="EG132" s="78">
        <v>1</v>
      </c>
      <c r="EH132" s="78">
        <v>0</v>
      </c>
      <c r="EI132" s="78">
        <v>1</v>
      </c>
      <c r="EJ132" s="78">
        <v>1</v>
      </c>
      <c r="EK132" s="78">
        <v>1</v>
      </c>
      <c r="EL132" s="78">
        <v>4</v>
      </c>
      <c r="EM132" s="78">
        <v>0</v>
      </c>
      <c r="EN132" s="78">
        <v>1</v>
      </c>
      <c r="EO132" s="137">
        <v>0.70370370000000004</v>
      </c>
      <c r="EQ132" s="143" t="s">
        <v>785</v>
      </c>
      <c r="ER132" s="143" t="s">
        <v>772</v>
      </c>
      <c r="ES132" s="143" t="s">
        <v>727</v>
      </c>
      <c r="ET132" s="143">
        <v>1520</v>
      </c>
      <c r="EU132" s="78">
        <v>0</v>
      </c>
      <c r="EV132" s="78">
        <v>0</v>
      </c>
      <c r="EW132" s="78">
        <v>0</v>
      </c>
      <c r="EX132" s="78">
        <v>0</v>
      </c>
      <c r="EY132" s="78">
        <v>0.5</v>
      </c>
      <c r="EZ132" s="78">
        <v>3</v>
      </c>
      <c r="FA132" s="78">
        <v>2</v>
      </c>
      <c r="FB132" s="78">
        <v>0</v>
      </c>
      <c r="FC132" s="137">
        <v>0.42307689999999998</v>
      </c>
      <c r="FE132" s="137">
        <v>0.35923749999999999</v>
      </c>
    </row>
    <row r="133" spans="1:161" hidden="1" x14ac:dyDescent="0.25">
      <c r="A133" s="143" t="s">
        <v>785</v>
      </c>
      <c r="B133" s="143" t="s">
        <v>772</v>
      </c>
      <c r="C133" s="143" t="s">
        <v>727</v>
      </c>
      <c r="D133" s="143">
        <v>1549</v>
      </c>
      <c r="E133" s="78">
        <v>0.5</v>
      </c>
      <c r="F133" s="78">
        <v>1.5</v>
      </c>
      <c r="G133" s="78">
        <v>1</v>
      </c>
      <c r="H133" s="78">
        <v>1</v>
      </c>
      <c r="I133" s="78">
        <v>1</v>
      </c>
      <c r="J133" s="78">
        <v>0</v>
      </c>
      <c r="K133" s="78">
        <v>1</v>
      </c>
      <c r="L133" s="78">
        <v>1</v>
      </c>
      <c r="M133" s="78">
        <v>2</v>
      </c>
      <c r="N133" s="137">
        <v>0.64285709999999996</v>
      </c>
      <c r="P133" s="143" t="s">
        <v>785</v>
      </c>
      <c r="Q133" s="143" t="s">
        <v>772</v>
      </c>
      <c r="R133" s="143" t="s">
        <v>727</v>
      </c>
      <c r="S133" s="143">
        <v>1549</v>
      </c>
      <c r="T133" s="78">
        <v>1</v>
      </c>
      <c r="U133" s="78">
        <v>0</v>
      </c>
      <c r="V133" s="78">
        <v>0</v>
      </c>
      <c r="W133" s="78">
        <v>1.5</v>
      </c>
      <c r="X133" s="78">
        <v>6</v>
      </c>
      <c r="Y133" s="78">
        <v>0</v>
      </c>
      <c r="Z133" s="78">
        <v>0</v>
      </c>
      <c r="AA133" s="78">
        <v>2</v>
      </c>
      <c r="AB133" s="78">
        <v>0</v>
      </c>
      <c r="AC133" s="78">
        <v>3</v>
      </c>
      <c r="AD133" s="137">
        <v>0.39705879999999999</v>
      </c>
      <c r="AF133" s="143" t="s">
        <v>785</v>
      </c>
      <c r="AG133" s="143" t="s">
        <v>772</v>
      </c>
      <c r="AH133" s="143" t="s">
        <v>727</v>
      </c>
      <c r="AI133" s="143">
        <v>1549</v>
      </c>
      <c r="AJ133" s="78">
        <v>0</v>
      </c>
      <c r="AK133" s="78">
        <v>0</v>
      </c>
      <c r="AL133" s="78">
        <v>0</v>
      </c>
      <c r="AM133" s="78">
        <v>0</v>
      </c>
      <c r="AN133" s="78">
        <v>1</v>
      </c>
      <c r="AO133" s="78">
        <v>0</v>
      </c>
      <c r="AP133" s="78">
        <v>1</v>
      </c>
      <c r="AQ133" s="78">
        <v>1</v>
      </c>
      <c r="AR133" s="78">
        <v>0</v>
      </c>
      <c r="AS133" s="78">
        <v>2</v>
      </c>
      <c r="AT133" s="78">
        <v>2</v>
      </c>
      <c r="AU133" s="78">
        <v>0</v>
      </c>
      <c r="AV133" s="78">
        <v>2</v>
      </c>
      <c r="AW133" s="78">
        <v>0</v>
      </c>
      <c r="AX133" s="78">
        <v>0</v>
      </c>
      <c r="AY133" s="78">
        <v>1</v>
      </c>
      <c r="AZ133" s="78">
        <v>2</v>
      </c>
      <c r="BA133" s="78">
        <v>0.5</v>
      </c>
      <c r="BB133" s="78">
        <v>0.5</v>
      </c>
      <c r="BC133" s="78">
        <v>0.5</v>
      </c>
      <c r="BD133" s="78">
        <v>1</v>
      </c>
      <c r="BE133" s="78">
        <v>0.5</v>
      </c>
      <c r="BF133" s="78">
        <v>0</v>
      </c>
      <c r="BG133" s="78">
        <v>2</v>
      </c>
      <c r="BH133" s="137">
        <v>0.38636359999999997</v>
      </c>
      <c r="BJ133" s="143" t="s">
        <v>785</v>
      </c>
      <c r="BK133" s="143" t="s">
        <v>772</v>
      </c>
      <c r="BL133" s="143" t="s">
        <v>727</v>
      </c>
      <c r="BM133" s="143">
        <v>1549</v>
      </c>
      <c r="BN133" s="78">
        <v>0</v>
      </c>
      <c r="BO133" s="78">
        <v>0</v>
      </c>
      <c r="BP133" s="78">
        <v>0</v>
      </c>
      <c r="BQ133" s="78">
        <v>0</v>
      </c>
      <c r="BR133" s="78">
        <v>0</v>
      </c>
      <c r="BS133" s="78">
        <v>0</v>
      </c>
      <c r="BT133" s="78">
        <v>2</v>
      </c>
      <c r="BU133" s="137">
        <v>8.6956500000000006E-2</v>
      </c>
      <c r="BW133" s="143" t="s">
        <v>785</v>
      </c>
      <c r="BX133" s="143" t="s">
        <v>772</v>
      </c>
      <c r="BY133" s="143" t="s">
        <v>727</v>
      </c>
      <c r="BZ133" s="143">
        <v>1549</v>
      </c>
      <c r="CA133" s="78">
        <v>1</v>
      </c>
      <c r="CB133" s="78">
        <v>0</v>
      </c>
      <c r="CC133" s="78">
        <v>1</v>
      </c>
      <c r="CD133" s="78">
        <v>2</v>
      </c>
      <c r="CE133" s="78">
        <v>0</v>
      </c>
      <c r="CF133" s="78">
        <v>2</v>
      </c>
      <c r="CG133" s="78">
        <v>1</v>
      </c>
      <c r="CH133" s="78">
        <v>2</v>
      </c>
      <c r="CI133" s="78">
        <v>1</v>
      </c>
      <c r="CJ133" s="78">
        <v>0</v>
      </c>
      <c r="CK133" s="137">
        <v>0.66666669999999995</v>
      </c>
      <c r="CM133" s="143" t="s">
        <v>785</v>
      </c>
      <c r="CN133" s="143" t="s">
        <v>772</v>
      </c>
      <c r="CO133" s="143" t="s">
        <v>727</v>
      </c>
      <c r="CP133" s="143">
        <v>1549</v>
      </c>
      <c r="CQ133" s="78">
        <v>8</v>
      </c>
      <c r="CR133" s="78">
        <v>0</v>
      </c>
      <c r="CS133" s="78">
        <v>16</v>
      </c>
      <c r="CT133" s="78">
        <v>4</v>
      </c>
      <c r="CU133" s="78">
        <v>0</v>
      </c>
      <c r="CV133" s="78">
        <v>4</v>
      </c>
      <c r="CW133" s="137">
        <v>0.61538459999999995</v>
      </c>
      <c r="CY133" s="143" t="s">
        <v>785</v>
      </c>
      <c r="CZ133" s="143" t="s">
        <v>772</v>
      </c>
      <c r="DA133" s="143" t="s">
        <v>727</v>
      </c>
      <c r="DB133" s="143">
        <v>1549</v>
      </c>
      <c r="DC133" s="78">
        <v>50</v>
      </c>
      <c r="DD133" s="137">
        <v>0</v>
      </c>
      <c r="DE133" s="137">
        <v>0</v>
      </c>
      <c r="DG133" s="143" t="s">
        <v>785</v>
      </c>
      <c r="DH133" s="143" t="s">
        <v>772</v>
      </c>
      <c r="DI133" s="143" t="s">
        <v>727</v>
      </c>
      <c r="DJ133" s="143">
        <v>1549</v>
      </c>
      <c r="DK133" s="78">
        <v>2</v>
      </c>
      <c r="DL133" s="78">
        <v>1</v>
      </c>
      <c r="DM133" s="78">
        <v>1</v>
      </c>
      <c r="DN133" s="78">
        <v>4</v>
      </c>
      <c r="DO133" s="78">
        <v>2</v>
      </c>
      <c r="DP133" s="78">
        <v>3</v>
      </c>
      <c r="DQ133" s="78">
        <v>6</v>
      </c>
      <c r="DR133" s="78">
        <v>1</v>
      </c>
      <c r="DS133" s="78">
        <v>0</v>
      </c>
      <c r="DT133" s="78">
        <v>0</v>
      </c>
      <c r="DU133" s="78">
        <v>1</v>
      </c>
      <c r="DV133" s="137">
        <v>0.7241379</v>
      </c>
      <c r="DX133" s="143" t="s">
        <v>785</v>
      </c>
      <c r="DY133" s="143" t="s">
        <v>772</v>
      </c>
      <c r="DZ133" s="143" t="s">
        <v>727</v>
      </c>
      <c r="EA133" s="143">
        <v>1549</v>
      </c>
      <c r="EB133" s="78">
        <v>1</v>
      </c>
      <c r="EC133" s="78">
        <v>8</v>
      </c>
      <c r="ED133" s="78">
        <v>1</v>
      </c>
      <c r="EE133" s="78">
        <v>4</v>
      </c>
      <c r="EF133" s="78">
        <v>1</v>
      </c>
      <c r="EG133" s="78">
        <v>1</v>
      </c>
      <c r="EH133" s="78">
        <v>0</v>
      </c>
      <c r="EI133" s="78">
        <v>1</v>
      </c>
      <c r="EJ133" s="78">
        <v>1</v>
      </c>
      <c r="EK133" s="78">
        <v>1</v>
      </c>
      <c r="EL133" s="78">
        <v>4</v>
      </c>
      <c r="EM133" s="78">
        <v>0</v>
      </c>
      <c r="EN133" s="78">
        <v>1</v>
      </c>
      <c r="EO133" s="137">
        <v>0.88888889999999998</v>
      </c>
      <c r="EQ133" s="143" t="s">
        <v>785</v>
      </c>
      <c r="ER133" s="143" t="s">
        <v>772</v>
      </c>
      <c r="ES133" s="143" t="s">
        <v>727</v>
      </c>
      <c r="ET133" s="143">
        <v>1549</v>
      </c>
      <c r="EU133" s="78">
        <v>0</v>
      </c>
      <c r="EV133" s="78">
        <v>0</v>
      </c>
      <c r="EW133" s="78">
        <v>0</v>
      </c>
      <c r="EX133" s="78">
        <v>0</v>
      </c>
      <c r="EY133" s="78">
        <v>0.5</v>
      </c>
      <c r="EZ133" s="78">
        <v>3</v>
      </c>
      <c r="FA133" s="78">
        <v>2</v>
      </c>
      <c r="FB133" s="78">
        <v>0</v>
      </c>
      <c r="FC133" s="137">
        <v>0.42307689999999998</v>
      </c>
      <c r="FE133" s="137">
        <v>0.39296189999999998</v>
      </c>
    </row>
    <row r="134" spans="1:161" x14ac:dyDescent="0.25">
      <c r="A134" s="143" t="s">
        <v>785</v>
      </c>
      <c r="B134" s="143" t="s">
        <v>772</v>
      </c>
      <c r="C134" s="143" t="s">
        <v>728</v>
      </c>
      <c r="D134" s="143">
        <v>1734</v>
      </c>
      <c r="E134" s="78">
        <v>0.5</v>
      </c>
      <c r="F134" s="78">
        <v>1.5</v>
      </c>
      <c r="G134" s="78">
        <v>1</v>
      </c>
      <c r="H134" s="78">
        <v>0</v>
      </c>
      <c r="I134" s="78">
        <v>1</v>
      </c>
      <c r="J134" s="78">
        <v>0</v>
      </c>
      <c r="K134" s="78">
        <v>1</v>
      </c>
      <c r="L134" s="78">
        <v>1</v>
      </c>
      <c r="M134" s="78">
        <v>2</v>
      </c>
      <c r="N134" s="137">
        <v>0.57142859999999995</v>
      </c>
      <c r="P134" s="143" t="s">
        <v>785</v>
      </c>
      <c r="Q134" s="143" t="s">
        <v>772</v>
      </c>
      <c r="R134" s="143" t="s">
        <v>728</v>
      </c>
      <c r="S134" s="143">
        <v>1734</v>
      </c>
      <c r="T134" s="78">
        <v>1</v>
      </c>
      <c r="U134" s="78">
        <v>1</v>
      </c>
      <c r="V134" s="78">
        <v>0</v>
      </c>
      <c r="W134" s="78">
        <v>0</v>
      </c>
      <c r="X134" s="78">
        <v>6</v>
      </c>
      <c r="Y134" s="78">
        <v>0</v>
      </c>
      <c r="Z134" s="78">
        <v>3</v>
      </c>
      <c r="AA134" s="78">
        <v>2</v>
      </c>
      <c r="AB134" s="78">
        <v>0</v>
      </c>
      <c r="AC134" s="78">
        <v>0</v>
      </c>
      <c r="AD134" s="137">
        <v>0.3823529</v>
      </c>
      <c r="AF134" s="143" t="s">
        <v>785</v>
      </c>
      <c r="AG134" s="143" t="s">
        <v>772</v>
      </c>
      <c r="AH134" s="143" t="s">
        <v>728</v>
      </c>
      <c r="AI134" s="143">
        <v>1734</v>
      </c>
      <c r="AJ134" s="78">
        <v>0</v>
      </c>
      <c r="AK134" s="78">
        <v>0</v>
      </c>
      <c r="AL134" s="78">
        <v>1</v>
      </c>
      <c r="AM134" s="78">
        <v>1</v>
      </c>
      <c r="AN134" s="78">
        <v>0</v>
      </c>
      <c r="AO134" s="78">
        <v>2</v>
      </c>
      <c r="AP134" s="78">
        <v>1</v>
      </c>
      <c r="AQ134" s="78">
        <v>1</v>
      </c>
      <c r="AR134" s="78">
        <v>0</v>
      </c>
      <c r="AS134" s="78">
        <v>2</v>
      </c>
      <c r="AT134" s="78">
        <v>2</v>
      </c>
      <c r="AU134" s="78">
        <v>0</v>
      </c>
      <c r="AV134" s="78">
        <v>2</v>
      </c>
      <c r="AW134" s="78">
        <v>0</v>
      </c>
      <c r="AX134" s="78">
        <v>0</v>
      </c>
      <c r="AY134" s="78">
        <v>1</v>
      </c>
      <c r="AZ134" s="78">
        <v>2</v>
      </c>
      <c r="BA134" s="78">
        <v>0.5</v>
      </c>
      <c r="BB134" s="78">
        <v>0.5</v>
      </c>
      <c r="BC134" s="78">
        <v>0.5</v>
      </c>
      <c r="BD134" s="78">
        <v>1</v>
      </c>
      <c r="BE134" s="78">
        <v>0.5</v>
      </c>
      <c r="BF134" s="78">
        <v>0</v>
      </c>
      <c r="BG134" s="78">
        <v>2</v>
      </c>
      <c r="BH134" s="137">
        <v>0.45454549999999999</v>
      </c>
      <c r="BJ134" s="143" t="s">
        <v>785</v>
      </c>
      <c r="BK134" s="143" t="s">
        <v>772</v>
      </c>
      <c r="BL134" s="143" t="s">
        <v>728</v>
      </c>
      <c r="BM134" s="143">
        <v>1734</v>
      </c>
      <c r="BN134" s="78">
        <v>0</v>
      </c>
      <c r="BO134" s="78">
        <v>4</v>
      </c>
      <c r="BP134" s="78">
        <v>7</v>
      </c>
      <c r="BQ134" s="78">
        <v>0</v>
      </c>
      <c r="BR134" s="78">
        <v>0</v>
      </c>
      <c r="BS134" s="78">
        <v>0</v>
      </c>
      <c r="BT134" s="78">
        <v>0</v>
      </c>
      <c r="BU134" s="137">
        <v>0.47826089999999999</v>
      </c>
      <c r="BW134" s="143" t="s">
        <v>785</v>
      </c>
      <c r="BX134" s="143" t="s">
        <v>772</v>
      </c>
      <c r="BY134" s="143" t="s">
        <v>728</v>
      </c>
      <c r="BZ134" s="143">
        <v>1734</v>
      </c>
      <c r="CA134" s="78">
        <v>1</v>
      </c>
      <c r="CB134" s="78">
        <v>0</v>
      </c>
      <c r="CC134" s="78">
        <v>1</v>
      </c>
      <c r="CD134" s="78">
        <v>2</v>
      </c>
      <c r="CE134" s="78">
        <v>0</v>
      </c>
      <c r="CF134" s="78">
        <v>2</v>
      </c>
      <c r="CG134" s="78">
        <v>1</v>
      </c>
      <c r="CH134" s="78">
        <v>2</v>
      </c>
      <c r="CI134" s="78">
        <v>1</v>
      </c>
      <c r="CJ134" s="78">
        <v>0</v>
      </c>
      <c r="CK134" s="137">
        <v>0.66666669999999995</v>
      </c>
      <c r="CM134" s="143" t="s">
        <v>785</v>
      </c>
      <c r="CN134" s="143" t="s">
        <v>772</v>
      </c>
      <c r="CO134" s="143" t="s">
        <v>728</v>
      </c>
      <c r="CP134" s="143">
        <v>1734</v>
      </c>
      <c r="CQ134" s="78">
        <v>2</v>
      </c>
      <c r="CR134" s="78">
        <v>0</v>
      </c>
      <c r="CS134" s="78">
        <v>4</v>
      </c>
      <c r="CT134" s="78">
        <v>0</v>
      </c>
      <c r="CU134" s="78">
        <v>0</v>
      </c>
      <c r="CV134" s="78">
        <v>4</v>
      </c>
      <c r="CW134" s="137">
        <v>0.1923077</v>
      </c>
      <c r="CY134" s="143" t="s">
        <v>785</v>
      </c>
      <c r="CZ134" s="143" t="s">
        <v>772</v>
      </c>
      <c r="DA134" s="143" t="s">
        <v>728</v>
      </c>
      <c r="DB134" s="143">
        <v>1734</v>
      </c>
      <c r="DC134" s="78">
        <v>32</v>
      </c>
      <c r="DD134" s="137">
        <v>0.2</v>
      </c>
      <c r="DE134" s="137">
        <v>7.1111099999999997E-2</v>
      </c>
      <c r="DG134" s="143" t="s">
        <v>785</v>
      </c>
      <c r="DH134" s="143" t="s">
        <v>772</v>
      </c>
      <c r="DI134" s="143" t="s">
        <v>728</v>
      </c>
      <c r="DJ134" s="143">
        <v>1734</v>
      </c>
      <c r="DK134" s="78">
        <v>0</v>
      </c>
      <c r="DL134" s="78">
        <v>1</v>
      </c>
      <c r="DM134" s="78">
        <v>0</v>
      </c>
      <c r="DN134" s="78">
        <v>5</v>
      </c>
      <c r="DO134" s="78">
        <v>2</v>
      </c>
      <c r="DP134" s="78">
        <v>3</v>
      </c>
      <c r="DQ134" s="78">
        <v>8</v>
      </c>
      <c r="DR134" s="78">
        <v>1</v>
      </c>
      <c r="DS134" s="78">
        <v>1</v>
      </c>
      <c r="DT134" s="78">
        <v>0</v>
      </c>
      <c r="DU134" s="78">
        <v>0</v>
      </c>
      <c r="DV134" s="137">
        <v>0.7241379</v>
      </c>
      <c r="DX134" s="143" t="s">
        <v>785</v>
      </c>
      <c r="DY134" s="143" t="s">
        <v>772</v>
      </c>
      <c r="DZ134" s="143" t="s">
        <v>728</v>
      </c>
      <c r="EA134" s="143">
        <v>1734</v>
      </c>
      <c r="EB134" s="78">
        <v>1</v>
      </c>
      <c r="EC134" s="78">
        <v>8</v>
      </c>
      <c r="ED134" s="78">
        <v>0</v>
      </c>
      <c r="EE134" s="78">
        <v>4</v>
      </c>
      <c r="EF134" s="78">
        <v>1</v>
      </c>
      <c r="EG134" s="78">
        <v>1</v>
      </c>
      <c r="EH134" s="78">
        <v>0</v>
      </c>
      <c r="EI134" s="78">
        <v>1</v>
      </c>
      <c r="EJ134" s="78">
        <v>1</v>
      </c>
      <c r="EK134" s="78">
        <v>1</v>
      </c>
      <c r="EL134" s="78">
        <v>4</v>
      </c>
      <c r="EM134" s="78">
        <v>0</v>
      </c>
      <c r="EN134" s="78">
        <v>1</v>
      </c>
      <c r="EO134" s="137">
        <v>0.8518519</v>
      </c>
      <c r="EQ134" s="143" t="s">
        <v>785</v>
      </c>
      <c r="ER134" s="143" t="s">
        <v>772</v>
      </c>
      <c r="ES134" s="143" t="s">
        <v>728</v>
      </c>
      <c r="ET134" s="143">
        <v>1734</v>
      </c>
      <c r="EU134" s="78">
        <v>0</v>
      </c>
      <c r="EV134" s="78">
        <v>0</v>
      </c>
      <c r="EW134" s="78">
        <v>0</v>
      </c>
      <c r="EX134" s="78">
        <v>0</v>
      </c>
      <c r="EY134" s="78">
        <v>0.5</v>
      </c>
      <c r="EZ134" s="78">
        <v>3</v>
      </c>
      <c r="FA134" s="78">
        <v>2</v>
      </c>
      <c r="FB134" s="78">
        <v>1</v>
      </c>
      <c r="FC134" s="137">
        <v>0.5</v>
      </c>
      <c r="FE134" s="137">
        <v>0.3780058</v>
      </c>
    </row>
    <row r="135" spans="1:161" x14ac:dyDescent="0.25">
      <c r="A135" s="143" t="s">
        <v>785</v>
      </c>
      <c r="B135" s="143" t="s">
        <v>772</v>
      </c>
      <c r="C135" s="143" t="s">
        <v>728</v>
      </c>
      <c r="D135" s="143">
        <v>2081</v>
      </c>
      <c r="E135" s="78">
        <v>0.5</v>
      </c>
      <c r="F135" s="78">
        <v>1.5</v>
      </c>
      <c r="G135" s="78">
        <v>0</v>
      </c>
      <c r="H135" s="78">
        <v>4</v>
      </c>
      <c r="I135" s="78">
        <v>1</v>
      </c>
      <c r="J135" s="78">
        <v>0</v>
      </c>
      <c r="K135" s="78">
        <v>0</v>
      </c>
      <c r="L135" s="78">
        <v>1</v>
      </c>
      <c r="M135" s="78">
        <v>2</v>
      </c>
      <c r="N135" s="137">
        <v>0.71428570000000002</v>
      </c>
      <c r="P135" s="143" t="s">
        <v>785</v>
      </c>
      <c r="Q135" s="143" t="s">
        <v>772</v>
      </c>
      <c r="R135" s="143" t="s">
        <v>728</v>
      </c>
      <c r="S135" s="143">
        <v>2081</v>
      </c>
      <c r="T135" s="78">
        <v>1</v>
      </c>
      <c r="U135" s="78">
        <v>1</v>
      </c>
      <c r="V135" s="78">
        <v>0</v>
      </c>
      <c r="W135" s="78">
        <v>0</v>
      </c>
      <c r="X135" s="78">
        <v>6</v>
      </c>
      <c r="Y135" s="78">
        <v>1</v>
      </c>
      <c r="Z135" s="78">
        <v>3</v>
      </c>
      <c r="AA135" s="78">
        <v>2</v>
      </c>
      <c r="AB135" s="78">
        <v>0</v>
      </c>
      <c r="AC135" s="78">
        <v>3</v>
      </c>
      <c r="AD135" s="137">
        <v>0.5</v>
      </c>
      <c r="AF135" s="143" t="s">
        <v>785</v>
      </c>
      <c r="AG135" s="143" t="s">
        <v>772</v>
      </c>
      <c r="AH135" s="143" t="s">
        <v>728</v>
      </c>
      <c r="AI135" s="143">
        <v>2081</v>
      </c>
      <c r="AJ135" s="78">
        <v>0</v>
      </c>
      <c r="AK135" s="78">
        <v>0</v>
      </c>
      <c r="AL135" s="78">
        <v>0</v>
      </c>
      <c r="AM135" s="78">
        <v>0</v>
      </c>
      <c r="AN135" s="78">
        <v>1</v>
      </c>
      <c r="AO135" s="78">
        <v>0</v>
      </c>
      <c r="AP135" s="78">
        <v>1</v>
      </c>
      <c r="AQ135" s="78">
        <v>0</v>
      </c>
      <c r="AR135" s="78">
        <v>2</v>
      </c>
      <c r="AS135" s="78">
        <v>2</v>
      </c>
      <c r="AT135" s="78">
        <v>2</v>
      </c>
      <c r="AU135" s="78">
        <v>1</v>
      </c>
      <c r="AV135" s="78">
        <v>2</v>
      </c>
      <c r="AW135" s="78">
        <v>0</v>
      </c>
      <c r="AX135" s="78">
        <v>0</v>
      </c>
      <c r="AY135" s="78">
        <v>1</v>
      </c>
      <c r="AZ135" s="78">
        <v>2</v>
      </c>
      <c r="BA135" s="78">
        <v>0.5</v>
      </c>
      <c r="BB135" s="78">
        <v>0.5</v>
      </c>
      <c r="BC135" s="78">
        <v>0.5</v>
      </c>
      <c r="BD135" s="78">
        <v>1</v>
      </c>
      <c r="BE135" s="78">
        <v>0</v>
      </c>
      <c r="BF135" s="78">
        <v>0</v>
      </c>
      <c r="BG135" s="78">
        <v>6</v>
      </c>
      <c r="BH135" s="137">
        <v>0.51136360000000003</v>
      </c>
      <c r="BJ135" s="143" t="s">
        <v>785</v>
      </c>
      <c r="BK135" s="143" t="s">
        <v>772</v>
      </c>
      <c r="BL135" s="143" t="s">
        <v>728</v>
      </c>
      <c r="BM135" s="143">
        <v>2081</v>
      </c>
      <c r="BN135" s="78">
        <v>0</v>
      </c>
      <c r="BO135" s="78">
        <v>0</v>
      </c>
      <c r="BP135" s="78">
        <v>0</v>
      </c>
      <c r="BQ135" s="78">
        <v>3</v>
      </c>
      <c r="BR135" s="78">
        <v>0</v>
      </c>
      <c r="BS135" s="78">
        <v>0</v>
      </c>
      <c r="BT135" s="78">
        <v>2</v>
      </c>
      <c r="BU135" s="137">
        <v>0.21739130000000001</v>
      </c>
      <c r="BW135" s="143" t="s">
        <v>785</v>
      </c>
      <c r="BX135" s="143" t="s">
        <v>772</v>
      </c>
      <c r="BY135" s="143" t="s">
        <v>728</v>
      </c>
      <c r="BZ135" s="143">
        <v>2081</v>
      </c>
      <c r="CA135" s="78">
        <v>1</v>
      </c>
      <c r="CB135" s="78">
        <v>1</v>
      </c>
      <c r="CC135" s="78">
        <v>1</v>
      </c>
      <c r="CD135" s="78">
        <v>2</v>
      </c>
      <c r="CE135" s="78">
        <v>1</v>
      </c>
      <c r="CF135" s="78">
        <v>2</v>
      </c>
      <c r="CG135" s="78">
        <v>1</v>
      </c>
      <c r="CH135" s="78">
        <v>2</v>
      </c>
      <c r="CI135" s="78">
        <v>1</v>
      </c>
      <c r="CJ135" s="78">
        <v>0</v>
      </c>
      <c r="CK135" s="137">
        <v>0.8</v>
      </c>
      <c r="CM135" s="143" t="s">
        <v>785</v>
      </c>
      <c r="CN135" s="143" t="s">
        <v>772</v>
      </c>
      <c r="CO135" s="143" t="s">
        <v>728</v>
      </c>
      <c r="CP135" s="143">
        <v>2081</v>
      </c>
      <c r="CQ135" s="78">
        <v>8</v>
      </c>
      <c r="CR135" s="78">
        <v>0</v>
      </c>
      <c r="CS135" s="78">
        <v>16</v>
      </c>
      <c r="CT135" s="78">
        <v>0</v>
      </c>
      <c r="CU135" s="78">
        <v>0</v>
      </c>
      <c r="CV135" s="78">
        <v>4</v>
      </c>
      <c r="CW135" s="137">
        <v>0.53846159999999998</v>
      </c>
      <c r="CY135" s="143" t="s">
        <v>785</v>
      </c>
      <c r="CZ135" s="143" t="s">
        <v>772</v>
      </c>
      <c r="DA135" s="143" t="s">
        <v>728</v>
      </c>
      <c r="DB135" s="143">
        <v>2081</v>
      </c>
      <c r="DC135" s="78">
        <v>28</v>
      </c>
      <c r="DD135" s="137">
        <v>0</v>
      </c>
      <c r="DE135" s="137">
        <v>0</v>
      </c>
      <c r="DG135" s="143" t="s">
        <v>785</v>
      </c>
      <c r="DH135" s="143" t="s">
        <v>772</v>
      </c>
      <c r="DI135" s="143" t="s">
        <v>728</v>
      </c>
      <c r="DJ135" s="143">
        <v>2081</v>
      </c>
      <c r="DK135" s="78">
        <v>0</v>
      </c>
      <c r="DL135" s="78">
        <v>1</v>
      </c>
      <c r="DM135" s="78">
        <v>0</v>
      </c>
      <c r="DN135" s="78">
        <v>5</v>
      </c>
      <c r="DO135" s="78">
        <v>2</v>
      </c>
      <c r="DP135" s="78">
        <v>3</v>
      </c>
      <c r="DQ135" s="78">
        <v>7</v>
      </c>
      <c r="DR135" s="78">
        <v>1</v>
      </c>
      <c r="DS135" s="78">
        <v>0</v>
      </c>
      <c r="DT135" s="78">
        <v>0</v>
      </c>
      <c r="DU135" s="78">
        <v>0</v>
      </c>
      <c r="DV135" s="137">
        <v>0.65517239999999999</v>
      </c>
      <c r="DX135" s="143" t="s">
        <v>785</v>
      </c>
      <c r="DY135" s="143" t="s">
        <v>772</v>
      </c>
      <c r="DZ135" s="143" t="s">
        <v>728</v>
      </c>
      <c r="EA135" s="143">
        <v>2081</v>
      </c>
      <c r="EB135" s="78">
        <v>1</v>
      </c>
      <c r="EC135" s="78">
        <v>8</v>
      </c>
      <c r="ED135" s="78">
        <v>1</v>
      </c>
      <c r="EE135" s="78">
        <v>4</v>
      </c>
      <c r="EF135" s="78">
        <v>1</v>
      </c>
      <c r="EG135" s="78">
        <v>1</v>
      </c>
      <c r="EH135" s="78">
        <v>0</v>
      </c>
      <c r="EI135" s="78">
        <v>1</v>
      </c>
      <c r="EJ135" s="78">
        <v>1</v>
      </c>
      <c r="EK135" s="78">
        <v>1</v>
      </c>
      <c r="EL135" s="78">
        <v>4</v>
      </c>
      <c r="EM135" s="78">
        <v>0</v>
      </c>
      <c r="EN135" s="78">
        <v>1</v>
      </c>
      <c r="EO135" s="137">
        <v>0.88888889999999998</v>
      </c>
      <c r="EQ135" s="143" t="s">
        <v>785</v>
      </c>
      <c r="ER135" s="143" t="s">
        <v>772</v>
      </c>
      <c r="ES135" s="143" t="s">
        <v>728</v>
      </c>
      <c r="ET135" s="143">
        <v>2081</v>
      </c>
      <c r="EU135" s="78">
        <v>0</v>
      </c>
      <c r="EV135" s="78">
        <v>0</v>
      </c>
      <c r="EW135" s="78">
        <v>0</v>
      </c>
      <c r="EX135" s="78">
        <v>0</v>
      </c>
      <c r="EY135" s="78">
        <v>0.5</v>
      </c>
      <c r="EZ135" s="78">
        <v>3</v>
      </c>
      <c r="FA135" s="78">
        <v>2</v>
      </c>
      <c r="FB135" s="78">
        <v>1</v>
      </c>
      <c r="FC135" s="137">
        <v>0.5</v>
      </c>
      <c r="FE135" s="137">
        <v>0.42228739999999998</v>
      </c>
    </row>
    <row r="136" spans="1:161" x14ac:dyDescent="0.25">
      <c r="A136" s="143" t="s">
        <v>785</v>
      </c>
      <c r="B136" s="143" t="s">
        <v>772</v>
      </c>
      <c r="C136" s="143" t="s">
        <v>728</v>
      </c>
      <c r="D136" s="143">
        <v>2192</v>
      </c>
      <c r="E136" s="78">
        <v>0.5</v>
      </c>
      <c r="F136" s="78">
        <v>2.5</v>
      </c>
      <c r="G136" s="78">
        <v>0</v>
      </c>
      <c r="H136" s="78">
        <v>3</v>
      </c>
      <c r="I136" s="78">
        <v>1</v>
      </c>
      <c r="J136" s="78">
        <v>0</v>
      </c>
      <c r="K136" s="78">
        <v>0</v>
      </c>
      <c r="L136" s="78">
        <v>0</v>
      </c>
      <c r="M136" s="78">
        <v>2</v>
      </c>
      <c r="N136" s="137">
        <v>0.64285709999999996</v>
      </c>
      <c r="P136" s="143" t="s">
        <v>785</v>
      </c>
      <c r="Q136" s="143" t="s">
        <v>772</v>
      </c>
      <c r="R136" s="143" t="s">
        <v>728</v>
      </c>
      <c r="S136" s="143">
        <v>2192</v>
      </c>
      <c r="T136" s="78">
        <v>1</v>
      </c>
      <c r="U136" s="78">
        <v>1</v>
      </c>
      <c r="V136" s="78">
        <v>0</v>
      </c>
      <c r="W136" s="78">
        <v>0</v>
      </c>
      <c r="X136" s="78">
        <v>9</v>
      </c>
      <c r="Y136" s="78">
        <v>1</v>
      </c>
      <c r="Z136" s="78">
        <v>0</v>
      </c>
      <c r="AA136" s="78">
        <v>0</v>
      </c>
      <c r="AB136" s="78">
        <v>0</v>
      </c>
      <c r="AC136" s="78">
        <v>3</v>
      </c>
      <c r="AD136" s="137">
        <v>0.44117650000000003</v>
      </c>
      <c r="AF136" s="143" t="s">
        <v>785</v>
      </c>
      <c r="AG136" s="143" t="s">
        <v>772</v>
      </c>
      <c r="AH136" s="143" t="s">
        <v>728</v>
      </c>
      <c r="AI136" s="143">
        <v>2192</v>
      </c>
      <c r="AJ136" s="78">
        <v>1</v>
      </c>
      <c r="AK136" s="78">
        <v>1</v>
      </c>
      <c r="AL136" s="78">
        <v>0</v>
      </c>
      <c r="AM136" s="78">
        <v>0</v>
      </c>
      <c r="AN136" s="78">
        <v>0</v>
      </c>
      <c r="AO136" s="78">
        <v>2</v>
      </c>
      <c r="AP136" s="78">
        <v>1</v>
      </c>
      <c r="AQ136" s="78">
        <v>1</v>
      </c>
      <c r="AR136" s="78">
        <v>0</v>
      </c>
      <c r="AS136" s="78">
        <v>0</v>
      </c>
      <c r="AT136" s="78">
        <v>0</v>
      </c>
      <c r="AU136" s="78">
        <v>0</v>
      </c>
      <c r="AV136" s="78">
        <v>0</v>
      </c>
      <c r="AW136" s="78">
        <v>0</v>
      </c>
      <c r="AX136" s="78">
        <v>4</v>
      </c>
      <c r="AY136" s="78">
        <v>0</v>
      </c>
      <c r="AZ136" s="78">
        <v>2</v>
      </c>
      <c r="BA136" s="78">
        <v>0</v>
      </c>
      <c r="BB136" s="78">
        <v>0.5</v>
      </c>
      <c r="BC136" s="78">
        <v>0</v>
      </c>
      <c r="BD136" s="78">
        <v>0</v>
      </c>
      <c r="BE136" s="78">
        <v>0</v>
      </c>
      <c r="BF136" s="78">
        <v>1</v>
      </c>
      <c r="BG136" s="78">
        <v>2</v>
      </c>
      <c r="BH136" s="137">
        <v>0.35227269999999999</v>
      </c>
      <c r="BJ136" s="143" t="s">
        <v>785</v>
      </c>
      <c r="BK136" s="143" t="s">
        <v>772</v>
      </c>
      <c r="BL136" s="143" t="s">
        <v>728</v>
      </c>
      <c r="BM136" s="143">
        <v>2192</v>
      </c>
      <c r="BN136" s="78">
        <v>0</v>
      </c>
      <c r="BO136" s="78">
        <v>0</v>
      </c>
      <c r="BP136" s="78">
        <v>0</v>
      </c>
      <c r="BQ136" s="78">
        <v>3</v>
      </c>
      <c r="BR136" s="78">
        <v>0</v>
      </c>
      <c r="BS136" s="78">
        <v>0</v>
      </c>
      <c r="BT136" s="78">
        <v>0</v>
      </c>
      <c r="BU136" s="137">
        <v>0.13043479999999999</v>
      </c>
      <c r="BW136" s="143" t="s">
        <v>785</v>
      </c>
      <c r="BX136" s="143" t="s">
        <v>772</v>
      </c>
      <c r="BY136" s="143" t="s">
        <v>728</v>
      </c>
      <c r="BZ136" s="143">
        <v>2192</v>
      </c>
      <c r="CA136" s="78">
        <v>1</v>
      </c>
      <c r="CB136" s="78">
        <v>0</v>
      </c>
      <c r="CC136" s="78">
        <v>1</v>
      </c>
      <c r="CD136" s="78">
        <v>2</v>
      </c>
      <c r="CE136" s="78">
        <v>1</v>
      </c>
      <c r="CF136" s="78">
        <v>0</v>
      </c>
      <c r="CG136" s="78">
        <v>1</v>
      </c>
      <c r="CH136" s="78">
        <v>2</v>
      </c>
      <c r="CI136" s="78">
        <v>1</v>
      </c>
      <c r="CJ136" s="78">
        <v>0</v>
      </c>
      <c r="CK136" s="137">
        <v>0.6</v>
      </c>
      <c r="CM136" s="143" t="s">
        <v>785</v>
      </c>
      <c r="CN136" s="143" t="s">
        <v>772</v>
      </c>
      <c r="CO136" s="143" t="s">
        <v>728</v>
      </c>
      <c r="CP136" s="143">
        <v>2192</v>
      </c>
      <c r="CQ136" s="78">
        <v>8</v>
      </c>
      <c r="CR136" s="78">
        <v>0</v>
      </c>
      <c r="CS136" s="78">
        <v>0</v>
      </c>
      <c r="CT136" s="78">
        <v>4</v>
      </c>
      <c r="CU136" s="78">
        <v>0</v>
      </c>
      <c r="CV136" s="78">
        <v>8</v>
      </c>
      <c r="CW136" s="137">
        <v>0.3846154</v>
      </c>
      <c r="CY136" s="143" t="s">
        <v>785</v>
      </c>
      <c r="CZ136" s="143" t="s">
        <v>772</v>
      </c>
      <c r="DA136" s="143" t="s">
        <v>728</v>
      </c>
      <c r="DB136" s="143">
        <v>2192</v>
      </c>
      <c r="DC136" s="78">
        <v>0</v>
      </c>
      <c r="DD136" s="137">
        <v>0</v>
      </c>
      <c r="DE136" s="137">
        <v>0</v>
      </c>
      <c r="DG136" s="143" t="s">
        <v>785</v>
      </c>
      <c r="DH136" s="143" t="s">
        <v>772</v>
      </c>
      <c r="DI136" s="143" t="s">
        <v>728</v>
      </c>
      <c r="DJ136" s="143">
        <v>2192</v>
      </c>
      <c r="DK136" s="78">
        <v>0</v>
      </c>
      <c r="DL136" s="78">
        <v>0</v>
      </c>
      <c r="DM136" s="78">
        <v>0</v>
      </c>
      <c r="DN136" s="78">
        <v>5</v>
      </c>
      <c r="DO136" s="78">
        <v>2</v>
      </c>
      <c r="DP136" s="78">
        <v>3</v>
      </c>
      <c r="DQ136" s="78">
        <v>4</v>
      </c>
      <c r="DR136" s="78">
        <v>1</v>
      </c>
      <c r="DS136" s="78">
        <v>1</v>
      </c>
      <c r="DT136" s="78">
        <v>0</v>
      </c>
      <c r="DU136" s="78">
        <v>0</v>
      </c>
      <c r="DV136" s="137">
        <v>0.55172410000000005</v>
      </c>
      <c r="DX136" s="143" t="s">
        <v>785</v>
      </c>
      <c r="DY136" s="143" t="s">
        <v>772</v>
      </c>
      <c r="DZ136" s="143" t="s">
        <v>728</v>
      </c>
      <c r="EA136" s="143">
        <v>2192</v>
      </c>
      <c r="EB136" s="78">
        <v>1</v>
      </c>
      <c r="EC136" s="78">
        <v>8</v>
      </c>
      <c r="ED136" s="78">
        <v>1</v>
      </c>
      <c r="EE136" s="78">
        <v>4</v>
      </c>
      <c r="EF136" s="78">
        <v>0</v>
      </c>
      <c r="EG136" s="78">
        <v>1</v>
      </c>
      <c r="EH136" s="78">
        <v>0</v>
      </c>
      <c r="EI136" s="78">
        <v>1</v>
      </c>
      <c r="EJ136" s="78">
        <v>1</v>
      </c>
      <c r="EK136" s="78">
        <v>1</v>
      </c>
      <c r="EL136" s="78">
        <v>4</v>
      </c>
      <c r="EM136" s="78">
        <v>1</v>
      </c>
      <c r="EN136" s="78">
        <v>1</v>
      </c>
      <c r="EO136" s="137">
        <v>0.88888889999999998</v>
      </c>
      <c r="EQ136" s="143" t="s">
        <v>785</v>
      </c>
      <c r="ER136" s="143" t="s">
        <v>772</v>
      </c>
      <c r="ES136" s="143" t="s">
        <v>728</v>
      </c>
      <c r="ET136" s="143">
        <v>2192</v>
      </c>
      <c r="EU136" s="78">
        <v>0.5</v>
      </c>
      <c r="EV136" s="78">
        <v>1</v>
      </c>
      <c r="EW136" s="78">
        <v>0</v>
      </c>
      <c r="EX136" s="78">
        <v>0</v>
      </c>
      <c r="EY136" s="78">
        <v>0.5</v>
      </c>
      <c r="EZ136" s="78">
        <v>3</v>
      </c>
      <c r="FA136" s="78">
        <v>2</v>
      </c>
      <c r="FB136" s="78">
        <v>0</v>
      </c>
      <c r="FC136" s="137">
        <v>0.53846159999999998</v>
      </c>
      <c r="FE136" s="137">
        <v>0.34750730000000002</v>
      </c>
    </row>
    <row r="137" spans="1:161" hidden="1" x14ac:dyDescent="0.25">
      <c r="A137" s="143" t="s">
        <v>786</v>
      </c>
      <c r="B137" s="143" t="s">
        <v>787</v>
      </c>
      <c r="C137" s="143" t="s">
        <v>729</v>
      </c>
      <c r="D137" s="143">
        <v>21</v>
      </c>
      <c r="E137" s="78">
        <v>0.5</v>
      </c>
      <c r="F137" s="78">
        <v>1.5</v>
      </c>
      <c r="G137" s="78">
        <v>1</v>
      </c>
      <c r="H137" s="78">
        <v>0</v>
      </c>
      <c r="I137" s="78">
        <v>1</v>
      </c>
      <c r="J137" s="78">
        <v>0</v>
      </c>
      <c r="K137" s="78">
        <v>1</v>
      </c>
      <c r="L137" s="78">
        <v>1</v>
      </c>
      <c r="M137" s="78">
        <v>2</v>
      </c>
      <c r="N137" s="137">
        <v>0.57142859999999995</v>
      </c>
      <c r="P137" s="143" t="s">
        <v>786</v>
      </c>
      <c r="Q137" s="143" t="s">
        <v>787</v>
      </c>
      <c r="R137" s="143" t="s">
        <v>729</v>
      </c>
      <c r="S137" s="143">
        <v>21</v>
      </c>
      <c r="T137" s="78">
        <v>1</v>
      </c>
      <c r="U137" s="78">
        <v>1</v>
      </c>
      <c r="V137" s="78">
        <v>2</v>
      </c>
      <c r="W137" s="78">
        <v>1</v>
      </c>
      <c r="X137" s="78">
        <v>3</v>
      </c>
      <c r="Y137" s="78">
        <v>1</v>
      </c>
      <c r="Z137" s="78">
        <v>0</v>
      </c>
      <c r="AA137" s="78">
        <v>0</v>
      </c>
      <c r="AB137" s="78">
        <v>0</v>
      </c>
      <c r="AC137" s="78">
        <v>0</v>
      </c>
      <c r="AD137" s="137">
        <v>0.26470589999999999</v>
      </c>
      <c r="AF137" s="143" t="s">
        <v>786</v>
      </c>
      <c r="AG137" s="143" t="s">
        <v>787</v>
      </c>
      <c r="AH137" s="143" t="s">
        <v>729</v>
      </c>
      <c r="AI137" s="143">
        <v>21</v>
      </c>
      <c r="AJ137" s="78">
        <v>0</v>
      </c>
      <c r="AK137" s="78">
        <v>0</v>
      </c>
      <c r="AL137" s="78">
        <v>1</v>
      </c>
      <c r="AM137" s="78">
        <v>0</v>
      </c>
      <c r="AN137" s="78">
        <v>1</v>
      </c>
      <c r="AO137" s="78">
        <v>2</v>
      </c>
      <c r="AP137" s="78">
        <v>1</v>
      </c>
      <c r="AQ137" s="78">
        <v>1</v>
      </c>
      <c r="AR137" s="78">
        <v>2</v>
      </c>
      <c r="AS137" s="78">
        <v>2</v>
      </c>
      <c r="AT137" s="78">
        <v>0</v>
      </c>
      <c r="AU137" s="78">
        <v>1</v>
      </c>
      <c r="AV137" s="78">
        <v>0</v>
      </c>
      <c r="AW137" s="78">
        <v>0</v>
      </c>
      <c r="AX137" s="78">
        <v>4</v>
      </c>
      <c r="AY137" s="78">
        <v>0</v>
      </c>
      <c r="AZ137" s="78">
        <v>2</v>
      </c>
      <c r="BA137" s="78">
        <v>0.5</v>
      </c>
      <c r="BB137" s="78">
        <v>0.5</v>
      </c>
      <c r="BC137" s="78">
        <v>0.5</v>
      </c>
      <c r="BD137" s="78">
        <v>1</v>
      </c>
      <c r="BE137" s="78">
        <v>0.5</v>
      </c>
      <c r="BF137" s="78">
        <v>1</v>
      </c>
      <c r="BG137" s="78">
        <v>6</v>
      </c>
      <c r="BH137" s="137">
        <v>0.61363639999999997</v>
      </c>
      <c r="BJ137" s="143" t="s">
        <v>786</v>
      </c>
      <c r="BK137" s="143" t="s">
        <v>787</v>
      </c>
      <c r="BL137" s="143" t="s">
        <v>729</v>
      </c>
      <c r="BM137" s="143">
        <v>21</v>
      </c>
      <c r="BN137" s="78">
        <v>1</v>
      </c>
      <c r="BO137" s="78">
        <v>4</v>
      </c>
      <c r="BP137" s="78">
        <v>7</v>
      </c>
      <c r="BQ137" s="78">
        <v>0</v>
      </c>
      <c r="BR137" s="78">
        <v>0</v>
      </c>
      <c r="BS137" s="78">
        <v>0</v>
      </c>
      <c r="BT137" s="78">
        <v>2</v>
      </c>
      <c r="BU137" s="137">
        <v>0.6086956</v>
      </c>
      <c r="BW137" s="143" t="s">
        <v>786</v>
      </c>
      <c r="BX137" s="143" t="s">
        <v>787</v>
      </c>
      <c r="BY137" s="143" t="s">
        <v>729</v>
      </c>
      <c r="BZ137" s="143">
        <v>21</v>
      </c>
      <c r="CA137" s="78">
        <v>1</v>
      </c>
      <c r="CB137" s="78">
        <v>1</v>
      </c>
      <c r="CC137" s="78">
        <v>1</v>
      </c>
      <c r="CD137" s="78">
        <v>2</v>
      </c>
      <c r="CE137" s="78">
        <v>0</v>
      </c>
      <c r="CF137" s="78">
        <v>2</v>
      </c>
      <c r="CG137" s="78">
        <v>1</v>
      </c>
      <c r="CH137" s="78">
        <v>2</v>
      </c>
      <c r="CI137" s="78">
        <v>1</v>
      </c>
      <c r="CJ137" s="78">
        <v>0</v>
      </c>
      <c r="CK137" s="137">
        <v>0.73333329999999997</v>
      </c>
      <c r="CM137" s="143" t="s">
        <v>786</v>
      </c>
      <c r="CN137" s="143" t="s">
        <v>787</v>
      </c>
      <c r="CO137" s="143" t="s">
        <v>729</v>
      </c>
      <c r="CP137" s="143">
        <v>21</v>
      </c>
      <c r="CQ137" s="78">
        <v>8</v>
      </c>
      <c r="CR137" s="78">
        <v>0</v>
      </c>
      <c r="CS137" s="78">
        <v>8</v>
      </c>
      <c r="CT137" s="78">
        <v>4</v>
      </c>
      <c r="CU137" s="78">
        <v>0</v>
      </c>
      <c r="CV137" s="78">
        <v>8</v>
      </c>
      <c r="CW137" s="137">
        <v>0.53846159999999998</v>
      </c>
      <c r="CY137" s="143" t="s">
        <v>786</v>
      </c>
      <c r="CZ137" s="143" t="s">
        <v>787</v>
      </c>
      <c r="DA137" s="143" t="s">
        <v>729</v>
      </c>
      <c r="DB137" s="143">
        <v>21</v>
      </c>
      <c r="DC137" s="78">
        <v>34</v>
      </c>
      <c r="DD137" s="137">
        <v>0</v>
      </c>
      <c r="DE137" s="137">
        <v>0</v>
      </c>
      <c r="DG137" s="143" t="s">
        <v>786</v>
      </c>
      <c r="DH137" s="143" t="s">
        <v>787</v>
      </c>
      <c r="DI137" s="143" t="s">
        <v>729</v>
      </c>
      <c r="DJ137" s="143">
        <v>21</v>
      </c>
      <c r="DK137" s="78">
        <v>2</v>
      </c>
      <c r="DL137" s="78">
        <v>1</v>
      </c>
      <c r="DM137" s="78">
        <v>0</v>
      </c>
      <c r="DN137" s="78">
        <v>7</v>
      </c>
      <c r="DO137" s="78">
        <v>2</v>
      </c>
      <c r="DP137" s="78">
        <v>3</v>
      </c>
      <c r="DQ137" s="78">
        <v>5</v>
      </c>
      <c r="DR137" s="78">
        <v>1</v>
      </c>
      <c r="DS137" s="78">
        <v>1</v>
      </c>
      <c r="DT137" s="78">
        <v>2</v>
      </c>
      <c r="DU137" s="78">
        <v>1</v>
      </c>
      <c r="DV137" s="137">
        <v>0.86206899999999997</v>
      </c>
      <c r="DX137" s="143" t="s">
        <v>786</v>
      </c>
      <c r="DY137" s="143" t="s">
        <v>787</v>
      </c>
      <c r="DZ137" s="143" t="s">
        <v>729</v>
      </c>
      <c r="EA137" s="143">
        <v>21</v>
      </c>
      <c r="EB137" s="78">
        <v>1</v>
      </c>
      <c r="EC137" s="78">
        <v>8</v>
      </c>
      <c r="ED137" s="78">
        <v>1</v>
      </c>
      <c r="EE137" s="78">
        <v>4</v>
      </c>
      <c r="EF137" s="78">
        <v>1</v>
      </c>
      <c r="EG137" s="78">
        <v>1</v>
      </c>
      <c r="EH137" s="78">
        <v>2</v>
      </c>
      <c r="EI137" s="78">
        <v>1</v>
      </c>
      <c r="EJ137" s="78">
        <v>1</v>
      </c>
      <c r="EK137" s="78">
        <v>1</v>
      </c>
      <c r="EL137" s="78">
        <v>4</v>
      </c>
      <c r="EM137" s="78">
        <v>1</v>
      </c>
      <c r="EN137" s="78">
        <v>0</v>
      </c>
      <c r="EO137" s="137">
        <v>0.96296300000000001</v>
      </c>
      <c r="EQ137" s="143" t="s">
        <v>786</v>
      </c>
      <c r="ER137" s="143" t="s">
        <v>787</v>
      </c>
      <c r="ES137" s="143" t="s">
        <v>729</v>
      </c>
      <c r="ET137" s="143">
        <v>21</v>
      </c>
      <c r="EU137" s="78">
        <v>0</v>
      </c>
      <c r="EV137" s="78">
        <v>1</v>
      </c>
      <c r="EW137" s="78">
        <v>0</v>
      </c>
      <c r="EX137" s="78">
        <v>0</v>
      </c>
      <c r="EY137" s="78">
        <v>0.5</v>
      </c>
      <c r="EZ137" s="78">
        <v>3</v>
      </c>
      <c r="FA137" s="78">
        <v>2</v>
      </c>
      <c r="FB137" s="78">
        <v>1</v>
      </c>
      <c r="FC137" s="137">
        <v>0.57692310000000002</v>
      </c>
      <c r="FE137" s="137">
        <v>0.45601170000000002</v>
      </c>
    </row>
    <row r="138" spans="1:161" x14ac:dyDescent="0.25">
      <c r="A138" s="143" t="s">
        <v>786</v>
      </c>
      <c r="B138" s="143" t="s">
        <v>787</v>
      </c>
      <c r="C138" s="143" t="s">
        <v>728</v>
      </c>
      <c r="D138" s="143">
        <v>77</v>
      </c>
      <c r="E138" s="78">
        <v>0.5</v>
      </c>
      <c r="F138" s="78">
        <v>2.5</v>
      </c>
      <c r="G138" s="78">
        <v>1</v>
      </c>
      <c r="H138" s="78">
        <v>4</v>
      </c>
      <c r="I138" s="78">
        <v>1</v>
      </c>
      <c r="J138" s="78">
        <v>0</v>
      </c>
      <c r="K138" s="78">
        <v>1</v>
      </c>
      <c r="L138" s="78">
        <v>1</v>
      </c>
      <c r="M138" s="78">
        <v>2</v>
      </c>
      <c r="N138" s="137">
        <v>0.92857140000000005</v>
      </c>
      <c r="P138" s="143" t="s">
        <v>786</v>
      </c>
      <c r="Q138" s="143" t="s">
        <v>787</v>
      </c>
      <c r="R138" s="143" t="s">
        <v>728</v>
      </c>
      <c r="S138" s="143">
        <v>77</v>
      </c>
      <c r="T138" s="78">
        <v>1</v>
      </c>
      <c r="U138" s="78">
        <v>1</v>
      </c>
      <c r="V138" s="78">
        <v>0</v>
      </c>
      <c r="W138" s="78">
        <v>2</v>
      </c>
      <c r="X138" s="78">
        <v>9</v>
      </c>
      <c r="Y138" s="78">
        <v>1</v>
      </c>
      <c r="Z138" s="78">
        <v>3</v>
      </c>
      <c r="AA138" s="78">
        <v>0</v>
      </c>
      <c r="AB138" s="78">
        <v>6</v>
      </c>
      <c r="AC138" s="78">
        <v>3</v>
      </c>
      <c r="AD138" s="137">
        <v>0.76470590000000005</v>
      </c>
      <c r="AF138" s="143" t="s">
        <v>786</v>
      </c>
      <c r="AG138" s="143" t="s">
        <v>787</v>
      </c>
      <c r="AH138" s="143" t="s">
        <v>728</v>
      </c>
      <c r="AI138" s="143">
        <v>77</v>
      </c>
      <c r="AJ138" s="78">
        <v>1</v>
      </c>
      <c r="AK138" s="78">
        <v>1</v>
      </c>
      <c r="AL138" s="78">
        <v>1</v>
      </c>
      <c r="AM138" s="78">
        <v>0</v>
      </c>
      <c r="AN138" s="78">
        <v>1</v>
      </c>
      <c r="AO138" s="78">
        <v>2</v>
      </c>
      <c r="AP138" s="78">
        <v>1</v>
      </c>
      <c r="AQ138" s="78">
        <v>1</v>
      </c>
      <c r="AR138" s="78">
        <v>0</v>
      </c>
      <c r="AS138" s="78">
        <v>2</v>
      </c>
      <c r="AT138" s="78">
        <v>0</v>
      </c>
      <c r="AU138" s="78">
        <v>0</v>
      </c>
      <c r="AV138" s="78">
        <v>2</v>
      </c>
      <c r="AW138" s="78">
        <v>0</v>
      </c>
      <c r="AX138" s="78">
        <v>0</v>
      </c>
      <c r="AY138" s="78">
        <v>1</v>
      </c>
      <c r="AZ138" s="78">
        <v>2</v>
      </c>
      <c r="BA138" s="78">
        <v>0.5</v>
      </c>
      <c r="BB138" s="78">
        <v>0.5</v>
      </c>
      <c r="BC138" s="78">
        <v>0.5</v>
      </c>
      <c r="BD138" s="78">
        <v>1</v>
      </c>
      <c r="BE138" s="78">
        <v>0.5</v>
      </c>
      <c r="BF138" s="78">
        <v>1</v>
      </c>
      <c r="BG138" s="78">
        <v>8</v>
      </c>
      <c r="BH138" s="137">
        <v>0.61363639999999997</v>
      </c>
      <c r="BJ138" s="143" t="s">
        <v>786</v>
      </c>
      <c r="BK138" s="143" t="s">
        <v>787</v>
      </c>
      <c r="BL138" s="143" t="s">
        <v>728</v>
      </c>
      <c r="BM138" s="143">
        <v>77</v>
      </c>
      <c r="BN138" s="78">
        <v>1</v>
      </c>
      <c r="BO138" s="78">
        <v>4</v>
      </c>
      <c r="BP138" s="78">
        <v>7</v>
      </c>
      <c r="BQ138" s="78">
        <v>0</v>
      </c>
      <c r="BR138" s="78">
        <v>0</v>
      </c>
      <c r="BS138" s="78">
        <v>3</v>
      </c>
      <c r="BT138" s="78">
        <v>2</v>
      </c>
      <c r="BU138" s="137">
        <v>0.73913039999999997</v>
      </c>
      <c r="BW138" s="143" t="s">
        <v>786</v>
      </c>
      <c r="BX138" s="143" t="s">
        <v>787</v>
      </c>
      <c r="BY138" s="143" t="s">
        <v>728</v>
      </c>
      <c r="BZ138" s="143">
        <v>77</v>
      </c>
      <c r="CM138" s="143" t="s">
        <v>786</v>
      </c>
      <c r="CN138" s="143" t="s">
        <v>787</v>
      </c>
      <c r="CO138" s="143" t="s">
        <v>728</v>
      </c>
      <c r="CP138" s="143">
        <v>77</v>
      </c>
      <c r="CQ138" s="78">
        <v>8</v>
      </c>
      <c r="CR138" s="78">
        <v>0</v>
      </c>
      <c r="CS138" s="78">
        <v>4</v>
      </c>
      <c r="CT138" s="78">
        <v>4</v>
      </c>
      <c r="CU138" s="78">
        <v>0</v>
      </c>
      <c r="CV138" s="78">
        <v>8</v>
      </c>
      <c r="CW138" s="137">
        <v>0.46153850000000002</v>
      </c>
      <c r="CY138" s="143" t="s">
        <v>786</v>
      </c>
      <c r="CZ138" s="143" t="s">
        <v>787</v>
      </c>
      <c r="DA138" s="143" t="s">
        <v>728</v>
      </c>
      <c r="DB138" s="143">
        <v>77</v>
      </c>
      <c r="DC138" s="78">
        <v>0</v>
      </c>
      <c r="DD138" s="137">
        <v>0</v>
      </c>
      <c r="DE138" s="137">
        <v>0</v>
      </c>
      <c r="DG138" s="143" t="s">
        <v>786</v>
      </c>
      <c r="DH138" s="143" t="s">
        <v>787</v>
      </c>
      <c r="DI138" s="143" t="s">
        <v>728</v>
      </c>
      <c r="DJ138" s="143">
        <v>77</v>
      </c>
      <c r="DK138" s="78">
        <v>2</v>
      </c>
      <c r="DL138" s="78">
        <v>1</v>
      </c>
      <c r="DM138" s="78">
        <v>1</v>
      </c>
      <c r="DN138" s="78">
        <v>5</v>
      </c>
      <c r="DO138" s="78">
        <v>2</v>
      </c>
      <c r="DP138" s="78">
        <v>3</v>
      </c>
      <c r="DQ138" s="78">
        <v>7</v>
      </c>
      <c r="DR138" s="78">
        <v>0</v>
      </c>
      <c r="DS138" s="78">
        <v>1</v>
      </c>
      <c r="DT138" s="78">
        <v>0</v>
      </c>
      <c r="DU138" s="78">
        <v>1</v>
      </c>
      <c r="DV138" s="137">
        <v>0.79310349999999996</v>
      </c>
      <c r="DX138" s="143" t="s">
        <v>786</v>
      </c>
      <c r="DY138" s="143" t="s">
        <v>787</v>
      </c>
      <c r="DZ138" s="143" t="s">
        <v>728</v>
      </c>
      <c r="EA138" s="143">
        <v>77</v>
      </c>
      <c r="EB138" s="78">
        <v>1</v>
      </c>
      <c r="EC138" s="78">
        <v>8</v>
      </c>
      <c r="ED138" s="78">
        <v>1</v>
      </c>
      <c r="EE138" s="78">
        <v>4</v>
      </c>
      <c r="EF138" s="78">
        <v>1</v>
      </c>
      <c r="EG138" s="78">
        <v>1</v>
      </c>
      <c r="EH138" s="78">
        <v>2</v>
      </c>
      <c r="EI138" s="78">
        <v>1</v>
      </c>
      <c r="EJ138" s="78">
        <v>1</v>
      </c>
      <c r="EK138" s="78">
        <v>1</v>
      </c>
      <c r="EL138" s="78">
        <v>4</v>
      </c>
      <c r="EM138" s="78">
        <v>1</v>
      </c>
      <c r="EN138" s="78">
        <v>0</v>
      </c>
      <c r="EO138" s="137">
        <v>0.96296300000000001</v>
      </c>
      <c r="EQ138" s="143" t="s">
        <v>786</v>
      </c>
      <c r="ER138" s="143" t="s">
        <v>787</v>
      </c>
      <c r="ES138" s="143" t="s">
        <v>728</v>
      </c>
      <c r="ET138" s="143">
        <v>77</v>
      </c>
      <c r="EU138" s="78">
        <v>0</v>
      </c>
      <c r="EV138" s="78">
        <v>1</v>
      </c>
      <c r="EW138" s="78">
        <v>0</v>
      </c>
      <c r="EX138" s="78">
        <v>0</v>
      </c>
      <c r="EY138" s="78">
        <v>0.5</v>
      </c>
      <c r="EZ138" s="78">
        <v>0</v>
      </c>
      <c r="FA138" s="78">
        <v>2</v>
      </c>
      <c r="FB138" s="78">
        <v>1</v>
      </c>
      <c r="FC138" s="137">
        <v>0.34615390000000001</v>
      </c>
      <c r="FE138" s="137">
        <v>0.49233130000000003</v>
      </c>
    </row>
    <row r="139" spans="1:161" x14ac:dyDescent="0.25">
      <c r="A139" s="143" t="s">
        <v>786</v>
      </c>
      <c r="B139" s="143" t="s">
        <v>787</v>
      </c>
      <c r="C139" s="143" t="s">
        <v>728</v>
      </c>
      <c r="D139" s="143">
        <v>79</v>
      </c>
      <c r="E139" s="78">
        <v>0</v>
      </c>
      <c r="F139" s="78">
        <v>2.5</v>
      </c>
      <c r="G139" s="78">
        <v>1</v>
      </c>
      <c r="H139" s="78">
        <v>4</v>
      </c>
      <c r="I139" s="78">
        <v>1</v>
      </c>
      <c r="J139" s="78">
        <v>1</v>
      </c>
      <c r="K139" s="78">
        <v>1</v>
      </c>
      <c r="L139" s="78">
        <v>1</v>
      </c>
      <c r="M139" s="78">
        <v>2</v>
      </c>
      <c r="N139" s="137">
        <v>0.96428570000000002</v>
      </c>
      <c r="P139" s="143" t="s">
        <v>786</v>
      </c>
      <c r="Q139" s="143" t="s">
        <v>787</v>
      </c>
      <c r="R139" s="143" t="s">
        <v>728</v>
      </c>
      <c r="S139" s="143">
        <v>79</v>
      </c>
      <c r="T139" s="78">
        <v>1</v>
      </c>
      <c r="U139" s="78">
        <v>1</v>
      </c>
      <c r="V139" s="78">
        <v>0</v>
      </c>
      <c r="W139" s="78">
        <v>0</v>
      </c>
      <c r="X139" s="78">
        <v>9</v>
      </c>
      <c r="Y139" s="78">
        <v>1</v>
      </c>
      <c r="Z139" s="78">
        <v>3</v>
      </c>
      <c r="AA139" s="78">
        <v>0</v>
      </c>
      <c r="AB139" s="78">
        <v>6</v>
      </c>
      <c r="AC139" s="78">
        <v>0</v>
      </c>
      <c r="AD139" s="137">
        <v>0.6176471</v>
      </c>
      <c r="AF139" s="143" t="s">
        <v>786</v>
      </c>
      <c r="AG139" s="143" t="s">
        <v>787</v>
      </c>
      <c r="AH139" s="143" t="s">
        <v>728</v>
      </c>
      <c r="AI139" s="143">
        <v>79</v>
      </c>
      <c r="AJ139" s="78">
        <v>1</v>
      </c>
      <c r="AK139" s="78">
        <v>1</v>
      </c>
      <c r="AL139" s="78">
        <v>1</v>
      </c>
      <c r="AM139" s="78">
        <v>0</v>
      </c>
      <c r="AN139" s="78">
        <v>1</v>
      </c>
      <c r="AO139" s="78">
        <v>2</v>
      </c>
      <c r="AP139" s="78">
        <v>1</v>
      </c>
      <c r="AQ139" s="78">
        <v>0</v>
      </c>
      <c r="AR139" s="78">
        <v>2</v>
      </c>
      <c r="AS139" s="78">
        <v>0</v>
      </c>
      <c r="AT139" s="78">
        <v>0</v>
      </c>
      <c r="AU139" s="78">
        <v>0</v>
      </c>
      <c r="AV139" s="78">
        <v>0</v>
      </c>
      <c r="AW139" s="78">
        <v>0</v>
      </c>
      <c r="AX139" s="78">
        <v>0</v>
      </c>
      <c r="AY139" s="78">
        <v>1</v>
      </c>
      <c r="AZ139" s="78">
        <v>2</v>
      </c>
      <c r="BA139" s="78">
        <v>0.5</v>
      </c>
      <c r="BB139" s="78">
        <v>0.5</v>
      </c>
      <c r="BC139" s="78">
        <v>0.5</v>
      </c>
      <c r="BD139" s="78">
        <v>1</v>
      </c>
      <c r="BE139" s="78">
        <v>0.5</v>
      </c>
      <c r="BF139" s="78">
        <v>0</v>
      </c>
      <c r="BG139" s="78">
        <v>8</v>
      </c>
      <c r="BH139" s="137">
        <v>0.52272730000000001</v>
      </c>
      <c r="BJ139" s="143" t="s">
        <v>786</v>
      </c>
      <c r="BK139" s="143" t="s">
        <v>787</v>
      </c>
      <c r="BL139" s="143" t="s">
        <v>728</v>
      </c>
      <c r="BM139" s="143">
        <v>79</v>
      </c>
      <c r="BN139" s="78">
        <v>1</v>
      </c>
      <c r="BO139" s="78">
        <v>4</v>
      </c>
      <c r="BP139" s="78">
        <v>7</v>
      </c>
      <c r="BQ139" s="78">
        <v>0</v>
      </c>
      <c r="BR139" s="78">
        <v>0</v>
      </c>
      <c r="BS139" s="78">
        <v>0</v>
      </c>
      <c r="BT139" s="78">
        <v>2</v>
      </c>
      <c r="BU139" s="137">
        <v>0.6086956</v>
      </c>
      <c r="BW139" s="143" t="s">
        <v>786</v>
      </c>
      <c r="BX139" s="143" t="s">
        <v>787</v>
      </c>
      <c r="BY139" s="143" t="s">
        <v>728</v>
      </c>
      <c r="BZ139" s="143">
        <v>79</v>
      </c>
      <c r="CA139" s="78">
        <v>1</v>
      </c>
      <c r="CB139" s="78">
        <v>1</v>
      </c>
      <c r="CC139" s="78">
        <v>1</v>
      </c>
      <c r="CD139" s="78">
        <v>2</v>
      </c>
      <c r="CE139" s="78">
        <v>1</v>
      </c>
      <c r="CF139" s="78">
        <v>0</v>
      </c>
      <c r="CG139" s="78">
        <v>1</v>
      </c>
      <c r="CH139" s="78">
        <v>2</v>
      </c>
      <c r="CI139" s="78">
        <v>1</v>
      </c>
      <c r="CJ139" s="78">
        <v>0</v>
      </c>
      <c r="CK139" s="137">
        <v>0.66666669999999995</v>
      </c>
      <c r="CM139" s="143" t="s">
        <v>786</v>
      </c>
      <c r="CN139" s="143" t="s">
        <v>787</v>
      </c>
      <c r="CO139" s="143" t="s">
        <v>728</v>
      </c>
      <c r="CP139" s="143">
        <v>79</v>
      </c>
      <c r="CQ139" s="78">
        <v>8</v>
      </c>
      <c r="CR139" s="78">
        <v>0</v>
      </c>
      <c r="CS139" s="78">
        <v>4</v>
      </c>
      <c r="CT139" s="78">
        <v>4</v>
      </c>
      <c r="CU139" s="78">
        <v>0</v>
      </c>
      <c r="CV139" s="78">
        <v>8</v>
      </c>
      <c r="CW139" s="137">
        <v>0.46153850000000002</v>
      </c>
      <c r="CY139" s="143" t="s">
        <v>786</v>
      </c>
      <c r="CZ139" s="143" t="s">
        <v>787</v>
      </c>
      <c r="DA139" s="143" t="s">
        <v>728</v>
      </c>
      <c r="DB139" s="143">
        <v>79</v>
      </c>
      <c r="DC139" s="78">
        <v>0</v>
      </c>
      <c r="DD139" s="137">
        <v>0</v>
      </c>
      <c r="DE139" s="137">
        <v>0</v>
      </c>
      <c r="DG139" s="143" t="s">
        <v>786</v>
      </c>
      <c r="DH139" s="143" t="s">
        <v>787</v>
      </c>
      <c r="DI139" s="143" t="s">
        <v>728</v>
      </c>
      <c r="DJ139" s="143">
        <v>79</v>
      </c>
      <c r="DK139" s="78">
        <v>2</v>
      </c>
      <c r="DL139" s="78">
        <v>1</v>
      </c>
      <c r="DM139" s="78">
        <v>1</v>
      </c>
      <c r="DN139" s="78">
        <v>5</v>
      </c>
      <c r="DO139" s="78">
        <v>2</v>
      </c>
      <c r="DP139" s="78">
        <v>3</v>
      </c>
      <c r="DQ139" s="78">
        <v>6</v>
      </c>
      <c r="DR139" s="78">
        <v>0</v>
      </c>
      <c r="DS139" s="78">
        <v>0</v>
      </c>
      <c r="DT139" s="78">
        <v>0</v>
      </c>
      <c r="DU139" s="78">
        <v>0</v>
      </c>
      <c r="DV139" s="137">
        <v>0.68965520000000002</v>
      </c>
      <c r="DX139" s="143" t="s">
        <v>786</v>
      </c>
      <c r="DY139" s="143" t="s">
        <v>787</v>
      </c>
      <c r="DZ139" s="143" t="s">
        <v>728</v>
      </c>
      <c r="EA139" s="143">
        <v>79</v>
      </c>
      <c r="EB139" s="78">
        <v>1</v>
      </c>
      <c r="EC139" s="78">
        <v>8</v>
      </c>
      <c r="ED139" s="78">
        <v>1</v>
      </c>
      <c r="EE139" s="78">
        <v>4</v>
      </c>
      <c r="EF139" s="78">
        <v>1</v>
      </c>
      <c r="EG139" s="78">
        <v>1</v>
      </c>
      <c r="EH139" s="78">
        <v>2</v>
      </c>
      <c r="EI139" s="78">
        <v>1</v>
      </c>
      <c r="EJ139" s="78">
        <v>1</v>
      </c>
      <c r="EK139" s="78">
        <v>1</v>
      </c>
      <c r="EL139" s="78">
        <v>4</v>
      </c>
      <c r="EM139" s="78">
        <v>1</v>
      </c>
      <c r="EN139" s="78">
        <v>0</v>
      </c>
      <c r="EO139" s="137">
        <v>0.96296300000000001</v>
      </c>
      <c r="EQ139" s="143" t="s">
        <v>786</v>
      </c>
      <c r="ER139" s="143" t="s">
        <v>787</v>
      </c>
      <c r="ES139" s="143" t="s">
        <v>728</v>
      </c>
      <c r="ET139" s="143">
        <v>79</v>
      </c>
      <c r="EU139" s="78">
        <v>0</v>
      </c>
      <c r="EV139" s="78">
        <v>1</v>
      </c>
      <c r="EW139" s="78">
        <v>0</v>
      </c>
      <c r="EX139" s="78">
        <v>0</v>
      </c>
      <c r="EY139" s="78">
        <v>0.5</v>
      </c>
      <c r="EZ139" s="78">
        <v>3</v>
      </c>
      <c r="FA139" s="78">
        <v>2</v>
      </c>
      <c r="FB139" s="78">
        <v>1</v>
      </c>
      <c r="FC139" s="137">
        <v>0.57692310000000002</v>
      </c>
      <c r="FE139" s="137">
        <v>0.46627570000000002</v>
      </c>
    </row>
    <row r="140" spans="1:161" hidden="1" x14ac:dyDescent="0.25">
      <c r="A140" s="143" t="s">
        <v>786</v>
      </c>
      <c r="B140" s="143" t="s">
        <v>787</v>
      </c>
      <c r="C140" s="143" t="s">
        <v>727</v>
      </c>
      <c r="D140" s="143">
        <v>80</v>
      </c>
      <c r="E140" s="78">
        <v>0.5</v>
      </c>
      <c r="F140" s="78">
        <v>2</v>
      </c>
      <c r="G140" s="78">
        <v>1</v>
      </c>
      <c r="H140" s="78">
        <v>3</v>
      </c>
      <c r="I140" s="78">
        <v>1</v>
      </c>
      <c r="J140" s="78">
        <v>1</v>
      </c>
      <c r="K140" s="78">
        <v>1</v>
      </c>
      <c r="L140" s="78">
        <v>1</v>
      </c>
      <c r="M140" s="78">
        <v>2</v>
      </c>
      <c r="N140" s="137">
        <v>0.89285709999999996</v>
      </c>
      <c r="P140" s="143" t="s">
        <v>786</v>
      </c>
      <c r="Q140" s="143" t="s">
        <v>787</v>
      </c>
      <c r="R140" s="143" t="s">
        <v>727</v>
      </c>
      <c r="S140" s="143">
        <v>80</v>
      </c>
      <c r="T140" s="78">
        <v>1</v>
      </c>
      <c r="U140" s="78">
        <v>1</v>
      </c>
      <c r="V140" s="78">
        <v>2.5</v>
      </c>
      <c r="W140" s="78">
        <v>2</v>
      </c>
      <c r="X140" s="78">
        <v>9</v>
      </c>
      <c r="Y140" s="78">
        <v>1</v>
      </c>
      <c r="Z140" s="78">
        <v>3</v>
      </c>
      <c r="AA140" s="78">
        <v>0</v>
      </c>
      <c r="AB140" s="78">
        <v>6</v>
      </c>
      <c r="AC140" s="78">
        <v>0</v>
      </c>
      <c r="AD140" s="137">
        <v>0.75</v>
      </c>
      <c r="AF140" s="143" t="s">
        <v>786</v>
      </c>
      <c r="AG140" s="143" t="s">
        <v>787</v>
      </c>
      <c r="AH140" s="143" t="s">
        <v>727</v>
      </c>
      <c r="AI140" s="143">
        <v>80</v>
      </c>
      <c r="AJ140" s="78">
        <v>1</v>
      </c>
      <c r="AK140" s="78">
        <v>1</v>
      </c>
      <c r="AL140" s="78">
        <v>1</v>
      </c>
      <c r="AM140" s="78">
        <v>1</v>
      </c>
      <c r="AN140" s="78">
        <v>1</v>
      </c>
      <c r="AO140" s="78">
        <v>2</v>
      </c>
      <c r="AP140" s="78">
        <v>1</v>
      </c>
      <c r="AQ140" s="78">
        <v>1</v>
      </c>
      <c r="AR140" s="78">
        <v>2</v>
      </c>
      <c r="AS140" s="78">
        <v>0</v>
      </c>
      <c r="AT140" s="78">
        <v>0</v>
      </c>
      <c r="AU140" s="78">
        <v>0</v>
      </c>
      <c r="AV140" s="78">
        <v>2</v>
      </c>
      <c r="AW140" s="78">
        <v>0</v>
      </c>
      <c r="AX140" s="78">
        <v>0</v>
      </c>
      <c r="AY140" s="78">
        <v>1</v>
      </c>
      <c r="AZ140" s="78">
        <v>2</v>
      </c>
      <c r="BA140" s="78">
        <v>0.5</v>
      </c>
      <c r="BB140" s="78">
        <v>0.5</v>
      </c>
      <c r="BC140" s="78">
        <v>0.5</v>
      </c>
      <c r="BD140" s="78">
        <v>1</v>
      </c>
      <c r="BE140" s="78">
        <v>0.5</v>
      </c>
      <c r="BF140" s="78">
        <v>0</v>
      </c>
      <c r="BG140" s="78">
        <v>6</v>
      </c>
      <c r="BH140" s="137">
        <v>0.56818179999999996</v>
      </c>
      <c r="BJ140" s="143" t="s">
        <v>786</v>
      </c>
      <c r="BK140" s="143" t="s">
        <v>787</v>
      </c>
      <c r="BL140" s="143" t="s">
        <v>727</v>
      </c>
      <c r="BM140" s="143">
        <v>80</v>
      </c>
      <c r="BN140" s="78">
        <v>1</v>
      </c>
      <c r="BO140" s="78">
        <v>0</v>
      </c>
      <c r="BP140" s="78">
        <v>7</v>
      </c>
      <c r="BQ140" s="78">
        <v>0</v>
      </c>
      <c r="BR140" s="78">
        <v>0</v>
      </c>
      <c r="BS140" s="78">
        <v>0</v>
      </c>
      <c r="BT140" s="78">
        <v>2</v>
      </c>
      <c r="BU140" s="137">
        <v>0.43478260000000002</v>
      </c>
      <c r="BW140" s="143" t="s">
        <v>786</v>
      </c>
      <c r="BX140" s="143" t="s">
        <v>787</v>
      </c>
      <c r="BY140" s="143" t="s">
        <v>727</v>
      </c>
      <c r="BZ140" s="143">
        <v>80</v>
      </c>
      <c r="CA140" s="78">
        <v>1</v>
      </c>
      <c r="CB140" s="78">
        <v>0</v>
      </c>
      <c r="CC140" s="78">
        <v>1</v>
      </c>
      <c r="CD140" s="78">
        <v>2</v>
      </c>
      <c r="CE140" s="78">
        <v>0</v>
      </c>
      <c r="CF140" s="78">
        <v>2</v>
      </c>
      <c r="CG140" s="78">
        <v>1</v>
      </c>
      <c r="CH140" s="78">
        <v>2</v>
      </c>
      <c r="CI140" s="78">
        <v>1</v>
      </c>
      <c r="CJ140" s="78">
        <v>0</v>
      </c>
      <c r="CK140" s="137">
        <v>0.66666669999999995</v>
      </c>
      <c r="CM140" s="143" t="s">
        <v>786</v>
      </c>
      <c r="CN140" s="143" t="s">
        <v>787</v>
      </c>
      <c r="CO140" s="143" t="s">
        <v>727</v>
      </c>
      <c r="CP140" s="143">
        <v>80</v>
      </c>
      <c r="CQ140" s="78">
        <v>8</v>
      </c>
      <c r="CR140" s="78">
        <v>0</v>
      </c>
      <c r="CS140" s="78">
        <v>8</v>
      </c>
      <c r="CT140" s="78">
        <v>4</v>
      </c>
      <c r="CU140" s="78">
        <v>2</v>
      </c>
      <c r="CV140" s="78">
        <v>8</v>
      </c>
      <c r="CW140" s="137">
        <v>0.57692310000000002</v>
      </c>
      <c r="CY140" s="143" t="s">
        <v>786</v>
      </c>
      <c r="CZ140" s="143" t="s">
        <v>787</v>
      </c>
      <c r="DA140" s="143" t="s">
        <v>727</v>
      </c>
      <c r="DB140" s="143">
        <v>80</v>
      </c>
      <c r="DC140" s="78">
        <v>0</v>
      </c>
      <c r="DD140" s="137">
        <v>0</v>
      </c>
      <c r="DE140" s="137">
        <v>0</v>
      </c>
      <c r="DG140" s="143" t="s">
        <v>786</v>
      </c>
      <c r="DH140" s="143" t="s">
        <v>787</v>
      </c>
      <c r="DI140" s="143" t="s">
        <v>727</v>
      </c>
      <c r="DJ140" s="143">
        <v>80</v>
      </c>
      <c r="DK140" s="78">
        <v>2</v>
      </c>
      <c r="DL140" s="78">
        <v>1</v>
      </c>
      <c r="DM140" s="78">
        <v>0</v>
      </c>
      <c r="DN140" s="78">
        <v>5</v>
      </c>
      <c r="DO140" s="78">
        <v>2</v>
      </c>
      <c r="DP140" s="78">
        <v>3</v>
      </c>
      <c r="DQ140" s="78">
        <v>6</v>
      </c>
      <c r="DR140" s="78">
        <v>1</v>
      </c>
      <c r="DS140" s="78">
        <v>1</v>
      </c>
      <c r="DT140" s="78">
        <v>0</v>
      </c>
      <c r="DU140" s="78">
        <v>1</v>
      </c>
      <c r="DV140" s="137">
        <v>0.75862070000000004</v>
      </c>
      <c r="DX140" s="143" t="s">
        <v>786</v>
      </c>
      <c r="DY140" s="143" t="s">
        <v>787</v>
      </c>
      <c r="DZ140" s="143" t="s">
        <v>727</v>
      </c>
      <c r="EA140" s="143">
        <v>80</v>
      </c>
      <c r="EB140" s="78">
        <v>1</v>
      </c>
      <c r="EC140" s="78">
        <v>8</v>
      </c>
      <c r="ED140" s="78">
        <v>1</v>
      </c>
      <c r="EE140" s="78">
        <v>4</v>
      </c>
      <c r="EF140" s="78">
        <v>1</v>
      </c>
      <c r="EG140" s="78">
        <v>1</v>
      </c>
      <c r="EH140" s="78">
        <v>2</v>
      </c>
      <c r="EI140" s="78">
        <v>1</v>
      </c>
      <c r="EJ140" s="78">
        <v>1</v>
      </c>
      <c r="EK140" s="78">
        <v>1</v>
      </c>
      <c r="EL140" s="78">
        <v>4</v>
      </c>
      <c r="EM140" s="78">
        <v>1</v>
      </c>
      <c r="EN140" s="78">
        <v>0</v>
      </c>
      <c r="EO140" s="137">
        <v>0.96296300000000001</v>
      </c>
      <c r="EQ140" s="143" t="s">
        <v>786</v>
      </c>
      <c r="ER140" s="143" t="s">
        <v>787</v>
      </c>
      <c r="ES140" s="143" t="s">
        <v>727</v>
      </c>
      <c r="ET140" s="143">
        <v>80</v>
      </c>
      <c r="EU140" s="78">
        <v>0</v>
      </c>
      <c r="EV140" s="78">
        <v>1</v>
      </c>
      <c r="EW140" s="78">
        <v>0</v>
      </c>
      <c r="EX140" s="78">
        <v>0</v>
      </c>
      <c r="EY140" s="78">
        <v>0.5</v>
      </c>
      <c r="EZ140" s="78">
        <v>3</v>
      </c>
      <c r="FA140" s="78">
        <v>2</v>
      </c>
      <c r="FB140" s="78">
        <v>1</v>
      </c>
      <c r="FC140" s="137">
        <v>0.57692310000000002</v>
      </c>
      <c r="FE140" s="137">
        <v>0.49413489999999999</v>
      </c>
    </row>
    <row r="141" spans="1:161" x14ac:dyDescent="0.25">
      <c r="A141" s="143" t="s">
        <v>786</v>
      </c>
      <c r="B141" s="143" t="s">
        <v>787</v>
      </c>
      <c r="C141" s="143" t="s">
        <v>728</v>
      </c>
      <c r="D141" s="143">
        <v>1111</v>
      </c>
      <c r="E141" s="78">
        <v>0.5</v>
      </c>
      <c r="F141" s="78">
        <v>2.5</v>
      </c>
      <c r="G141" s="78">
        <v>1</v>
      </c>
      <c r="H141" s="78">
        <v>4</v>
      </c>
      <c r="I141" s="78">
        <v>1</v>
      </c>
      <c r="J141" s="78">
        <v>1</v>
      </c>
      <c r="K141" s="78">
        <v>1</v>
      </c>
      <c r="L141" s="78">
        <v>1</v>
      </c>
      <c r="M141" s="78">
        <v>2</v>
      </c>
      <c r="N141" s="137">
        <v>1</v>
      </c>
      <c r="P141" s="143" t="s">
        <v>786</v>
      </c>
      <c r="Q141" s="143" t="s">
        <v>787</v>
      </c>
      <c r="R141" s="143" t="s">
        <v>728</v>
      </c>
      <c r="S141" s="143">
        <v>1111</v>
      </c>
      <c r="T141" s="78">
        <v>1</v>
      </c>
      <c r="U141" s="78">
        <v>1</v>
      </c>
      <c r="V141" s="78">
        <v>0</v>
      </c>
      <c r="W141" s="78">
        <v>2</v>
      </c>
      <c r="X141" s="78">
        <v>12</v>
      </c>
      <c r="Y141" s="78">
        <v>1</v>
      </c>
      <c r="Z141" s="78">
        <v>3</v>
      </c>
      <c r="AA141" s="78">
        <v>0</v>
      </c>
      <c r="AB141" s="78">
        <v>6</v>
      </c>
      <c r="AC141" s="78">
        <v>0</v>
      </c>
      <c r="AD141" s="137">
        <v>0.76470590000000005</v>
      </c>
      <c r="AF141" s="143" t="s">
        <v>786</v>
      </c>
      <c r="AG141" s="143" t="s">
        <v>787</v>
      </c>
      <c r="AH141" s="143" t="s">
        <v>728</v>
      </c>
      <c r="AI141" s="143">
        <v>1111</v>
      </c>
      <c r="AJ141" s="78">
        <v>1</v>
      </c>
      <c r="AK141" s="78">
        <v>1</v>
      </c>
      <c r="AL141" s="78">
        <v>1</v>
      </c>
      <c r="AM141" s="78">
        <v>0</v>
      </c>
      <c r="AN141" s="78">
        <v>1</v>
      </c>
      <c r="AO141" s="78">
        <v>2</v>
      </c>
      <c r="AP141" s="78">
        <v>1</v>
      </c>
      <c r="AQ141" s="78">
        <v>1</v>
      </c>
      <c r="AR141" s="78">
        <v>0</v>
      </c>
      <c r="AS141" s="78">
        <v>2</v>
      </c>
      <c r="AT141" s="78">
        <v>2</v>
      </c>
      <c r="AU141" s="78">
        <v>1</v>
      </c>
      <c r="AV141" s="78">
        <v>2</v>
      </c>
      <c r="AW141" s="78">
        <v>1</v>
      </c>
      <c r="AX141" s="78">
        <v>0</v>
      </c>
      <c r="AY141" s="78">
        <v>1</v>
      </c>
      <c r="AZ141" s="78">
        <v>2</v>
      </c>
      <c r="BA141" s="78">
        <v>0.5</v>
      </c>
      <c r="BB141" s="78">
        <v>0.5</v>
      </c>
      <c r="BC141" s="78">
        <v>0.5</v>
      </c>
      <c r="BD141" s="78">
        <v>1</v>
      </c>
      <c r="BE141" s="78">
        <v>0.5</v>
      </c>
      <c r="BF141" s="78">
        <v>1</v>
      </c>
      <c r="BG141" s="78">
        <v>8</v>
      </c>
      <c r="BH141" s="137">
        <v>0.70454539999999999</v>
      </c>
      <c r="BJ141" s="143" t="s">
        <v>786</v>
      </c>
      <c r="BK141" s="143" t="s">
        <v>787</v>
      </c>
      <c r="BL141" s="143" t="s">
        <v>728</v>
      </c>
      <c r="BM141" s="143">
        <v>1111</v>
      </c>
      <c r="BN141" s="78">
        <v>1</v>
      </c>
      <c r="BO141" s="78">
        <v>4</v>
      </c>
      <c r="BP141" s="78">
        <v>7</v>
      </c>
      <c r="BQ141" s="78">
        <v>0</v>
      </c>
      <c r="BR141" s="78">
        <v>0</v>
      </c>
      <c r="BS141" s="78">
        <v>3</v>
      </c>
      <c r="BT141" s="78">
        <v>2</v>
      </c>
      <c r="BU141" s="137">
        <v>0.73913039999999997</v>
      </c>
      <c r="BW141" s="143" t="s">
        <v>786</v>
      </c>
      <c r="BX141" s="143" t="s">
        <v>787</v>
      </c>
      <c r="BY141" s="143" t="s">
        <v>728</v>
      </c>
      <c r="BZ141" s="143">
        <v>1111</v>
      </c>
      <c r="CA141" s="78">
        <v>1</v>
      </c>
      <c r="CB141" s="78">
        <v>1</v>
      </c>
      <c r="CC141" s="78">
        <v>1</v>
      </c>
      <c r="CD141" s="78">
        <v>0</v>
      </c>
      <c r="CE141" s="78">
        <v>1</v>
      </c>
      <c r="CF141" s="78">
        <v>2</v>
      </c>
      <c r="CG141" s="78">
        <v>1</v>
      </c>
      <c r="CH141" s="78">
        <v>2</v>
      </c>
      <c r="CI141" s="78">
        <v>0</v>
      </c>
      <c r="CJ141" s="78">
        <v>3</v>
      </c>
      <c r="CK141" s="137">
        <v>0.8</v>
      </c>
      <c r="CM141" s="143" t="s">
        <v>786</v>
      </c>
      <c r="CN141" s="143" t="s">
        <v>787</v>
      </c>
      <c r="CO141" s="143" t="s">
        <v>728</v>
      </c>
      <c r="CP141" s="143">
        <v>1111</v>
      </c>
      <c r="CQ141" s="78">
        <v>8</v>
      </c>
      <c r="CR141" s="78">
        <v>0</v>
      </c>
      <c r="CS141" s="78">
        <v>4</v>
      </c>
      <c r="CT141" s="78">
        <v>4</v>
      </c>
      <c r="CU141" s="78">
        <v>0</v>
      </c>
      <c r="CV141" s="78">
        <v>8</v>
      </c>
      <c r="CW141" s="137">
        <v>0.46153850000000002</v>
      </c>
      <c r="CY141" s="143" t="s">
        <v>786</v>
      </c>
      <c r="CZ141" s="143" t="s">
        <v>787</v>
      </c>
      <c r="DA141" s="143" t="s">
        <v>728</v>
      </c>
      <c r="DB141" s="143">
        <v>1111</v>
      </c>
      <c r="DC141" s="78">
        <v>0</v>
      </c>
      <c r="DD141" s="137">
        <v>0</v>
      </c>
      <c r="DE141" s="137">
        <v>0</v>
      </c>
      <c r="DG141" s="143" t="s">
        <v>786</v>
      </c>
      <c r="DH141" s="143" t="s">
        <v>787</v>
      </c>
      <c r="DI141" s="143" t="s">
        <v>728</v>
      </c>
      <c r="DJ141" s="143">
        <v>1111</v>
      </c>
      <c r="DK141" s="78">
        <v>2</v>
      </c>
      <c r="DL141" s="78">
        <v>1</v>
      </c>
      <c r="DM141" s="78">
        <v>1</v>
      </c>
      <c r="DN141" s="78">
        <v>7</v>
      </c>
      <c r="DO141" s="78">
        <v>2</v>
      </c>
      <c r="DP141" s="78">
        <v>3</v>
      </c>
      <c r="DQ141" s="78">
        <v>8</v>
      </c>
      <c r="DR141" s="78">
        <v>1</v>
      </c>
      <c r="DS141" s="78">
        <v>1</v>
      </c>
      <c r="DT141" s="78">
        <v>0</v>
      </c>
      <c r="DU141" s="78">
        <v>1</v>
      </c>
      <c r="DV141" s="137">
        <v>0.93103449999999999</v>
      </c>
      <c r="DX141" s="143" t="s">
        <v>786</v>
      </c>
      <c r="DY141" s="143" t="s">
        <v>787</v>
      </c>
      <c r="DZ141" s="143" t="s">
        <v>728</v>
      </c>
      <c r="EA141" s="143">
        <v>1111</v>
      </c>
      <c r="EB141" s="78">
        <v>1</v>
      </c>
      <c r="EC141" s="78">
        <v>8</v>
      </c>
      <c r="ED141" s="78">
        <v>1</v>
      </c>
      <c r="EE141" s="78">
        <v>4</v>
      </c>
      <c r="EF141" s="78">
        <v>1</v>
      </c>
      <c r="EG141" s="78">
        <v>1</v>
      </c>
      <c r="EH141" s="78">
        <v>2</v>
      </c>
      <c r="EI141" s="78">
        <v>1</v>
      </c>
      <c r="EJ141" s="78">
        <v>1</v>
      </c>
      <c r="EK141" s="78">
        <v>1</v>
      </c>
      <c r="EL141" s="78">
        <v>4</v>
      </c>
      <c r="EM141" s="78">
        <v>1</v>
      </c>
      <c r="EN141" s="78">
        <v>0</v>
      </c>
      <c r="EO141" s="137">
        <v>0.96296300000000001</v>
      </c>
      <c r="EQ141" s="143" t="s">
        <v>786</v>
      </c>
      <c r="ER141" s="143" t="s">
        <v>787</v>
      </c>
      <c r="ES141" s="143" t="s">
        <v>728</v>
      </c>
      <c r="ET141" s="143">
        <v>1111</v>
      </c>
      <c r="EU141" s="78">
        <v>0</v>
      </c>
      <c r="EV141" s="78">
        <v>1</v>
      </c>
      <c r="EW141" s="78">
        <v>0</v>
      </c>
      <c r="EX141" s="78">
        <v>0</v>
      </c>
      <c r="EY141" s="78">
        <v>0.5</v>
      </c>
      <c r="EZ141" s="78">
        <v>3</v>
      </c>
      <c r="FA141" s="78">
        <v>2</v>
      </c>
      <c r="FB141" s="78">
        <v>0</v>
      </c>
      <c r="FC141" s="137">
        <v>0.5</v>
      </c>
      <c r="FE141" s="137">
        <v>0.53812320000000002</v>
      </c>
    </row>
    <row r="142" spans="1:161" x14ac:dyDescent="0.25">
      <c r="A142" s="143" t="s">
        <v>788</v>
      </c>
      <c r="B142" s="143" t="s">
        <v>766</v>
      </c>
      <c r="C142" s="143" t="s">
        <v>728</v>
      </c>
      <c r="D142" s="143">
        <v>63</v>
      </c>
      <c r="E142" s="78">
        <v>0</v>
      </c>
      <c r="F142" s="78">
        <v>2.5</v>
      </c>
      <c r="G142" s="78">
        <v>1</v>
      </c>
      <c r="H142" s="78">
        <v>4</v>
      </c>
      <c r="I142" s="78">
        <v>1</v>
      </c>
      <c r="J142" s="78">
        <v>0</v>
      </c>
      <c r="K142" s="78">
        <v>1</v>
      </c>
      <c r="L142" s="78">
        <v>0</v>
      </c>
      <c r="M142" s="78">
        <v>2</v>
      </c>
      <c r="N142" s="137">
        <v>0.82142859999999995</v>
      </c>
      <c r="P142" s="143" t="s">
        <v>788</v>
      </c>
      <c r="Q142" s="143" t="s">
        <v>766</v>
      </c>
      <c r="R142" s="143" t="s">
        <v>728</v>
      </c>
      <c r="S142" s="143">
        <v>63</v>
      </c>
      <c r="T142" s="78">
        <v>1</v>
      </c>
      <c r="U142" s="78">
        <v>1</v>
      </c>
      <c r="V142" s="78">
        <v>1.5</v>
      </c>
      <c r="W142" s="78">
        <v>2</v>
      </c>
      <c r="X142" s="78">
        <v>9</v>
      </c>
      <c r="Y142" s="78">
        <v>1</v>
      </c>
      <c r="Z142" s="78">
        <v>3</v>
      </c>
      <c r="AA142" s="78">
        <v>0</v>
      </c>
      <c r="AB142" s="78">
        <v>0</v>
      </c>
      <c r="AC142" s="78">
        <v>0</v>
      </c>
      <c r="AD142" s="137">
        <v>0.54411759999999998</v>
      </c>
      <c r="AF142" s="143" t="s">
        <v>788</v>
      </c>
      <c r="AG142" s="143" t="s">
        <v>766</v>
      </c>
      <c r="AH142" s="143" t="s">
        <v>728</v>
      </c>
      <c r="AI142" s="143">
        <v>63</v>
      </c>
      <c r="AJ142" s="78">
        <v>0</v>
      </c>
      <c r="AK142" s="78">
        <v>0</v>
      </c>
      <c r="AL142" s="78">
        <v>1</v>
      </c>
      <c r="AM142" s="78">
        <v>5</v>
      </c>
      <c r="AN142" s="78">
        <v>0</v>
      </c>
      <c r="AO142" s="78">
        <v>0</v>
      </c>
      <c r="AP142" s="78">
        <v>1</v>
      </c>
      <c r="AQ142" s="78">
        <v>1</v>
      </c>
      <c r="AR142" s="78">
        <v>2</v>
      </c>
      <c r="AS142" s="78">
        <v>2</v>
      </c>
      <c r="AT142" s="78">
        <v>0</v>
      </c>
      <c r="AU142" s="78">
        <v>1</v>
      </c>
      <c r="AV142" s="78">
        <v>0</v>
      </c>
      <c r="AW142" s="78">
        <v>1</v>
      </c>
      <c r="AX142" s="78">
        <v>0</v>
      </c>
      <c r="AY142" s="78">
        <v>0</v>
      </c>
      <c r="AZ142" s="78">
        <v>2</v>
      </c>
      <c r="BA142" s="78">
        <v>0.5</v>
      </c>
      <c r="BB142" s="78">
        <v>0.5</v>
      </c>
      <c r="BC142" s="78">
        <v>0.5</v>
      </c>
      <c r="BD142" s="78">
        <v>1</v>
      </c>
      <c r="BE142" s="78">
        <v>0.5</v>
      </c>
      <c r="BF142" s="78">
        <v>0</v>
      </c>
      <c r="BG142" s="78">
        <v>6</v>
      </c>
      <c r="BH142" s="137">
        <v>0.56818179999999996</v>
      </c>
      <c r="BJ142" s="143" t="s">
        <v>788</v>
      </c>
      <c r="BK142" s="143" t="s">
        <v>766</v>
      </c>
      <c r="BL142" s="143" t="s">
        <v>728</v>
      </c>
      <c r="BM142" s="143">
        <v>63</v>
      </c>
      <c r="BN142" s="78">
        <v>1</v>
      </c>
      <c r="BO142" s="78">
        <v>4</v>
      </c>
      <c r="BP142" s="78">
        <v>0</v>
      </c>
      <c r="BQ142" s="78">
        <v>0</v>
      </c>
      <c r="BR142" s="78">
        <v>0</v>
      </c>
      <c r="BS142" s="78">
        <v>0</v>
      </c>
      <c r="BT142" s="78">
        <v>0</v>
      </c>
      <c r="BU142" s="137">
        <v>0.21739130000000001</v>
      </c>
      <c r="BW142" s="143" t="s">
        <v>788</v>
      </c>
      <c r="BX142" s="143" t="s">
        <v>766</v>
      </c>
      <c r="BY142" s="143" t="s">
        <v>728</v>
      </c>
      <c r="BZ142" s="143">
        <v>63</v>
      </c>
      <c r="CM142" s="143" t="s">
        <v>788</v>
      </c>
      <c r="CN142" s="143" t="s">
        <v>766</v>
      </c>
      <c r="CO142" s="143" t="s">
        <v>728</v>
      </c>
      <c r="CP142" s="143">
        <v>63</v>
      </c>
      <c r="CQ142" s="78">
        <v>8</v>
      </c>
      <c r="CR142" s="78">
        <v>0</v>
      </c>
      <c r="CS142" s="78">
        <v>12</v>
      </c>
      <c r="CT142" s="78">
        <v>4</v>
      </c>
      <c r="CU142" s="78">
        <v>2</v>
      </c>
      <c r="CV142" s="78">
        <v>8</v>
      </c>
      <c r="CW142" s="137">
        <v>0.65384609999999999</v>
      </c>
      <c r="CY142" s="143" t="s">
        <v>788</v>
      </c>
      <c r="CZ142" s="143" t="s">
        <v>766</v>
      </c>
      <c r="DA142" s="143" t="s">
        <v>728</v>
      </c>
      <c r="DB142" s="143">
        <v>63</v>
      </c>
      <c r="DC142" s="78">
        <v>30</v>
      </c>
      <c r="DD142" s="137">
        <v>0.2</v>
      </c>
      <c r="DE142" s="137">
        <v>6.6666699999999995E-2</v>
      </c>
      <c r="DG142" s="143" t="s">
        <v>788</v>
      </c>
      <c r="DH142" s="143" t="s">
        <v>766</v>
      </c>
      <c r="DI142" s="143" t="s">
        <v>728</v>
      </c>
      <c r="DJ142" s="143">
        <v>63</v>
      </c>
      <c r="DK142" s="78">
        <v>0</v>
      </c>
      <c r="DL142" s="78">
        <v>1</v>
      </c>
      <c r="DM142" s="78">
        <v>0</v>
      </c>
      <c r="DN142" s="78">
        <v>5</v>
      </c>
      <c r="DO142" s="78">
        <v>2</v>
      </c>
      <c r="DP142" s="78">
        <v>3</v>
      </c>
      <c r="DQ142" s="78">
        <v>4</v>
      </c>
      <c r="DR142" s="78">
        <v>0</v>
      </c>
      <c r="DS142" s="78">
        <v>1</v>
      </c>
      <c r="DT142" s="78">
        <v>0</v>
      </c>
      <c r="DU142" s="78">
        <v>0</v>
      </c>
      <c r="DV142" s="137">
        <v>0.55172410000000005</v>
      </c>
      <c r="DX142" s="143" t="s">
        <v>788</v>
      </c>
      <c r="DY142" s="143" t="s">
        <v>766</v>
      </c>
      <c r="DZ142" s="143" t="s">
        <v>728</v>
      </c>
      <c r="EA142" s="143">
        <v>63</v>
      </c>
      <c r="EB142" s="78">
        <v>1</v>
      </c>
      <c r="EC142" s="78">
        <v>8</v>
      </c>
      <c r="ED142" s="78">
        <v>1</v>
      </c>
      <c r="EE142" s="78">
        <v>4</v>
      </c>
      <c r="EF142" s="78">
        <v>0</v>
      </c>
      <c r="EG142" s="78">
        <v>1</v>
      </c>
      <c r="EH142" s="78">
        <v>0</v>
      </c>
      <c r="EI142" s="78">
        <v>1</v>
      </c>
      <c r="EJ142" s="78">
        <v>1</v>
      </c>
      <c r="EK142" s="78">
        <v>1</v>
      </c>
      <c r="EL142" s="78">
        <v>4</v>
      </c>
      <c r="EM142" s="78">
        <v>1</v>
      </c>
      <c r="EN142" s="78">
        <v>1</v>
      </c>
      <c r="EO142" s="137">
        <v>0.88888889999999998</v>
      </c>
      <c r="EQ142" s="143" t="s">
        <v>788</v>
      </c>
      <c r="ER142" s="143" t="s">
        <v>766</v>
      </c>
      <c r="ES142" s="143" t="s">
        <v>728</v>
      </c>
      <c r="ET142" s="143">
        <v>63</v>
      </c>
      <c r="EU142" s="78">
        <v>0</v>
      </c>
      <c r="EV142" s="78">
        <v>0</v>
      </c>
      <c r="EW142" s="78">
        <v>0</v>
      </c>
      <c r="EX142" s="78">
        <v>0</v>
      </c>
      <c r="EY142" s="78">
        <v>0.5</v>
      </c>
      <c r="EZ142" s="78">
        <v>3</v>
      </c>
      <c r="FA142" s="78">
        <v>2</v>
      </c>
      <c r="FB142" s="78">
        <v>0</v>
      </c>
      <c r="FC142" s="137">
        <v>0.42307689999999998</v>
      </c>
      <c r="FE142" s="137">
        <v>0.44631900000000002</v>
      </c>
    </row>
    <row r="143" spans="1:161" hidden="1" x14ac:dyDescent="0.25">
      <c r="A143" s="143" t="s">
        <v>788</v>
      </c>
      <c r="B143" s="143" t="s">
        <v>766</v>
      </c>
      <c r="C143" s="143" t="s">
        <v>727</v>
      </c>
      <c r="D143" s="143">
        <v>70</v>
      </c>
      <c r="E143" s="78">
        <v>0.5</v>
      </c>
      <c r="F143" s="78">
        <v>2</v>
      </c>
      <c r="G143" s="78">
        <v>1</v>
      </c>
      <c r="H143" s="78">
        <v>4</v>
      </c>
      <c r="I143" s="78">
        <v>1</v>
      </c>
      <c r="J143" s="78">
        <v>0</v>
      </c>
      <c r="K143" s="78">
        <v>1</v>
      </c>
      <c r="L143" s="78">
        <v>1</v>
      </c>
      <c r="M143" s="78">
        <v>2</v>
      </c>
      <c r="N143" s="137">
        <v>0.89285709999999996</v>
      </c>
      <c r="P143" s="143" t="s">
        <v>788</v>
      </c>
      <c r="Q143" s="143" t="s">
        <v>766</v>
      </c>
      <c r="R143" s="143" t="s">
        <v>727</v>
      </c>
      <c r="S143" s="143">
        <v>70</v>
      </c>
      <c r="T143" s="78">
        <v>1</v>
      </c>
      <c r="U143" s="78">
        <v>1</v>
      </c>
      <c r="V143" s="78">
        <v>2</v>
      </c>
      <c r="W143" s="78">
        <v>0</v>
      </c>
      <c r="X143" s="78">
        <v>9</v>
      </c>
      <c r="Y143" s="78">
        <v>1</v>
      </c>
      <c r="Z143" s="78">
        <v>3</v>
      </c>
      <c r="AA143" s="78">
        <v>0</v>
      </c>
      <c r="AB143" s="78">
        <v>0</v>
      </c>
      <c r="AC143" s="78">
        <v>0</v>
      </c>
      <c r="AD143" s="137">
        <v>0.5</v>
      </c>
      <c r="AF143" s="143" t="s">
        <v>788</v>
      </c>
      <c r="AG143" s="143" t="s">
        <v>766</v>
      </c>
      <c r="AH143" s="143" t="s">
        <v>727</v>
      </c>
      <c r="AI143" s="143">
        <v>70</v>
      </c>
      <c r="AJ143" s="78">
        <v>0</v>
      </c>
      <c r="AK143" s="78">
        <v>0</v>
      </c>
      <c r="AL143" s="78">
        <v>1</v>
      </c>
      <c r="AM143" s="78">
        <v>0</v>
      </c>
      <c r="AN143" s="78">
        <v>1</v>
      </c>
      <c r="AO143" s="78">
        <v>2</v>
      </c>
      <c r="AP143" s="78">
        <v>1</v>
      </c>
      <c r="AQ143" s="78">
        <v>1</v>
      </c>
      <c r="AR143" s="78">
        <v>2</v>
      </c>
      <c r="AS143" s="78">
        <v>2</v>
      </c>
      <c r="AT143" s="78">
        <v>2</v>
      </c>
      <c r="AU143" s="78">
        <v>1</v>
      </c>
      <c r="AV143" s="78">
        <v>0</v>
      </c>
      <c r="AW143" s="78">
        <v>1</v>
      </c>
      <c r="AX143" s="78">
        <v>0</v>
      </c>
      <c r="AY143" s="78">
        <v>1</v>
      </c>
      <c r="AZ143" s="78">
        <v>2</v>
      </c>
      <c r="BA143" s="78">
        <v>0.5</v>
      </c>
      <c r="BB143" s="78">
        <v>0.5</v>
      </c>
      <c r="BC143" s="78">
        <v>0.5</v>
      </c>
      <c r="BD143" s="78">
        <v>1</v>
      </c>
      <c r="BE143" s="78">
        <v>0.5</v>
      </c>
      <c r="BF143" s="78">
        <v>0</v>
      </c>
      <c r="BG143" s="78">
        <v>6</v>
      </c>
      <c r="BH143" s="137">
        <v>0.59090909999999996</v>
      </c>
      <c r="BJ143" s="143" t="s">
        <v>788</v>
      </c>
      <c r="BK143" s="143" t="s">
        <v>766</v>
      </c>
      <c r="BL143" s="143" t="s">
        <v>727</v>
      </c>
      <c r="BM143" s="143">
        <v>70</v>
      </c>
      <c r="BN143" s="78">
        <v>1</v>
      </c>
      <c r="BO143" s="78">
        <v>4</v>
      </c>
      <c r="BP143" s="78">
        <v>7</v>
      </c>
      <c r="BQ143" s="78">
        <v>0</v>
      </c>
      <c r="BR143" s="78">
        <v>0</v>
      </c>
      <c r="BS143" s="78">
        <v>3</v>
      </c>
      <c r="BT143" s="78">
        <v>2</v>
      </c>
      <c r="BU143" s="137">
        <v>0.73913039999999997</v>
      </c>
      <c r="BW143" s="143" t="s">
        <v>788</v>
      </c>
      <c r="BX143" s="143" t="s">
        <v>766</v>
      </c>
      <c r="BY143" s="143" t="s">
        <v>727</v>
      </c>
      <c r="BZ143" s="143">
        <v>70</v>
      </c>
      <c r="CA143" s="78">
        <v>1</v>
      </c>
      <c r="CB143" s="78">
        <v>0</v>
      </c>
      <c r="CC143" s="78">
        <v>1</v>
      </c>
      <c r="CD143" s="78">
        <v>2</v>
      </c>
      <c r="CE143" s="78">
        <v>1</v>
      </c>
      <c r="CF143" s="78">
        <v>0</v>
      </c>
      <c r="CG143" s="78">
        <v>1</v>
      </c>
      <c r="CH143" s="78">
        <v>0</v>
      </c>
      <c r="CI143" s="78">
        <v>1</v>
      </c>
      <c r="CJ143" s="78">
        <v>0</v>
      </c>
      <c r="CK143" s="137">
        <v>0.46666669999999999</v>
      </c>
      <c r="CM143" s="143" t="s">
        <v>788</v>
      </c>
      <c r="CN143" s="143" t="s">
        <v>766</v>
      </c>
      <c r="CO143" s="143" t="s">
        <v>727</v>
      </c>
      <c r="CP143" s="143">
        <v>70</v>
      </c>
      <c r="CQ143" s="78">
        <v>8</v>
      </c>
      <c r="CR143" s="78">
        <v>0</v>
      </c>
      <c r="CS143" s="78">
        <v>20</v>
      </c>
      <c r="CT143" s="78">
        <v>4</v>
      </c>
      <c r="CU143" s="78">
        <v>0</v>
      </c>
      <c r="CV143" s="78">
        <v>8</v>
      </c>
      <c r="CW143" s="137">
        <v>0.76923079999999999</v>
      </c>
      <c r="CY143" s="143" t="s">
        <v>788</v>
      </c>
      <c r="CZ143" s="143" t="s">
        <v>766</v>
      </c>
      <c r="DA143" s="143" t="s">
        <v>727</v>
      </c>
      <c r="DB143" s="143">
        <v>70</v>
      </c>
      <c r="DC143" s="78">
        <v>38</v>
      </c>
      <c r="DD143" s="137">
        <v>0</v>
      </c>
      <c r="DE143" s="137">
        <v>0</v>
      </c>
      <c r="DG143" s="143" t="s">
        <v>788</v>
      </c>
      <c r="DH143" s="143" t="s">
        <v>766</v>
      </c>
      <c r="DI143" s="143" t="s">
        <v>727</v>
      </c>
      <c r="DJ143" s="143">
        <v>70</v>
      </c>
      <c r="DK143" s="78">
        <v>2</v>
      </c>
      <c r="DL143" s="78">
        <v>1</v>
      </c>
      <c r="DM143" s="78">
        <v>0</v>
      </c>
      <c r="DN143" s="78">
        <v>3</v>
      </c>
      <c r="DO143" s="78">
        <v>2</v>
      </c>
      <c r="DP143" s="78">
        <v>3</v>
      </c>
      <c r="DQ143" s="78">
        <v>3</v>
      </c>
      <c r="DR143" s="78">
        <v>0</v>
      </c>
      <c r="DS143" s="78">
        <v>1</v>
      </c>
      <c r="DT143" s="78">
        <v>0</v>
      </c>
      <c r="DU143" s="78">
        <v>0</v>
      </c>
      <c r="DV143" s="137">
        <v>0.51724139999999996</v>
      </c>
      <c r="DX143" s="143" t="s">
        <v>788</v>
      </c>
      <c r="DY143" s="143" t="s">
        <v>766</v>
      </c>
      <c r="DZ143" s="143" t="s">
        <v>727</v>
      </c>
      <c r="EA143" s="143">
        <v>70</v>
      </c>
      <c r="EB143" s="78">
        <v>0</v>
      </c>
      <c r="EC143" s="78">
        <v>8</v>
      </c>
      <c r="ED143" s="78">
        <v>1</v>
      </c>
      <c r="EE143" s="78">
        <v>4</v>
      </c>
      <c r="EF143" s="78">
        <v>0</v>
      </c>
      <c r="EG143" s="78">
        <v>1</v>
      </c>
      <c r="EH143" s="78">
        <v>0</v>
      </c>
      <c r="EI143" s="78">
        <v>1</v>
      </c>
      <c r="EJ143" s="78">
        <v>1</v>
      </c>
      <c r="EK143" s="78">
        <v>1</v>
      </c>
      <c r="EL143" s="78">
        <v>4</v>
      </c>
      <c r="EM143" s="78">
        <v>1</v>
      </c>
      <c r="EN143" s="78">
        <v>1</v>
      </c>
      <c r="EO143" s="137">
        <v>0.8518519</v>
      </c>
      <c r="EQ143" s="143" t="s">
        <v>788</v>
      </c>
      <c r="ER143" s="143" t="s">
        <v>766</v>
      </c>
      <c r="ES143" s="143" t="s">
        <v>727</v>
      </c>
      <c r="ET143" s="143">
        <v>70</v>
      </c>
      <c r="EU143" s="78">
        <v>0</v>
      </c>
      <c r="EV143" s="78">
        <v>0</v>
      </c>
      <c r="EW143" s="78">
        <v>0</v>
      </c>
      <c r="EX143" s="78">
        <v>0</v>
      </c>
      <c r="EY143" s="78">
        <v>0.5</v>
      </c>
      <c r="EZ143" s="78">
        <v>3</v>
      </c>
      <c r="FA143" s="78">
        <v>2</v>
      </c>
      <c r="FB143" s="78">
        <v>0</v>
      </c>
      <c r="FC143" s="137">
        <v>0.42307689999999998</v>
      </c>
      <c r="FE143" s="137">
        <v>0.47800589999999998</v>
      </c>
    </row>
    <row r="144" spans="1:161" x14ac:dyDescent="0.25">
      <c r="A144" s="143" t="s">
        <v>788</v>
      </c>
      <c r="B144" s="143" t="s">
        <v>766</v>
      </c>
      <c r="C144" s="143" t="s">
        <v>728</v>
      </c>
      <c r="D144" s="143">
        <v>1633</v>
      </c>
      <c r="E144" s="78">
        <v>0.5</v>
      </c>
      <c r="F144" s="78">
        <v>2</v>
      </c>
      <c r="G144" s="78">
        <v>1</v>
      </c>
      <c r="H144" s="78">
        <v>4</v>
      </c>
      <c r="I144" s="78">
        <v>1</v>
      </c>
      <c r="J144" s="78">
        <v>0</v>
      </c>
      <c r="K144" s="78">
        <v>1</v>
      </c>
      <c r="L144" s="78">
        <v>0</v>
      </c>
      <c r="M144" s="78">
        <v>2</v>
      </c>
      <c r="N144" s="137">
        <v>0.82142859999999995</v>
      </c>
      <c r="P144" s="143" t="s">
        <v>788</v>
      </c>
      <c r="Q144" s="143" t="s">
        <v>766</v>
      </c>
      <c r="R144" s="143" t="s">
        <v>728</v>
      </c>
      <c r="S144" s="143">
        <v>1633</v>
      </c>
      <c r="T144" s="78">
        <v>1</v>
      </c>
      <c r="U144" s="78">
        <v>1</v>
      </c>
      <c r="V144" s="78">
        <v>0</v>
      </c>
      <c r="W144" s="78">
        <v>0</v>
      </c>
      <c r="X144" s="78">
        <v>6</v>
      </c>
      <c r="Y144" s="78">
        <v>1</v>
      </c>
      <c r="Z144" s="78">
        <v>0</v>
      </c>
      <c r="AA144" s="78">
        <v>2</v>
      </c>
      <c r="AB144" s="78">
        <v>0</v>
      </c>
      <c r="AC144" s="78">
        <v>3</v>
      </c>
      <c r="AD144" s="137">
        <v>0.41176469999999998</v>
      </c>
      <c r="AF144" s="143" t="s">
        <v>788</v>
      </c>
      <c r="AG144" s="143" t="s">
        <v>766</v>
      </c>
      <c r="AH144" s="143" t="s">
        <v>728</v>
      </c>
      <c r="AI144" s="143">
        <v>1633</v>
      </c>
      <c r="AJ144" s="78">
        <v>0</v>
      </c>
      <c r="AK144" s="78">
        <v>0</v>
      </c>
      <c r="AL144" s="78">
        <v>1</v>
      </c>
      <c r="AM144" s="78">
        <v>0</v>
      </c>
      <c r="AN144" s="78">
        <v>1</v>
      </c>
      <c r="AO144" s="78">
        <v>2</v>
      </c>
      <c r="AP144" s="78">
        <v>1</v>
      </c>
      <c r="AQ144" s="78">
        <v>1</v>
      </c>
      <c r="AR144" s="78">
        <v>0</v>
      </c>
      <c r="AS144" s="78">
        <v>0</v>
      </c>
      <c r="AT144" s="78">
        <v>0</v>
      </c>
      <c r="AU144" s="78">
        <v>1</v>
      </c>
      <c r="AV144" s="78">
        <v>0</v>
      </c>
      <c r="AW144" s="78">
        <v>1</v>
      </c>
      <c r="AX144" s="78">
        <v>0</v>
      </c>
      <c r="AY144" s="78">
        <v>0</v>
      </c>
      <c r="AZ144" s="78">
        <v>0</v>
      </c>
      <c r="BA144" s="78">
        <v>0.5</v>
      </c>
      <c r="BB144" s="78">
        <v>0.5</v>
      </c>
      <c r="BC144" s="78">
        <v>0.5</v>
      </c>
      <c r="BD144" s="78">
        <v>0</v>
      </c>
      <c r="BE144" s="78">
        <v>0.5</v>
      </c>
      <c r="BF144" s="78">
        <v>0</v>
      </c>
      <c r="BG144" s="78">
        <v>6</v>
      </c>
      <c r="BH144" s="137">
        <v>0.36363640000000003</v>
      </c>
      <c r="BJ144" s="143" t="s">
        <v>788</v>
      </c>
      <c r="BK144" s="143" t="s">
        <v>766</v>
      </c>
      <c r="BL144" s="143" t="s">
        <v>728</v>
      </c>
      <c r="BM144" s="143">
        <v>1633</v>
      </c>
      <c r="BN144" s="78">
        <v>1</v>
      </c>
      <c r="BO144" s="78">
        <v>4</v>
      </c>
      <c r="BP144" s="78">
        <v>7</v>
      </c>
      <c r="BQ144" s="78">
        <v>0</v>
      </c>
      <c r="BR144" s="78">
        <v>0</v>
      </c>
      <c r="BS144" s="78">
        <v>3</v>
      </c>
      <c r="BT144" s="78">
        <v>2</v>
      </c>
      <c r="BU144" s="137">
        <v>0.73913039999999997</v>
      </c>
      <c r="BW144" s="143" t="s">
        <v>788</v>
      </c>
      <c r="BX144" s="143" t="s">
        <v>766</v>
      </c>
      <c r="BY144" s="143" t="s">
        <v>728</v>
      </c>
      <c r="BZ144" s="143">
        <v>1633</v>
      </c>
      <c r="CM144" s="143" t="s">
        <v>788</v>
      </c>
      <c r="CN144" s="143" t="s">
        <v>766</v>
      </c>
      <c r="CO144" s="143" t="s">
        <v>728</v>
      </c>
      <c r="CP144" s="143">
        <v>1633</v>
      </c>
      <c r="CQ144" s="78">
        <v>6</v>
      </c>
      <c r="CR144" s="78">
        <v>0</v>
      </c>
      <c r="CS144" s="78">
        <v>8</v>
      </c>
      <c r="CT144" s="78">
        <v>4</v>
      </c>
      <c r="CU144" s="78">
        <v>2</v>
      </c>
      <c r="CV144" s="78">
        <v>8</v>
      </c>
      <c r="CW144" s="137">
        <v>0.53846159999999998</v>
      </c>
      <c r="CY144" s="143" t="s">
        <v>788</v>
      </c>
      <c r="CZ144" s="143" t="s">
        <v>766</v>
      </c>
      <c r="DA144" s="143" t="s">
        <v>728</v>
      </c>
      <c r="DB144" s="143">
        <v>1633</v>
      </c>
      <c r="DC144" s="78">
        <v>38</v>
      </c>
      <c r="DD144" s="137">
        <v>0</v>
      </c>
      <c r="DE144" s="137">
        <v>0</v>
      </c>
      <c r="DG144" s="143" t="s">
        <v>788</v>
      </c>
      <c r="DH144" s="143" t="s">
        <v>766</v>
      </c>
      <c r="DI144" s="143" t="s">
        <v>728</v>
      </c>
      <c r="DJ144" s="143">
        <v>1633</v>
      </c>
      <c r="DK144" s="78">
        <v>0</v>
      </c>
      <c r="DL144" s="78">
        <v>1</v>
      </c>
      <c r="DM144" s="78">
        <v>1</v>
      </c>
      <c r="DN144" s="78">
        <v>5</v>
      </c>
      <c r="DO144" s="78">
        <v>2</v>
      </c>
      <c r="DP144" s="78">
        <v>3</v>
      </c>
      <c r="DQ144" s="78">
        <v>4</v>
      </c>
      <c r="DR144" s="78">
        <v>0</v>
      </c>
      <c r="DS144" s="78">
        <v>1</v>
      </c>
      <c r="DT144" s="78">
        <v>0</v>
      </c>
      <c r="DU144" s="78">
        <v>0</v>
      </c>
      <c r="DV144" s="137">
        <v>0.58620689999999998</v>
      </c>
      <c r="DX144" s="143" t="s">
        <v>788</v>
      </c>
      <c r="DY144" s="143" t="s">
        <v>766</v>
      </c>
      <c r="DZ144" s="143" t="s">
        <v>728</v>
      </c>
      <c r="EA144" s="143">
        <v>1633</v>
      </c>
      <c r="EB144" s="78">
        <v>1</v>
      </c>
      <c r="EC144" s="78">
        <v>8</v>
      </c>
      <c r="ED144" s="78">
        <v>1</v>
      </c>
      <c r="EE144" s="78">
        <v>4</v>
      </c>
      <c r="EF144" s="78">
        <v>0</v>
      </c>
      <c r="EG144" s="78">
        <v>1</v>
      </c>
      <c r="EH144" s="78">
        <v>0</v>
      </c>
      <c r="EI144" s="78">
        <v>1</v>
      </c>
      <c r="EJ144" s="78">
        <v>1</v>
      </c>
      <c r="EK144" s="78">
        <v>1</v>
      </c>
      <c r="EL144" s="78">
        <v>4</v>
      </c>
      <c r="EM144" s="78">
        <v>0</v>
      </c>
      <c r="EN144" s="78">
        <v>1</v>
      </c>
      <c r="EO144" s="137">
        <v>0.8518519</v>
      </c>
      <c r="EQ144" s="143" t="s">
        <v>788</v>
      </c>
      <c r="ER144" s="143" t="s">
        <v>766</v>
      </c>
      <c r="ES144" s="143" t="s">
        <v>728</v>
      </c>
      <c r="ET144" s="143">
        <v>1633</v>
      </c>
      <c r="EU144" s="78">
        <v>0</v>
      </c>
      <c r="EV144" s="78">
        <v>0</v>
      </c>
      <c r="EW144" s="78">
        <v>0</v>
      </c>
      <c r="EX144" s="78">
        <v>0</v>
      </c>
      <c r="EY144" s="78">
        <v>0.5</v>
      </c>
      <c r="EZ144" s="78">
        <v>3</v>
      </c>
      <c r="FA144" s="78">
        <v>2</v>
      </c>
      <c r="FB144" s="78">
        <v>0</v>
      </c>
      <c r="FC144" s="137">
        <v>0.42307689999999998</v>
      </c>
      <c r="FE144" s="137">
        <v>0.40490799999999999</v>
      </c>
    </row>
    <row r="145" spans="1:161" x14ac:dyDescent="0.25">
      <c r="A145" s="143" t="s">
        <v>788</v>
      </c>
      <c r="B145" s="143" t="s">
        <v>766</v>
      </c>
      <c r="C145" s="143" t="s">
        <v>728</v>
      </c>
      <c r="D145" s="143">
        <v>1956</v>
      </c>
      <c r="E145" s="78">
        <v>0</v>
      </c>
      <c r="F145" s="78">
        <v>2</v>
      </c>
      <c r="G145" s="78">
        <v>1</v>
      </c>
      <c r="H145" s="78">
        <v>0</v>
      </c>
      <c r="I145" s="78">
        <v>1</v>
      </c>
      <c r="J145" s="78">
        <v>0</v>
      </c>
      <c r="K145" s="78">
        <v>1</v>
      </c>
      <c r="L145" s="78">
        <v>0</v>
      </c>
      <c r="M145" s="78">
        <v>0</v>
      </c>
      <c r="N145" s="137">
        <v>0.35714289999999999</v>
      </c>
      <c r="P145" s="143" t="s">
        <v>788</v>
      </c>
      <c r="Q145" s="143" t="s">
        <v>766</v>
      </c>
      <c r="R145" s="143" t="s">
        <v>728</v>
      </c>
      <c r="S145" s="143">
        <v>1956</v>
      </c>
      <c r="T145" s="78">
        <v>1</v>
      </c>
      <c r="U145" s="78">
        <v>1</v>
      </c>
      <c r="V145" s="78">
        <v>0</v>
      </c>
      <c r="W145" s="78">
        <v>2</v>
      </c>
      <c r="X145" s="78">
        <v>0</v>
      </c>
      <c r="Y145" s="78">
        <v>0</v>
      </c>
      <c r="Z145" s="78">
        <v>3</v>
      </c>
      <c r="AA145" s="78">
        <v>0</v>
      </c>
      <c r="AB145" s="78">
        <v>0</v>
      </c>
      <c r="AC145" s="78">
        <v>0</v>
      </c>
      <c r="AD145" s="137">
        <v>0.20588239999999999</v>
      </c>
      <c r="AF145" s="143" t="s">
        <v>788</v>
      </c>
      <c r="AG145" s="143" t="s">
        <v>766</v>
      </c>
      <c r="AH145" s="143" t="s">
        <v>728</v>
      </c>
      <c r="AI145" s="143">
        <v>1956</v>
      </c>
      <c r="AJ145" s="78">
        <v>1</v>
      </c>
      <c r="AK145" s="78">
        <v>0</v>
      </c>
      <c r="AL145" s="78">
        <v>1</v>
      </c>
      <c r="AM145" s="78">
        <v>0</v>
      </c>
      <c r="AN145" s="78">
        <v>0</v>
      </c>
      <c r="AO145" s="78">
        <v>2</v>
      </c>
      <c r="AP145" s="78">
        <v>1</v>
      </c>
      <c r="AQ145" s="78">
        <v>1</v>
      </c>
      <c r="AR145" s="78">
        <v>0</v>
      </c>
      <c r="AS145" s="78">
        <v>0</v>
      </c>
      <c r="AT145" s="78">
        <v>0</v>
      </c>
      <c r="AU145" s="78">
        <v>0</v>
      </c>
      <c r="AV145" s="78">
        <v>0</v>
      </c>
      <c r="AW145" s="78">
        <v>0</v>
      </c>
      <c r="AX145" s="78">
        <v>0</v>
      </c>
      <c r="AY145" s="78">
        <v>0</v>
      </c>
      <c r="AZ145" s="78">
        <v>2</v>
      </c>
      <c r="BA145" s="78">
        <v>0.5</v>
      </c>
      <c r="BB145" s="78">
        <v>0.5</v>
      </c>
      <c r="BC145" s="78">
        <v>0</v>
      </c>
      <c r="BD145" s="78">
        <v>1</v>
      </c>
      <c r="BE145" s="78">
        <v>0.5</v>
      </c>
      <c r="BF145" s="78">
        <v>0</v>
      </c>
      <c r="BG145" s="78">
        <v>6</v>
      </c>
      <c r="BH145" s="137">
        <v>0.375</v>
      </c>
      <c r="BJ145" s="143" t="s">
        <v>788</v>
      </c>
      <c r="BK145" s="143" t="s">
        <v>766</v>
      </c>
      <c r="BL145" s="143" t="s">
        <v>728</v>
      </c>
      <c r="BM145" s="143">
        <v>1956</v>
      </c>
      <c r="BN145" s="78">
        <v>0</v>
      </c>
      <c r="BO145" s="78">
        <v>0</v>
      </c>
      <c r="BP145" s="78">
        <v>7</v>
      </c>
      <c r="BQ145" s="78">
        <v>0</v>
      </c>
      <c r="BR145" s="78">
        <v>0</v>
      </c>
      <c r="BS145" s="78">
        <v>0</v>
      </c>
      <c r="BT145" s="78">
        <v>2</v>
      </c>
      <c r="BU145" s="137">
        <v>0.39130429999999999</v>
      </c>
      <c r="BW145" s="143" t="s">
        <v>788</v>
      </c>
      <c r="BX145" s="143" t="s">
        <v>766</v>
      </c>
      <c r="BY145" s="143" t="s">
        <v>728</v>
      </c>
      <c r="BZ145" s="143">
        <v>1956</v>
      </c>
      <c r="CA145" s="78">
        <v>1</v>
      </c>
      <c r="CB145" s="78">
        <v>0</v>
      </c>
      <c r="CC145" s="78">
        <v>0</v>
      </c>
      <c r="CD145" s="78">
        <v>0</v>
      </c>
      <c r="CE145" s="78">
        <v>0</v>
      </c>
      <c r="CF145" s="78">
        <v>0</v>
      </c>
      <c r="CG145" s="78">
        <v>0</v>
      </c>
      <c r="CH145" s="78">
        <v>0</v>
      </c>
      <c r="CI145" s="78">
        <v>0</v>
      </c>
      <c r="CJ145" s="78">
        <v>0</v>
      </c>
      <c r="CK145" s="137">
        <v>6.6666699999999995E-2</v>
      </c>
      <c r="CM145" s="143" t="s">
        <v>788</v>
      </c>
      <c r="CN145" s="143" t="s">
        <v>766</v>
      </c>
      <c r="CO145" s="143" t="s">
        <v>728</v>
      </c>
      <c r="CP145" s="143">
        <v>1956</v>
      </c>
      <c r="CQ145" s="78">
        <v>8</v>
      </c>
      <c r="CR145" s="78">
        <v>0</v>
      </c>
      <c r="CS145" s="78">
        <v>8</v>
      </c>
      <c r="CT145" s="78">
        <v>4</v>
      </c>
      <c r="CU145" s="78">
        <v>0</v>
      </c>
      <c r="CV145" s="78">
        <v>8</v>
      </c>
      <c r="CW145" s="137">
        <v>0.53846159999999998</v>
      </c>
      <c r="CY145" s="143" t="s">
        <v>788</v>
      </c>
      <c r="CZ145" s="143" t="s">
        <v>766</v>
      </c>
      <c r="DA145" s="143" t="s">
        <v>728</v>
      </c>
      <c r="DB145" s="143">
        <v>1956</v>
      </c>
      <c r="DC145" s="78">
        <v>26</v>
      </c>
      <c r="DD145" s="137">
        <v>0</v>
      </c>
      <c r="DE145" s="137">
        <v>0</v>
      </c>
      <c r="DG145" s="143" t="s">
        <v>788</v>
      </c>
      <c r="DH145" s="143" t="s">
        <v>766</v>
      </c>
      <c r="DI145" s="143" t="s">
        <v>728</v>
      </c>
      <c r="DJ145" s="143">
        <v>1956</v>
      </c>
      <c r="DK145" s="78">
        <v>2</v>
      </c>
      <c r="DL145" s="78">
        <v>1</v>
      </c>
      <c r="DM145" s="78">
        <v>0</v>
      </c>
      <c r="DN145" s="78">
        <v>4</v>
      </c>
      <c r="DO145" s="78">
        <v>2</v>
      </c>
      <c r="DP145" s="78">
        <v>3</v>
      </c>
      <c r="DQ145" s="78">
        <v>3</v>
      </c>
      <c r="DR145" s="78">
        <v>0</v>
      </c>
      <c r="DS145" s="78">
        <v>1</v>
      </c>
      <c r="DT145" s="78">
        <v>0</v>
      </c>
      <c r="DU145" s="78">
        <v>0</v>
      </c>
      <c r="DV145" s="137">
        <v>0.55172410000000005</v>
      </c>
      <c r="DX145" s="143" t="s">
        <v>788</v>
      </c>
      <c r="DY145" s="143" t="s">
        <v>766</v>
      </c>
      <c r="DZ145" s="143" t="s">
        <v>728</v>
      </c>
      <c r="EA145" s="143">
        <v>1956</v>
      </c>
      <c r="EB145" s="78">
        <v>0</v>
      </c>
      <c r="EC145" s="78">
        <v>8</v>
      </c>
      <c r="ED145" s="78">
        <v>1</v>
      </c>
      <c r="EE145" s="78">
        <v>4</v>
      </c>
      <c r="EF145" s="78">
        <v>0</v>
      </c>
      <c r="EG145" s="78">
        <v>1</v>
      </c>
      <c r="EH145" s="78">
        <v>0</v>
      </c>
      <c r="EI145" s="78">
        <v>1</v>
      </c>
      <c r="EJ145" s="78">
        <v>1</v>
      </c>
      <c r="EK145" s="78">
        <v>1</v>
      </c>
      <c r="EL145" s="78">
        <v>0</v>
      </c>
      <c r="EM145" s="78">
        <v>1</v>
      </c>
      <c r="EN145" s="78">
        <v>0</v>
      </c>
      <c r="EO145" s="137">
        <v>0.66666669999999995</v>
      </c>
      <c r="EQ145" s="143" t="s">
        <v>788</v>
      </c>
      <c r="ER145" s="143" t="s">
        <v>766</v>
      </c>
      <c r="ES145" s="143" t="s">
        <v>728</v>
      </c>
      <c r="ET145" s="143">
        <v>1956</v>
      </c>
      <c r="EU145" s="78">
        <v>0</v>
      </c>
      <c r="EV145" s="78">
        <v>0</v>
      </c>
      <c r="EW145" s="78">
        <v>0</v>
      </c>
      <c r="EX145" s="78">
        <v>0</v>
      </c>
      <c r="EY145" s="78">
        <v>0.5</v>
      </c>
      <c r="EZ145" s="78">
        <v>3</v>
      </c>
      <c r="FA145" s="78">
        <v>2</v>
      </c>
      <c r="FB145" s="78">
        <v>1</v>
      </c>
      <c r="FC145" s="137">
        <v>0.5</v>
      </c>
      <c r="FE145" s="137">
        <v>0.31378299999999998</v>
      </c>
    </row>
    <row r="146" spans="1:161" x14ac:dyDescent="0.25">
      <c r="A146" s="143" t="s">
        <v>788</v>
      </c>
      <c r="B146" s="143" t="s">
        <v>766</v>
      </c>
      <c r="C146" s="143" t="s">
        <v>728</v>
      </c>
      <c r="D146" s="143">
        <v>2019</v>
      </c>
      <c r="E146" s="78">
        <v>0.5</v>
      </c>
      <c r="F146" s="78">
        <v>2.5</v>
      </c>
      <c r="G146" s="78">
        <v>1</v>
      </c>
      <c r="H146" s="78">
        <v>4</v>
      </c>
      <c r="I146" s="78">
        <v>1</v>
      </c>
      <c r="J146" s="78">
        <v>0</v>
      </c>
      <c r="K146" s="78">
        <v>1</v>
      </c>
      <c r="L146" s="78">
        <v>0</v>
      </c>
      <c r="M146" s="78">
        <v>2</v>
      </c>
      <c r="N146" s="137">
        <v>0.85714290000000004</v>
      </c>
      <c r="P146" s="143" t="s">
        <v>788</v>
      </c>
      <c r="Q146" s="143" t="s">
        <v>766</v>
      </c>
      <c r="R146" s="143" t="s">
        <v>728</v>
      </c>
      <c r="S146" s="143">
        <v>2019</v>
      </c>
      <c r="T146" s="78">
        <v>0</v>
      </c>
      <c r="U146" s="78">
        <v>0</v>
      </c>
      <c r="V146" s="78">
        <v>1.5</v>
      </c>
      <c r="W146" s="78">
        <v>0.5</v>
      </c>
      <c r="X146" s="78">
        <v>0</v>
      </c>
      <c r="Y146" s="78">
        <v>1</v>
      </c>
      <c r="Z146" s="78">
        <v>3</v>
      </c>
      <c r="AA146" s="78">
        <v>2</v>
      </c>
      <c r="AB146" s="78">
        <v>6</v>
      </c>
      <c r="AC146" s="78">
        <v>0</v>
      </c>
      <c r="AD146" s="137">
        <v>0.41176469999999998</v>
      </c>
      <c r="AF146" s="143" t="s">
        <v>788</v>
      </c>
      <c r="AG146" s="143" t="s">
        <v>766</v>
      </c>
      <c r="AH146" s="143" t="s">
        <v>728</v>
      </c>
      <c r="AI146" s="143">
        <v>2019</v>
      </c>
      <c r="AJ146" s="78">
        <v>0</v>
      </c>
      <c r="AK146" s="78">
        <v>0</v>
      </c>
      <c r="AL146" s="78">
        <v>1</v>
      </c>
      <c r="AM146" s="78">
        <v>0</v>
      </c>
      <c r="AN146" s="78">
        <v>1</v>
      </c>
      <c r="AO146" s="78">
        <v>0</v>
      </c>
      <c r="AP146" s="78">
        <v>1</v>
      </c>
      <c r="AQ146" s="78">
        <v>1</v>
      </c>
      <c r="AR146" s="78">
        <v>0</v>
      </c>
      <c r="AS146" s="78">
        <v>2</v>
      </c>
      <c r="AT146" s="78">
        <v>0</v>
      </c>
      <c r="AU146" s="78">
        <v>1</v>
      </c>
      <c r="AV146" s="78">
        <v>0</v>
      </c>
      <c r="AW146" s="78">
        <v>1</v>
      </c>
      <c r="AX146" s="78">
        <v>0</v>
      </c>
      <c r="AY146" s="78">
        <v>1</v>
      </c>
      <c r="AZ146" s="78">
        <v>2</v>
      </c>
      <c r="BA146" s="78">
        <v>0.5</v>
      </c>
      <c r="BB146" s="78">
        <v>0.5</v>
      </c>
      <c r="BC146" s="78">
        <v>0.5</v>
      </c>
      <c r="BD146" s="78">
        <v>1</v>
      </c>
      <c r="BE146" s="78">
        <v>0.5</v>
      </c>
      <c r="BF146" s="78">
        <v>0</v>
      </c>
      <c r="BG146" s="78">
        <v>6</v>
      </c>
      <c r="BH146" s="137">
        <v>0.45454549999999999</v>
      </c>
      <c r="BJ146" s="143" t="s">
        <v>788</v>
      </c>
      <c r="BK146" s="143" t="s">
        <v>766</v>
      </c>
      <c r="BL146" s="143" t="s">
        <v>728</v>
      </c>
      <c r="BM146" s="143">
        <v>2019</v>
      </c>
      <c r="BN146" s="78">
        <v>1</v>
      </c>
      <c r="BO146" s="78">
        <v>4</v>
      </c>
      <c r="BP146" s="78">
        <v>0</v>
      </c>
      <c r="BQ146" s="78">
        <v>0</v>
      </c>
      <c r="BR146" s="78">
        <v>0</v>
      </c>
      <c r="BS146" s="78">
        <v>3</v>
      </c>
      <c r="BT146" s="78">
        <v>0</v>
      </c>
      <c r="BU146" s="137">
        <v>0.34782610000000003</v>
      </c>
      <c r="BW146" s="143" t="s">
        <v>788</v>
      </c>
      <c r="BX146" s="143" t="s">
        <v>766</v>
      </c>
      <c r="BY146" s="143" t="s">
        <v>728</v>
      </c>
      <c r="BZ146" s="143">
        <v>2019</v>
      </c>
      <c r="CM146" s="143" t="s">
        <v>788</v>
      </c>
      <c r="CN146" s="143" t="s">
        <v>766</v>
      </c>
      <c r="CO146" s="143" t="s">
        <v>728</v>
      </c>
      <c r="CP146" s="143">
        <v>2019</v>
      </c>
      <c r="CQ146" s="78">
        <v>8</v>
      </c>
      <c r="CR146" s="78">
        <v>0</v>
      </c>
      <c r="CS146" s="78">
        <v>16</v>
      </c>
      <c r="CT146" s="78">
        <v>4</v>
      </c>
      <c r="CU146" s="78">
        <v>0</v>
      </c>
      <c r="CV146" s="78">
        <v>8</v>
      </c>
      <c r="CW146" s="137">
        <v>0.69230769999999997</v>
      </c>
      <c r="CY146" s="143" t="s">
        <v>788</v>
      </c>
      <c r="CZ146" s="143" t="s">
        <v>766</v>
      </c>
      <c r="DA146" s="143" t="s">
        <v>728</v>
      </c>
      <c r="DB146" s="143">
        <v>2019</v>
      </c>
      <c r="DC146" s="78">
        <v>42</v>
      </c>
      <c r="DD146" s="137">
        <v>0</v>
      </c>
      <c r="DE146" s="137">
        <v>0</v>
      </c>
      <c r="DG146" s="143" t="s">
        <v>788</v>
      </c>
      <c r="DH146" s="143" t="s">
        <v>766</v>
      </c>
      <c r="DI146" s="143" t="s">
        <v>728</v>
      </c>
      <c r="DJ146" s="143">
        <v>2019</v>
      </c>
      <c r="DK146" s="78">
        <v>0</v>
      </c>
      <c r="DL146" s="78">
        <v>1</v>
      </c>
      <c r="DM146" s="78">
        <v>1</v>
      </c>
      <c r="DN146" s="78">
        <v>4</v>
      </c>
      <c r="DO146" s="78">
        <v>2</v>
      </c>
      <c r="DP146" s="78">
        <v>3</v>
      </c>
      <c r="DQ146" s="78">
        <v>5</v>
      </c>
      <c r="DR146" s="78">
        <v>0</v>
      </c>
      <c r="DS146" s="78">
        <v>1</v>
      </c>
      <c r="DT146" s="78">
        <v>0</v>
      </c>
      <c r="DU146" s="78">
        <v>0</v>
      </c>
      <c r="DV146" s="137">
        <v>0.58620689999999998</v>
      </c>
      <c r="DX146" s="143" t="s">
        <v>788</v>
      </c>
      <c r="DY146" s="143" t="s">
        <v>766</v>
      </c>
      <c r="DZ146" s="143" t="s">
        <v>728</v>
      </c>
      <c r="EA146" s="143">
        <v>2019</v>
      </c>
      <c r="EB146" s="78">
        <v>0</v>
      </c>
      <c r="EC146" s="78">
        <v>8</v>
      </c>
      <c r="ED146" s="78">
        <v>1</v>
      </c>
      <c r="EE146" s="78">
        <v>4</v>
      </c>
      <c r="EF146" s="78">
        <v>0</v>
      </c>
      <c r="EG146" s="78">
        <v>1</v>
      </c>
      <c r="EH146" s="78">
        <v>0</v>
      </c>
      <c r="EI146" s="78">
        <v>1</v>
      </c>
      <c r="EJ146" s="78">
        <v>1</v>
      </c>
      <c r="EK146" s="78">
        <v>1</v>
      </c>
      <c r="EL146" s="78">
        <v>4</v>
      </c>
      <c r="EM146" s="78">
        <v>0</v>
      </c>
      <c r="EN146" s="78">
        <v>0</v>
      </c>
      <c r="EO146" s="137">
        <v>0.77777779999999996</v>
      </c>
      <c r="EQ146" s="143" t="s">
        <v>788</v>
      </c>
      <c r="ER146" s="143" t="s">
        <v>766</v>
      </c>
      <c r="ES146" s="143" t="s">
        <v>728</v>
      </c>
      <c r="ET146" s="143">
        <v>2019</v>
      </c>
      <c r="EU146" s="78">
        <v>0</v>
      </c>
      <c r="EV146" s="78">
        <v>0</v>
      </c>
      <c r="EW146" s="78">
        <v>0</v>
      </c>
      <c r="EX146" s="78">
        <v>0</v>
      </c>
      <c r="EY146" s="78">
        <v>0.5</v>
      </c>
      <c r="EZ146" s="78">
        <v>3</v>
      </c>
      <c r="FA146" s="78">
        <v>2</v>
      </c>
      <c r="FB146" s="78">
        <v>0</v>
      </c>
      <c r="FC146" s="137">
        <v>0.42307689999999998</v>
      </c>
      <c r="FE146" s="137">
        <v>0.40950920000000002</v>
      </c>
    </row>
    <row r="147" spans="1:161" hidden="1" x14ac:dyDescent="0.25">
      <c r="A147" s="143" t="s">
        <v>789</v>
      </c>
      <c r="B147" s="143" t="s">
        <v>790</v>
      </c>
      <c r="C147" s="143" t="s">
        <v>729</v>
      </c>
      <c r="D147" s="143">
        <v>532</v>
      </c>
      <c r="E147" s="78">
        <v>0</v>
      </c>
      <c r="F147" s="78">
        <v>2</v>
      </c>
      <c r="G147" s="78">
        <v>1</v>
      </c>
      <c r="H147" s="78">
        <v>4</v>
      </c>
      <c r="I147" s="78">
        <v>1</v>
      </c>
      <c r="J147" s="78">
        <v>0</v>
      </c>
      <c r="K147" s="78">
        <v>1</v>
      </c>
      <c r="L147" s="78">
        <v>1</v>
      </c>
      <c r="M147" s="78">
        <v>2</v>
      </c>
      <c r="N147" s="137">
        <v>0.85714290000000004</v>
      </c>
      <c r="P147" s="143" t="s">
        <v>789</v>
      </c>
      <c r="Q147" s="143" t="s">
        <v>790</v>
      </c>
      <c r="R147" s="143" t="s">
        <v>729</v>
      </c>
      <c r="S147" s="143">
        <v>532</v>
      </c>
      <c r="T147" s="78">
        <v>1</v>
      </c>
      <c r="U147" s="78">
        <v>1</v>
      </c>
      <c r="V147" s="78">
        <v>1</v>
      </c>
      <c r="W147" s="78">
        <v>2</v>
      </c>
      <c r="X147" s="78">
        <v>12</v>
      </c>
      <c r="Y147" s="78">
        <v>1</v>
      </c>
      <c r="Z147" s="78">
        <v>3</v>
      </c>
      <c r="AA147" s="78">
        <v>0</v>
      </c>
      <c r="AB147" s="78">
        <v>0</v>
      </c>
      <c r="AC147" s="78">
        <v>3</v>
      </c>
      <c r="AD147" s="137">
        <v>0.70588240000000002</v>
      </c>
      <c r="AF147" s="143" t="s">
        <v>789</v>
      </c>
      <c r="AG147" s="143" t="s">
        <v>790</v>
      </c>
      <c r="AH147" s="143" t="s">
        <v>729</v>
      </c>
      <c r="AI147" s="143">
        <v>532</v>
      </c>
      <c r="AJ147" s="78">
        <v>1</v>
      </c>
      <c r="AK147" s="78">
        <v>1</v>
      </c>
      <c r="AL147" s="78">
        <v>1</v>
      </c>
      <c r="AM147" s="78">
        <v>6</v>
      </c>
      <c r="AN147" s="78">
        <v>1</v>
      </c>
      <c r="AO147" s="78">
        <v>2</v>
      </c>
      <c r="AP147" s="78">
        <v>1</v>
      </c>
      <c r="AQ147" s="78">
        <v>1</v>
      </c>
      <c r="AR147" s="78">
        <v>2</v>
      </c>
      <c r="AS147" s="78">
        <v>2</v>
      </c>
      <c r="AT147" s="78">
        <v>2</v>
      </c>
      <c r="AU147" s="78">
        <v>1</v>
      </c>
      <c r="AV147" s="78">
        <v>2</v>
      </c>
      <c r="AW147" s="78">
        <v>1</v>
      </c>
      <c r="AX147" s="78">
        <v>0</v>
      </c>
      <c r="AY147" s="78">
        <v>1</v>
      </c>
      <c r="AZ147" s="78">
        <v>2</v>
      </c>
      <c r="BA147" s="78">
        <v>0.5</v>
      </c>
      <c r="BB147" s="78">
        <v>0.5</v>
      </c>
      <c r="BC147" s="78">
        <v>0.5</v>
      </c>
      <c r="BD147" s="78">
        <v>1</v>
      </c>
      <c r="BE147" s="78">
        <v>0.5</v>
      </c>
      <c r="BF147" s="78">
        <v>0</v>
      </c>
      <c r="BG147" s="78">
        <v>8</v>
      </c>
      <c r="BH147" s="137">
        <v>0.86363639999999997</v>
      </c>
      <c r="BJ147" s="143" t="s">
        <v>789</v>
      </c>
      <c r="BK147" s="143" t="s">
        <v>790</v>
      </c>
      <c r="BL147" s="143" t="s">
        <v>729</v>
      </c>
      <c r="BM147" s="143">
        <v>532</v>
      </c>
      <c r="BN147" s="78">
        <v>1</v>
      </c>
      <c r="BO147" s="78">
        <v>4</v>
      </c>
      <c r="BP147" s="78">
        <v>7</v>
      </c>
      <c r="BQ147" s="78">
        <v>3</v>
      </c>
      <c r="BR147" s="78">
        <v>3</v>
      </c>
      <c r="BS147" s="78">
        <v>3</v>
      </c>
      <c r="BT147" s="78">
        <v>2</v>
      </c>
      <c r="BU147" s="137">
        <v>1</v>
      </c>
      <c r="BW147" s="143" t="s">
        <v>789</v>
      </c>
      <c r="BX147" s="143" t="s">
        <v>790</v>
      </c>
      <c r="BY147" s="143" t="s">
        <v>729</v>
      </c>
      <c r="BZ147" s="143">
        <v>532</v>
      </c>
      <c r="CA147" s="78">
        <v>1</v>
      </c>
      <c r="CB147" s="78">
        <v>1</v>
      </c>
      <c r="CC147" s="78">
        <v>1</v>
      </c>
      <c r="CD147" s="78">
        <v>2</v>
      </c>
      <c r="CE147" s="78">
        <v>1</v>
      </c>
      <c r="CF147" s="78">
        <v>2</v>
      </c>
      <c r="CG147" s="78">
        <v>1</v>
      </c>
      <c r="CH147" s="78">
        <v>2</v>
      </c>
      <c r="CI147" s="78">
        <v>1</v>
      </c>
      <c r="CJ147" s="78">
        <v>3</v>
      </c>
      <c r="CK147" s="137">
        <v>1</v>
      </c>
      <c r="CM147" s="143" t="s">
        <v>789</v>
      </c>
      <c r="CN147" s="143" t="s">
        <v>790</v>
      </c>
      <c r="CO147" s="143" t="s">
        <v>729</v>
      </c>
      <c r="CP147" s="143">
        <v>532</v>
      </c>
      <c r="CQ147" s="78">
        <v>8</v>
      </c>
      <c r="CR147" s="78">
        <v>0</v>
      </c>
      <c r="CS147" s="78">
        <v>16</v>
      </c>
      <c r="CT147" s="78">
        <v>4</v>
      </c>
      <c r="CU147" s="78">
        <v>2</v>
      </c>
      <c r="CV147" s="78">
        <v>8</v>
      </c>
      <c r="CW147" s="137">
        <v>0.73076920000000001</v>
      </c>
      <c r="CY147" s="143" t="s">
        <v>789</v>
      </c>
      <c r="CZ147" s="143" t="s">
        <v>790</v>
      </c>
      <c r="DA147" s="143" t="s">
        <v>729</v>
      </c>
      <c r="DB147" s="143">
        <v>532</v>
      </c>
      <c r="DC147" s="78">
        <v>56</v>
      </c>
      <c r="DD147" s="137">
        <v>0.4</v>
      </c>
      <c r="DE147" s="137">
        <v>0.2488889</v>
      </c>
      <c r="DG147" s="143" t="s">
        <v>789</v>
      </c>
      <c r="DH147" s="143" t="s">
        <v>790</v>
      </c>
      <c r="DI147" s="143" t="s">
        <v>729</v>
      </c>
      <c r="DJ147" s="143">
        <v>532</v>
      </c>
      <c r="DK147" s="78">
        <v>2</v>
      </c>
      <c r="DL147" s="78">
        <v>1</v>
      </c>
      <c r="DM147" s="78">
        <v>1</v>
      </c>
      <c r="DN147" s="78">
        <v>7</v>
      </c>
      <c r="DO147" s="78">
        <v>2</v>
      </c>
      <c r="DP147" s="78">
        <v>3</v>
      </c>
      <c r="DQ147" s="78">
        <v>8</v>
      </c>
      <c r="DR147" s="78">
        <v>1</v>
      </c>
      <c r="DS147" s="78">
        <v>1</v>
      </c>
      <c r="DT147" s="78">
        <v>2</v>
      </c>
      <c r="DU147" s="78">
        <v>1</v>
      </c>
      <c r="DV147" s="137">
        <v>1</v>
      </c>
      <c r="DX147" s="143" t="s">
        <v>789</v>
      </c>
      <c r="DY147" s="143" t="s">
        <v>790</v>
      </c>
      <c r="DZ147" s="143" t="s">
        <v>729</v>
      </c>
      <c r="EA147" s="143">
        <v>532</v>
      </c>
      <c r="EB147" s="78">
        <v>1</v>
      </c>
      <c r="EC147" s="78">
        <v>8</v>
      </c>
      <c r="ED147" s="78">
        <v>1</v>
      </c>
      <c r="EE147" s="78">
        <v>4</v>
      </c>
      <c r="EF147" s="78">
        <v>1</v>
      </c>
      <c r="EG147" s="78">
        <v>1</v>
      </c>
      <c r="EH147" s="78">
        <v>2</v>
      </c>
      <c r="EI147" s="78">
        <v>1</v>
      </c>
      <c r="EJ147" s="78">
        <v>1</v>
      </c>
      <c r="EK147" s="78">
        <v>1</v>
      </c>
      <c r="EL147" s="78">
        <v>4</v>
      </c>
      <c r="EM147" s="78">
        <v>1</v>
      </c>
      <c r="EN147" s="78">
        <v>1</v>
      </c>
      <c r="EO147" s="137">
        <v>1</v>
      </c>
      <c r="EQ147" s="143" t="s">
        <v>789</v>
      </c>
      <c r="ER147" s="143" t="s">
        <v>790</v>
      </c>
      <c r="ES147" s="143" t="s">
        <v>729</v>
      </c>
      <c r="ET147" s="143">
        <v>532</v>
      </c>
      <c r="EU147" s="78">
        <v>0.5</v>
      </c>
      <c r="EV147" s="78">
        <v>1</v>
      </c>
      <c r="EW147" s="78">
        <v>3</v>
      </c>
      <c r="EX147" s="78">
        <v>2</v>
      </c>
      <c r="EY147" s="78">
        <v>0.5</v>
      </c>
      <c r="EZ147" s="78">
        <v>3</v>
      </c>
      <c r="FA147" s="78">
        <v>2</v>
      </c>
      <c r="FB147" s="78">
        <v>1</v>
      </c>
      <c r="FC147" s="137">
        <v>1</v>
      </c>
      <c r="FE147" s="137">
        <v>0.70791789999999999</v>
      </c>
    </row>
    <row r="148" spans="1:161" hidden="1" x14ac:dyDescent="0.25">
      <c r="A148" s="143" t="s">
        <v>789</v>
      </c>
      <c r="B148" s="143" t="s">
        <v>790</v>
      </c>
      <c r="C148" s="143" t="s">
        <v>727</v>
      </c>
      <c r="D148" s="143">
        <v>538</v>
      </c>
      <c r="E148" s="78">
        <v>0.5</v>
      </c>
      <c r="F148" s="78">
        <v>2.5</v>
      </c>
      <c r="G148" s="78">
        <v>1</v>
      </c>
      <c r="H148" s="78">
        <v>3</v>
      </c>
      <c r="I148" s="78">
        <v>1</v>
      </c>
      <c r="J148" s="78">
        <v>0</v>
      </c>
      <c r="K148" s="78">
        <v>0</v>
      </c>
      <c r="L148" s="78">
        <v>1</v>
      </c>
      <c r="M148" s="78">
        <v>2</v>
      </c>
      <c r="N148" s="137">
        <v>0.78571429999999998</v>
      </c>
      <c r="P148" s="143" t="s">
        <v>789</v>
      </c>
      <c r="Q148" s="143" t="s">
        <v>790</v>
      </c>
      <c r="R148" s="143" t="s">
        <v>727</v>
      </c>
      <c r="S148" s="143">
        <v>538</v>
      </c>
      <c r="T148" s="78">
        <v>1</v>
      </c>
      <c r="U148" s="78">
        <v>1</v>
      </c>
      <c r="V148" s="78">
        <v>2</v>
      </c>
      <c r="W148" s="78">
        <v>1.5</v>
      </c>
      <c r="X148" s="78">
        <v>9</v>
      </c>
      <c r="Y148" s="78">
        <v>1</v>
      </c>
      <c r="Z148" s="78">
        <v>0</v>
      </c>
      <c r="AA148" s="78">
        <v>0</v>
      </c>
      <c r="AB148" s="78">
        <v>0</v>
      </c>
      <c r="AC148" s="78">
        <v>3</v>
      </c>
      <c r="AD148" s="137">
        <v>0.54411759999999998</v>
      </c>
      <c r="AF148" s="143" t="s">
        <v>789</v>
      </c>
      <c r="AG148" s="143" t="s">
        <v>790</v>
      </c>
      <c r="AH148" s="143" t="s">
        <v>727</v>
      </c>
      <c r="AI148" s="143">
        <v>538</v>
      </c>
      <c r="AJ148" s="78">
        <v>1</v>
      </c>
      <c r="AK148" s="78">
        <v>1</v>
      </c>
      <c r="AL148" s="78">
        <v>1</v>
      </c>
      <c r="AM148" s="78">
        <v>6</v>
      </c>
      <c r="AN148" s="78">
        <v>1</v>
      </c>
      <c r="AO148" s="78">
        <v>2</v>
      </c>
      <c r="AP148" s="78">
        <v>1</v>
      </c>
      <c r="AQ148" s="78">
        <v>1</v>
      </c>
      <c r="AR148" s="78">
        <v>2</v>
      </c>
      <c r="AS148" s="78">
        <v>0</v>
      </c>
      <c r="AT148" s="78">
        <v>2</v>
      </c>
      <c r="AU148" s="78">
        <v>1</v>
      </c>
      <c r="AV148" s="78">
        <v>2</v>
      </c>
      <c r="AW148" s="78">
        <v>1</v>
      </c>
      <c r="AX148" s="78">
        <v>0</v>
      </c>
      <c r="AY148" s="78">
        <v>1</v>
      </c>
      <c r="AZ148" s="78">
        <v>2</v>
      </c>
      <c r="BA148" s="78">
        <v>0.5</v>
      </c>
      <c r="BB148" s="78">
        <v>0.5</v>
      </c>
      <c r="BC148" s="78">
        <v>0.5</v>
      </c>
      <c r="BD148" s="78">
        <v>1</v>
      </c>
      <c r="BE148" s="78">
        <v>0.5</v>
      </c>
      <c r="BF148" s="78">
        <v>1</v>
      </c>
      <c r="BG148" s="78">
        <v>8</v>
      </c>
      <c r="BH148" s="137">
        <v>0.84090909999999996</v>
      </c>
      <c r="BJ148" s="143" t="s">
        <v>789</v>
      </c>
      <c r="BK148" s="143" t="s">
        <v>790</v>
      </c>
      <c r="BL148" s="143" t="s">
        <v>727</v>
      </c>
      <c r="BM148" s="143">
        <v>538</v>
      </c>
      <c r="BN148" s="78">
        <v>1</v>
      </c>
      <c r="BO148" s="78">
        <v>4</v>
      </c>
      <c r="BP148" s="78">
        <v>7</v>
      </c>
      <c r="BQ148" s="78">
        <v>3</v>
      </c>
      <c r="BR148" s="78">
        <v>3</v>
      </c>
      <c r="BS148" s="78">
        <v>0</v>
      </c>
      <c r="BT148" s="78">
        <v>2</v>
      </c>
      <c r="BU148" s="137">
        <v>0.86956520000000004</v>
      </c>
      <c r="BW148" s="143" t="s">
        <v>789</v>
      </c>
      <c r="BX148" s="143" t="s">
        <v>790</v>
      </c>
      <c r="BY148" s="143" t="s">
        <v>727</v>
      </c>
      <c r="BZ148" s="143">
        <v>538</v>
      </c>
      <c r="CA148" s="78">
        <v>1</v>
      </c>
      <c r="CB148" s="78">
        <v>1</v>
      </c>
      <c r="CC148" s="78">
        <v>1</v>
      </c>
      <c r="CD148" s="78">
        <v>2</v>
      </c>
      <c r="CE148" s="78">
        <v>1</v>
      </c>
      <c r="CF148" s="78">
        <v>2</v>
      </c>
      <c r="CG148" s="78">
        <v>1</v>
      </c>
      <c r="CH148" s="78">
        <v>2</v>
      </c>
      <c r="CI148" s="78">
        <v>1</v>
      </c>
      <c r="CJ148" s="78">
        <v>3</v>
      </c>
      <c r="CK148" s="137">
        <v>1</v>
      </c>
      <c r="CM148" s="143" t="s">
        <v>789</v>
      </c>
      <c r="CN148" s="143" t="s">
        <v>790</v>
      </c>
      <c r="CO148" s="143" t="s">
        <v>727</v>
      </c>
      <c r="CP148" s="143">
        <v>538</v>
      </c>
      <c r="CQ148" s="78">
        <v>8</v>
      </c>
      <c r="CR148" s="78">
        <v>0</v>
      </c>
      <c r="CS148" s="78">
        <v>16</v>
      </c>
      <c r="CT148" s="78">
        <v>4</v>
      </c>
      <c r="CU148" s="78">
        <v>2</v>
      </c>
      <c r="CV148" s="78">
        <v>8</v>
      </c>
      <c r="CW148" s="137">
        <v>0.73076920000000001</v>
      </c>
      <c r="CY148" s="143" t="s">
        <v>789</v>
      </c>
      <c r="CZ148" s="143" t="s">
        <v>790</v>
      </c>
      <c r="DA148" s="143" t="s">
        <v>727</v>
      </c>
      <c r="DB148" s="143">
        <v>538</v>
      </c>
      <c r="DC148" s="78">
        <v>70</v>
      </c>
      <c r="DD148" s="137">
        <v>0.2</v>
      </c>
      <c r="DE148" s="137">
        <v>0.15555559999999999</v>
      </c>
      <c r="DG148" s="143" t="s">
        <v>789</v>
      </c>
      <c r="DH148" s="143" t="s">
        <v>790</v>
      </c>
      <c r="DI148" s="143" t="s">
        <v>727</v>
      </c>
      <c r="DJ148" s="143">
        <v>538</v>
      </c>
      <c r="DK148" s="78">
        <v>2</v>
      </c>
      <c r="DL148" s="78">
        <v>1</v>
      </c>
      <c r="DM148" s="78">
        <v>1</v>
      </c>
      <c r="DN148" s="78">
        <v>7</v>
      </c>
      <c r="DO148" s="78">
        <v>2</v>
      </c>
      <c r="DP148" s="78">
        <v>3</v>
      </c>
      <c r="DQ148" s="78">
        <v>8</v>
      </c>
      <c r="DR148" s="78">
        <v>1</v>
      </c>
      <c r="DS148" s="78">
        <v>1</v>
      </c>
      <c r="DT148" s="78">
        <v>2</v>
      </c>
      <c r="DU148" s="78">
        <v>1</v>
      </c>
      <c r="DV148" s="137">
        <v>1</v>
      </c>
      <c r="DX148" s="143" t="s">
        <v>789</v>
      </c>
      <c r="DY148" s="143" t="s">
        <v>790</v>
      </c>
      <c r="DZ148" s="143" t="s">
        <v>727</v>
      </c>
      <c r="EA148" s="143">
        <v>538</v>
      </c>
      <c r="EB148" s="78">
        <v>1</v>
      </c>
      <c r="EC148" s="78">
        <v>8</v>
      </c>
      <c r="ED148" s="78">
        <v>1</v>
      </c>
      <c r="EE148" s="78">
        <v>4</v>
      </c>
      <c r="EF148" s="78">
        <v>1</v>
      </c>
      <c r="EG148" s="78">
        <v>1</v>
      </c>
      <c r="EH148" s="78">
        <v>0</v>
      </c>
      <c r="EI148" s="78">
        <v>1</v>
      </c>
      <c r="EJ148" s="78">
        <v>1</v>
      </c>
      <c r="EK148" s="78">
        <v>1</v>
      </c>
      <c r="EL148" s="78">
        <v>4</v>
      </c>
      <c r="EM148" s="78">
        <v>1</v>
      </c>
      <c r="EN148" s="78">
        <v>1</v>
      </c>
      <c r="EO148" s="137">
        <v>0.92592589999999997</v>
      </c>
      <c r="EQ148" s="143" t="s">
        <v>789</v>
      </c>
      <c r="ER148" s="143" t="s">
        <v>790</v>
      </c>
      <c r="ES148" s="143" t="s">
        <v>727</v>
      </c>
      <c r="ET148" s="143">
        <v>538</v>
      </c>
      <c r="EU148" s="78">
        <v>0.5</v>
      </c>
      <c r="EV148" s="78">
        <v>1</v>
      </c>
      <c r="EW148" s="78">
        <v>3</v>
      </c>
      <c r="EX148" s="78">
        <v>2</v>
      </c>
      <c r="EY148" s="78">
        <v>0.5</v>
      </c>
      <c r="EZ148" s="78">
        <v>3</v>
      </c>
      <c r="FA148" s="78">
        <v>2</v>
      </c>
      <c r="FB148" s="78">
        <v>1</v>
      </c>
      <c r="FC148" s="137">
        <v>1</v>
      </c>
      <c r="FE148" s="137">
        <v>0.64662750000000002</v>
      </c>
    </row>
    <row r="149" spans="1:161" x14ac:dyDescent="0.25">
      <c r="A149" s="143" t="s">
        <v>789</v>
      </c>
      <c r="B149" s="143" t="s">
        <v>790</v>
      </c>
      <c r="C149" s="143" t="s">
        <v>728</v>
      </c>
      <c r="D149" s="143">
        <v>1885</v>
      </c>
      <c r="E149" s="78">
        <v>0.5</v>
      </c>
      <c r="F149" s="78">
        <v>2</v>
      </c>
      <c r="G149" s="78">
        <v>1</v>
      </c>
      <c r="H149" s="78">
        <v>4</v>
      </c>
      <c r="I149" s="78">
        <v>1</v>
      </c>
      <c r="J149" s="78">
        <v>0</v>
      </c>
      <c r="K149" s="78">
        <v>1</v>
      </c>
      <c r="L149" s="78">
        <v>0</v>
      </c>
      <c r="M149" s="78">
        <v>2</v>
      </c>
      <c r="N149" s="137">
        <v>0.82142859999999995</v>
      </c>
      <c r="P149" s="143" t="s">
        <v>789</v>
      </c>
      <c r="Q149" s="143" t="s">
        <v>790</v>
      </c>
      <c r="R149" s="143" t="s">
        <v>728</v>
      </c>
      <c r="S149" s="143">
        <v>1885</v>
      </c>
      <c r="T149" s="78">
        <v>1</v>
      </c>
      <c r="U149" s="78">
        <v>1</v>
      </c>
      <c r="V149" s="78">
        <v>2</v>
      </c>
      <c r="W149" s="78">
        <v>2</v>
      </c>
      <c r="X149" s="78">
        <v>9</v>
      </c>
      <c r="Y149" s="78">
        <v>1</v>
      </c>
      <c r="Z149" s="78">
        <v>3</v>
      </c>
      <c r="AA149" s="78">
        <v>2</v>
      </c>
      <c r="AB149" s="78">
        <v>6</v>
      </c>
      <c r="AC149" s="78">
        <v>0</v>
      </c>
      <c r="AD149" s="137">
        <v>0.79411759999999998</v>
      </c>
      <c r="AF149" s="143" t="s">
        <v>789</v>
      </c>
      <c r="AG149" s="143" t="s">
        <v>790</v>
      </c>
      <c r="AH149" s="143" t="s">
        <v>728</v>
      </c>
      <c r="AI149" s="143">
        <v>1885</v>
      </c>
      <c r="AJ149" s="78">
        <v>1</v>
      </c>
      <c r="AK149" s="78">
        <v>1</v>
      </c>
      <c r="AL149" s="78">
        <v>1</v>
      </c>
      <c r="AM149" s="78">
        <v>6</v>
      </c>
      <c r="AN149" s="78">
        <v>1</v>
      </c>
      <c r="AO149" s="78">
        <v>0</v>
      </c>
      <c r="AP149" s="78">
        <v>1</v>
      </c>
      <c r="AQ149" s="78">
        <v>0</v>
      </c>
      <c r="AR149" s="78">
        <v>0</v>
      </c>
      <c r="AS149" s="78">
        <v>0</v>
      </c>
      <c r="AT149" s="78">
        <v>0</v>
      </c>
      <c r="AU149" s="78">
        <v>0</v>
      </c>
      <c r="AV149" s="78">
        <v>0</v>
      </c>
      <c r="AW149" s="78">
        <v>1</v>
      </c>
      <c r="AX149" s="78">
        <v>0</v>
      </c>
      <c r="AY149" s="78">
        <v>1</v>
      </c>
      <c r="AZ149" s="78">
        <v>0</v>
      </c>
      <c r="BA149" s="78">
        <v>0.5</v>
      </c>
      <c r="BB149" s="78">
        <v>0.5</v>
      </c>
      <c r="BC149" s="78">
        <v>0.5</v>
      </c>
      <c r="BD149" s="78">
        <v>1</v>
      </c>
      <c r="BE149" s="78">
        <v>0.5</v>
      </c>
      <c r="BF149" s="78">
        <v>0</v>
      </c>
      <c r="BG149" s="78">
        <v>8</v>
      </c>
      <c r="BH149" s="137">
        <v>0.54545460000000001</v>
      </c>
      <c r="BJ149" s="143" t="s">
        <v>789</v>
      </c>
      <c r="BK149" s="143" t="s">
        <v>790</v>
      </c>
      <c r="BL149" s="143" t="s">
        <v>728</v>
      </c>
      <c r="BM149" s="143">
        <v>1885</v>
      </c>
      <c r="BN149" s="78">
        <v>1</v>
      </c>
      <c r="BO149" s="78">
        <v>4</v>
      </c>
      <c r="BP149" s="78">
        <v>7</v>
      </c>
      <c r="BQ149" s="78">
        <v>3</v>
      </c>
      <c r="BR149" s="78">
        <v>0</v>
      </c>
      <c r="BS149" s="78">
        <v>0</v>
      </c>
      <c r="BT149" s="78">
        <v>2</v>
      </c>
      <c r="BU149" s="137">
        <v>0.73913039999999997</v>
      </c>
      <c r="BW149" s="143" t="s">
        <v>789</v>
      </c>
      <c r="BX149" s="143" t="s">
        <v>790</v>
      </c>
      <c r="BY149" s="143" t="s">
        <v>728</v>
      </c>
      <c r="BZ149" s="143">
        <v>1885</v>
      </c>
      <c r="CM149" s="143" t="s">
        <v>789</v>
      </c>
      <c r="CN149" s="143" t="s">
        <v>790</v>
      </c>
      <c r="CO149" s="143" t="s">
        <v>728</v>
      </c>
      <c r="CP149" s="143">
        <v>1885</v>
      </c>
      <c r="CQ149" s="78">
        <v>8</v>
      </c>
      <c r="CR149" s="78">
        <v>0</v>
      </c>
      <c r="CS149" s="78">
        <v>8</v>
      </c>
      <c r="CT149" s="78">
        <v>4</v>
      </c>
      <c r="CU149" s="78">
        <v>0</v>
      </c>
      <c r="CV149" s="78">
        <v>8</v>
      </c>
      <c r="CW149" s="137">
        <v>0.53846159999999998</v>
      </c>
      <c r="CY149" s="143" t="s">
        <v>789</v>
      </c>
      <c r="CZ149" s="143" t="s">
        <v>790</v>
      </c>
      <c r="DA149" s="143" t="s">
        <v>728</v>
      </c>
      <c r="DB149" s="143">
        <v>1885</v>
      </c>
      <c r="DC149" s="78">
        <v>2</v>
      </c>
      <c r="DD149" s="137">
        <v>0</v>
      </c>
      <c r="DE149" s="137">
        <v>0</v>
      </c>
      <c r="DG149" s="143" t="s">
        <v>789</v>
      </c>
      <c r="DH149" s="143" t="s">
        <v>790</v>
      </c>
      <c r="DI149" s="143" t="s">
        <v>728</v>
      </c>
      <c r="DJ149" s="143">
        <v>1885</v>
      </c>
      <c r="DK149" s="78">
        <v>2</v>
      </c>
      <c r="DL149" s="78">
        <v>1</v>
      </c>
      <c r="DM149" s="78">
        <v>1</v>
      </c>
      <c r="DN149" s="78">
        <v>5</v>
      </c>
      <c r="DO149" s="78">
        <v>2</v>
      </c>
      <c r="DP149" s="78">
        <v>3</v>
      </c>
      <c r="DQ149" s="78">
        <v>7</v>
      </c>
      <c r="DR149" s="78">
        <v>0</v>
      </c>
      <c r="DS149" s="78">
        <v>1</v>
      </c>
      <c r="DT149" s="78">
        <v>0</v>
      </c>
      <c r="DU149" s="78">
        <v>0</v>
      </c>
      <c r="DV149" s="137">
        <v>0.75862070000000004</v>
      </c>
      <c r="DX149" s="143" t="s">
        <v>789</v>
      </c>
      <c r="DY149" s="143" t="s">
        <v>790</v>
      </c>
      <c r="DZ149" s="143" t="s">
        <v>728</v>
      </c>
      <c r="EA149" s="143">
        <v>1885</v>
      </c>
      <c r="EB149" s="78">
        <v>0</v>
      </c>
      <c r="EC149" s="78">
        <v>8</v>
      </c>
      <c r="ED149" s="78">
        <v>1</v>
      </c>
      <c r="EE149" s="78">
        <v>4</v>
      </c>
      <c r="EF149" s="78">
        <v>1</v>
      </c>
      <c r="EG149" s="78">
        <v>1</v>
      </c>
      <c r="EH149" s="78">
        <v>0</v>
      </c>
      <c r="EI149" s="78">
        <v>1</v>
      </c>
      <c r="EJ149" s="78">
        <v>1</v>
      </c>
      <c r="EK149" s="78">
        <v>0</v>
      </c>
      <c r="EL149" s="78">
        <v>4</v>
      </c>
      <c r="EM149" s="78">
        <v>1</v>
      </c>
      <c r="EN149" s="78">
        <v>1</v>
      </c>
      <c r="EO149" s="137">
        <v>0.8518519</v>
      </c>
      <c r="EQ149" s="143" t="s">
        <v>789</v>
      </c>
      <c r="ER149" s="143" t="s">
        <v>790</v>
      </c>
      <c r="ES149" s="143" t="s">
        <v>728</v>
      </c>
      <c r="ET149" s="143">
        <v>1885</v>
      </c>
      <c r="EU149" s="78">
        <v>0</v>
      </c>
      <c r="EV149" s="78">
        <v>1</v>
      </c>
      <c r="EW149" s="78">
        <v>3</v>
      </c>
      <c r="EX149" s="78">
        <v>2</v>
      </c>
      <c r="EY149" s="78">
        <v>0.5</v>
      </c>
      <c r="EZ149" s="78">
        <v>3</v>
      </c>
      <c r="FA149" s="78">
        <v>2</v>
      </c>
      <c r="FB149" s="78">
        <v>1</v>
      </c>
      <c r="FC149" s="137">
        <v>0.96153840000000002</v>
      </c>
      <c r="FE149" s="137">
        <v>0.506135</v>
      </c>
    </row>
    <row r="150" spans="1:161" x14ac:dyDescent="0.25">
      <c r="A150" s="143" t="s">
        <v>789</v>
      </c>
      <c r="B150" s="143" t="s">
        <v>790</v>
      </c>
      <c r="C150" s="143" t="s">
        <v>728</v>
      </c>
      <c r="D150" s="143">
        <v>1886</v>
      </c>
      <c r="E150" s="78">
        <v>0.5</v>
      </c>
      <c r="F150" s="78">
        <v>2</v>
      </c>
      <c r="G150" s="78">
        <v>1</v>
      </c>
      <c r="H150" s="78">
        <v>1</v>
      </c>
      <c r="I150" s="78">
        <v>1</v>
      </c>
      <c r="J150" s="78">
        <v>0</v>
      </c>
      <c r="K150" s="78">
        <v>1</v>
      </c>
      <c r="L150" s="78">
        <v>1</v>
      </c>
      <c r="M150" s="78">
        <v>2</v>
      </c>
      <c r="N150" s="137">
        <v>0.67857140000000005</v>
      </c>
      <c r="P150" s="143" t="s">
        <v>789</v>
      </c>
      <c r="Q150" s="143" t="s">
        <v>790</v>
      </c>
      <c r="R150" s="143" t="s">
        <v>728</v>
      </c>
      <c r="S150" s="143">
        <v>1886</v>
      </c>
      <c r="T150" s="78">
        <v>1</v>
      </c>
      <c r="U150" s="78">
        <v>1</v>
      </c>
      <c r="V150" s="78">
        <v>2</v>
      </c>
      <c r="W150" s="78">
        <v>1.5</v>
      </c>
      <c r="X150" s="78">
        <v>9</v>
      </c>
      <c r="Y150" s="78">
        <v>1</v>
      </c>
      <c r="Z150" s="78">
        <v>3</v>
      </c>
      <c r="AA150" s="78">
        <v>2</v>
      </c>
      <c r="AB150" s="78">
        <v>6</v>
      </c>
      <c r="AC150" s="78">
        <v>0</v>
      </c>
      <c r="AD150" s="137">
        <v>0.77941179999999999</v>
      </c>
      <c r="AF150" s="143" t="s">
        <v>789</v>
      </c>
      <c r="AG150" s="143" t="s">
        <v>790</v>
      </c>
      <c r="AH150" s="143" t="s">
        <v>728</v>
      </c>
      <c r="AI150" s="143">
        <v>1886</v>
      </c>
      <c r="AJ150" s="78">
        <v>1</v>
      </c>
      <c r="AK150" s="78">
        <v>1</v>
      </c>
      <c r="AL150" s="78">
        <v>1</v>
      </c>
      <c r="AM150" s="78">
        <v>6</v>
      </c>
      <c r="AN150" s="78">
        <v>1</v>
      </c>
      <c r="AO150" s="78">
        <v>2</v>
      </c>
      <c r="AP150" s="78">
        <v>1</v>
      </c>
      <c r="AQ150" s="78">
        <v>1</v>
      </c>
      <c r="AR150" s="78">
        <v>0</v>
      </c>
      <c r="AS150" s="78">
        <v>2</v>
      </c>
      <c r="AT150" s="78">
        <v>0</v>
      </c>
      <c r="AU150" s="78">
        <v>0</v>
      </c>
      <c r="AV150" s="78">
        <v>0</v>
      </c>
      <c r="AW150" s="78">
        <v>0</v>
      </c>
      <c r="AX150" s="78">
        <v>0</v>
      </c>
      <c r="AY150" s="78">
        <v>0</v>
      </c>
      <c r="AZ150" s="78">
        <v>2</v>
      </c>
      <c r="BA150" s="78">
        <v>0.5</v>
      </c>
      <c r="BB150" s="78">
        <v>0.5</v>
      </c>
      <c r="BC150" s="78">
        <v>0.5</v>
      </c>
      <c r="BD150" s="78">
        <v>1</v>
      </c>
      <c r="BE150" s="78">
        <v>0.5</v>
      </c>
      <c r="BF150" s="78">
        <v>0</v>
      </c>
      <c r="BG150" s="78">
        <v>2</v>
      </c>
      <c r="BH150" s="137">
        <v>0.52272730000000001</v>
      </c>
      <c r="BJ150" s="143" t="s">
        <v>789</v>
      </c>
      <c r="BK150" s="143" t="s">
        <v>790</v>
      </c>
      <c r="BL150" s="143" t="s">
        <v>728</v>
      </c>
      <c r="BM150" s="143">
        <v>1886</v>
      </c>
      <c r="BN150" s="78">
        <v>1</v>
      </c>
      <c r="BO150" s="78">
        <v>4</v>
      </c>
      <c r="BP150" s="78">
        <v>7</v>
      </c>
      <c r="BQ150" s="78">
        <v>0</v>
      </c>
      <c r="BR150" s="78">
        <v>0</v>
      </c>
      <c r="BS150" s="78">
        <v>0</v>
      </c>
      <c r="BT150" s="78">
        <v>0</v>
      </c>
      <c r="BU150" s="137">
        <v>0.52173910000000001</v>
      </c>
      <c r="BW150" s="143" t="s">
        <v>789</v>
      </c>
      <c r="BX150" s="143" t="s">
        <v>790</v>
      </c>
      <c r="BY150" s="143" t="s">
        <v>728</v>
      </c>
      <c r="BZ150" s="143">
        <v>1886</v>
      </c>
      <c r="CM150" s="143" t="s">
        <v>789</v>
      </c>
      <c r="CN150" s="143" t="s">
        <v>790</v>
      </c>
      <c r="CO150" s="143" t="s">
        <v>728</v>
      </c>
      <c r="CP150" s="143">
        <v>1886</v>
      </c>
      <c r="CQ150" s="78">
        <v>8</v>
      </c>
      <c r="CR150" s="78">
        <v>6</v>
      </c>
      <c r="CS150" s="78">
        <v>12</v>
      </c>
      <c r="CT150" s="78">
        <v>4</v>
      </c>
      <c r="CU150" s="78">
        <v>0</v>
      </c>
      <c r="CV150" s="78">
        <v>8</v>
      </c>
      <c r="CW150" s="137">
        <v>0.73076920000000001</v>
      </c>
      <c r="CY150" s="143" t="s">
        <v>789</v>
      </c>
      <c r="CZ150" s="143" t="s">
        <v>790</v>
      </c>
      <c r="DA150" s="143" t="s">
        <v>728</v>
      </c>
      <c r="DB150" s="143">
        <v>1886</v>
      </c>
      <c r="DC150" s="78">
        <v>62</v>
      </c>
      <c r="DD150" s="137">
        <v>0.75</v>
      </c>
      <c r="DE150" s="137">
        <v>0.51666670000000003</v>
      </c>
      <c r="DG150" s="143" t="s">
        <v>789</v>
      </c>
      <c r="DH150" s="143" t="s">
        <v>790</v>
      </c>
      <c r="DI150" s="143" t="s">
        <v>728</v>
      </c>
      <c r="DJ150" s="143">
        <v>1886</v>
      </c>
      <c r="DK150" s="78">
        <v>0</v>
      </c>
      <c r="DL150" s="78">
        <v>1</v>
      </c>
      <c r="DM150" s="78">
        <v>0</v>
      </c>
      <c r="DN150" s="78">
        <v>5</v>
      </c>
      <c r="DO150" s="78">
        <v>2</v>
      </c>
      <c r="DP150" s="78">
        <v>3</v>
      </c>
      <c r="DQ150" s="78">
        <v>6</v>
      </c>
      <c r="DR150" s="78">
        <v>1</v>
      </c>
      <c r="DS150" s="78">
        <v>1</v>
      </c>
      <c r="DT150" s="78">
        <v>0</v>
      </c>
      <c r="DU150" s="78">
        <v>0</v>
      </c>
      <c r="DV150" s="137">
        <v>0.65517239999999999</v>
      </c>
      <c r="DX150" s="143" t="s">
        <v>789</v>
      </c>
      <c r="DY150" s="143" t="s">
        <v>790</v>
      </c>
      <c r="DZ150" s="143" t="s">
        <v>728</v>
      </c>
      <c r="EA150" s="143">
        <v>1886</v>
      </c>
      <c r="EB150" s="78">
        <v>0</v>
      </c>
      <c r="EC150" s="78">
        <v>8</v>
      </c>
      <c r="ED150" s="78">
        <v>1</v>
      </c>
      <c r="EE150" s="78">
        <v>4</v>
      </c>
      <c r="EF150" s="78">
        <v>1</v>
      </c>
      <c r="EG150" s="78">
        <v>1</v>
      </c>
      <c r="EH150" s="78">
        <v>0</v>
      </c>
      <c r="EI150" s="78">
        <v>1</v>
      </c>
      <c r="EJ150" s="78">
        <v>1</v>
      </c>
      <c r="EK150" s="78">
        <v>1</v>
      </c>
      <c r="EL150" s="78">
        <v>4</v>
      </c>
      <c r="EM150" s="78">
        <v>1</v>
      </c>
      <c r="EN150" s="78">
        <v>1</v>
      </c>
      <c r="EO150" s="137">
        <v>0.88888889999999998</v>
      </c>
      <c r="EQ150" s="143" t="s">
        <v>789</v>
      </c>
      <c r="ER150" s="143" t="s">
        <v>790</v>
      </c>
      <c r="ES150" s="143" t="s">
        <v>728</v>
      </c>
      <c r="ET150" s="143">
        <v>1886</v>
      </c>
      <c r="EU150" s="78">
        <v>0.5</v>
      </c>
      <c r="EV150" s="78">
        <v>0</v>
      </c>
      <c r="EW150" s="78">
        <v>0</v>
      </c>
      <c r="EX150" s="78">
        <v>0</v>
      </c>
      <c r="EY150" s="78">
        <v>0.5</v>
      </c>
      <c r="EZ150" s="78">
        <v>3</v>
      </c>
      <c r="FA150" s="78">
        <v>2</v>
      </c>
      <c r="FB150" s="78">
        <v>1</v>
      </c>
      <c r="FC150" s="137">
        <v>0.53846159999999998</v>
      </c>
      <c r="FE150" s="137">
        <v>0.63036809999999999</v>
      </c>
    </row>
    <row r="151" spans="1:161" x14ac:dyDescent="0.25">
      <c r="A151" s="143" t="s">
        <v>789</v>
      </c>
      <c r="B151" s="143" t="s">
        <v>790</v>
      </c>
      <c r="C151" s="143" t="s">
        <v>728</v>
      </c>
      <c r="D151" s="143">
        <v>1923</v>
      </c>
      <c r="E151" s="78">
        <v>0.5</v>
      </c>
      <c r="F151" s="78">
        <v>1.5</v>
      </c>
      <c r="G151" s="78">
        <v>1</v>
      </c>
      <c r="H151" s="78">
        <v>4</v>
      </c>
      <c r="I151" s="78">
        <v>1</v>
      </c>
      <c r="J151" s="78">
        <v>0</v>
      </c>
      <c r="K151" s="78">
        <v>1</v>
      </c>
      <c r="L151" s="78">
        <v>1</v>
      </c>
      <c r="M151" s="78">
        <v>2</v>
      </c>
      <c r="N151" s="137">
        <v>0.85714290000000004</v>
      </c>
      <c r="P151" s="143" t="s">
        <v>789</v>
      </c>
      <c r="Q151" s="143" t="s">
        <v>790</v>
      </c>
      <c r="R151" s="143" t="s">
        <v>728</v>
      </c>
      <c r="S151" s="143">
        <v>1923</v>
      </c>
      <c r="T151" s="78">
        <v>1</v>
      </c>
      <c r="U151" s="78">
        <v>1</v>
      </c>
      <c r="V151" s="78">
        <v>0</v>
      </c>
      <c r="W151" s="78">
        <v>0.5</v>
      </c>
      <c r="X151" s="78">
        <v>9</v>
      </c>
      <c r="Y151" s="78">
        <v>1</v>
      </c>
      <c r="Z151" s="78">
        <v>0</v>
      </c>
      <c r="AA151" s="78">
        <v>2</v>
      </c>
      <c r="AB151" s="78">
        <v>0</v>
      </c>
      <c r="AC151" s="78">
        <v>0</v>
      </c>
      <c r="AD151" s="137">
        <v>0.42647059999999998</v>
      </c>
      <c r="AF151" s="143" t="s">
        <v>789</v>
      </c>
      <c r="AG151" s="143" t="s">
        <v>790</v>
      </c>
      <c r="AH151" s="143" t="s">
        <v>728</v>
      </c>
      <c r="AI151" s="143">
        <v>1923</v>
      </c>
      <c r="AJ151" s="78">
        <v>1</v>
      </c>
      <c r="AK151" s="78">
        <v>1</v>
      </c>
      <c r="AL151" s="78">
        <v>0</v>
      </c>
      <c r="AM151" s="78">
        <v>6</v>
      </c>
      <c r="AN151" s="78">
        <v>1</v>
      </c>
      <c r="AO151" s="78">
        <v>0</v>
      </c>
      <c r="AP151" s="78">
        <v>1</v>
      </c>
      <c r="AQ151" s="78">
        <v>1</v>
      </c>
      <c r="AR151" s="78">
        <v>0</v>
      </c>
      <c r="AS151" s="78">
        <v>2</v>
      </c>
      <c r="AT151" s="78">
        <v>0</v>
      </c>
      <c r="AU151" s="78">
        <v>0</v>
      </c>
      <c r="AV151" s="78">
        <v>2</v>
      </c>
      <c r="AW151" s="78">
        <v>0</v>
      </c>
      <c r="AX151" s="78">
        <v>4</v>
      </c>
      <c r="AY151" s="78">
        <v>1</v>
      </c>
      <c r="AZ151" s="78">
        <v>0</v>
      </c>
      <c r="BA151" s="78">
        <v>0.5</v>
      </c>
      <c r="BB151" s="78">
        <v>0.5</v>
      </c>
      <c r="BC151" s="78">
        <v>0.5</v>
      </c>
      <c r="BD151" s="78">
        <v>1</v>
      </c>
      <c r="BE151" s="78">
        <v>0.5</v>
      </c>
      <c r="BF151" s="78">
        <v>0</v>
      </c>
      <c r="BG151" s="78">
        <v>8</v>
      </c>
      <c r="BH151" s="137">
        <v>0.70454539999999999</v>
      </c>
      <c r="BJ151" s="143" t="s">
        <v>789</v>
      </c>
      <c r="BK151" s="143" t="s">
        <v>790</v>
      </c>
      <c r="BL151" s="143" t="s">
        <v>728</v>
      </c>
      <c r="BM151" s="143">
        <v>1923</v>
      </c>
      <c r="BN151" s="78">
        <v>0</v>
      </c>
      <c r="BO151" s="78">
        <v>4</v>
      </c>
      <c r="BP151" s="78">
        <v>7</v>
      </c>
      <c r="BQ151" s="78">
        <v>0</v>
      </c>
      <c r="BR151" s="78">
        <v>0</v>
      </c>
      <c r="BS151" s="78">
        <v>0</v>
      </c>
      <c r="BT151" s="78">
        <v>2</v>
      </c>
      <c r="BU151" s="137">
        <v>0.56521739999999998</v>
      </c>
      <c r="BW151" s="143" t="s">
        <v>789</v>
      </c>
      <c r="BX151" s="143" t="s">
        <v>790</v>
      </c>
      <c r="BY151" s="143" t="s">
        <v>728</v>
      </c>
      <c r="BZ151" s="143">
        <v>1923</v>
      </c>
      <c r="CM151" s="143" t="s">
        <v>789</v>
      </c>
      <c r="CN151" s="143" t="s">
        <v>790</v>
      </c>
      <c r="CO151" s="143" t="s">
        <v>728</v>
      </c>
      <c r="CP151" s="143">
        <v>1923</v>
      </c>
      <c r="CQ151" s="78">
        <v>8</v>
      </c>
      <c r="CR151" s="78">
        <v>0</v>
      </c>
      <c r="CS151" s="78">
        <v>16</v>
      </c>
      <c r="CT151" s="78">
        <v>4</v>
      </c>
      <c r="CU151" s="78">
        <v>0</v>
      </c>
      <c r="CV151" s="78">
        <v>8</v>
      </c>
      <c r="CW151" s="137">
        <v>0.69230769999999997</v>
      </c>
      <c r="CY151" s="143" t="s">
        <v>789</v>
      </c>
      <c r="CZ151" s="143" t="s">
        <v>790</v>
      </c>
      <c r="DA151" s="143" t="s">
        <v>728</v>
      </c>
      <c r="DB151" s="143">
        <v>1923</v>
      </c>
      <c r="DC151" s="78">
        <v>48</v>
      </c>
      <c r="DD151" s="137">
        <v>0</v>
      </c>
      <c r="DE151" s="137">
        <v>0</v>
      </c>
      <c r="DG151" s="143" t="s">
        <v>789</v>
      </c>
      <c r="DH151" s="143" t="s">
        <v>790</v>
      </c>
      <c r="DI151" s="143" t="s">
        <v>728</v>
      </c>
      <c r="DJ151" s="143">
        <v>1923</v>
      </c>
      <c r="DK151" s="78">
        <v>2</v>
      </c>
      <c r="DL151" s="78">
        <v>1</v>
      </c>
      <c r="DM151" s="78">
        <v>0</v>
      </c>
      <c r="DN151" s="78">
        <v>5</v>
      </c>
      <c r="DO151" s="78">
        <v>2</v>
      </c>
      <c r="DP151" s="78">
        <v>3</v>
      </c>
      <c r="DQ151" s="78">
        <v>8</v>
      </c>
      <c r="DR151" s="78">
        <v>1</v>
      </c>
      <c r="DS151" s="78">
        <v>1</v>
      </c>
      <c r="DT151" s="78">
        <v>0</v>
      </c>
      <c r="DU151" s="78">
        <v>0</v>
      </c>
      <c r="DV151" s="137">
        <v>0.79310349999999996</v>
      </c>
      <c r="DX151" s="143" t="s">
        <v>789</v>
      </c>
      <c r="DY151" s="143" t="s">
        <v>790</v>
      </c>
      <c r="DZ151" s="143" t="s">
        <v>728</v>
      </c>
      <c r="EA151" s="143">
        <v>1923</v>
      </c>
      <c r="EB151" s="78">
        <v>1</v>
      </c>
      <c r="EC151" s="78">
        <v>8</v>
      </c>
      <c r="ED151" s="78">
        <v>1</v>
      </c>
      <c r="EE151" s="78">
        <v>4</v>
      </c>
      <c r="EF151" s="78">
        <v>1</v>
      </c>
      <c r="EG151" s="78">
        <v>1</v>
      </c>
      <c r="EH151" s="78">
        <v>0</v>
      </c>
      <c r="EI151" s="78">
        <v>1</v>
      </c>
      <c r="EJ151" s="78">
        <v>1</v>
      </c>
      <c r="EK151" s="78">
        <v>1</v>
      </c>
      <c r="EL151" s="78">
        <v>4</v>
      </c>
      <c r="EM151" s="78">
        <v>1</v>
      </c>
      <c r="EN151" s="78">
        <v>1</v>
      </c>
      <c r="EO151" s="137">
        <v>0.92592589999999997</v>
      </c>
      <c r="EQ151" s="143" t="s">
        <v>789</v>
      </c>
      <c r="ER151" s="143" t="s">
        <v>790</v>
      </c>
      <c r="ES151" s="143" t="s">
        <v>728</v>
      </c>
      <c r="ET151" s="143">
        <v>1923</v>
      </c>
      <c r="EU151" s="78">
        <v>0.5</v>
      </c>
      <c r="EV151" s="78">
        <v>1</v>
      </c>
      <c r="EW151" s="78">
        <v>0</v>
      </c>
      <c r="EX151" s="78">
        <v>0</v>
      </c>
      <c r="EY151" s="78">
        <v>0.5</v>
      </c>
      <c r="EZ151" s="78">
        <v>3</v>
      </c>
      <c r="FA151" s="78">
        <v>2</v>
      </c>
      <c r="FB151" s="78">
        <v>1</v>
      </c>
      <c r="FC151" s="137">
        <v>0.61538459999999995</v>
      </c>
      <c r="FE151" s="137">
        <v>0.49846629999999997</v>
      </c>
    </row>
    <row r="152" spans="1:161" x14ac:dyDescent="0.25">
      <c r="A152" s="143" t="s">
        <v>789</v>
      </c>
      <c r="B152" s="143" t="s">
        <v>790</v>
      </c>
      <c r="C152" s="143" t="s">
        <v>728</v>
      </c>
      <c r="D152" s="143">
        <v>2226</v>
      </c>
      <c r="E152" s="78">
        <v>0</v>
      </c>
      <c r="F152" s="78">
        <v>2</v>
      </c>
      <c r="G152" s="78">
        <v>1</v>
      </c>
      <c r="H152" s="78">
        <v>4</v>
      </c>
      <c r="I152" s="78">
        <v>1</v>
      </c>
      <c r="J152" s="78">
        <v>0</v>
      </c>
      <c r="K152" s="78">
        <v>1</v>
      </c>
      <c r="L152" s="78">
        <v>0</v>
      </c>
      <c r="M152" s="78">
        <v>2</v>
      </c>
      <c r="N152" s="137">
        <v>0.78571429999999998</v>
      </c>
      <c r="P152" s="143" t="s">
        <v>789</v>
      </c>
      <c r="Q152" s="143" t="s">
        <v>790</v>
      </c>
      <c r="R152" s="143" t="s">
        <v>728</v>
      </c>
      <c r="S152" s="143">
        <v>2226</v>
      </c>
      <c r="T152" s="78">
        <v>1</v>
      </c>
      <c r="U152" s="78">
        <v>1</v>
      </c>
      <c r="V152" s="78">
        <v>2</v>
      </c>
      <c r="W152" s="78">
        <v>2</v>
      </c>
      <c r="X152" s="78">
        <v>9</v>
      </c>
      <c r="Y152" s="78">
        <v>1</v>
      </c>
      <c r="Z152" s="78">
        <v>3</v>
      </c>
      <c r="AA152" s="78">
        <v>2</v>
      </c>
      <c r="AB152" s="78">
        <v>6</v>
      </c>
      <c r="AC152" s="78">
        <v>0</v>
      </c>
      <c r="AD152" s="137">
        <v>0.79411759999999998</v>
      </c>
      <c r="AF152" s="143" t="s">
        <v>789</v>
      </c>
      <c r="AG152" s="143" t="s">
        <v>790</v>
      </c>
      <c r="AH152" s="143" t="s">
        <v>728</v>
      </c>
      <c r="AI152" s="143">
        <v>2226</v>
      </c>
      <c r="AJ152" s="78">
        <v>1</v>
      </c>
      <c r="AK152" s="78">
        <v>0</v>
      </c>
      <c r="AL152" s="78">
        <v>1</v>
      </c>
      <c r="AM152" s="78">
        <v>6</v>
      </c>
      <c r="AN152" s="78">
        <v>1</v>
      </c>
      <c r="AO152" s="78">
        <v>0</v>
      </c>
      <c r="AP152" s="78">
        <v>1</v>
      </c>
      <c r="AQ152" s="78">
        <v>1</v>
      </c>
      <c r="AR152" s="78">
        <v>0</v>
      </c>
      <c r="AS152" s="78">
        <v>0</v>
      </c>
      <c r="AT152" s="78">
        <v>0</v>
      </c>
      <c r="AU152" s="78">
        <v>0</v>
      </c>
      <c r="AV152" s="78">
        <v>0</v>
      </c>
      <c r="AW152" s="78">
        <v>0</v>
      </c>
      <c r="AX152" s="78">
        <v>0</v>
      </c>
      <c r="AY152" s="78">
        <v>1</v>
      </c>
      <c r="AZ152" s="78">
        <v>2</v>
      </c>
      <c r="BA152" s="78">
        <v>0.5</v>
      </c>
      <c r="BB152" s="78">
        <v>0.5</v>
      </c>
      <c r="BC152" s="78">
        <v>0.5</v>
      </c>
      <c r="BD152" s="78">
        <v>1</v>
      </c>
      <c r="BE152" s="78">
        <v>0.5</v>
      </c>
      <c r="BF152" s="78">
        <v>0</v>
      </c>
      <c r="BG152" s="78">
        <v>8</v>
      </c>
      <c r="BH152" s="137">
        <v>0.56818179999999996</v>
      </c>
      <c r="BJ152" s="143" t="s">
        <v>789</v>
      </c>
      <c r="BK152" s="143" t="s">
        <v>790</v>
      </c>
      <c r="BL152" s="143" t="s">
        <v>728</v>
      </c>
      <c r="BM152" s="143">
        <v>2226</v>
      </c>
      <c r="BN152" s="78">
        <v>0</v>
      </c>
      <c r="BO152" s="78">
        <v>4</v>
      </c>
      <c r="BP152" s="78">
        <v>7</v>
      </c>
      <c r="BQ152" s="78">
        <v>0</v>
      </c>
      <c r="BR152" s="78">
        <v>0</v>
      </c>
      <c r="BS152" s="78">
        <v>0</v>
      </c>
      <c r="BT152" s="78">
        <v>2</v>
      </c>
      <c r="BU152" s="137">
        <v>0.56521739999999998</v>
      </c>
      <c r="BW152" s="143" t="s">
        <v>789</v>
      </c>
      <c r="BX152" s="143" t="s">
        <v>790</v>
      </c>
      <c r="BY152" s="143" t="s">
        <v>728</v>
      </c>
      <c r="BZ152" s="143">
        <v>2226</v>
      </c>
      <c r="CM152" s="143" t="s">
        <v>789</v>
      </c>
      <c r="CN152" s="143" t="s">
        <v>790</v>
      </c>
      <c r="CO152" s="143" t="s">
        <v>728</v>
      </c>
      <c r="CP152" s="143">
        <v>2226</v>
      </c>
      <c r="CQ152" s="78">
        <v>8</v>
      </c>
      <c r="CR152" s="78">
        <v>0</v>
      </c>
      <c r="CS152" s="78">
        <v>20</v>
      </c>
      <c r="CT152" s="78">
        <v>4</v>
      </c>
      <c r="CU152" s="78">
        <v>0</v>
      </c>
      <c r="CV152" s="78">
        <v>8</v>
      </c>
      <c r="CW152" s="137">
        <v>0.76923079999999999</v>
      </c>
      <c r="CY152" s="143" t="s">
        <v>789</v>
      </c>
      <c r="CZ152" s="143" t="s">
        <v>790</v>
      </c>
      <c r="DA152" s="143" t="s">
        <v>728</v>
      </c>
      <c r="DB152" s="143">
        <v>2226</v>
      </c>
      <c r="DC152" s="78">
        <v>34</v>
      </c>
      <c r="DD152" s="137">
        <v>0</v>
      </c>
      <c r="DE152" s="137">
        <v>0</v>
      </c>
      <c r="DG152" s="143" t="s">
        <v>789</v>
      </c>
      <c r="DH152" s="143" t="s">
        <v>790</v>
      </c>
      <c r="DI152" s="143" t="s">
        <v>728</v>
      </c>
      <c r="DJ152" s="143">
        <v>2226</v>
      </c>
      <c r="DK152" s="78">
        <v>2</v>
      </c>
      <c r="DL152" s="78">
        <v>1</v>
      </c>
      <c r="DM152" s="78">
        <v>1</v>
      </c>
      <c r="DN152" s="78">
        <v>5</v>
      </c>
      <c r="DO152" s="78">
        <v>2</v>
      </c>
      <c r="DP152" s="78">
        <v>3</v>
      </c>
      <c r="DQ152" s="78">
        <v>8</v>
      </c>
      <c r="DR152" s="78">
        <v>0</v>
      </c>
      <c r="DS152" s="78">
        <v>1</v>
      </c>
      <c r="DT152" s="78">
        <v>0</v>
      </c>
      <c r="DU152" s="78">
        <v>0</v>
      </c>
      <c r="DV152" s="137">
        <v>0.79310349999999996</v>
      </c>
      <c r="DX152" s="143" t="s">
        <v>789</v>
      </c>
      <c r="DY152" s="143" t="s">
        <v>790</v>
      </c>
      <c r="DZ152" s="143" t="s">
        <v>728</v>
      </c>
      <c r="EA152" s="143">
        <v>2226</v>
      </c>
      <c r="EB152" s="78">
        <v>1</v>
      </c>
      <c r="EC152" s="78">
        <v>8</v>
      </c>
      <c r="ED152" s="78">
        <v>1</v>
      </c>
      <c r="EE152" s="78">
        <v>4</v>
      </c>
      <c r="EF152" s="78">
        <v>1</v>
      </c>
      <c r="EG152" s="78">
        <v>1</v>
      </c>
      <c r="EH152" s="78">
        <v>0</v>
      </c>
      <c r="EI152" s="78">
        <v>1</v>
      </c>
      <c r="EJ152" s="78">
        <v>1</v>
      </c>
      <c r="EK152" s="78">
        <v>1</v>
      </c>
      <c r="EL152" s="78">
        <v>4</v>
      </c>
      <c r="EM152" s="78">
        <v>1</v>
      </c>
      <c r="EN152" s="78">
        <v>1</v>
      </c>
      <c r="EO152" s="137">
        <v>0.92592589999999997</v>
      </c>
      <c r="EQ152" s="143" t="s">
        <v>789</v>
      </c>
      <c r="ER152" s="143" t="s">
        <v>790</v>
      </c>
      <c r="ES152" s="143" t="s">
        <v>728</v>
      </c>
      <c r="ET152" s="143">
        <v>2226</v>
      </c>
      <c r="EU152" s="78">
        <v>0</v>
      </c>
      <c r="EV152" s="78">
        <v>1</v>
      </c>
      <c r="EW152" s="78">
        <v>3</v>
      </c>
      <c r="EX152" s="78">
        <v>2</v>
      </c>
      <c r="EY152" s="78">
        <v>0.5</v>
      </c>
      <c r="EZ152" s="78">
        <v>0</v>
      </c>
      <c r="FA152" s="78">
        <v>2</v>
      </c>
      <c r="FB152" s="78">
        <v>1</v>
      </c>
      <c r="FC152" s="137">
        <v>0.73076920000000001</v>
      </c>
      <c r="FE152" s="137">
        <v>0.53220860000000003</v>
      </c>
    </row>
    <row r="153" spans="1:161" hidden="1" x14ac:dyDescent="0.25">
      <c r="A153" s="143" t="s">
        <v>791</v>
      </c>
      <c r="B153" s="143" t="s">
        <v>790</v>
      </c>
      <c r="C153" s="143" t="s">
        <v>729</v>
      </c>
      <c r="D153" s="143">
        <v>857</v>
      </c>
      <c r="E153" s="78">
        <v>0</v>
      </c>
      <c r="F153" s="78">
        <v>2.5</v>
      </c>
      <c r="G153" s="78">
        <v>0</v>
      </c>
      <c r="H153" s="78">
        <v>0</v>
      </c>
      <c r="I153" s="78">
        <v>1</v>
      </c>
      <c r="J153" s="78">
        <v>0</v>
      </c>
      <c r="K153" s="78">
        <v>1</v>
      </c>
      <c r="L153" s="78">
        <v>1</v>
      </c>
      <c r="M153" s="78">
        <v>2</v>
      </c>
      <c r="N153" s="137">
        <v>0.53571429999999998</v>
      </c>
      <c r="P153" s="143" t="s">
        <v>791</v>
      </c>
      <c r="Q153" s="143" t="s">
        <v>790</v>
      </c>
      <c r="R153" s="143" t="s">
        <v>729</v>
      </c>
      <c r="S153" s="143">
        <v>857</v>
      </c>
      <c r="T153" s="78">
        <v>1</v>
      </c>
      <c r="U153" s="78">
        <v>1</v>
      </c>
      <c r="V153" s="78">
        <v>0.5</v>
      </c>
      <c r="W153" s="78">
        <v>0</v>
      </c>
      <c r="X153" s="78">
        <v>12</v>
      </c>
      <c r="Y153" s="78">
        <v>1</v>
      </c>
      <c r="Z153" s="78">
        <v>3</v>
      </c>
      <c r="AA153" s="78">
        <v>0</v>
      </c>
      <c r="AB153" s="78">
        <v>0</v>
      </c>
      <c r="AC153" s="78">
        <v>0</v>
      </c>
      <c r="AD153" s="137">
        <v>0.54411759999999998</v>
      </c>
      <c r="AF153" s="143" t="s">
        <v>791</v>
      </c>
      <c r="AG153" s="143" t="s">
        <v>790</v>
      </c>
      <c r="AH153" s="143" t="s">
        <v>729</v>
      </c>
      <c r="AI153" s="143">
        <v>857</v>
      </c>
      <c r="AJ153" s="78">
        <v>0</v>
      </c>
      <c r="AK153" s="78">
        <v>0</v>
      </c>
      <c r="AL153" s="78">
        <v>1</v>
      </c>
      <c r="AM153" s="78">
        <v>1</v>
      </c>
      <c r="AN153" s="78">
        <v>1</v>
      </c>
      <c r="AO153" s="78">
        <v>0</v>
      </c>
      <c r="AP153" s="78">
        <v>1</v>
      </c>
      <c r="AQ153" s="78">
        <v>1</v>
      </c>
      <c r="AR153" s="78">
        <v>2</v>
      </c>
      <c r="AS153" s="78">
        <v>2</v>
      </c>
      <c r="AT153" s="78">
        <v>0</v>
      </c>
      <c r="AU153" s="78">
        <v>1</v>
      </c>
      <c r="AV153" s="78">
        <v>2</v>
      </c>
      <c r="AW153" s="78">
        <v>1</v>
      </c>
      <c r="AX153" s="78">
        <v>0</v>
      </c>
      <c r="AY153" s="78">
        <v>0</v>
      </c>
      <c r="AZ153" s="78">
        <v>2</v>
      </c>
      <c r="BA153" s="78">
        <v>0.5</v>
      </c>
      <c r="BB153" s="78">
        <v>0.5</v>
      </c>
      <c r="BC153" s="78">
        <v>0.5</v>
      </c>
      <c r="BD153" s="78">
        <v>0</v>
      </c>
      <c r="BE153" s="78">
        <v>0</v>
      </c>
      <c r="BF153" s="78">
        <v>1</v>
      </c>
      <c r="BG153" s="78">
        <v>6</v>
      </c>
      <c r="BH153" s="137">
        <v>0.53409090000000004</v>
      </c>
      <c r="BJ153" s="143" t="s">
        <v>791</v>
      </c>
      <c r="BK153" s="143" t="s">
        <v>790</v>
      </c>
      <c r="BL153" s="143" t="s">
        <v>729</v>
      </c>
      <c r="BM153" s="143">
        <v>857</v>
      </c>
      <c r="BN153" s="78">
        <v>1</v>
      </c>
      <c r="BO153" s="78">
        <v>4</v>
      </c>
      <c r="BP153" s="78">
        <v>7</v>
      </c>
      <c r="BQ153" s="78">
        <v>3</v>
      </c>
      <c r="BR153" s="78">
        <v>3</v>
      </c>
      <c r="BS153" s="78">
        <v>0</v>
      </c>
      <c r="BT153" s="78">
        <v>2</v>
      </c>
      <c r="BU153" s="137">
        <v>0.86956520000000004</v>
      </c>
      <c r="BW153" s="143" t="s">
        <v>791</v>
      </c>
      <c r="BX153" s="143" t="s">
        <v>790</v>
      </c>
      <c r="BY153" s="143" t="s">
        <v>729</v>
      </c>
      <c r="BZ153" s="143">
        <v>857</v>
      </c>
      <c r="CA153" s="78">
        <v>1</v>
      </c>
      <c r="CB153" s="78">
        <v>1</v>
      </c>
      <c r="CC153" s="78">
        <v>1</v>
      </c>
      <c r="CD153" s="78">
        <v>2</v>
      </c>
      <c r="CE153" s="78">
        <v>1</v>
      </c>
      <c r="CF153" s="78">
        <v>2</v>
      </c>
      <c r="CG153" s="78">
        <v>1</v>
      </c>
      <c r="CH153" s="78">
        <v>2</v>
      </c>
      <c r="CI153" s="78">
        <v>1</v>
      </c>
      <c r="CJ153" s="78">
        <v>3</v>
      </c>
      <c r="CK153" s="137">
        <v>1</v>
      </c>
      <c r="CM153" s="143" t="s">
        <v>791</v>
      </c>
      <c r="CN153" s="143" t="s">
        <v>790</v>
      </c>
      <c r="CO153" s="143" t="s">
        <v>729</v>
      </c>
      <c r="CP153" s="143">
        <v>857</v>
      </c>
      <c r="CQ153" s="78">
        <v>8</v>
      </c>
      <c r="CR153" s="78">
        <v>0</v>
      </c>
      <c r="CS153" s="78">
        <v>20</v>
      </c>
      <c r="CT153" s="78">
        <v>4</v>
      </c>
      <c r="CU153" s="78">
        <v>0</v>
      </c>
      <c r="CV153" s="78">
        <v>8</v>
      </c>
      <c r="CW153" s="137">
        <v>0.76923079999999999</v>
      </c>
      <c r="CY153" s="143" t="s">
        <v>791</v>
      </c>
      <c r="CZ153" s="143" t="s">
        <v>790</v>
      </c>
      <c r="DA153" s="143" t="s">
        <v>729</v>
      </c>
      <c r="DB153" s="143">
        <v>857</v>
      </c>
      <c r="DC153" s="78">
        <v>46</v>
      </c>
      <c r="DD153" s="137">
        <v>0</v>
      </c>
      <c r="DE153" s="137">
        <v>0</v>
      </c>
      <c r="DG153" s="143" t="s">
        <v>791</v>
      </c>
      <c r="DH153" s="143" t="s">
        <v>790</v>
      </c>
      <c r="DI153" s="143" t="s">
        <v>729</v>
      </c>
      <c r="DJ153" s="143">
        <v>857</v>
      </c>
      <c r="DK153" s="78">
        <v>2</v>
      </c>
      <c r="DL153" s="78">
        <v>1</v>
      </c>
      <c r="DM153" s="78">
        <v>0</v>
      </c>
      <c r="DN153" s="78">
        <v>5</v>
      </c>
      <c r="DO153" s="78">
        <v>2</v>
      </c>
      <c r="DP153" s="78">
        <v>3</v>
      </c>
      <c r="DQ153" s="78">
        <v>4</v>
      </c>
      <c r="DR153" s="78">
        <v>1</v>
      </c>
      <c r="DS153" s="78">
        <v>1</v>
      </c>
      <c r="DT153" s="78">
        <v>0</v>
      </c>
      <c r="DU153" s="78">
        <v>1</v>
      </c>
      <c r="DV153" s="137">
        <v>0.68965520000000002</v>
      </c>
      <c r="DX153" s="143" t="s">
        <v>791</v>
      </c>
      <c r="DY153" s="143" t="s">
        <v>790</v>
      </c>
      <c r="DZ153" s="143" t="s">
        <v>729</v>
      </c>
      <c r="EA153" s="143">
        <v>857</v>
      </c>
      <c r="EB153" s="78">
        <v>1</v>
      </c>
      <c r="EC153" s="78">
        <v>8</v>
      </c>
      <c r="ED153" s="78">
        <v>1</v>
      </c>
      <c r="EE153" s="78">
        <v>4</v>
      </c>
      <c r="EF153" s="78">
        <v>1</v>
      </c>
      <c r="EG153" s="78">
        <v>1</v>
      </c>
      <c r="EH153" s="78">
        <v>2</v>
      </c>
      <c r="EI153" s="78">
        <v>1</v>
      </c>
      <c r="EJ153" s="78">
        <v>1</v>
      </c>
      <c r="EK153" s="78">
        <v>1</v>
      </c>
      <c r="EL153" s="78">
        <v>4</v>
      </c>
      <c r="EM153" s="78">
        <v>0</v>
      </c>
      <c r="EN153" s="78">
        <v>0</v>
      </c>
      <c r="EO153" s="137">
        <v>0.92592589999999997</v>
      </c>
      <c r="EQ153" s="143" t="s">
        <v>791</v>
      </c>
      <c r="ER153" s="143" t="s">
        <v>790</v>
      </c>
      <c r="ES153" s="143" t="s">
        <v>729</v>
      </c>
      <c r="ET153" s="143">
        <v>857</v>
      </c>
      <c r="EU153" s="78">
        <v>0.5</v>
      </c>
      <c r="EV153" s="78">
        <v>1</v>
      </c>
      <c r="EW153" s="78">
        <v>3</v>
      </c>
      <c r="EX153" s="78">
        <v>0</v>
      </c>
      <c r="EY153" s="78">
        <v>0.5</v>
      </c>
      <c r="EZ153" s="78">
        <v>3</v>
      </c>
      <c r="FA153" s="78">
        <v>2</v>
      </c>
      <c r="FB153" s="78">
        <v>1</v>
      </c>
      <c r="FC153" s="137">
        <v>0.84615390000000001</v>
      </c>
      <c r="FE153" s="137">
        <v>0.5293255</v>
      </c>
    </row>
    <row r="154" spans="1:161" x14ac:dyDescent="0.25">
      <c r="A154" s="143" t="s">
        <v>791</v>
      </c>
      <c r="B154" s="143" t="s">
        <v>790</v>
      </c>
      <c r="C154" s="143" t="s">
        <v>728</v>
      </c>
      <c r="D154" s="143">
        <v>1731</v>
      </c>
      <c r="E154" s="78">
        <v>0.5</v>
      </c>
      <c r="F154" s="78">
        <v>2.5</v>
      </c>
      <c r="G154" s="78">
        <v>0</v>
      </c>
      <c r="H154" s="78">
        <v>4</v>
      </c>
      <c r="I154" s="78">
        <v>1</v>
      </c>
      <c r="J154" s="78">
        <v>0</v>
      </c>
      <c r="K154" s="78">
        <v>1</v>
      </c>
      <c r="L154" s="78">
        <v>0</v>
      </c>
      <c r="M154" s="78">
        <v>2</v>
      </c>
      <c r="N154" s="137">
        <v>0.78571429999999998</v>
      </c>
      <c r="P154" s="143" t="s">
        <v>791</v>
      </c>
      <c r="Q154" s="143" t="s">
        <v>790</v>
      </c>
      <c r="R154" s="143" t="s">
        <v>728</v>
      </c>
      <c r="S154" s="143">
        <v>1731</v>
      </c>
      <c r="T154" s="78">
        <v>0</v>
      </c>
      <c r="U154" s="78">
        <v>1</v>
      </c>
      <c r="V154" s="78">
        <v>0</v>
      </c>
      <c r="W154" s="78">
        <v>0</v>
      </c>
      <c r="X154" s="78">
        <v>9</v>
      </c>
      <c r="Y154" s="78">
        <v>1</v>
      </c>
      <c r="Z154" s="78">
        <v>3</v>
      </c>
      <c r="AA154" s="78">
        <v>0</v>
      </c>
      <c r="AB154" s="78">
        <v>6</v>
      </c>
      <c r="AC154" s="78">
        <v>0</v>
      </c>
      <c r="AD154" s="137">
        <v>0.58823530000000002</v>
      </c>
      <c r="AF154" s="143" t="s">
        <v>791</v>
      </c>
      <c r="AG154" s="143" t="s">
        <v>790</v>
      </c>
      <c r="AH154" s="143" t="s">
        <v>728</v>
      </c>
      <c r="AI154" s="143">
        <v>1731</v>
      </c>
      <c r="AJ154" s="78">
        <v>1</v>
      </c>
      <c r="AK154" s="78">
        <v>1</v>
      </c>
      <c r="AL154" s="78">
        <v>0</v>
      </c>
      <c r="AM154" s="78">
        <v>6</v>
      </c>
      <c r="AN154" s="78">
        <v>1</v>
      </c>
      <c r="AO154" s="78">
        <v>2</v>
      </c>
      <c r="AP154" s="78">
        <v>1</v>
      </c>
      <c r="AQ154" s="78">
        <v>1</v>
      </c>
      <c r="AR154" s="78">
        <v>2</v>
      </c>
      <c r="AS154" s="78">
        <v>2</v>
      </c>
      <c r="AT154" s="78">
        <v>2</v>
      </c>
      <c r="AU154" s="78">
        <v>1</v>
      </c>
      <c r="AV154" s="78">
        <v>2</v>
      </c>
      <c r="AW154" s="78">
        <v>1</v>
      </c>
      <c r="AX154" s="78">
        <v>0</v>
      </c>
      <c r="AY154" s="78">
        <v>1</v>
      </c>
      <c r="AZ154" s="78">
        <v>2</v>
      </c>
      <c r="BA154" s="78">
        <v>0.5</v>
      </c>
      <c r="BB154" s="78">
        <v>0.5</v>
      </c>
      <c r="BC154" s="78">
        <v>0.5</v>
      </c>
      <c r="BD154" s="78">
        <v>1</v>
      </c>
      <c r="BE154" s="78">
        <v>0.5</v>
      </c>
      <c r="BF154" s="78">
        <v>0</v>
      </c>
      <c r="BG154" s="78">
        <v>2</v>
      </c>
      <c r="BH154" s="137">
        <v>0.70454539999999999</v>
      </c>
      <c r="BJ154" s="143" t="s">
        <v>791</v>
      </c>
      <c r="BK154" s="143" t="s">
        <v>790</v>
      </c>
      <c r="BL154" s="143" t="s">
        <v>728</v>
      </c>
      <c r="BM154" s="143">
        <v>1731</v>
      </c>
      <c r="BN154" s="78">
        <v>0</v>
      </c>
      <c r="BO154" s="78">
        <v>4</v>
      </c>
      <c r="BP154" s="78">
        <v>7</v>
      </c>
      <c r="BQ154" s="78">
        <v>3</v>
      </c>
      <c r="BR154" s="78">
        <v>3</v>
      </c>
      <c r="BS154" s="78">
        <v>0</v>
      </c>
      <c r="BT154" s="78">
        <v>2</v>
      </c>
      <c r="BU154" s="137">
        <v>0.82608689999999996</v>
      </c>
      <c r="BW154" s="143" t="s">
        <v>791</v>
      </c>
      <c r="BX154" s="143" t="s">
        <v>790</v>
      </c>
      <c r="BY154" s="143" t="s">
        <v>728</v>
      </c>
      <c r="BZ154" s="143">
        <v>1731</v>
      </c>
      <c r="CM154" s="143" t="s">
        <v>791</v>
      </c>
      <c r="CN154" s="143" t="s">
        <v>790</v>
      </c>
      <c r="CO154" s="143" t="s">
        <v>728</v>
      </c>
      <c r="CP154" s="143">
        <v>1731</v>
      </c>
      <c r="CQ154" s="78">
        <v>0</v>
      </c>
      <c r="CR154" s="78">
        <v>0</v>
      </c>
      <c r="CS154" s="78">
        <v>24</v>
      </c>
      <c r="CT154" s="78">
        <v>0</v>
      </c>
      <c r="CU154" s="78">
        <v>2</v>
      </c>
      <c r="CV154" s="78">
        <v>8</v>
      </c>
      <c r="CW154" s="137">
        <v>0.65384609999999999</v>
      </c>
      <c r="CY154" s="143" t="s">
        <v>791</v>
      </c>
      <c r="CZ154" s="143" t="s">
        <v>790</v>
      </c>
      <c r="DA154" s="143" t="s">
        <v>728</v>
      </c>
      <c r="DB154" s="143">
        <v>1731</v>
      </c>
      <c r="DC154" s="78">
        <v>0</v>
      </c>
      <c r="DD154" s="137">
        <v>0</v>
      </c>
      <c r="DE154" s="137">
        <v>0</v>
      </c>
      <c r="DG154" s="143" t="s">
        <v>791</v>
      </c>
      <c r="DH154" s="143" t="s">
        <v>790</v>
      </c>
      <c r="DI154" s="143" t="s">
        <v>728</v>
      </c>
      <c r="DJ154" s="143">
        <v>1731</v>
      </c>
      <c r="DK154" s="78">
        <v>2</v>
      </c>
      <c r="DL154" s="78">
        <v>1</v>
      </c>
      <c r="DM154" s="78">
        <v>1</v>
      </c>
      <c r="DN154" s="78">
        <v>4</v>
      </c>
      <c r="DO154" s="78">
        <v>2</v>
      </c>
      <c r="DP154" s="78">
        <v>3</v>
      </c>
      <c r="DQ154" s="78">
        <v>7</v>
      </c>
      <c r="DR154" s="78">
        <v>1</v>
      </c>
      <c r="DS154" s="78">
        <v>1</v>
      </c>
      <c r="DT154" s="78">
        <v>0</v>
      </c>
      <c r="DU154" s="78">
        <v>1</v>
      </c>
      <c r="DV154" s="137">
        <v>0.79310349999999996</v>
      </c>
      <c r="DX154" s="143" t="s">
        <v>791</v>
      </c>
      <c r="DY154" s="143" t="s">
        <v>790</v>
      </c>
      <c r="DZ154" s="143" t="s">
        <v>728</v>
      </c>
      <c r="EA154" s="143">
        <v>1731</v>
      </c>
      <c r="EB154" s="78">
        <v>1</v>
      </c>
      <c r="EC154" s="78">
        <v>8</v>
      </c>
      <c r="ED154" s="78">
        <v>1</v>
      </c>
      <c r="EE154" s="78">
        <v>4</v>
      </c>
      <c r="EF154" s="78">
        <v>1</v>
      </c>
      <c r="EG154" s="78">
        <v>1</v>
      </c>
      <c r="EH154" s="78">
        <v>2</v>
      </c>
      <c r="EI154" s="78">
        <v>1</v>
      </c>
      <c r="EJ154" s="78">
        <v>1</v>
      </c>
      <c r="EK154" s="78">
        <v>1</v>
      </c>
      <c r="EL154" s="78">
        <v>4</v>
      </c>
      <c r="EM154" s="78">
        <v>1</v>
      </c>
      <c r="EN154" s="78">
        <v>0</v>
      </c>
      <c r="EO154" s="137">
        <v>0.96296300000000001</v>
      </c>
      <c r="EQ154" s="143" t="s">
        <v>791</v>
      </c>
      <c r="ER154" s="143" t="s">
        <v>790</v>
      </c>
      <c r="ES154" s="143" t="s">
        <v>728</v>
      </c>
      <c r="ET154" s="143">
        <v>1731</v>
      </c>
      <c r="EU154" s="78">
        <v>0.5</v>
      </c>
      <c r="EV154" s="78">
        <v>1</v>
      </c>
      <c r="EW154" s="78">
        <v>3</v>
      </c>
      <c r="EX154" s="78">
        <v>0</v>
      </c>
      <c r="EY154" s="78">
        <v>0.5</v>
      </c>
      <c r="EZ154" s="78">
        <v>3</v>
      </c>
      <c r="FA154" s="78">
        <v>2</v>
      </c>
      <c r="FB154" s="78">
        <v>1</v>
      </c>
      <c r="FC154" s="137">
        <v>0.84615390000000001</v>
      </c>
      <c r="FE154" s="137">
        <v>0.5368098</v>
      </c>
    </row>
    <row r="155" spans="1:161" hidden="1" x14ac:dyDescent="0.25">
      <c r="A155" s="143" t="s">
        <v>791</v>
      </c>
      <c r="B155" s="143" t="s">
        <v>790</v>
      </c>
      <c r="C155" s="143" t="s">
        <v>727</v>
      </c>
      <c r="D155" s="143">
        <v>1732</v>
      </c>
      <c r="E155" s="78">
        <v>0.5</v>
      </c>
      <c r="F155" s="78">
        <v>2.5</v>
      </c>
      <c r="G155" s="78">
        <v>0</v>
      </c>
      <c r="H155" s="78">
        <v>4</v>
      </c>
      <c r="I155" s="78">
        <v>1</v>
      </c>
      <c r="J155" s="78">
        <v>0</v>
      </c>
      <c r="K155" s="78">
        <v>1</v>
      </c>
      <c r="L155" s="78">
        <v>0</v>
      </c>
      <c r="M155" s="78">
        <v>2</v>
      </c>
      <c r="N155" s="137">
        <v>0.78571429999999998</v>
      </c>
      <c r="P155" s="143" t="s">
        <v>791</v>
      </c>
      <c r="Q155" s="143" t="s">
        <v>790</v>
      </c>
      <c r="R155" s="143" t="s">
        <v>727</v>
      </c>
      <c r="S155" s="143">
        <v>1732</v>
      </c>
      <c r="T155" s="78">
        <v>1</v>
      </c>
      <c r="U155" s="78">
        <v>1</v>
      </c>
      <c r="V155" s="78">
        <v>3</v>
      </c>
      <c r="W155" s="78">
        <v>0</v>
      </c>
      <c r="X155" s="78">
        <v>12</v>
      </c>
      <c r="Y155" s="78">
        <v>1</v>
      </c>
      <c r="Z155" s="78">
        <v>3</v>
      </c>
      <c r="AA155" s="78">
        <v>2</v>
      </c>
      <c r="AB155" s="78">
        <v>6</v>
      </c>
      <c r="AC155" s="78">
        <v>3</v>
      </c>
      <c r="AD155" s="137">
        <v>0.94117649999999997</v>
      </c>
      <c r="AF155" s="143" t="s">
        <v>791</v>
      </c>
      <c r="AG155" s="143" t="s">
        <v>790</v>
      </c>
      <c r="AH155" s="143" t="s">
        <v>727</v>
      </c>
      <c r="AI155" s="143">
        <v>1732</v>
      </c>
      <c r="AJ155" s="78">
        <v>1</v>
      </c>
      <c r="AK155" s="78">
        <v>0</v>
      </c>
      <c r="AL155" s="78">
        <v>1</v>
      </c>
      <c r="AM155" s="78">
        <v>6</v>
      </c>
      <c r="AN155" s="78">
        <v>1</v>
      </c>
      <c r="AO155" s="78">
        <v>0</v>
      </c>
      <c r="AP155" s="78">
        <v>1</v>
      </c>
      <c r="AQ155" s="78">
        <v>1</v>
      </c>
      <c r="AR155" s="78">
        <v>2</v>
      </c>
      <c r="AS155" s="78">
        <v>2</v>
      </c>
      <c r="AT155" s="78">
        <v>2</v>
      </c>
      <c r="AU155" s="78">
        <v>0</v>
      </c>
      <c r="AV155" s="78">
        <v>2</v>
      </c>
      <c r="AW155" s="78">
        <v>1</v>
      </c>
      <c r="AX155" s="78">
        <v>0</v>
      </c>
      <c r="AY155" s="78">
        <v>1</v>
      </c>
      <c r="AZ155" s="78">
        <v>2</v>
      </c>
      <c r="BA155" s="78">
        <v>0.5</v>
      </c>
      <c r="BB155" s="78">
        <v>0.5</v>
      </c>
      <c r="BC155" s="78">
        <v>0.5</v>
      </c>
      <c r="BD155" s="78">
        <v>1</v>
      </c>
      <c r="BE155" s="78">
        <v>0.5</v>
      </c>
      <c r="BF155" s="78">
        <v>0</v>
      </c>
      <c r="BG155" s="78">
        <v>6</v>
      </c>
      <c r="BH155" s="137">
        <v>0.72727269999999999</v>
      </c>
      <c r="BJ155" s="143" t="s">
        <v>791</v>
      </c>
      <c r="BK155" s="143" t="s">
        <v>790</v>
      </c>
      <c r="BL155" s="143" t="s">
        <v>727</v>
      </c>
      <c r="BM155" s="143">
        <v>1732</v>
      </c>
      <c r="BN155" s="78">
        <v>0</v>
      </c>
      <c r="BO155" s="78">
        <v>4</v>
      </c>
      <c r="BP155" s="78">
        <v>7</v>
      </c>
      <c r="BQ155" s="78">
        <v>3</v>
      </c>
      <c r="BR155" s="78">
        <v>3</v>
      </c>
      <c r="BS155" s="78">
        <v>0</v>
      </c>
      <c r="BT155" s="78">
        <v>2</v>
      </c>
      <c r="BU155" s="137">
        <v>0.82608689999999996</v>
      </c>
      <c r="BW155" s="143" t="s">
        <v>791</v>
      </c>
      <c r="BX155" s="143" t="s">
        <v>790</v>
      </c>
      <c r="BY155" s="143" t="s">
        <v>727</v>
      </c>
      <c r="BZ155" s="143">
        <v>1732</v>
      </c>
      <c r="CA155" s="78">
        <v>1</v>
      </c>
      <c r="CB155" s="78">
        <v>1</v>
      </c>
      <c r="CC155" s="78">
        <v>1</v>
      </c>
      <c r="CD155" s="78">
        <v>2</v>
      </c>
      <c r="CE155" s="78">
        <v>1</v>
      </c>
      <c r="CF155" s="78">
        <v>2</v>
      </c>
      <c r="CG155" s="78">
        <v>1</v>
      </c>
      <c r="CH155" s="78">
        <v>2</v>
      </c>
      <c r="CI155" s="78">
        <v>1</v>
      </c>
      <c r="CJ155" s="78">
        <v>3</v>
      </c>
      <c r="CK155" s="137">
        <v>1</v>
      </c>
      <c r="CM155" s="143" t="s">
        <v>791</v>
      </c>
      <c r="CN155" s="143" t="s">
        <v>790</v>
      </c>
      <c r="CO155" s="143" t="s">
        <v>727</v>
      </c>
      <c r="CP155" s="143">
        <v>1732</v>
      </c>
      <c r="CQ155" s="78">
        <v>8</v>
      </c>
      <c r="CR155" s="78">
        <v>0</v>
      </c>
      <c r="CS155" s="78">
        <v>20</v>
      </c>
      <c r="CT155" s="78">
        <v>4</v>
      </c>
      <c r="CU155" s="78">
        <v>0</v>
      </c>
      <c r="CV155" s="78">
        <v>8</v>
      </c>
      <c r="CW155" s="137">
        <v>0.76923079999999999</v>
      </c>
      <c r="CY155" s="143" t="s">
        <v>791</v>
      </c>
      <c r="CZ155" s="143" t="s">
        <v>790</v>
      </c>
      <c r="DA155" s="143" t="s">
        <v>727</v>
      </c>
      <c r="DB155" s="143">
        <v>1732</v>
      </c>
      <c r="DC155" s="78">
        <v>32</v>
      </c>
      <c r="DD155" s="137">
        <v>0</v>
      </c>
      <c r="DE155" s="137">
        <v>0</v>
      </c>
      <c r="DG155" s="143" t="s">
        <v>791</v>
      </c>
      <c r="DH155" s="143" t="s">
        <v>790</v>
      </c>
      <c r="DI155" s="143" t="s">
        <v>727</v>
      </c>
      <c r="DJ155" s="143">
        <v>1732</v>
      </c>
      <c r="DK155" s="78">
        <v>2</v>
      </c>
      <c r="DL155" s="78">
        <v>1</v>
      </c>
      <c r="DM155" s="78">
        <v>1</v>
      </c>
      <c r="DN155" s="78">
        <v>5</v>
      </c>
      <c r="DO155" s="78">
        <v>2</v>
      </c>
      <c r="DP155" s="78">
        <v>3</v>
      </c>
      <c r="DQ155" s="78">
        <v>7</v>
      </c>
      <c r="DR155" s="78">
        <v>1</v>
      </c>
      <c r="DS155" s="78">
        <v>1</v>
      </c>
      <c r="DT155" s="78">
        <v>0</v>
      </c>
      <c r="DU155" s="78">
        <v>0</v>
      </c>
      <c r="DV155" s="137">
        <v>0.79310349999999996</v>
      </c>
      <c r="DX155" s="143" t="s">
        <v>791</v>
      </c>
      <c r="DY155" s="143" t="s">
        <v>790</v>
      </c>
      <c r="DZ155" s="143" t="s">
        <v>727</v>
      </c>
      <c r="EA155" s="143">
        <v>1732</v>
      </c>
      <c r="EB155" s="78">
        <v>1</v>
      </c>
      <c r="EC155" s="78">
        <v>8</v>
      </c>
      <c r="ED155" s="78">
        <v>1</v>
      </c>
      <c r="EE155" s="78">
        <v>4</v>
      </c>
      <c r="EF155" s="78">
        <v>1</v>
      </c>
      <c r="EG155" s="78">
        <v>1</v>
      </c>
      <c r="EH155" s="78">
        <v>2</v>
      </c>
      <c r="EI155" s="78">
        <v>1</v>
      </c>
      <c r="EJ155" s="78">
        <v>1</v>
      </c>
      <c r="EK155" s="78">
        <v>1</v>
      </c>
      <c r="EL155" s="78">
        <v>4</v>
      </c>
      <c r="EM155" s="78">
        <v>0</v>
      </c>
      <c r="EN155" s="78">
        <v>0</v>
      </c>
      <c r="EO155" s="137">
        <v>0.92592589999999997</v>
      </c>
      <c r="EQ155" s="143" t="s">
        <v>791</v>
      </c>
      <c r="ER155" s="143" t="s">
        <v>790</v>
      </c>
      <c r="ES155" s="143" t="s">
        <v>727</v>
      </c>
      <c r="ET155" s="143">
        <v>1732</v>
      </c>
      <c r="EU155" s="78">
        <v>0.5</v>
      </c>
      <c r="EV155" s="78">
        <v>1</v>
      </c>
      <c r="EW155" s="78">
        <v>3</v>
      </c>
      <c r="EX155" s="78">
        <v>0</v>
      </c>
      <c r="EY155" s="78">
        <v>0.5</v>
      </c>
      <c r="EZ155" s="78">
        <v>3</v>
      </c>
      <c r="FA155" s="78">
        <v>2</v>
      </c>
      <c r="FB155" s="78">
        <v>1</v>
      </c>
      <c r="FC155" s="137">
        <v>0.84615390000000001</v>
      </c>
      <c r="FE155" s="137">
        <v>0.60997069999999998</v>
      </c>
    </row>
    <row r="156" spans="1:161" x14ac:dyDescent="0.25">
      <c r="A156" s="143" t="s">
        <v>791</v>
      </c>
      <c r="B156" s="143" t="s">
        <v>790</v>
      </c>
      <c r="C156" s="143" t="s">
        <v>728</v>
      </c>
      <c r="D156" s="143">
        <v>1839</v>
      </c>
      <c r="E156" s="78">
        <v>0.5</v>
      </c>
      <c r="F156" s="78">
        <v>2.5</v>
      </c>
      <c r="G156" s="78">
        <v>1</v>
      </c>
      <c r="H156" s="78">
        <v>4</v>
      </c>
      <c r="I156" s="78">
        <v>1</v>
      </c>
      <c r="J156" s="78">
        <v>0</v>
      </c>
      <c r="K156" s="78">
        <v>1</v>
      </c>
      <c r="L156" s="78">
        <v>1</v>
      </c>
      <c r="M156" s="78">
        <v>2</v>
      </c>
      <c r="N156" s="137">
        <v>0.92857140000000005</v>
      </c>
      <c r="P156" s="143" t="s">
        <v>791</v>
      </c>
      <c r="Q156" s="143" t="s">
        <v>790</v>
      </c>
      <c r="R156" s="143" t="s">
        <v>728</v>
      </c>
      <c r="S156" s="143">
        <v>1839</v>
      </c>
      <c r="T156" s="78">
        <v>1</v>
      </c>
      <c r="U156" s="78">
        <v>1</v>
      </c>
      <c r="V156" s="78">
        <v>0</v>
      </c>
      <c r="W156" s="78">
        <v>0</v>
      </c>
      <c r="X156" s="78">
        <v>12</v>
      </c>
      <c r="Y156" s="78">
        <v>1</v>
      </c>
      <c r="Z156" s="78">
        <v>0</v>
      </c>
      <c r="AA156" s="78">
        <v>0</v>
      </c>
      <c r="AB156" s="78">
        <v>6</v>
      </c>
      <c r="AC156" s="78">
        <v>0</v>
      </c>
      <c r="AD156" s="137">
        <v>0.6176471</v>
      </c>
      <c r="AF156" s="143" t="s">
        <v>791</v>
      </c>
      <c r="AG156" s="143" t="s">
        <v>790</v>
      </c>
      <c r="AH156" s="143" t="s">
        <v>728</v>
      </c>
      <c r="AI156" s="143">
        <v>1839</v>
      </c>
      <c r="AJ156" s="78">
        <v>1</v>
      </c>
      <c r="AK156" s="78">
        <v>1</v>
      </c>
      <c r="AL156" s="78">
        <v>1</v>
      </c>
      <c r="AM156" s="78">
        <v>0</v>
      </c>
      <c r="AN156" s="78">
        <v>0</v>
      </c>
      <c r="AO156" s="78">
        <v>2</v>
      </c>
      <c r="AP156" s="78">
        <v>1</v>
      </c>
      <c r="AQ156" s="78">
        <v>1</v>
      </c>
      <c r="AR156" s="78">
        <v>2</v>
      </c>
      <c r="AS156" s="78">
        <v>2</v>
      </c>
      <c r="AT156" s="78">
        <v>2</v>
      </c>
      <c r="AU156" s="78">
        <v>1</v>
      </c>
      <c r="AV156" s="78">
        <v>2</v>
      </c>
      <c r="AW156" s="78">
        <v>1</v>
      </c>
      <c r="AX156" s="78">
        <v>0</v>
      </c>
      <c r="AY156" s="78">
        <v>1</v>
      </c>
      <c r="AZ156" s="78">
        <v>2</v>
      </c>
      <c r="BA156" s="78">
        <v>0.5</v>
      </c>
      <c r="BB156" s="78">
        <v>0.5</v>
      </c>
      <c r="BC156" s="78">
        <v>0.5</v>
      </c>
      <c r="BD156" s="78">
        <v>0</v>
      </c>
      <c r="BE156" s="78">
        <v>0.5</v>
      </c>
      <c r="BF156" s="78">
        <v>1</v>
      </c>
      <c r="BG156" s="78">
        <v>2</v>
      </c>
      <c r="BH156" s="137">
        <v>0.56818179999999996</v>
      </c>
      <c r="BJ156" s="143" t="s">
        <v>791</v>
      </c>
      <c r="BK156" s="143" t="s">
        <v>790</v>
      </c>
      <c r="BL156" s="143" t="s">
        <v>728</v>
      </c>
      <c r="BM156" s="143">
        <v>1839</v>
      </c>
      <c r="BN156" s="78">
        <v>0</v>
      </c>
      <c r="BO156" s="78">
        <v>4</v>
      </c>
      <c r="BP156" s="78">
        <v>7</v>
      </c>
      <c r="BQ156" s="78">
        <v>3</v>
      </c>
      <c r="BR156" s="78">
        <v>3</v>
      </c>
      <c r="BS156" s="78">
        <v>0</v>
      </c>
      <c r="BT156" s="78">
        <v>2</v>
      </c>
      <c r="BU156" s="137">
        <v>0.82608689999999996</v>
      </c>
      <c r="BW156" s="143" t="s">
        <v>791</v>
      </c>
      <c r="BX156" s="143" t="s">
        <v>790</v>
      </c>
      <c r="BY156" s="143" t="s">
        <v>728</v>
      </c>
      <c r="BZ156" s="143">
        <v>1839</v>
      </c>
      <c r="CM156" s="143" t="s">
        <v>791</v>
      </c>
      <c r="CN156" s="143" t="s">
        <v>790</v>
      </c>
      <c r="CO156" s="143" t="s">
        <v>728</v>
      </c>
      <c r="CP156" s="143">
        <v>1839</v>
      </c>
      <c r="CQ156" s="78">
        <v>0</v>
      </c>
      <c r="CR156" s="78">
        <v>0</v>
      </c>
      <c r="CS156" s="78">
        <v>20</v>
      </c>
      <c r="CT156" s="78">
        <v>4</v>
      </c>
      <c r="CU156" s="78">
        <v>0</v>
      </c>
      <c r="CV156" s="78">
        <v>8</v>
      </c>
      <c r="CW156" s="137">
        <v>0.61538459999999995</v>
      </c>
      <c r="CY156" s="143" t="s">
        <v>791</v>
      </c>
      <c r="CZ156" s="143" t="s">
        <v>790</v>
      </c>
      <c r="DA156" s="143" t="s">
        <v>728</v>
      </c>
      <c r="DB156" s="143">
        <v>1839</v>
      </c>
      <c r="DC156" s="78">
        <v>38</v>
      </c>
      <c r="DD156" s="137">
        <v>0.2</v>
      </c>
      <c r="DE156" s="137">
        <v>8.4444400000000003E-2</v>
      </c>
      <c r="DG156" s="143" t="s">
        <v>791</v>
      </c>
      <c r="DH156" s="143" t="s">
        <v>790</v>
      </c>
      <c r="DI156" s="143" t="s">
        <v>728</v>
      </c>
      <c r="DJ156" s="143">
        <v>1839</v>
      </c>
      <c r="DK156" s="78">
        <v>2</v>
      </c>
      <c r="DL156" s="78">
        <v>1</v>
      </c>
      <c r="DM156" s="78">
        <v>1</v>
      </c>
      <c r="DN156" s="78">
        <v>4</v>
      </c>
      <c r="DO156" s="78">
        <v>2</v>
      </c>
      <c r="DP156" s="78">
        <v>3</v>
      </c>
      <c r="DQ156" s="78">
        <v>7</v>
      </c>
      <c r="DR156" s="78">
        <v>1</v>
      </c>
      <c r="DS156" s="78">
        <v>1</v>
      </c>
      <c r="DT156" s="78">
        <v>0</v>
      </c>
      <c r="DU156" s="78">
        <v>1</v>
      </c>
      <c r="DV156" s="137">
        <v>0.79310349999999996</v>
      </c>
      <c r="DX156" s="143" t="s">
        <v>791</v>
      </c>
      <c r="DY156" s="143" t="s">
        <v>790</v>
      </c>
      <c r="DZ156" s="143" t="s">
        <v>728</v>
      </c>
      <c r="EA156" s="143">
        <v>1839</v>
      </c>
      <c r="EB156" s="78">
        <v>1</v>
      </c>
      <c r="EC156" s="78">
        <v>8</v>
      </c>
      <c r="ED156" s="78">
        <v>1</v>
      </c>
      <c r="EE156" s="78">
        <v>4</v>
      </c>
      <c r="EF156" s="78">
        <v>1</v>
      </c>
      <c r="EG156" s="78">
        <v>1</v>
      </c>
      <c r="EH156" s="78">
        <v>2</v>
      </c>
      <c r="EI156" s="78">
        <v>1</v>
      </c>
      <c r="EJ156" s="78">
        <v>1</v>
      </c>
      <c r="EK156" s="78">
        <v>1</v>
      </c>
      <c r="EL156" s="78">
        <v>4</v>
      </c>
      <c r="EM156" s="78">
        <v>1</v>
      </c>
      <c r="EN156" s="78">
        <v>1</v>
      </c>
      <c r="EO156" s="137">
        <v>1</v>
      </c>
      <c r="EQ156" s="143" t="s">
        <v>791</v>
      </c>
      <c r="ER156" s="143" t="s">
        <v>790</v>
      </c>
      <c r="ES156" s="143" t="s">
        <v>728</v>
      </c>
      <c r="ET156" s="143">
        <v>1839</v>
      </c>
      <c r="EU156" s="78">
        <v>0.5</v>
      </c>
      <c r="EV156" s="78">
        <v>1</v>
      </c>
      <c r="EW156" s="78">
        <v>3</v>
      </c>
      <c r="EX156" s="78">
        <v>0</v>
      </c>
      <c r="EY156" s="78">
        <v>0.5</v>
      </c>
      <c r="EZ156" s="78">
        <v>3</v>
      </c>
      <c r="FA156" s="78">
        <v>2</v>
      </c>
      <c r="FB156" s="78">
        <v>1</v>
      </c>
      <c r="FC156" s="137">
        <v>0.84615390000000001</v>
      </c>
      <c r="FE156" s="137">
        <v>0.54785280000000003</v>
      </c>
    </row>
    <row r="157" spans="1:161" x14ac:dyDescent="0.25">
      <c r="A157" s="143" t="s">
        <v>791</v>
      </c>
      <c r="B157" s="143" t="s">
        <v>790</v>
      </c>
      <c r="C157" s="143" t="s">
        <v>728</v>
      </c>
      <c r="D157" s="143">
        <v>1897</v>
      </c>
      <c r="E157" s="78">
        <v>0.5</v>
      </c>
      <c r="F157" s="78">
        <v>2.5</v>
      </c>
      <c r="G157" s="78">
        <v>1</v>
      </c>
      <c r="H157" s="78">
        <v>4</v>
      </c>
      <c r="I157" s="78">
        <v>1</v>
      </c>
      <c r="J157" s="78">
        <v>0</v>
      </c>
      <c r="K157" s="78">
        <v>1</v>
      </c>
      <c r="L157" s="78">
        <v>0</v>
      </c>
      <c r="M157" s="78">
        <v>2</v>
      </c>
      <c r="N157" s="137">
        <v>0.85714290000000004</v>
      </c>
      <c r="P157" s="143" t="s">
        <v>791</v>
      </c>
      <c r="Q157" s="143" t="s">
        <v>790</v>
      </c>
      <c r="R157" s="143" t="s">
        <v>728</v>
      </c>
      <c r="S157" s="143">
        <v>1897</v>
      </c>
      <c r="T157" s="78">
        <v>1</v>
      </c>
      <c r="U157" s="78">
        <v>1</v>
      </c>
      <c r="V157" s="78">
        <v>2</v>
      </c>
      <c r="W157" s="78">
        <v>2</v>
      </c>
      <c r="X157" s="78">
        <v>12</v>
      </c>
      <c r="Y157" s="78">
        <v>1</v>
      </c>
      <c r="Z157" s="78">
        <v>3</v>
      </c>
      <c r="AA157" s="78">
        <v>0</v>
      </c>
      <c r="AB157" s="78">
        <v>0</v>
      </c>
      <c r="AC157" s="78">
        <v>0</v>
      </c>
      <c r="AD157" s="137">
        <v>0.64705880000000005</v>
      </c>
      <c r="AF157" s="143" t="s">
        <v>791</v>
      </c>
      <c r="AG157" s="143" t="s">
        <v>790</v>
      </c>
      <c r="AH157" s="143" t="s">
        <v>728</v>
      </c>
      <c r="AI157" s="143">
        <v>1897</v>
      </c>
      <c r="AJ157" s="78">
        <v>1</v>
      </c>
      <c r="AK157" s="78">
        <v>0</v>
      </c>
      <c r="AL157" s="78">
        <v>1</v>
      </c>
      <c r="AM157" s="78">
        <v>6</v>
      </c>
      <c r="AN157" s="78">
        <v>1</v>
      </c>
      <c r="AO157" s="78">
        <v>2</v>
      </c>
      <c r="AP157" s="78">
        <v>1</v>
      </c>
      <c r="AQ157" s="78">
        <v>1</v>
      </c>
      <c r="AR157" s="78">
        <v>2</v>
      </c>
      <c r="AS157" s="78">
        <v>2</v>
      </c>
      <c r="AT157" s="78">
        <v>2</v>
      </c>
      <c r="AU157" s="78">
        <v>0</v>
      </c>
      <c r="AV157" s="78">
        <v>2</v>
      </c>
      <c r="AW157" s="78">
        <v>1</v>
      </c>
      <c r="AX157" s="78">
        <v>0</v>
      </c>
      <c r="AY157" s="78">
        <v>1</v>
      </c>
      <c r="AZ157" s="78">
        <v>2</v>
      </c>
      <c r="BA157" s="78">
        <v>0.5</v>
      </c>
      <c r="BB157" s="78">
        <v>0.5</v>
      </c>
      <c r="BC157" s="78">
        <v>0.5</v>
      </c>
      <c r="BD157" s="78">
        <v>0</v>
      </c>
      <c r="BE157" s="78">
        <v>0.5</v>
      </c>
      <c r="BF157" s="78">
        <v>0</v>
      </c>
      <c r="BG157" s="78">
        <v>6</v>
      </c>
      <c r="BH157" s="137">
        <v>0.75</v>
      </c>
      <c r="BJ157" s="143" t="s">
        <v>791</v>
      </c>
      <c r="BK157" s="143" t="s">
        <v>790</v>
      </c>
      <c r="BL157" s="143" t="s">
        <v>728</v>
      </c>
      <c r="BM157" s="143">
        <v>1897</v>
      </c>
      <c r="BN157" s="78">
        <v>0</v>
      </c>
      <c r="BO157" s="78">
        <v>4</v>
      </c>
      <c r="BP157" s="78">
        <v>0</v>
      </c>
      <c r="BQ157" s="78">
        <v>3</v>
      </c>
      <c r="BR157" s="78">
        <v>3</v>
      </c>
      <c r="BS157" s="78">
        <v>0</v>
      </c>
      <c r="BT157" s="78">
        <v>2</v>
      </c>
      <c r="BU157" s="137">
        <v>0.52173910000000001</v>
      </c>
      <c r="BW157" s="143" t="s">
        <v>791</v>
      </c>
      <c r="BX157" s="143" t="s">
        <v>790</v>
      </c>
      <c r="BY157" s="143" t="s">
        <v>728</v>
      </c>
      <c r="BZ157" s="143">
        <v>1897</v>
      </c>
      <c r="CM157" s="143" t="s">
        <v>791</v>
      </c>
      <c r="CN157" s="143" t="s">
        <v>790</v>
      </c>
      <c r="CO157" s="143" t="s">
        <v>728</v>
      </c>
      <c r="CP157" s="143">
        <v>1897</v>
      </c>
      <c r="CQ157" s="78">
        <v>2</v>
      </c>
      <c r="CR157" s="78">
        <v>0</v>
      </c>
      <c r="CS157" s="78">
        <v>16</v>
      </c>
      <c r="CT157" s="78">
        <v>0</v>
      </c>
      <c r="CU157" s="78">
        <v>2</v>
      </c>
      <c r="CV157" s="78">
        <v>8</v>
      </c>
      <c r="CW157" s="137">
        <v>0.53846159999999998</v>
      </c>
      <c r="CY157" s="143" t="s">
        <v>791</v>
      </c>
      <c r="CZ157" s="143" t="s">
        <v>790</v>
      </c>
      <c r="DA157" s="143" t="s">
        <v>728</v>
      </c>
      <c r="DB157" s="143">
        <v>1897</v>
      </c>
      <c r="DC157" s="78">
        <v>10</v>
      </c>
      <c r="DD157" s="137">
        <v>0</v>
      </c>
      <c r="DE157" s="137">
        <v>0</v>
      </c>
      <c r="DG157" s="143" t="s">
        <v>791</v>
      </c>
      <c r="DH157" s="143" t="s">
        <v>790</v>
      </c>
      <c r="DI157" s="143" t="s">
        <v>728</v>
      </c>
      <c r="DJ157" s="143">
        <v>1897</v>
      </c>
      <c r="DK157" s="78">
        <v>0</v>
      </c>
      <c r="DL157" s="78">
        <v>1</v>
      </c>
      <c r="DM157" s="78">
        <v>1</v>
      </c>
      <c r="DN157" s="78">
        <v>4</v>
      </c>
      <c r="DO157" s="78">
        <v>2</v>
      </c>
      <c r="DP157" s="78">
        <v>3</v>
      </c>
      <c r="DQ157" s="78">
        <v>8</v>
      </c>
      <c r="DR157" s="78">
        <v>1</v>
      </c>
      <c r="DS157" s="78">
        <v>1</v>
      </c>
      <c r="DT157" s="78">
        <v>0</v>
      </c>
      <c r="DU157" s="78">
        <v>1</v>
      </c>
      <c r="DV157" s="137">
        <v>0.75862070000000004</v>
      </c>
      <c r="DX157" s="143" t="s">
        <v>791</v>
      </c>
      <c r="DY157" s="143" t="s">
        <v>790</v>
      </c>
      <c r="DZ157" s="143" t="s">
        <v>728</v>
      </c>
      <c r="EA157" s="143">
        <v>1897</v>
      </c>
      <c r="EB157" s="78">
        <v>1</v>
      </c>
      <c r="EC157" s="78">
        <v>8</v>
      </c>
      <c r="ED157" s="78">
        <v>1</v>
      </c>
      <c r="EE157" s="78">
        <v>4</v>
      </c>
      <c r="EF157" s="78">
        <v>0</v>
      </c>
      <c r="EG157" s="78">
        <v>1</v>
      </c>
      <c r="EH157" s="78">
        <v>2</v>
      </c>
      <c r="EI157" s="78">
        <v>1</v>
      </c>
      <c r="EJ157" s="78">
        <v>1</v>
      </c>
      <c r="EK157" s="78">
        <v>1</v>
      </c>
      <c r="EL157" s="78">
        <v>4</v>
      </c>
      <c r="EM157" s="78">
        <v>1</v>
      </c>
      <c r="EN157" s="78">
        <v>0</v>
      </c>
      <c r="EO157" s="137">
        <v>0.92592589999999997</v>
      </c>
      <c r="EQ157" s="143" t="s">
        <v>791</v>
      </c>
      <c r="ER157" s="143" t="s">
        <v>790</v>
      </c>
      <c r="ES157" s="143" t="s">
        <v>728</v>
      </c>
      <c r="ET157" s="143">
        <v>1897</v>
      </c>
      <c r="EU157" s="78">
        <v>0.5</v>
      </c>
      <c r="EV157" s="78">
        <v>1</v>
      </c>
      <c r="EW157" s="78">
        <v>3</v>
      </c>
      <c r="EX157" s="78">
        <v>0</v>
      </c>
      <c r="EY157" s="78">
        <v>0.5</v>
      </c>
      <c r="EZ157" s="78">
        <v>3</v>
      </c>
      <c r="FA157" s="78">
        <v>2</v>
      </c>
      <c r="FB157" s="78">
        <v>1</v>
      </c>
      <c r="FC157" s="137">
        <v>0.84615390000000001</v>
      </c>
      <c r="FE157" s="137">
        <v>0.506135</v>
      </c>
    </row>
    <row r="158" spans="1:161" x14ac:dyDescent="0.25">
      <c r="A158" s="143" t="s">
        <v>792</v>
      </c>
      <c r="B158" s="143" t="s">
        <v>758</v>
      </c>
      <c r="C158" s="143" t="s">
        <v>728</v>
      </c>
      <c r="D158" s="143">
        <v>432</v>
      </c>
      <c r="E158" s="78">
        <v>0</v>
      </c>
      <c r="F158" s="78">
        <v>2</v>
      </c>
      <c r="G158" s="78">
        <v>1</v>
      </c>
      <c r="H158" s="78">
        <v>4</v>
      </c>
      <c r="I158" s="78">
        <v>1</v>
      </c>
      <c r="J158" s="78">
        <v>0</v>
      </c>
      <c r="K158" s="78">
        <v>1</v>
      </c>
      <c r="L158" s="78">
        <v>1</v>
      </c>
      <c r="M158" s="78">
        <v>2</v>
      </c>
      <c r="N158" s="137">
        <v>0.85714290000000004</v>
      </c>
      <c r="P158" s="143" t="s">
        <v>792</v>
      </c>
      <c r="Q158" s="143" t="s">
        <v>758</v>
      </c>
      <c r="R158" s="143" t="s">
        <v>728</v>
      </c>
      <c r="S158" s="143">
        <v>432</v>
      </c>
      <c r="T158" s="78">
        <v>1</v>
      </c>
      <c r="U158" s="78">
        <v>1</v>
      </c>
      <c r="V158" s="78">
        <v>2.5</v>
      </c>
      <c r="W158" s="78">
        <v>1</v>
      </c>
      <c r="X158" s="78">
        <v>9</v>
      </c>
      <c r="Y158" s="78">
        <v>1</v>
      </c>
      <c r="Z158" s="78">
        <v>3</v>
      </c>
      <c r="AA158" s="78">
        <v>2</v>
      </c>
      <c r="AB158" s="78">
        <v>6</v>
      </c>
      <c r="AC158" s="78">
        <v>0</v>
      </c>
      <c r="AD158" s="137">
        <v>0.77941179999999999</v>
      </c>
      <c r="AF158" s="143" t="s">
        <v>792</v>
      </c>
      <c r="AG158" s="143" t="s">
        <v>758</v>
      </c>
      <c r="AH158" s="143" t="s">
        <v>728</v>
      </c>
      <c r="AI158" s="143">
        <v>432</v>
      </c>
      <c r="AJ158" s="78">
        <v>1</v>
      </c>
      <c r="AK158" s="78">
        <v>1</v>
      </c>
      <c r="AL158" s="78">
        <v>1</v>
      </c>
      <c r="AM158" s="78">
        <v>1</v>
      </c>
      <c r="AN158" s="78">
        <v>1</v>
      </c>
      <c r="AO158" s="78">
        <v>2</v>
      </c>
      <c r="AP158" s="78">
        <v>1</v>
      </c>
      <c r="AQ158" s="78">
        <v>0</v>
      </c>
      <c r="AR158" s="78">
        <v>2</v>
      </c>
      <c r="AS158" s="78">
        <v>0</v>
      </c>
      <c r="AT158" s="78">
        <v>0</v>
      </c>
      <c r="AU158" s="78">
        <v>0</v>
      </c>
      <c r="AV158" s="78">
        <v>0</v>
      </c>
      <c r="AW158" s="78">
        <v>0</v>
      </c>
      <c r="AX158" s="78">
        <v>0</v>
      </c>
      <c r="AY158" s="78">
        <v>1</v>
      </c>
      <c r="AZ158" s="78">
        <v>2</v>
      </c>
      <c r="BA158" s="78">
        <v>0.5</v>
      </c>
      <c r="BB158" s="78">
        <v>0.5</v>
      </c>
      <c r="BC158" s="78">
        <v>0.5</v>
      </c>
      <c r="BD158" s="78">
        <v>1</v>
      </c>
      <c r="BE158" s="78">
        <v>0.5</v>
      </c>
      <c r="BF158" s="78">
        <v>0</v>
      </c>
      <c r="BG158" s="78">
        <v>6</v>
      </c>
      <c r="BH158" s="137">
        <v>0.5</v>
      </c>
      <c r="BJ158" s="143" t="s">
        <v>792</v>
      </c>
      <c r="BK158" s="143" t="s">
        <v>758</v>
      </c>
      <c r="BL158" s="143" t="s">
        <v>728</v>
      </c>
      <c r="BM158" s="143">
        <v>432</v>
      </c>
      <c r="BN158" s="78">
        <v>0</v>
      </c>
      <c r="BO158" s="78">
        <v>0</v>
      </c>
      <c r="BP158" s="78">
        <v>0</v>
      </c>
      <c r="BQ158" s="78">
        <v>3</v>
      </c>
      <c r="BR158" s="78">
        <v>0</v>
      </c>
      <c r="BS158" s="78">
        <v>3</v>
      </c>
      <c r="BT158" s="78">
        <v>0</v>
      </c>
      <c r="BU158" s="137">
        <v>0.26086959999999998</v>
      </c>
      <c r="BW158" s="143" t="s">
        <v>792</v>
      </c>
      <c r="BX158" s="143" t="s">
        <v>758</v>
      </c>
      <c r="BY158" s="143" t="s">
        <v>728</v>
      </c>
      <c r="BZ158" s="143">
        <v>432</v>
      </c>
      <c r="CM158" s="143" t="s">
        <v>792</v>
      </c>
      <c r="CN158" s="143" t="s">
        <v>758</v>
      </c>
      <c r="CO158" s="143" t="s">
        <v>728</v>
      </c>
      <c r="CP158" s="143">
        <v>432</v>
      </c>
      <c r="CQ158" s="78">
        <v>8</v>
      </c>
      <c r="CR158" s="78">
        <v>0</v>
      </c>
      <c r="CS158" s="78">
        <v>16</v>
      </c>
      <c r="CT158" s="78">
        <v>4</v>
      </c>
      <c r="CU158" s="78">
        <v>0</v>
      </c>
      <c r="CV158" s="78">
        <v>8</v>
      </c>
      <c r="CW158" s="137">
        <v>0.69230769999999997</v>
      </c>
      <c r="CY158" s="143" t="s">
        <v>792</v>
      </c>
      <c r="CZ158" s="143" t="s">
        <v>758</v>
      </c>
      <c r="DA158" s="143" t="s">
        <v>728</v>
      </c>
      <c r="DB158" s="143">
        <v>432</v>
      </c>
      <c r="DC158" s="78">
        <v>0</v>
      </c>
      <c r="DD158" s="137">
        <v>0</v>
      </c>
      <c r="DE158" s="137">
        <v>0</v>
      </c>
      <c r="DG158" s="143" t="s">
        <v>792</v>
      </c>
      <c r="DH158" s="143" t="s">
        <v>758</v>
      </c>
      <c r="DI158" s="143" t="s">
        <v>728</v>
      </c>
      <c r="DJ158" s="143">
        <v>432</v>
      </c>
      <c r="DK158" s="78">
        <v>2</v>
      </c>
      <c r="DL158" s="78">
        <v>1</v>
      </c>
      <c r="DM158" s="78">
        <v>0</v>
      </c>
      <c r="DN158" s="78">
        <v>5</v>
      </c>
      <c r="DO158" s="78">
        <v>2</v>
      </c>
      <c r="DP158" s="78">
        <v>3</v>
      </c>
      <c r="DQ158" s="78">
        <v>4</v>
      </c>
      <c r="DR158" s="78">
        <v>0</v>
      </c>
      <c r="DS158" s="78">
        <v>1</v>
      </c>
      <c r="DT158" s="78">
        <v>0</v>
      </c>
      <c r="DU158" s="78">
        <v>0</v>
      </c>
      <c r="DV158" s="137">
        <v>0.62068959999999995</v>
      </c>
      <c r="DX158" s="143" t="s">
        <v>792</v>
      </c>
      <c r="DY158" s="143" t="s">
        <v>758</v>
      </c>
      <c r="DZ158" s="143" t="s">
        <v>728</v>
      </c>
      <c r="EA158" s="143">
        <v>432</v>
      </c>
      <c r="EB158" s="78">
        <v>0</v>
      </c>
      <c r="EC158" s="78">
        <v>8</v>
      </c>
      <c r="ED158" s="78">
        <v>1</v>
      </c>
      <c r="EE158" s="78">
        <v>4</v>
      </c>
      <c r="EF158" s="78">
        <v>0</v>
      </c>
      <c r="EG158" s="78">
        <v>1</v>
      </c>
      <c r="EH158" s="78">
        <v>0</v>
      </c>
      <c r="EI158" s="78">
        <v>1</v>
      </c>
      <c r="EJ158" s="78">
        <v>1</v>
      </c>
      <c r="EK158" s="78">
        <v>1</v>
      </c>
      <c r="EL158" s="78">
        <v>4</v>
      </c>
      <c r="EM158" s="78">
        <v>1</v>
      </c>
      <c r="EN158" s="78">
        <v>1</v>
      </c>
      <c r="EO158" s="137">
        <v>0.8518519</v>
      </c>
      <c r="EQ158" s="143" t="s">
        <v>792</v>
      </c>
      <c r="ER158" s="143" t="s">
        <v>758</v>
      </c>
      <c r="ES158" s="143" t="s">
        <v>728</v>
      </c>
      <c r="ET158" s="143">
        <v>432</v>
      </c>
      <c r="EU158" s="78">
        <v>0</v>
      </c>
      <c r="EV158" s="78">
        <v>1</v>
      </c>
      <c r="EW158" s="78">
        <v>0</v>
      </c>
      <c r="EX158" s="78">
        <v>0</v>
      </c>
      <c r="EY158" s="78">
        <v>0.5</v>
      </c>
      <c r="EZ158" s="78">
        <v>3</v>
      </c>
      <c r="FA158" s="78">
        <v>2</v>
      </c>
      <c r="FB158" s="78">
        <v>1</v>
      </c>
      <c r="FC158" s="137">
        <v>0.57692310000000002</v>
      </c>
      <c r="FE158" s="137">
        <v>0.4631902</v>
      </c>
    </row>
    <row r="159" spans="1:161" hidden="1" x14ac:dyDescent="0.25">
      <c r="A159" s="143" t="s">
        <v>792</v>
      </c>
      <c r="B159" s="143" t="s">
        <v>758</v>
      </c>
      <c r="C159" s="143" t="s">
        <v>727</v>
      </c>
      <c r="D159" s="143">
        <v>437</v>
      </c>
      <c r="E159" s="78">
        <v>0</v>
      </c>
      <c r="F159" s="78">
        <v>2.5</v>
      </c>
      <c r="G159" s="78">
        <v>1</v>
      </c>
      <c r="H159" s="78">
        <v>2</v>
      </c>
      <c r="I159" s="78">
        <v>1</v>
      </c>
      <c r="J159" s="78">
        <v>1</v>
      </c>
      <c r="K159" s="78">
        <v>1</v>
      </c>
      <c r="L159" s="78">
        <v>1</v>
      </c>
      <c r="M159" s="78">
        <v>0</v>
      </c>
      <c r="N159" s="137">
        <v>0.67857140000000005</v>
      </c>
      <c r="P159" s="143" t="s">
        <v>792</v>
      </c>
      <c r="Q159" s="143" t="s">
        <v>758</v>
      </c>
      <c r="R159" s="143" t="s">
        <v>727</v>
      </c>
      <c r="S159" s="143">
        <v>437</v>
      </c>
      <c r="T159" s="78">
        <v>1</v>
      </c>
      <c r="U159" s="78">
        <v>1</v>
      </c>
      <c r="V159" s="78">
        <v>3</v>
      </c>
      <c r="W159" s="78">
        <v>1</v>
      </c>
      <c r="X159" s="78">
        <v>12</v>
      </c>
      <c r="Y159" s="78">
        <v>1</v>
      </c>
      <c r="Z159" s="78">
        <v>0</v>
      </c>
      <c r="AA159" s="78">
        <v>2</v>
      </c>
      <c r="AB159" s="78">
        <v>6</v>
      </c>
      <c r="AC159" s="78">
        <v>0</v>
      </c>
      <c r="AD159" s="137">
        <v>0.79411759999999998</v>
      </c>
      <c r="AF159" s="143" t="s">
        <v>792</v>
      </c>
      <c r="AG159" s="143" t="s">
        <v>758</v>
      </c>
      <c r="AH159" s="143" t="s">
        <v>727</v>
      </c>
      <c r="AI159" s="143">
        <v>437</v>
      </c>
      <c r="AJ159" s="78">
        <v>1</v>
      </c>
      <c r="AK159" s="78">
        <v>1</v>
      </c>
      <c r="AL159" s="78">
        <v>1</v>
      </c>
      <c r="AM159" s="78">
        <v>6</v>
      </c>
      <c r="AN159" s="78">
        <v>1</v>
      </c>
      <c r="AO159" s="78">
        <v>2</v>
      </c>
      <c r="AP159" s="78">
        <v>1</v>
      </c>
      <c r="AQ159" s="78">
        <v>0</v>
      </c>
      <c r="AR159" s="78">
        <v>2</v>
      </c>
      <c r="AS159" s="78">
        <v>0</v>
      </c>
      <c r="AT159" s="78">
        <v>0</v>
      </c>
      <c r="AU159" s="78">
        <v>0</v>
      </c>
      <c r="AV159" s="78">
        <v>2</v>
      </c>
      <c r="AW159" s="78">
        <v>0</v>
      </c>
      <c r="AX159" s="78">
        <v>0</v>
      </c>
      <c r="AY159" s="78">
        <v>1</v>
      </c>
      <c r="AZ159" s="78">
        <v>2</v>
      </c>
      <c r="BA159" s="78">
        <v>0.5</v>
      </c>
      <c r="BB159" s="78">
        <v>0.5</v>
      </c>
      <c r="BC159" s="78">
        <v>0.5</v>
      </c>
      <c r="BD159" s="78">
        <v>1</v>
      </c>
      <c r="BE159" s="78">
        <v>0.5</v>
      </c>
      <c r="BF159" s="78">
        <v>1</v>
      </c>
      <c r="BG159" s="78">
        <v>8</v>
      </c>
      <c r="BH159" s="137">
        <v>0.72727269999999999</v>
      </c>
      <c r="BJ159" s="143" t="s">
        <v>792</v>
      </c>
      <c r="BK159" s="143" t="s">
        <v>758</v>
      </c>
      <c r="BL159" s="143" t="s">
        <v>727</v>
      </c>
      <c r="BM159" s="143">
        <v>437</v>
      </c>
      <c r="BN159" s="78">
        <v>0</v>
      </c>
      <c r="BO159" s="78">
        <v>4</v>
      </c>
      <c r="BP159" s="78">
        <v>7</v>
      </c>
      <c r="BQ159" s="78">
        <v>0</v>
      </c>
      <c r="BR159" s="78">
        <v>0</v>
      </c>
      <c r="BS159" s="78">
        <v>0</v>
      </c>
      <c r="BT159" s="78">
        <v>2</v>
      </c>
      <c r="BU159" s="137">
        <v>0.56521739999999998</v>
      </c>
      <c r="BW159" s="143" t="s">
        <v>792</v>
      </c>
      <c r="BX159" s="143" t="s">
        <v>758</v>
      </c>
      <c r="BY159" s="143" t="s">
        <v>727</v>
      </c>
      <c r="BZ159" s="143">
        <v>437</v>
      </c>
      <c r="CA159" s="78">
        <v>1</v>
      </c>
      <c r="CB159" s="78">
        <v>1</v>
      </c>
      <c r="CC159" s="78">
        <v>1</v>
      </c>
      <c r="CD159" s="78">
        <v>2</v>
      </c>
      <c r="CE159" s="78">
        <v>1</v>
      </c>
      <c r="CF159" s="78">
        <v>2</v>
      </c>
      <c r="CG159" s="78">
        <v>1</v>
      </c>
      <c r="CH159" s="78">
        <v>2</v>
      </c>
      <c r="CI159" s="78">
        <v>1</v>
      </c>
      <c r="CJ159" s="78">
        <v>3</v>
      </c>
      <c r="CK159" s="137">
        <v>1</v>
      </c>
      <c r="CM159" s="143" t="s">
        <v>792</v>
      </c>
      <c r="CN159" s="143" t="s">
        <v>758</v>
      </c>
      <c r="CO159" s="143" t="s">
        <v>727</v>
      </c>
      <c r="CP159" s="143">
        <v>437</v>
      </c>
      <c r="CQ159" s="78">
        <v>8</v>
      </c>
      <c r="CR159" s="78">
        <v>0</v>
      </c>
      <c r="CS159" s="78">
        <v>16</v>
      </c>
      <c r="CT159" s="78">
        <v>4</v>
      </c>
      <c r="CU159" s="78">
        <v>0</v>
      </c>
      <c r="CV159" s="78">
        <v>8</v>
      </c>
      <c r="CW159" s="137">
        <v>0.69230769999999997</v>
      </c>
      <c r="CY159" s="143" t="s">
        <v>792</v>
      </c>
      <c r="CZ159" s="143" t="s">
        <v>758</v>
      </c>
      <c r="DA159" s="143" t="s">
        <v>727</v>
      </c>
      <c r="DB159" s="143">
        <v>437</v>
      </c>
      <c r="DC159" s="78">
        <v>72</v>
      </c>
      <c r="DD159" s="137">
        <v>0.4</v>
      </c>
      <c r="DE159" s="137">
        <v>0.32</v>
      </c>
      <c r="DG159" s="143" t="s">
        <v>792</v>
      </c>
      <c r="DH159" s="143" t="s">
        <v>758</v>
      </c>
      <c r="DI159" s="143" t="s">
        <v>727</v>
      </c>
      <c r="DJ159" s="143">
        <v>437</v>
      </c>
      <c r="DK159" s="78">
        <v>2</v>
      </c>
      <c r="DL159" s="78">
        <v>1</v>
      </c>
      <c r="DM159" s="78">
        <v>0</v>
      </c>
      <c r="DN159" s="78">
        <v>4</v>
      </c>
      <c r="DO159" s="78">
        <v>2</v>
      </c>
      <c r="DP159" s="78">
        <v>3</v>
      </c>
      <c r="DQ159" s="78">
        <v>6</v>
      </c>
      <c r="DR159" s="78">
        <v>0</v>
      </c>
      <c r="DS159" s="78">
        <v>1</v>
      </c>
      <c r="DT159" s="78">
        <v>0</v>
      </c>
      <c r="DU159" s="78">
        <v>1</v>
      </c>
      <c r="DV159" s="137">
        <v>0.68965520000000002</v>
      </c>
      <c r="DX159" s="143" t="s">
        <v>792</v>
      </c>
      <c r="DY159" s="143" t="s">
        <v>758</v>
      </c>
      <c r="DZ159" s="143" t="s">
        <v>727</v>
      </c>
      <c r="EA159" s="143">
        <v>437</v>
      </c>
      <c r="EB159" s="78">
        <v>0</v>
      </c>
      <c r="EC159" s="78">
        <v>8</v>
      </c>
      <c r="ED159" s="78">
        <v>1</v>
      </c>
      <c r="EE159" s="78">
        <v>4</v>
      </c>
      <c r="EF159" s="78">
        <v>1</v>
      </c>
      <c r="EG159" s="78">
        <v>1</v>
      </c>
      <c r="EH159" s="78">
        <v>0</v>
      </c>
      <c r="EI159" s="78">
        <v>1</v>
      </c>
      <c r="EJ159" s="78">
        <v>1</v>
      </c>
      <c r="EK159" s="78">
        <v>1</v>
      </c>
      <c r="EL159" s="78">
        <v>4</v>
      </c>
      <c r="EM159" s="78">
        <v>1</v>
      </c>
      <c r="EN159" s="78">
        <v>1</v>
      </c>
      <c r="EO159" s="137">
        <v>0.88888889999999998</v>
      </c>
      <c r="EQ159" s="143" t="s">
        <v>792</v>
      </c>
      <c r="ER159" s="143" t="s">
        <v>758</v>
      </c>
      <c r="ES159" s="143" t="s">
        <v>727</v>
      </c>
      <c r="ET159" s="143">
        <v>437</v>
      </c>
      <c r="EU159" s="78">
        <v>0</v>
      </c>
      <c r="EV159" s="78">
        <v>1</v>
      </c>
      <c r="EW159" s="78">
        <v>3</v>
      </c>
      <c r="EX159" s="78">
        <v>0</v>
      </c>
      <c r="EY159" s="78">
        <v>0.5</v>
      </c>
      <c r="EZ159" s="78">
        <v>0</v>
      </c>
      <c r="FA159" s="78">
        <v>2</v>
      </c>
      <c r="FB159" s="78">
        <v>1</v>
      </c>
      <c r="FC159" s="137">
        <v>0.57692310000000002</v>
      </c>
      <c r="FE159" s="137">
        <v>0.62404689999999996</v>
      </c>
    </row>
    <row r="160" spans="1:161" hidden="1" x14ac:dyDescent="0.25">
      <c r="A160" s="143" t="s">
        <v>792</v>
      </c>
      <c r="B160" s="143" t="s">
        <v>758</v>
      </c>
      <c r="C160" s="143" t="s">
        <v>729</v>
      </c>
      <c r="D160" s="143">
        <v>439</v>
      </c>
      <c r="E160" s="78">
        <v>0.5</v>
      </c>
      <c r="F160" s="78">
        <v>2.5</v>
      </c>
      <c r="G160" s="78">
        <v>1</v>
      </c>
      <c r="H160" s="78">
        <v>3</v>
      </c>
      <c r="I160" s="78">
        <v>1</v>
      </c>
      <c r="J160" s="78">
        <v>1</v>
      </c>
      <c r="K160" s="78">
        <v>0</v>
      </c>
      <c r="L160" s="78">
        <v>1</v>
      </c>
      <c r="M160" s="78">
        <v>2</v>
      </c>
      <c r="N160" s="137">
        <v>0.85714290000000004</v>
      </c>
      <c r="P160" s="143" t="s">
        <v>792</v>
      </c>
      <c r="Q160" s="143" t="s">
        <v>758</v>
      </c>
      <c r="R160" s="143" t="s">
        <v>729</v>
      </c>
      <c r="S160" s="143">
        <v>439</v>
      </c>
      <c r="T160" s="78">
        <v>1</v>
      </c>
      <c r="U160" s="78">
        <v>1</v>
      </c>
      <c r="V160" s="78">
        <v>3</v>
      </c>
      <c r="W160" s="78">
        <v>2</v>
      </c>
      <c r="X160" s="78">
        <v>12</v>
      </c>
      <c r="Y160" s="78">
        <v>1</v>
      </c>
      <c r="Z160" s="78">
        <v>0</v>
      </c>
      <c r="AA160" s="78">
        <v>2</v>
      </c>
      <c r="AB160" s="78">
        <v>6</v>
      </c>
      <c r="AC160" s="78">
        <v>0</v>
      </c>
      <c r="AD160" s="137">
        <v>0.82352939999999997</v>
      </c>
      <c r="AF160" s="143" t="s">
        <v>792</v>
      </c>
      <c r="AG160" s="143" t="s">
        <v>758</v>
      </c>
      <c r="AH160" s="143" t="s">
        <v>729</v>
      </c>
      <c r="AI160" s="143">
        <v>439</v>
      </c>
      <c r="AJ160" s="78">
        <v>1</v>
      </c>
      <c r="AK160" s="78">
        <v>1</v>
      </c>
      <c r="AL160" s="78">
        <v>1</v>
      </c>
      <c r="AM160" s="78">
        <v>0</v>
      </c>
      <c r="AN160" s="78">
        <v>1</v>
      </c>
      <c r="AO160" s="78">
        <v>2</v>
      </c>
      <c r="AP160" s="78">
        <v>1</v>
      </c>
      <c r="AQ160" s="78">
        <v>1</v>
      </c>
      <c r="AR160" s="78">
        <v>2</v>
      </c>
      <c r="AS160" s="78">
        <v>0</v>
      </c>
      <c r="AT160" s="78">
        <v>0</v>
      </c>
      <c r="AU160" s="78">
        <v>0</v>
      </c>
      <c r="AV160" s="78">
        <v>2</v>
      </c>
      <c r="AW160" s="78">
        <v>0</v>
      </c>
      <c r="AX160" s="78">
        <v>0</v>
      </c>
      <c r="AY160" s="78">
        <v>1</v>
      </c>
      <c r="AZ160" s="78">
        <v>2</v>
      </c>
      <c r="BA160" s="78">
        <v>0.5</v>
      </c>
      <c r="BB160" s="78">
        <v>0.5</v>
      </c>
      <c r="BC160" s="78">
        <v>0.5</v>
      </c>
      <c r="BD160" s="78">
        <v>1</v>
      </c>
      <c r="BE160" s="78">
        <v>0.5</v>
      </c>
      <c r="BF160" s="78">
        <v>0</v>
      </c>
      <c r="BG160" s="78">
        <v>8</v>
      </c>
      <c r="BH160" s="137">
        <v>0.59090909999999996</v>
      </c>
      <c r="BJ160" s="143" t="s">
        <v>792</v>
      </c>
      <c r="BK160" s="143" t="s">
        <v>758</v>
      </c>
      <c r="BL160" s="143" t="s">
        <v>729</v>
      </c>
      <c r="BM160" s="143">
        <v>439</v>
      </c>
      <c r="BN160" s="78">
        <v>0</v>
      </c>
      <c r="BO160" s="78">
        <v>4</v>
      </c>
      <c r="BP160" s="78">
        <v>7</v>
      </c>
      <c r="BQ160" s="78">
        <v>3</v>
      </c>
      <c r="BR160" s="78">
        <v>0</v>
      </c>
      <c r="BS160" s="78">
        <v>0</v>
      </c>
      <c r="BT160" s="78">
        <v>0</v>
      </c>
      <c r="BU160" s="137">
        <v>0.6086956</v>
      </c>
      <c r="BW160" s="143" t="s">
        <v>792</v>
      </c>
      <c r="BX160" s="143" t="s">
        <v>758</v>
      </c>
      <c r="BY160" s="143" t="s">
        <v>729</v>
      </c>
      <c r="BZ160" s="143">
        <v>439</v>
      </c>
      <c r="CA160" s="78">
        <v>1</v>
      </c>
      <c r="CB160" s="78">
        <v>1</v>
      </c>
      <c r="CC160" s="78">
        <v>1</v>
      </c>
      <c r="CD160" s="78">
        <v>2</v>
      </c>
      <c r="CE160" s="78">
        <v>1</v>
      </c>
      <c r="CF160" s="78">
        <v>2</v>
      </c>
      <c r="CG160" s="78">
        <v>1</v>
      </c>
      <c r="CH160" s="78">
        <v>2</v>
      </c>
      <c r="CI160" s="78">
        <v>1</v>
      </c>
      <c r="CJ160" s="78">
        <v>3</v>
      </c>
      <c r="CK160" s="137">
        <v>1</v>
      </c>
      <c r="CM160" s="143" t="s">
        <v>792</v>
      </c>
      <c r="CN160" s="143" t="s">
        <v>758</v>
      </c>
      <c r="CO160" s="143" t="s">
        <v>729</v>
      </c>
      <c r="CP160" s="143">
        <v>439</v>
      </c>
      <c r="CQ160" s="78">
        <v>8</v>
      </c>
      <c r="CR160" s="78">
        <v>0</v>
      </c>
      <c r="CS160" s="78">
        <v>24</v>
      </c>
      <c r="CT160" s="78">
        <v>4</v>
      </c>
      <c r="CU160" s="78">
        <v>0</v>
      </c>
      <c r="CV160" s="78">
        <v>8</v>
      </c>
      <c r="CW160" s="137">
        <v>0.84615390000000001</v>
      </c>
      <c r="CY160" s="143" t="s">
        <v>792</v>
      </c>
      <c r="CZ160" s="143" t="s">
        <v>758</v>
      </c>
      <c r="DA160" s="143" t="s">
        <v>729</v>
      </c>
      <c r="DB160" s="143">
        <v>439</v>
      </c>
      <c r="DC160" s="78">
        <v>80</v>
      </c>
      <c r="DD160" s="137">
        <v>1</v>
      </c>
      <c r="DE160" s="137">
        <v>0.88888889999999998</v>
      </c>
      <c r="DG160" s="143" t="s">
        <v>792</v>
      </c>
      <c r="DH160" s="143" t="s">
        <v>758</v>
      </c>
      <c r="DI160" s="143" t="s">
        <v>729</v>
      </c>
      <c r="DJ160" s="143">
        <v>439</v>
      </c>
      <c r="DK160" s="78">
        <v>2</v>
      </c>
      <c r="DL160" s="78">
        <v>1</v>
      </c>
      <c r="DM160" s="78">
        <v>1</v>
      </c>
      <c r="DN160" s="78">
        <v>4</v>
      </c>
      <c r="DO160" s="78">
        <v>2</v>
      </c>
      <c r="DP160" s="78">
        <v>3</v>
      </c>
      <c r="DQ160" s="78">
        <v>7</v>
      </c>
      <c r="DR160" s="78">
        <v>0</v>
      </c>
      <c r="DS160" s="78">
        <v>1</v>
      </c>
      <c r="DT160" s="78">
        <v>2</v>
      </c>
      <c r="DU160" s="78">
        <v>0</v>
      </c>
      <c r="DV160" s="137">
        <v>0.79310349999999996</v>
      </c>
      <c r="DX160" s="143" t="s">
        <v>792</v>
      </c>
      <c r="DY160" s="143" t="s">
        <v>758</v>
      </c>
      <c r="DZ160" s="143" t="s">
        <v>729</v>
      </c>
      <c r="EA160" s="143">
        <v>439</v>
      </c>
      <c r="EB160" s="78">
        <v>0</v>
      </c>
      <c r="EC160" s="78">
        <v>0</v>
      </c>
      <c r="ED160" s="78">
        <v>1</v>
      </c>
      <c r="EE160" s="78">
        <v>4</v>
      </c>
      <c r="EF160" s="78">
        <v>0</v>
      </c>
      <c r="EG160" s="78">
        <v>1</v>
      </c>
      <c r="EH160" s="78">
        <v>0</v>
      </c>
      <c r="EI160" s="78">
        <v>1</v>
      </c>
      <c r="EJ160" s="78">
        <v>1</v>
      </c>
      <c r="EK160" s="78">
        <v>0</v>
      </c>
      <c r="EL160" s="78">
        <v>4</v>
      </c>
      <c r="EM160" s="78">
        <v>1</v>
      </c>
      <c r="EN160" s="78">
        <v>1</v>
      </c>
      <c r="EO160" s="137">
        <v>0.51851849999999999</v>
      </c>
      <c r="EQ160" s="143" t="s">
        <v>792</v>
      </c>
      <c r="ER160" s="143" t="s">
        <v>758</v>
      </c>
      <c r="ES160" s="143" t="s">
        <v>729</v>
      </c>
      <c r="ET160" s="143">
        <v>439</v>
      </c>
      <c r="EU160" s="78">
        <v>0</v>
      </c>
      <c r="EV160" s="78">
        <v>1</v>
      </c>
      <c r="EW160" s="78">
        <v>3</v>
      </c>
      <c r="EX160" s="78">
        <v>0</v>
      </c>
      <c r="EY160" s="78">
        <v>0.5</v>
      </c>
      <c r="EZ160" s="78">
        <v>0</v>
      </c>
      <c r="FA160" s="78">
        <v>2</v>
      </c>
      <c r="FB160" s="78">
        <v>1</v>
      </c>
      <c r="FC160" s="137">
        <v>0.57692310000000002</v>
      </c>
      <c r="FE160" s="137">
        <v>0.77272730000000001</v>
      </c>
    </row>
    <row r="161" spans="1:161" hidden="1" x14ac:dyDescent="0.25">
      <c r="A161" s="143" t="s">
        <v>792</v>
      </c>
      <c r="B161" s="143" t="s">
        <v>758</v>
      </c>
      <c r="C161" s="143" t="s">
        <v>727</v>
      </c>
      <c r="D161" s="143">
        <v>454</v>
      </c>
      <c r="E161" s="78">
        <v>0</v>
      </c>
      <c r="F161" s="78">
        <v>2.5</v>
      </c>
      <c r="G161" s="78">
        <v>1</v>
      </c>
      <c r="H161" s="78">
        <v>2</v>
      </c>
      <c r="I161" s="78">
        <v>1</v>
      </c>
      <c r="J161" s="78">
        <v>1</v>
      </c>
      <c r="K161" s="78">
        <v>1</v>
      </c>
      <c r="L161" s="78">
        <v>1</v>
      </c>
      <c r="M161" s="78">
        <v>0</v>
      </c>
      <c r="N161" s="137">
        <v>0.67857140000000005</v>
      </c>
      <c r="P161" s="143" t="s">
        <v>792</v>
      </c>
      <c r="Q161" s="143" t="s">
        <v>758</v>
      </c>
      <c r="R161" s="143" t="s">
        <v>727</v>
      </c>
      <c r="S161" s="143">
        <v>454</v>
      </c>
      <c r="T161" s="78">
        <v>1</v>
      </c>
      <c r="U161" s="78">
        <v>1</v>
      </c>
      <c r="V161" s="78">
        <v>2</v>
      </c>
      <c r="W161" s="78">
        <v>2</v>
      </c>
      <c r="X161" s="78">
        <v>9</v>
      </c>
      <c r="Y161" s="78">
        <v>1</v>
      </c>
      <c r="Z161" s="78">
        <v>0</v>
      </c>
      <c r="AA161" s="78">
        <v>2</v>
      </c>
      <c r="AB161" s="78">
        <v>6</v>
      </c>
      <c r="AC161" s="78">
        <v>3</v>
      </c>
      <c r="AD161" s="137">
        <v>0.79411759999999998</v>
      </c>
      <c r="AF161" s="143" t="s">
        <v>792</v>
      </c>
      <c r="AG161" s="143" t="s">
        <v>758</v>
      </c>
      <c r="AH161" s="143" t="s">
        <v>727</v>
      </c>
      <c r="AI161" s="143">
        <v>454</v>
      </c>
      <c r="AJ161" s="78">
        <v>1</v>
      </c>
      <c r="AK161" s="78">
        <v>1</v>
      </c>
      <c r="AL161" s="78">
        <v>1</v>
      </c>
      <c r="AM161" s="78">
        <v>6</v>
      </c>
      <c r="AN161" s="78">
        <v>1</v>
      </c>
      <c r="AO161" s="78">
        <v>2</v>
      </c>
      <c r="AP161" s="78">
        <v>1</v>
      </c>
      <c r="AQ161" s="78">
        <v>1</v>
      </c>
      <c r="AR161" s="78">
        <v>2</v>
      </c>
      <c r="AS161" s="78">
        <v>0</v>
      </c>
      <c r="AT161" s="78">
        <v>0</v>
      </c>
      <c r="AU161" s="78">
        <v>0</v>
      </c>
      <c r="AV161" s="78">
        <v>2</v>
      </c>
      <c r="AW161" s="78">
        <v>0</v>
      </c>
      <c r="AX161" s="78">
        <v>0</v>
      </c>
      <c r="AY161" s="78">
        <v>1</v>
      </c>
      <c r="AZ161" s="78">
        <v>2</v>
      </c>
      <c r="BA161" s="78">
        <v>0.5</v>
      </c>
      <c r="BB161" s="78">
        <v>0.5</v>
      </c>
      <c r="BC161" s="78">
        <v>0.5</v>
      </c>
      <c r="BD161" s="78">
        <v>1</v>
      </c>
      <c r="BE161" s="78">
        <v>0.5</v>
      </c>
      <c r="BF161" s="78">
        <v>0</v>
      </c>
      <c r="BG161" s="78">
        <v>8</v>
      </c>
      <c r="BH161" s="137">
        <v>0.72727269999999999</v>
      </c>
      <c r="BJ161" s="143" t="s">
        <v>792</v>
      </c>
      <c r="BK161" s="143" t="s">
        <v>758</v>
      </c>
      <c r="BL161" s="143" t="s">
        <v>727</v>
      </c>
      <c r="BM161" s="143">
        <v>454</v>
      </c>
      <c r="BN161" s="78">
        <v>1</v>
      </c>
      <c r="BO161" s="78">
        <v>4</v>
      </c>
      <c r="BP161" s="78">
        <v>7</v>
      </c>
      <c r="BQ161" s="78">
        <v>0</v>
      </c>
      <c r="BR161" s="78">
        <v>0</v>
      </c>
      <c r="BS161" s="78">
        <v>3</v>
      </c>
      <c r="BT161" s="78">
        <v>0</v>
      </c>
      <c r="BU161" s="137">
        <v>0.65217389999999997</v>
      </c>
      <c r="BW161" s="143" t="s">
        <v>792</v>
      </c>
      <c r="BX161" s="143" t="s">
        <v>758</v>
      </c>
      <c r="BY161" s="143" t="s">
        <v>727</v>
      </c>
      <c r="BZ161" s="143">
        <v>454</v>
      </c>
      <c r="CA161" s="78">
        <v>1</v>
      </c>
      <c r="CB161" s="78">
        <v>0</v>
      </c>
      <c r="CC161" s="78">
        <v>1</v>
      </c>
      <c r="CD161" s="78">
        <v>2</v>
      </c>
      <c r="CE161" s="78">
        <v>1</v>
      </c>
      <c r="CF161" s="78">
        <v>2</v>
      </c>
      <c r="CG161" s="78">
        <v>1</v>
      </c>
      <c r="CH161" s="78">
        <v>2</v>
      </c>
      <c r="CI161" s="78">
        <v>1</v>
      </c>
      <c r="CJ161" s="78">
        <v>3</v>
      </c>
      <c r="CK161" s="137">
        <v>0.93333330000000003</v>
      </c>
      <c r="CM161" s="143" t="s">
        <v>792</v>
      </c>
      <c r="CN161" s="143" t="s">
        <v>758</v>
      </c>
      <c r="CO161" s="143" t="s">
        <v>727</v>
      </c>
      <c r="CP161" s="143">
        <v>454</v>
      </c>
      <c r="CQ161" s="78">
        <v>8</v>
      </c>
      <c r="CR161" s="78">
        <v>0</v>
      </c>
      <c r="CS161" s="78">
        <v>20</v>
      </c>
      <c r="CT161" s="78">
        <v>0</v>
      </c>
      <c r="CU161" s="78">
        <v>0</v>
      </c>
      <c r="CV161" s="78">
        <v>8</v>
      </c>
      <c r="CW161" s="137">
        <v>0.69230769999999997</v>
      </c>
      <c r="CY161" s="143" t="s">
        <v>792</v>
      </c>
      <c r="CZ161" s="143" t="s">
        <v>758</v>
      </c>
      <c r="DA161" s="143" t="s">
        <v>727</v>
      </c>
      <c r="DB161" s="143">
        <v>454</v>
      </c>
      <c r="DC161" s="78">
        <v>46</v>
      </c>
      <c r="DD161" s="137">
        <v>0</v>
      </c>
      <c r="DE161" s="137">
        <v>0</v>
      </c>
      <c r="DG161" s="143" t="s">
        <v>792</v>
      </c>
      <c r="DH161" s="143" t="s">
        <v>758</v>
      </c>
      <c r="DI161" s="143" t="s">
        <v>727</v>
      </c>
      <c r="DJ161" s="143">
        <v>454</v>
      </c>
      <c r="DK161" s="78">
        <v>2</v>
      </c>
      <c r="DL161" s="78">
        <v>1</v>
      </c>
      <c r="DM161" s="78">
        <v>0</v>
      </c>
      <c r="DN161" s="78">
        <v>5</v>
      </c>
      <c r="DO161" s="78">
        <v>2</v>
      </c>
      <c r="DP161" s="78">
        <v>3</v>
      </c>
      <c r="DQ161" s="78">
        <v>8</v>
      </c>
      <c r="DR161" s="78">
        <v>0</v>
      </c>
      <c r="DS161" s="78">
        <v>0</v>
      </c>
      <c r="DT161" s="78">
        <v>0</v>
      </c>
      <c r="DU161" s="78">
        <v>0</v>
      </c>
      <c r="DV161" s="137">
        <v>0.7241379</v>
      </c>
      <c r="DX161" s="143" t="s">
        <v>792</v>
      </c>
      <c r="DY161" s="143" t="s">
        <v>758</v>
      </c>
      <c r="DZ161" s="143" t="s">
        <v>727</v>
      </c>
      <c r="EA161" s="143">
        <v>454</v>
      </c>
      <c r="EB161" s="78">
        <v>0</v>
      </c>
      <c r="EC161" s="78">
        <v>8</v>
      </c>
      <c r="ED161" s="78">
        <v>1</v>
      </c>
      <c r="EE161" s="78">
        <v>4</v>
      </c>
      <c r="EF161" s="78">
        <v>1</v>
      </c>
      <c r="EG161" s="78">
        <v>1</v>
      </c>
      <c r="EH161" s="78">
        <v>0</v>
      </c>
      <c r="EI161" s="78">
        <v>1</v>
      </c>
      <c r="EJ161" s="78">
        <v>1</v>
      </c>
      <c r="EK161" s="78">
        <v>1</v>
      </c>
      <c r="EL161" s="78">
        <v>4</v>
      </c>
      <c r="EM161" s="78">
        <v>1</v>
      </c>
      <c r="EN161" s="78">
        <v>1</v>
      </c>
      <c r="EO161" s="137">
        <v>0.88888889999999998</v>
      </c>
      <c r="EQ161" s="143" t="s">
        <v>792</v>
      </c>
      <c r="ER161" s="143" t="s">
        <v>758</v>
      </c>
      <c r="ES161" s="143" t="s">
        <v>727</v>
      </c>
      <c r="ET161" s="143">
        <v>454</v>
      </c>
      <c r="EU161" s="78">
        <v>0</v>
      </c>
      <c r="EV161" s="78">
        <v>1</v>
      </c>
      <c r="EW161" s="78">
        <v>3</v>
      </c>
      <c r="EX161" s="78">
        <v>2</v>
      </c>
      <c r="EY161" s="78">
        <v>0.5</v>
      </c>
      <c r="EZ161" s="78">
        <v>3</v>
      </c>
      <c r="FA161" s="78">
        <v>2</v>
      </c>
      <c r="FB161" s="78">
        <v>1</v>
      </c>
      <c r="FC161" s="137">
        <v>0.96153840000000002</v>
      </c>
      <c r="FE161" s="137">
        <v>0.56011730000000004</v>
      </c>
    </row>
    <row r="162" spans="1:161" x14ac:dyDescent="0.25">
      <c r="A162" s="143" t="s">
        <v>792</v>
      </c>
      <c r="B162" s="143" t="s">
        <v>758</v>
      </c>
      <c r="C162" s="143" t="s">
        <v>728</v>
      </c>
      <c r="D162" s="143">
        <v>1617</v>
      </c>
      <c r="E162" s="78">
        <v>0.5</v>
      </c>
      <c r="F162" s="78">
        <v>2</v>
      </c>
      <c r="G162" s="78">
        <v>1</v>
      </c>
      <c r="H162" s="78">
        <v>3</v>
      </c>
      <c r="I162" s="78">
        <v>1</v>
      </c>
      <c r="J162" s="78">
        <v>1</v>
      </c>
      <c r="K162" s="78">
        <v>1</v>
      </c>
      <c r="L162" s="78">
        <v>1</v>
      </c>
      <c r="M162" s="78">
        <v>2</v>
      </c>
      <c r="N162" s="137">
        <v>0.89285709999999996</v>
      </c>
      <c r="P162" s="143" t="s">
        <v>792</v>
      </c>
      <c r="Q162" s="143" t="s">
        <v>758</v>
      </c>
      <c r="R162" s="143" t="s">
        <v>728</v>
      </c>
      <c r="S162" s="143">
        <v>1617</v>
      </c>
      <c r="T162" s="78">
        <v>0</v>
      </c>
      <c r="U162" s="78">
        <v>1</v>
      </c>
      <c r="V162" s="78">
        <v>3</v>
      </c>
      <c r="W162" s="78">
        <v>2</v>
      </c>
      <c r="X162" s="78">
        <v>9</v>
      </c>
      <c r="Y162" s="78">
        <v>1</v>
      </c>
      <c r="Z162" s="78">
        <v>3</v>
      </c>
      <c r="AA162" s="78">
        <v>2</v>
      </c>
      <c r="AB162" s="78">
        <v>6</v>
      </c>
      <c r="AC162" s="78">
        <v>0</v>
      </c>
      <c r="AD162" s="137">
        <v>0.79411759999999998</v>
      </c>
      <c r="AF162" s="143" t="s">
        <v>792</v>
      </c>
      <c r="AG162" s="143" t="s">
        <v>758</v>
      </c>
      <c r="AH162" s="143" t="s">
        <v>728</v>
      </c>
      <c r="AI162" s="143">
        <v>1617</v>
      </c>
      <c r="AJ162" s="78">
        <v>1</v>
      </c>
      <c r="AK162" s="78">
        <v>1</v>
      </c>
      <c r="AL162" s="78">
        <v>1</v>
      </c>
      <c r="AM162" s="78">
        <v>6</v>
      </c>
      <c r="AN162" s="78">
        <v>1</v>
      </c>
      <c r="AO162" s="78">
        <v>2</v>
      </c>
      <c r="AP162" s="78">
        <v>1</v>
      </c>
      <c r="AQ162" s="78">
        <v>1</v>
      </c>
      <c r="AR162" s="78">
        <v>2</v>
      </c>
      <c r="AS162" s="78">
        <v>2</v>
      </c>
      <c r="AT162" s="78">
        <v>0</v>
      </c>
      <c r="AU162" s="78">
        <v>0</v>
      </c>
      <c r="AV162" s="78">
        <v>2</v>
      </c>
      <c r="AW162" s="78">
        <v>0</v>
      </c>
      <c r="AX162" s="78">
        <v>0</v>
      </c>
      <c r="AY162" s="78">
        <v>1</v>
      </c>
      <c r="AZ162" s="78">
        <v>2</v>
      </c>
      <c r="BA162" s="78">
        <v>0.5</v>
      </c>
      <c r="BB162" s="78">
        <v>0.5</v>
      </c>
      <c r="BC162" s="78">
        <v>0.5</v>
      </c>
      <c r="BD162" s="78">
        <v>1</v>
      </c>
      <c r="BE162" s="78">
        <v>0.5</v>
      </c>
      <c r="BF162" s="78">
        <v>1</v>
      </c>
      <c r="BG162" s="78">
        <v>6</v>
      </c>
      <c r="BH162" s="137">
        <v>0.75</v>
      </c>
      <c r="BJ162" s="143" t="s">
        <v>792</v>
      </c>
      <c r="BK162" s="143" t="s">
        <v>758</v>
      </c>
      <c r="BL162" s="143" t="s">
        <v>728</v>
      </c>
      <c r="BM162" s="143">
        <v>1617</v>
      </c>
      <c r="BN162" s="78">
        <v>1</v>
      </c>
      <c r="BO162" s="78">
        <v>4</v>
      </c>
      <c r="BP162" s="78">
        <v>0</v>
      </c>
      <c r="BQ162" s="78">
        <v>0</v>
      </c>
      <c r="BR162" s="78">
        <v>0</v>
      </c>
      <c r="BS162" s="78">
        <v>0</v>
      </c>
      <c r="BT162" s="78">
        <v>2</v>
      </c>
      <c r="BU162" s="137">
        <v>0.3043478</v>
      </c>
      <c r="BW162" s="143" t="s">
        <v>792</v>
      </c>
      <c r="BX162" s="143" t="s">
        <v>758</v>
      </c>
      <c r="BY162" s="143" t="s">
        <v>728</v>
      </c>
      <c r="BZ162" s="143">
        <v>1617</v>
      </c>
      <c r="CM162" s="143" t="s">
        <v>792</v>
      </c>
      <c r="CN162" s="143" t="s">
        <v>758</v>
      </c>
      <c r="CO162" s="143" t="s">
        <v>728</v>
      </c>
      <c r="CP162" s="143">
        <v>1617</v>
      </c>
      <c r="CQ162" s="78">
        <v>8</v>
      </c>
      <c r="CR162" s="78">
        <v>0</v>
      </c>
      <c r="CS162" s="78">
        <v>16</v>
      </c>
      <c r="CT162" s="78">
        <v>4</v>
      </c>
      <c r="CU162" s="78">
        <v>2</v>
      </c>
      <c r="CV162" s="78">
        <v>8</v>
      </c>
      <c r="CW162" s="137">
        <v>0.73076920000000001</v>
      </c>
      <c r="CY162" s="143" t="s">
        <v>792</v>
      </c>
      <c r="CZ162" s="143" t="s">
        <v>758</v>
      </c>
      <c r="DA162" s="143" t="s">
        <v>728</v>
      </c>
      <c r="DB162" s="143">
        <v>1617</v>
      </c>
      <c r="DC162" s="78">
        <v>38</v>
      </c>
      <c r="DD162" s="137">
        <v>0</v>
      </c>
      <c r="DE162" s="137">
        <v>0</v>
      </c>
      <c r="DG162" s="143" t="s">
        <v>792</v>
      </c>
      <c r="DH162" s="143" t="s">
        <v>758</v>
      </c>
      <c r="DI162" s="143" t="s">
        <v>728</v>
      </c>
      <c r="DJ162" s="143">
        <v>1617</v>
      </c>
      <c r="DK162" s="78">
        <v>2</v>
      </c>
      <c r="DL162" s="78">
        <v>1</v>
      </c>
      <c r="DM162" s="78">
        <v>1</v>
      </c>
      <c r="DN162" s="78">
        <v>7</v>
      </c>
      <c r="DO162" s="78">
        <v>2</v>
      </c>
      <c r="DP162" s="78">
        <v>3</v>
      </c>
      <c r="DQ162" s="78">
        <v>5</v>
      </c>
      <c r="DR162" s="78">
        <v>1</v>
      </c>
      <c r="DS162" s="78">
        <v>1</v>
      </c>
      <c r="DT162" s="78">
        <v>0</v>
      </c>
      <c r="DU162" s="78">
        <v>1</v>
      </c>
      <c r="DV162" s="137">
        <v>0.82758620000000005</v>
      </c>
      <c r="DX162" s="143" t="s">
        <v>792</v>
      </c>
      <c r="DY162" s="143" t="s">
        <v>758</v>
      </c>
      <c r="DZ162" s="143" t="s">
        <v>728</v>
      </c>
      <c r="EA162" s="143">
        <v>1617</v>
      </c>
      <c r="EB162" s="78">
        <v>1</v>
      </c>
      <c r="EC162" s="78">
        <v>8</v>
      </c>
      <c r="ED162" s="78">
        <v>1</v>
      </c>
      <c r="EE162" s="78">
        <v>4</v>
      </c>
      <c r="EF162" s="78">
        <v>1</v>
      </c>
      <c r="EG162" s="78">
        <v>1</v>
      </c>
      <c r="EH162" s="78">
        <v>0</v>
      </c>
      <c r="EI162" s="78">
        <v>1</v>
      </c>
      <c r="EJ162" s="78">
        <v>1</v>
      </c>
      <c r="EK162" s="78">
        <v>1</v>
      </c>
      <c r="EL162" s="78">
        <v>4</v>
      </c>
      <c r="EM162" s="78">
        <v>1</v>
      </c>
      <c r="EN162" s="78">
        <v>1</v>
      </c>
      <c r="EO162" s="137">
        <v>0.92592589999999997</v>
      </c>
      <c r="EQ162" s="143" t="s">
        <v>792</v>
      </c>
      <c r="ER162" s="143" t="s">
        <v>758</v>
      </c>
      <c r="ES162" s="143" t="s">
        <v>728</v>
      </c>
      <c r="ET162" s="143">
        <v>1617</v>
      </c>
      <c r="EU162" s="78">
        <v>0.5</v>
      </c>
      <c r="EV162" s="78">
        <v>1</v>
      </c>
      <c r="EW162" s="78">
        <v>3</v>
      </c>
      <c r="EX162" s="78">
        <v>2</v>
      </c>
      <c r="EY162" s="78">
        <v>0.5</v>
      </c>
      <c r="EZ162" s="78">
        <v>3</v>
      </c>
      <c r="FA162" s="78">
        <v>2</v>
      </c>
      <c r="FB162" s="78">
        <v>1</v>
      </c>
      <c r="FC162" s="137">
        <v>1</v>
      </c>
      <c r="FE162" s="137">
        <v>0.55061349999999998</v>
      </c>
    </row>
    <row r="163" spans="1:161" x14ac:dyDescent="0.25">
      <c r="A163" s="143" t="s">
        <v>792</v>
      </c>
      <c r="B163" s="143" t="s">
        <v>758</v>
      </c>
      <c r="C163" s="143" t="s">
        <v>728</v>
      </c>
      <c r="D163" s="143">
        <v>1685</v>
      </c>
      <c r="E163" s="78">
        <v>0.5</v>
      </c>
      <c r="F163" s="78">
        <v>2.5</v>
      </c>
      <c r="G163" s="78">
        <v>1</v>
      </c>
      <c r="H163" s="78">
        <v>3</v>
      </c>
      <c r="I163" s="78">
        <v>1</v>
      </c>
      <c r="J163" s="78">
        <v>1</v>
      </c>
      <c r="K163" s="78">
        <v>1</v>
      </c>
      <c r="L163" s="78">
        <v>1</v>
      </c>
      <c r="M163" s="78">
        <v>2</v>
      </c>
      <c r="N163" s="137">
        <v>0.92857140000000005</v>
      </c>
      <c r="P163" s="143" t="s">
        <v>792</v>
      </c>
      <c r="Q163" s="143" t="s">
        <v>758</v>
      </c>
      <c r="R163" s="143" t="s">
        <v>728</v>
      </c>
      <c r="S163" s="143">
        <v>1685</v>
      </c>
      <c r="T163" s="78">
        <v>0</v>
      </c>
      <c r="U163" s="78">
        <v>1</v>
      </c>
      <c r="V163" s="78">
        <v>3</v>
      </c>
      <c r="W163" s="78">
        <v>2</v>
      </c>
      <c r="X163" s="78">
        <v>12</v>
      </c>
      <c r="Y163" s="78">
        <v>1</v>
      </c>
      <c r="Z163" s="78">
        <v>0</v>
      </c>
      <c r="AA163" s="78">
        <v>2</v>
      </c>
      <c r="AB163" s="78">
        <v>6</v>
      </c>
      <c r="AC163" s="78">
        <v>0</v>
      </c>
      <c r="AD163" s="137">
        <v>0.79411759999999998</v>
      </c>
      <c r="AF163" s="143" t="s">
        <v>792</v>
      </c>
      <c r="AG163" s="143" t="s">
        <v>758</v>
      </c>
      <c r="AH163" s="143" t="s">
        <v>728</v>
      </c>
      <c r="AI163" s="143">
        <v>1685</v>
      </c>
      <c r="AJ163" s="78">
        <v>1</v>
      </c>
      <c r="AK163" s="78">
        <v>1</v>
      </c>
      <c r="AL163" s="78">
        <v>1</v>
      </c>
      <c r="AM163" s="78">
        <v>6</v>
      </c>
      <c r="AN163" s="78">
        <v>1</v>
      </c>
      <c r="AO163" s="78">
        <v>2</v>
      </c>
      <c r="AP163" s="78">
        <v>1</v>
      </c>
      <c r="AQ163" s="78">
        <v>1</v>
      </c>
      <c r="AR163" s="78">
        <v>2</v>
      </c>
      <c r="AS163" s="78">
        <v>2</v>
      </c>
      <c r="AT163" s="78">
        <v>0</v>
      </c>
      <c r="AU163" s="78">
        <v>0</v>
      </c>
      <c r="AV163" s="78">
        <v>2</v>
      </c>
      <c r="AW163" s="78">
        <v>0</v>
      </c>
      <c r="AX163" s="78">
        <v>0</v>
      </c>
      <c r="AY163" s="78">
        <v>1</v>
      </c>
      <c r="AZ163" s="78">
        <v>2</v>
      </c>
      <c r="BA163" s="78">
        <v>0.5</v>
      </c>
      <c r="BB163" s="78">
        <v>0.5</v>
      </c>
      <c r="BC163" s="78">
        <v>0.5</v>
      </c>
      <c r="BD163" s="78">
        <v>1</v>
      </c>
      <c r="BE163" s="78">
        <v>0.5</v>
      </c>
      <c r="BF163" s="78">
        <v>0</v>
      </c>
      <c r="BG163" s="78">
        <v>8</v>
      </c>
      <c r="BH163" s="137">
        <v>0.77272730000000001</v>
      </c>
      <c r="BJ163" s="143" t="s">
        <v>792</v>
      </c>
      <c r="BK163" s="143" t="s">
        <v>758</v>
      </c>
      <c r="BL163" s="143" t="s">
        <v>728</v>
      </c>
      <c r="BM163" s="143">
        <v>1685</v>
      </c>
      <c r="BN163" s="78">
        <v>1</v>
      </c>
      <c r="BO163" s="78">
        <v>4</v>
      </c>
      <c r="BP163" s="78">
        <v>7</v>
      </c>
      <c r="BQ163" s="78">
        <v>0</v>
      </c>
      <c r="BR163" s="78">
        <v>0</v>
      </c>
      <c r="BS163" s="78">
        <v>0</v>
      </c>
      <c r="BT163" s="78">
        <v>2</v>
      </c>
      <c r="BU163" s="137">
        <v>0.6086956</v>
      </c>
      <c r="BW163" s="143" t="s">
        <v>792</v>
      </c>
      <c r="BX163" s="143" t="s">
        <v>758</v>
      </c>
      <c r="BY163" s="143" t="s">
        <v>728</v>
      </c>
      <c r="BZ163" s="143">
        <v>1685</v>
      </c>
      <c r="CA163" s="78">
        <v>1</v>
      </c>
      <c r="CB163" s="78">
        <v>1</v>
      </c>
      <c r="CC163" s="78">
        <v>1</v>
      </c>
      <c r="CD163" s="78">
        <v>2</v>
      </c>
      <c r="CE163" s="78">
        <v>1</v>
      </c>
      <c r="CF163" s="78">
        <v>2</v>
      </c>
      <c r="CG163" s="78">
        <v>1</v>
      </c>
      <c r="CH163" s="78">
        <v>0</v>
      </c>
      <c r="CI163" s="78">
        <v>1</v>
      </c>
      <c r="CJ163" s="78">
        <v>3</v>
      </c>
      <c r="CK163" s="137">
        <v>0.86666670000000001</v>
      </c>
      <c r="CM163" s="143" t="s">
        <v>792</v>
      </c>
      <c r="CN163" s="143" t="s">
        <v>758</v>
      </c>
      <c r="CO163" s="143" t="s">
        <v>728</v>
      </c>
      <c r="CP163" s="143">
        <v>1685</v>
      </c>
      <c r="CQ163" s="78">
        <v>8</v>
      </c>
      <c r="CR163" s="78">
        <v>0</v>
      </c>
      <c r="CS163" s="78">
        <v>20</v>
      </c>
      <c r="CT163" s="78">
        <v>4</v>
      </c>
      <c r="CU163" s="78">
        <v>2</v>
      </c>
      <c r="CV163" s="78">
        <v>8</v>
      </c>
      <c r="CW163" s="137">
        <v>0.80769230000000003</v>
      </c>
      <c r="CY163" s="143" t="s">
        <v>792</v>
      </c>
      <c r="CZ163" s="143" t="s">
        <v>758</v>
      </c>
      <c r="DA163" s="143" t="s">
        <v>728</v>
      </c>
      <c r="DB163" s="143">
        <v>1685</v>
      </c>
      <c r="DC163" s="78">
        <v>44</v>
      </c>
      <c r="DD163" s="137">
        <v>0.2</v>
      </c>
      <c r="DE163" s="137">
        <v>9.7777799999999998E-2</v>
      </c>
      <c r="DG163" s="143" t="s">
        <v>792</v>
      </c>
      <c r="DH163" s="143" t="s">
        <v>758</v>
      </c>
      <c r="DI163" s="143" t="s">
        <v>728</v>
      </c>
      <c r="DJ163" s="143">
        <v>1685</v>
      </c>
      <c r="DK163" s="78">
        <v>2</v>
      </c>
      <c r="DL163" s="78">
        <v>1</v>
      </c>
      <c r="DM163" s="78">
        <v>1</v>
      </c>
      <c r="DN163" s="78">
        <v>7</v>
      </c>
      <c r="DO163" s="78">
        <v>2</v>
      </c>
      <c r="DP163" s="78">
        <v>3</v>
      </c>
      <c r="DQ163" s="78">
        <v>5</v>
      </c>
      <c r="DR163" s="78">
        <v>1</v>
      </c>
      <c r="DS163" s="78">
        <v>1</v>
      </c>
      <c r="DT163" s="78">
        <v>0</v>
      </c>
      <c r="DU163" s="78">
        <v>1</v>
      </c>
      <c r="DV163" s="137">
        <v>0.82758620000000005</v>
      </c>
      <c r="DX163" s="143" t="s">
        <v>792</v>
      </c>
      <c r="DY163" s="143" t="s">
        <v>758</v>
      </c>
      <c r="DZ163" s="143" t="s">
        <v>728</v>
      </c>
      <c r="EA163" s="143">
        <v>1685</v>
      </c>
      <c r="EB163" s="78">
        <v>1</v>
      </c>
      <c r="EC163" s="78">
        <v>8</v>
      </c>
      <c r="ED163" s="78">
        <v>1</v>
      </c>
      <c r="EE163" s="78">
        <v>4</v>
      </c>
      <c r="EF163" s="78">
        <v>1</v>
      </c>
      <c r="EG163" s="78">
        <v>1</v>
      </c>
      <c r="EH163" s="78">
        <v>0</v>
      </c>
      <c r="EI163" s="78">
        <v>1</v>
      </c>
      <c r="EJ163" s="78">
        <v>1</v>
      </c>
      <c r="EK163" s="78">
        <v>1</v>
      </c>
      <c r="EL163" s="78">
        <v>4</v>
      </c>
      <c r="EM163" s="78">
        <v>1</v>
      </c>
      <c r="EN163" s="78">
        <v>1</v>
      </c>
      <c r="EO163" s="137">
        <v>0.92592589999999997</v>
      </c>
      <c r="EQ163" s="143" t="s">
        <v>792</v>
      </c>
      <c r="ER163" s="143" t="s">
        <v>758</v>
      </c>
      <c r="ES163" s="143" t="s">
        <v>728</v>
      </c>
      <c r="ET163" s="143">
        <v>1685</v>
      </c>
      <c r="EU163" s="78">
        <v>0.5</v>
      </c>
      <c r="EV163" s="78">
        <v>0</v>
      </c>
      <c r="EW163" s="78">
        <v>3</v>
      </c>
      <c r="EX163" s="78">
        <v>2</v>
      </c>
      <c r="EY163" s="78">
        <v>0.5</v>
      </c>
      <c r="EZ163" s="78">
        <v>3</v>
      </c>
      <c r="FA163" s="78">
        <v>2</v>
      </c>
      <c r="FB163" s="78">
        <v>1</v>
      </c>
      <c r="FC163" s="137">
        <v>0.92307689999999998</v>
      </c>
      <c r="FE163" s="137">
        <v>0.62404689999999996</v>
      </c>
    </row>
    <row r="164" spans="1:161" x14ac:dyDescent="0.25">
      <c r="A164" s="143" t="s">
        <v>792</v>
      </c>
      <c r="B164" s="143" t="s">
        <v>758</v>
      </c>
      <c r="C164" s="143" t="s">
        <v>728</v>
      </c>
      <c r="D164" s="143">
        <v>1929</v>
      </c>
      <c r="E164" s="78">
        <v>0</v>
      </c>
      <c r="F164" s="78">
        <v>2</v>
      </c>
      <c r="G164" s="78">
        <v>1</v>
      </c>
      <c r="H164" s="78">
        <v>4</v>
      </c>
      <c r="I164" s="78">
        <v>1</v>
      </c>
      <c r="J164" s="78">
        <v>0</v>
      </c>
      <c r="K164" s="78">
        <v>1</v>
      </c>
      <c r="L164" s="78">
        <v>1</v>
      </c>
      <c r="M164" s="78">
        <v>2</v>
      </c>
      <c r="N164" s="137">
        <v>0.85714290000000004</v>
      </c>
      <c r="P164" s="143" t="s">
        <v>792</v>
      </c>
      <c r="Q164" s="143" t="s">
        <v>758</v>
      </c>
      <c r="R164" s="143" t="s">
        <v>728</v>
      </c>
      <c r="S164" s="143">
        <v>1929</v>
      </c>
      <c r="T164" s="78">
        <v>1</v>
      </c>
      <c r="U164" s="78">
        <v>1</v>
      </c>
      <c r="V164" s="78">
        <v>1.5</v>
      </c>
      <c r="W164" s="78">
        <v>0</v>
      </c>
      <c r="X164" s="78">
        <v>12</v>
      </c>
      <c r="Y164" s="78">
        <v>1</v>
      </c>
      <c r="Z164" s="78">
        <v>0</v>
      </c>
      <c r="AA164" s="78">
        <v>0</v>
      </c>
      <c r="AB164" s="78">
        <v>6</v>
      </c>
      <c r="AC164" s="78">
        <v>3</v>
      </c>
      <c r="AD164" s="137">
        <v>0.75</v>
      </c>
      <c r="AF164" s="143" t="s">
        <v>792</v>
      </c>
      <c r="AG164" s="143" t="s">
        <v>758</v>
      </c>
      <c r="AH164" s="143" t="s">
        <v>728</v>
      </c>
      <c r="AI164" s="143">
        <v>1929</v>
      </c>
      <c r="AJ164" s="78">
        <v>1</v>
      </c>
      <c r="AK164" s="78">
        <v>1</v>
      </c>
      <c r="AL164" s="78">
        <v>1</v>
      </c>
      <c r="AM164" s="78">
        <v>6</v>
      </c>
      <c r="AN164" s="78">
        <v>1</v>
      </c>
      <c r="AO164" s="78">
        <v>2</v>
      </c>
      <c r="AP164" s="78">
        <v>1</v>
      </c>
      <c r="AQ164" s="78">
        <v>1</v>
      </c>
      <c r="AR164" s="78">
        <v>0</v>
      </c>
      <c r="AS164" s="78">
        <v>0</v>
      </c>
      <c r="AT164" s="78">
        <v>0</v>
      </c>
      <c r="AU164" s="78">
        <v>0</v>
      </c>
      <c r="AV164" s="78">
        <v>0</v>
      </c>
      <c r="AW164" s="78">
        <v>0</v>
      </c>
      <c r="AX164" s="78">
        <v>4</v>
      </c>
      <c r="AY164" s="78">
        <v>0</v>
      </c>
      <c r="AZ164" s="78">
        <v>2</v>
      </c>
      <c r="BA164" s="78">
        <v>0.5</v>
      </c>
      <c r="BB164" s="78">
        <v>0.5</v>
      </c>
      <c r="BC164" s="78">
        <v>0.5</v>
      </c>
      <c r="BD164" s="78">
        <v>1</v>
      </c>
      <c r="BE164" s="78">
        <v>0</v>
      </c>
      <c r="BF164" s="78">
        <v>0</v>
      </c>
      <c r="BG164" s="78">
        <v>6</v>
      </c>
      <c r="BH164" s="137">
        <v>0.64772730000000001</v>
      </c>
      <c r="BJ164" s="143" t="s">
        <v>792</v>
      </c>
      <c r="BK164" s="143" t="s">
        <v>758</v>
      </c>
      <c r="BL164" s="143" t="s">
        <v>728</v>
      </c>
      <c r="BM164" s="143">
        <v>1929</v>
      </c>
      <c r="BN164" s="78">
        <v>0</v>
      </c>
      <c r="BO164" s="78">
        <v>4</v>
      </c>
      <c r="BP164" s="78">
        <v>0</v>
      </c>
      <c r="BQ164" s="78">
        <v>0</v>
      </c>
      <c r="BR164" s="78">
        <v>0</v>
      </c>
      <c r="BS164" s="78">
        <v>0</v>
      </c>
      <c r="BT164" s="78">
        <v>2</v>
      </c>
      <c r="BU164" s="137">
        <v>0.26086959999999998</v>
      </c>
      <c r="BW164" s="143" t="s">
        <v>792</v>
      </c>
      <c r="BX164" s="143" t="s">
        <v>758</v>
      </c>
      <c r="BY164" s="143" t="s">
        <v>728</v>
      </c>
      <c r="BZ164" s="143">
        <v>1929</v>
      </c>
      <c r="CM164" s="143" t="s">
        <v>792</v>
      </c>
      <c r="CN164" s="143" t="s">
        <v>758</v>
      </c>
      <c r="CO164" s="143" t="s">
        <v>728</v>
      </c>
      <c r="CP164" s="143">
        <v>1929</v>
      </c>
      <c r="CQ164" s="78">
        <v>8</v>
      </c>
      <c r="CR164" s="78">
        <v>0</v>
      </c>
      <c r="CS164" s="78">
        <v>16</v>
      </c>
      <c r="CT164" s="78">
        <v>0</v>
      </c>
      <c r="CU164" s="78">
        <v>2</v>
      </c>
      <c r="CV164" s="78">
        <v>8</v>
      </c>
      <c r="CW164" s="137">
        <v>0.65384609999999999</v>
      </c>
      <c r="CY164" s="143" t="s">
        <v>792</v>
      </c>
      <c r="CZ164" s="143" t="s">
        <v>758</v>
      </c>
      <c r="DA164" s="143" t="s">
        <v>728</v>
      </c>
      <c r="DB164" s="143">
        <v>1929</v>
      </c>
      <c r="DC164" s="78">
        <v>24</v>
      </c>
      <c r="DD164" s="137">
        <v>0</v>
      </c>
      <c r="DE164" s="137">
        <v>0</v>
      </c>
      <c r="DG164" s="143" t="s">
        <v>792</v>
      </c>
      <c r="DH164" s="143" t="s">
        <v>758</v>
      </c>
      <c r="DI164" s="143" t="s">
        <v>728</v>
      </c>
      <c r="DJ164" s="143">
        <v>1929</v>
      </c>
      <c r="DK164" s="78">
        <v>2</v>
      </c>
      <c r="DL164" s="78">
        <v>1</v>
      </c>
      <c r="DM164" s="78">
        <v>0</v>
      </c>
      <c r="DN164" s="78">
        <v>5</v>
      </c>
      <c r="DO164" s="78">
        <v>2</v>
      </c>
      <c r="DP164" s="78">
        <v>3</v>
      </c>
      <c r="DQ164" s="78">
        <v>6</v>
      </c>
      <c r="DR164" s="78">
        <v>1</v>
      </c>
      <c r="DS164" s="78">
        <v>1</v>
      </c>
      <c r="DT164" s="78">
        <v>0</v>
      </c>
      <c r="DU164" s="78">
        <v>0</v>
      </c>
      <c r="DV164" s="137">
        <v>0.7241379</v>
      </c>
      <c r="DX164" s="143" t="s">
        <v>792</v>
      </c>
      <c r="DY164" s="143" t="s">
        <v>758</v>
      </c>
      <c r="DZ164" s="143" t="s">
        <v>728</v>
      </c>
      <c r="EA164" s="143">
        <v>1929</v>
      </c>
      <c r="EB164" s="78">
        <v>0</v>
      </c>
      <c r="EC164" s="78">
        <v>8</v>
      </c>
      <c r="ED164" s="78">
        <v>1</v>
      </c>
      <c r="EE164" s="78">
        <v>4</v>
      </c>
      <c r="EF164" s="78">
        <v>1</v>
      </c>
      <c r="EG164" s="78">
        <v>1</v>
      </c>
      <c r="EH164" s="78">
        <v>0</v>
      </c>
      <c r="EI164" s="78">
        <v>1</v>
      </c>
      <c r="EJ164" s="78">
        <v>1</v>
      </c>
      <c r="EK164" s="78">
        <v>1</v>
      </c>
      <c r="EL164" s="78">
        <v>4</v>
      </c>
      <c r="EM164" s="78">
        <v>1</v>
      </c>
      <c r="EN164" s="78">
        <v>1</v>
      </c>
      <c r="EO164" s="137">
        <v>0.88888889999999998</v>
      </c>
      <c r="EQ164" s="143" t="s">
        <v>792</v>
      </c>
      <c r="ER164" s="143" t="s">
        <v>758</v>
      </c>
      <c r="ES164" s="143" t="s">
        <v>728</v>
      </c>
      <c r="ET164" s="143">
        <v>1929</v>
      </c>
      <c r="EU164" s="78">
        <v>0.5</v>
      </c>
      <c r="EV164" s="78">
        <v>1</v>
      </c>
      <c r="EW164" s="78">
        <v>0</v>
      </c>
      <c r="EX164" s="78">
        <v>0</v>
      </c>
      <c r="EY164" s="78">
        <v>0</v>
      </c>
      <c r="EZ164" s="78">
        <v>0</v>
      </c>
      <c r="FA164" s="78">
        <v>2</v>
      </c>
      <c r="FB164" s="78">
        <v>1</v>
      </c>
      <c r="FC164" s="137">
        <v>0.34615390000000001</v>
      </c>
      <c r="FE164" s="137">
        <v>0.47699390000000003</v>
      </c>
    </row>
    <row r="165" spans="1:161" hidden="1" x14ac:dyDescent="0.25">
      <c r="A165" s="143" t="s">
        <v>793</v>
      </c>
      <c r="B165" s="143" t="s">
        <v>794</v>
      </c>
      <c r="C165" s="143" t="s">
        <v>729</v>
      </c>
      <c r="D165" s="143">
        <v>781</v>
      </c>
      <c r="E165" s="78">
        <v>0.5</v>
      </c>
      <c r="F165" s="78">
        <v>2</v>
      </c>
      <c r="G165" s="78">
        <v>1</v>
      </c>
      <c r="H165" s="78">
        <v>2</v>
      </c>
      <c r="I165" s="78">
        <v>1</v>
      </c>
      <c r="J165" s="78">
        <v>0</v>
      </c>
      <c r="K165" s="78">
        <v>1</v>
      </c>
      <c r="L165" s="78">
        <v>1</v>
      </c>
      <c r="M165" s="78">
        <v>0</v>
      </c>
      <c r="N165" s="137">
        <v>0.60714290000000004</v>
      </c>
      <c r="P165" s="143" t="s">
        <v>793</v>
      </c>
      <c r="Q165" s="143" t="s">
        <v>794</v>
      </c>
      <c r="R165" s="143" t="s">
        <v>729</v>
      </c>
      <c r="S165" s="143">
        <v>781</v>
      </c>
      <c r="T165" s="78">
        <v>1</v>
      </c>
      <c r="U165" s="78">
        <v>1</v>
      </c>
      <c r="V165" s="78">
        <v>3</v>
      </c>
      <c r="W165" s="78">
        <v>2</v>
      </c>
      <c r="X165" s="78">
        <v>9</v>
      </c>
      <c r="Y165" s="78">
        <v>1</v>
      </c>
      <c r="Z165" s="78">
        <v>0</v>
      </c>
      <c r="AA165" s="78">
        <v>0</v>
      </c>
      <c r="AB165" s="78">
        <v>6</v>
      </c>
      <c r="AC165" s="78">
        <v>0</v>
      </c>
      <c r="AD165" s="137">
        <v>0.67647060000000003</v>
      </c>
      <c r="AF165" s="143" t="s">
        <v>793</v>
      </c>
      <c r="AG165" s="143" t="s">
        <v>794</v>
      </c>
      <c r="AH165" s="143" t="s">
        <v>729</v>
      </c>
      <c r="AI165" s="143">
        <v>781</v>
      </c>
      <c r="AJ165" s="78">
        <v>1</v>
      </c>
      <c r="AK165" s="78">
        <v>1</v>
      </c>
      <c r="AL165" s="78">
        <v>1</v>
      </c>
      <c r="AM165" s="78">
        <v>6</v>
      </c>
      <c r="AN165" s="78">
        <v>1</v>
      </c>
      <c r="AO165" s="78">
        <v>0</v>
      </c>
      <c r="AP165" s="78">
        <v>1</v>
      </c>
      <c r="AQ165" s="78">
        <v>1</v>
      </c>
      <c r="AR165" s="78">
        <v>2</v>
      </c>
      <c r="AS165" s="78">
        <v>0</v>
      </c>
      <c r="AT165" s="78">
        <v>0</v>
      </c>
      <c r="AU165" s="78">
        <v>0</v>
      </c>
      <c r="AV165" s="78">
        <v>2</v>
      </c>
      <c r="AW165" s="78">
        <v>0</v>
      </c>
      <c r="AX165" s="78">
        <v>0</v>
      </c>
      <c r="AY165" s="78">
        <v>1</v>
      </c>
      <c r="AZ165" s="78">
        <v>2</v>
      </c>
      <c r="BA165" s="78">
        <v>0.5</v>
      </c>
      <c r="BB165" s="78">
        <v>0.5</v>
      </c>
      <c r="BC165" s="78">
        <v>0.5</v>
      </c>
      <c r="BD165" s="78">
        <v>1</v>
      </c>
      <c r="BE165" s="78">
        <v>0.5</v>
      </c>
      <c r="BF165" s="78">
        <v>0</v>
      </c>
      <c r="BG165" s="78">
        <v>2</v>
      </c>
      <c r="BH165" s="137">
        <v>0.54545460000000001</v>
      </c>
      <c r="BJ165" s="143" t="s">
        <v>793</v>
      </c>
      <c r="BK165" s="143" t="s">
        <v>794</v>
      </c>
      <c r="BL165" s="143" t="s">
        <v>729</v>
      </c>
      <c r="BM165" s="143">
        <v>781</v>
      </c>
      <c r="BN165" s="78">
        <v>1</v>
      </c>
      <c r="BO165" s="78">
        <v>4</v>
      </c>
      <c r="BP165" s="78">
        <v>7</v>
      </c>
      <c r="BQ165" s="78">
        <v>0</v>
      </c>
      <c r="BR165" s="78">
        <v>0</v>
      </c>
      <c r="BS165" s="78">
        <v>0</v>
      </c>
      <c r="BT165" s="78">
        <v>0</v>
      </c>
      <c r="BU165" s="137">
        <v>0.52173910000000001</v>
      </c>
      <c r="BW165" s="143" t="s">
        <v>793</v>
      </c>
      <c r="BX165" s="143" t="s">
        <v>794</v>
      </c>
      <c r="BY165" s="143" t="s">
        <v>729</v>
      </c>
      <c r="BZ165" s="143">
        <v>781</v>
      </c>
      <c r="CA165" s="78">
        <v>1</v>
      </c>
      <c r="CB165" s="78">
        <v>1</v>
      </c>
      <c r="CC165" s="78">
        <v>1</v>
      </c>
      <c r="CD165" s="78">
        <v>2</v>
      </c>
      <c r="CE165" s="78">
        <v>1</v>
      </c>
      <c r="CF165" s="78">
        <v>2</v>
      </c>
      <c r="CG165" s="78">
        <v>1</v>
      </c>
      <c r="CH165" s="78">
        <v>2</v>
      </c>
      <c r="CI165" s="78">
        <v>1</v>
      </c>
      <c r="CJ165" s="78">
        <v>0</v>
      </c>
      <c r="CK165" s="137">
        <v>0.8</v>
      </c>
      <c r="CM165" s="143" t="s">
        <v>793</v>
      </c>
      <c r="CN165" s="143" t="s">
        <v>794</v>
      </c>
      <c r="CO165" s="143" t="s">
        <v>729</v>
      </c>
      <c r="CP165" s="143">
        <v>781</v>
      </c>
      <c r="CQ165" s="78">
        <v>8</v>
      </c>
      <c r="CR165" s="78">
        <v>0</v>
      </c>
      <c r="CS165" s="78">
        <v>16</v>
      </c>
      <c r="CT165" s="78">
        <v>4</v>
      </c>
      <c r="CU165" s="78">
        <v>0</v>
      </c>
      <c r="CV165" s="78">
        <v>8</v>
      </c>
      <c r="CW165" s="137">
        <v>0.69230769999999997</v>
      </c>
      <c r="CY165" s="143" t="s">
        <v>793</v>
      </c>
      <c r="CZ165" s="143" t="s">
        <v>794</v>
      </c>
      <c r="DA165" s="143" t="s">
        <v>729</v>
      </c>
      <c r="DB165" s="143">
        <v>781</v>
      </c>
      <c r="DC165" s="78">
        <v>68</v>
      </c>
      <c r="DD165" s="137">
        <v>0.8</v>
      </c>
      <c r="DE165" s="137">
        <v>0.60444439999999999</v>
      </c>
      <c r="DG165" s="143" t="s">
        <v>793</v>
      </c>
      <c r="DH165" s="143" t="s">
        <v>794</v>
      </c>
      <c r="DI165" s="143" t="s">
        <v>729</v>
      </c>
      <c r="DJ165" s="143">
        <v>781</v>
      </c>
      <c r="DK165" s="78">
        <v>2</v>
      </c>
      <c r="DL165" s="78">
        <v>1</v>
      </c>
      <c r="DM165" s="78">
        <v>1</v>
      </c>
      <c r="DN165" s="78">
        <v>5</v>
      </c>
      <c r="DO165" s="78">
        <v>2</v>
      </c>
      <c r="DP165" s="78">
        <v>3</v>
      </c>
      <c r="DQ165" s="78">
        <v>8</v>
      </c>
      <c r="DR165" s="78">
        <v>1</v>
      </c>
      <c r="DS165" s="78">
        <v>1</v>
      </c>
      <c r="DT165" s="78">
        <v>0</v>
      </c>
      <c r="DU165" s="78">
        <v>0</v>
      </c>
      <c r="DV165" s="137">
        <v>0.82758620000000005</v>
      </c>
      <c r="DX165" s="143" t="s">
        <v>793</v>
      </c>
      <c r="DY165" s="143" t="s">
        <v>794</v>
      </c>
      <c r="DZ165" s="143" t="s">
        <v>729</v>
      </c>
      <c r="EA165" s="143">
        <v>781</v>
      </c>
      <c r="EB165" s="78">
        <v>1</v>
      </c>
      <c r="EC165" s="78">
        <v>8</v>
      </c>
      <c r="ED165" s="78">
        <v>1</v>
      </c>
      <c r="EE165" s="78">
        <v>4</v>
      </c>
      <c r="EF165" s="78">
        <v>1</v>
      </c>
      <c r="EG165" s="78">
        <v>1</v>
      </c>
      <c r="EH165" s="78">
        <v>0</v>
      </c>
      <c r="EI165" s="78">
        <v>1</v>
      </c>
      <c r="EJ165" s="78">
        <v>1</v>
      </c>
      <c r="EK165" s="78">
        <v>0</v>
      </c>
      <c r="EL165" s="78">
        <v>4</v>
      </c>
      <c r="EM165" s="78">
        <v>1</v>
      </c>
      <c r="EN165" s="78">
        <v>0</v>
      </c>
      <c r="EO165" s="137">
        <v>0.8518519</v>
      </c>
      <c r="EQ165" s="143" t="s">
        <v>793</v>
      </c>
      <c r="ER165" s="143" t="s">
        <v>794</v>
      </c>
      <c r="ES165" s="143" t="s">
        <v>729</v>
      </c>
      <c r="ET165" s="143">
        <v>781</v>
      </c>
      <c r="EU165" s="78">
        <v>0.5</v>
      </c>
      <c r="EV165" s="78">
        <v>0</v>
      </c>
      <c r="EW165" s="78">
        <v>0</v>
      </c>
      <c r="EX165" s="78">
        <v>0</v>
      </c>
      <c r="EY165" s="78">
        <v>0</v>
      </c>
      <c r="EZ165" s="78">
        <v>3</v>
      </c>
      <c r="FA165" s="78">
        <v>2</v>
      </c>
      <c r="FB165" s="78">
        <v>0</v>
      </c>
      <c r="FC165" s="137">
        <v>0.42307689999999998</v>
      </c>
      <c r="FE165" s="137">
        <v>0.65219939999999998</v>
      </c>
    </row>
    <row r="166" spans="1:161" hidden="1" x14ac:dyDescent="0.25">
      <c r="A166" s="143" t="s">
        <v>793</v>
      </c>
      <c r="B166" s="143" t="s">
        <v>794</v>
      </c>
      <c r="C166" s="143" t="s">
        <v>727</v>
      </c>
      <c r="D166" s="143">
        <v>2097</v>
      </c>
      <c r="E166" s="78">
        <v>0.5</v>
      </c>
      <c r="F166" s="78">
        <v>2.5</v>
      </c>
      <c r="G166" s="78">
        <v>1</v>
      </c>
      <c r="H166" s="78">
        <v>3</v>
      </c>
      <c r="I166" s="78">
        <v>1</v>
      </c>
      <c r="J166" s="78">
        <v>0</v>
      </c>
      <c r="K166" s="78">
        <v>1</v>
      </c>
      <c r="L166" s="78">
        <v>1</v>
      </c>
      <c r="M166" s="78">
        <v>2</v>
      </c>
      <c r="N166" s="137">
        <v>0.85714290000000004</v>
      </c>
      <c r="P166" s="143" t="s">
        <v>793</v>
      </c>
      <c r="Q166" s="143" t="s">
        <v>794</v>
      </c>
      <c r="R166" s="143" t="s">
        <v>727</v>
      </c>
      <c r="S166" s="143">
        <v>2097</v>
      </c>
      <c r="T166" s="78">
        <v>1</v>
      </c>
      <c r="U166" s="78">
        <v>1</v>
      </c>
      <c r="V166" s="78">
        <v>3</v>
      </c>
      <c r="W166" s="78">
        <v>0</v>
      </c>
      <c r="X166" s="78">
        <v>6</v>
      </c>
      <c r="Y166" s="78">
        <v>1</v>
      </c>
      <c r="Z166" s="78">
        <v>0</v>
      </c>
      <c r="AA166" s="78">
        <v>2</v>
      </c>
      <c r="AB166" s="78">
        <v>6</v>
      </c>
      <c r="AC166" s="78">
        <v>0</v>
      </c>
      <c r="AD166" s="137">
        <v>0.58823530000000002</v>
      </c>
      <c r="AF166" s="143" t="s">
        <v>793</v>
      </c>
      <c r="AG166" s="143" t="s">
        <v>794</v>
      </c>
      <c r="AH166" s="143" t="s">
        <v>727</v>
      </c>
      <c r="AI166" s="143">
        <v>2097</v>
      </c>
      <c r="AJ166" s="78">
        <v>1</v>
      </c>
      <c r="AK166" s="78">
        <v>1</v>
      </c>
      <c r="AL166" s="78">
        <v>1</v>
      </c>
      <c r="AM166" s="78">
        <v>1</v>
      </c>
      <c r="AN166" s="78">
        <v>1</v>
      </c>
      <c r="AO166" s="78">
        <v>2</v>
      </c>
      <c r="AP166" s="78">
        <v>1</v>
      </c>
      <c r="AQ166" s="78">
        <v>1</v>
      </c>
      <c r="AR166" s="78">
        <v>2</v>
      </c>
      <c r="AS166" s="78">
        <v>2</v>
      </c>
      <c r="AT166" s="78">
        <v>2</v>
      </c>
      <c r="AU166" s="78">
        <v>0</v>
      </c>
      <c r="AV166" s="78">
        <v>2</v>
      </c>
      <c r="AW166" s="78">
        <v>0</v>
      </c>
      <c r="AX166" s="78">
        <v>0</v>
      </c>
      <c r="AY166" s="78">
        <v>1</v>
      </c>
      <c r="AZ166" s="78">
        <v>2</v>
      </c>
      <c r="BA166" s="78">
        <v>0.5</v>
      </c>
      <c r="BB166" s="78">
        <v>0.5</v>
      </c>
      <c r="BC166" s="78">
        <v>0.5</v>
      </c>
      <c r="BD166" s="78">
        <v>1</v>
      </c>
      <c r="BE166" s="78">
        <v>0.5</v>
      </c>
      <c r="BF166" s="78">
        <v>0</v>
      </c>
      <c r="BG166" s="78">
        <v>2</v>
      </c>
      <c r="BH166" s="137">
        <v>0.56818179999999996</v>
      </c>
      <c r="BJ166" s="143" t="s">
        <v>793</v>
      </c>
      <c r="BK166" s="143" t="s">
        <v>794</v>
      </c>
      <c r="BL166" s="143" t="s">
        <v>727</v>
      </c>
      <c r="BM166" s="143">
        <v>2097</v>
      </c>
      <c r="BN166" s="78">
        <v>0</v>
      </c>
      <c r="BO166" s="78">
        <v>0</v>
      </c>
      <c r="BP166" s="78">
        <v>7</v>
      </c>
      <c r="BQ166" s="78">
        <v>0</v>
      </c>
      <c r="BR166" s="78">
        <v>0</v>
      </c>
      <c r="BS166" s="78">
        <v>0</v>
      </c>
      <c r="BT166" s="78">
        <v>0</v>
      </c>
      <c r="BU166" s="137">
        <v>0.3043478</v>
      </c>
      <c r="BW166" s="143" t="s">
        <v>793</v>
      </c>
      <c r="BX166" s="143" t="s">
        <v>794</v>
      </c>
      <c r="BY166" s="143" t="s">
        <v>727</v>
      </c>
      <c r="BZ166" s="143">
        <v>2097</v>
      </c>
      <c r="CA166" s="78">
        <v>1</v>
      </c>
      <c r="CB166" s="78">
        <v>1</v>
      </c>
      <c r="CC166" s="78">
        <v>1</v>
      </c>
      <c r="CD166" s="78">
        <v>2</v>
      </c>
      <c r="CE166" s="78">
        <v>0</v>
      </c>
      <c r="CF166" s="78">
        <v>2</v>
      </c>
      <c r="CG166" s="78">
        <v>1</v>
      </c>
      <c r="CH166" s="78">
        <v>2</v>
      </c>
      <c r="CI166" s="78">
        <v>1</v>
      </c>
      <c r="CJ166" s="78">
        <v>0</v>
      </c>
      <c r="CK166" s="137">
        <v>0.73333329999999997</v>
      </c>
      <c r="CM166" s="143" t="s">
        <v>793</v>
      </c>
      <c r="CN166" s="143" t="s">
        <v>794</v>
      </c>
      <c r="CO166" s="143" t="s">
        <v>727</v>
      </c>
      <c r="CP166" s="143">
        <v>2097</v>
      </c>
      <c r="CQ166" s="78">
        <v>8</v>
      </c>
      <c r="CR166" s="78">
        <v>0</v>
      </c>
      <c r="CS166" s="78">
        <v>8</v>
      </c>
      <c r="CT166" s="78">
        <v>4</v>
      </c>
      <c r="CU166" s="78">
        <v>0</v>
      </c>
      <c r="CV166" s="78">
        <v>8</v>
      </c>
      <c r="CW166" s="137">
        <v>0.53846159999999998</v>
      </c>
      <c r="CY166" s="143" t="s">
        <v>793</v>
      </c>
      <c r="CZ166" s="143" t="s">
        <v>794</v>
      </c>
      <c r="DA166" s="143" t="s">
        <v>727</v>
      </c>
      <c r="DB166" s="143">
        <v>2097</v>
      </c>
      <c r="DC166" s="78">
        <v>0</v>
      </c>
      <c r="DD166" s="137">
        <v>0</v>
      </c>
      <c r="DE166" s="137">
        <v>0</v>
      </c>
      <c r="DG166" s="143" t="s">
        <v>793</v>
      </c>
      <c r="DH166" s="143" t="s">
        <v>794</v>
      </c>
      <c r="DI166" s="143" t="s">
        <v>727</v>
      </c>
      <c r="DJ166" s="143">
        <v>2097</v>
      </c>
      <c r="DK166" s="78">
        <v>0</v>
      </c>
      <c r="DL166" s="78">
        <v>1</v>
      </c>
      <c r="DM166" s="78">
        <v>0</v>
      </c>
      <c r="DN166" s="78">
        <v>4</v>
      </c>
      <c r="DO166" s="78">
        <v>2</v>
      </c>
      <c r="DP166" s="78">
        <v>3</v>
      </c>
      <c r="DQ166" s="78">
        <v>8</v>
      </c>
      <c r="DR166" s="78">
        <v>1</v>
      </c>
      <c r="DS166" s="78">
        <v>1</v>
      </c>
      <c r="DT166" s="78">
        <v>0</v>
      </c>
      <c r="DU166" s="78">
        <v>0</v>
      </c>
      <c r="DV166" s="137">
        <v>0.68965520000000002</v>
      </c>
      <c r="DX166" s="143" t="s">
        <v>793</v>
      </c>
      <c r="DY166" s="143" t="s">
        <v>794</v>
      </c>
      <c r="DZ166" s="143" t="s">
        <v>727</v>
      </c>
      <c r="EA166" s="143">
        <v>2097</v>
      </c>
      <c r="EB166" s="78">
        <v>0</v>
      </c>
      <c r="EC166" s="78">
        <v>8</v>
      </c>
      <c r="ED166" s="78">
        <v>1</v>
      </c>
      <c r="EE166" s="78">
        <v>4</v>
      </c>
      <c r="EF166" s="78">
        <v>0</v>
      </c>
      <c r="EG166" s="78">
        <v>1</v>
      </c>
      <c r="EH166" s="78">
        <v>0</v>
      </c>
      <c r="EI166" s="78">
        <v>1</v>
      </c>
      <c r="EJ166" s="78">
        <v>1</v>
      </c>
      <c r="EK166" s="78">
        <v>1</v>
      </c>
      <c r="EL166" s="78">
        <v>4</v>
      </c>
      <c r="EM166" s="78">
        <v>1</v>
      </c>
      <c r="EN166" s="78">
        <v>0</v>
      </c>
      <c r="EO166" s="137">
        <v>0.81481479999999995</v>
      </c>
      <c r="EQ166" s="143" t="s">
        <v>793</v>
      </c>
      <c r="ER166" s="143" t="s">
        <v>794</v>
      </c>
      <c r="ES166" s="143" t="s">
        <v>727</v>
      </c>
      <c r="ET166" s="143">
        <v>2097</v>
      </c>
      <c r="EU166" s="78">
        <v>0</v>
      </c>
      <c r="EV166" s="78">
        <v>0</v>
      </c>
      <c r="EW166" s="78">
        <v>3</v>
      </c>
      <c r="EX166" s="78">
        <v>0</v>
      </c>
      <c r="EY166" s="78">
        <v>0.5</v>
      </c>
      <c r="EZ166" s="78">
        <v>3</v>
      </c>
      <c r="FA166" s="78">
        <v>2</v>
      </c>
      <c r="FB166" s="78">
        <v>1</v>
      </c>
      <c r="FC166" s="137">
        <v>0.73076920000000001</v>
      </c>
      <c r="FE166" s="137">
        <v>0.45307920000000002</v>
      </c>
    </row>
    <row r="167" spans="1:161" x14ac:dyDescent="0.25">
      <c r="A167" s="143" t="s">
        <v>793</v>
      </c>
      <c r="B167" s="143" t="s">
        <v>794</v>
      </c>
      <c r="C167" s="143" t="s">
        <v>728</v>
      </c>
      <c r="D167" s="143">
        <v>3461</v>
      </c>
      <c r="E167" s="78">
        <v>0.5</v>
      </c>
      <c r="F167" s="78">
        <v>2.5</v>
      </c>
      <c r="G167" s="78">
        <v>1</v>
      </c>
      <c r="H167" s="78">
        <v>4</v>
      </c>
      <c r="I167" s="78">
        <v>1</v>
      </c>
      <c r="J167" s="78">
        <v>1</v>
      </c>
      <c r="K167" s="78">
        <v>1</v>
      </c>
      <c r="L167" s="78">
        <v>1</v>
      </c>
      <c r="M167" s="78">
        <v>2</v>
      </c>
      <c r="N167" s="137">
        <v>1</v>
      </c>
      <c r="P167" s="143" t="s">
        <v>793</v>
      </c>
      <c r="Q167" s="143" t="s">
        <v>794</v>
      </c>
      <c r="R167" s="143" t="s">
        <v>728</v>
      </c>
      <c r="S167" s="143">
        <v>3461</v>
      </c>
      <c r="T167" s="78">
        <v>1</v>
      </c>
      <c r="U167" s="78">
        <v>1</v>
      </c>
      <c r="V167" s="78">
        <v>2</v>
      </c>
      <c r="W167" s="78">
        <v>2</v>
      </c>
      <c r="X167" s="78">
        <v>9</v>
      </c>
      <c r="Y167" s="78">
        <v>1</v>
      </c>
      <c r="Z167" s="78">
        <v>3</v>
      </c>
      <c r="AA167" s="78">
        <v>2</v>
      </c>
      <c r="AB167" s="78">
        <v>6</v>
      </c>
      <c r="AC167" s="78">
        <v>3</v>
      </c>
      <c r="AD167" s="137">
        <v>0.8823529</v>
      </c>
      <c r="AF167" s="143" t="s">
        <v>793</v>
      </c>
      <c r="AG167" s="143" t="s">
        <v>794</v>
      </c>
      <c r="AH167" s="143" t="s">
        <v>728</v>
      </c>
      <c r="AI167" s="143">
        <v>3461</v>
      </c>
      <c r="AJ167" s="78">
        <v>1</v>
      </c>
      <c r="AK167" s="78">
        <v>1</v>
      </c>
      <c r="AL167" s="78">
        <v>1</v>
      </c>
      <c r="AM167" s="78">
        <v>6</v>
      </c>
      <c r="AN167" s="78">
        <v>1</v>
      </c>
      <c r="AO167" s="78">
        <v>0</v>
      </c>
      <c r="AP167" s="78">
        <v>1</v>
      </c>
      <c r="AQ167" s="78">
        <v>1</v>
      </c>
      <c r="AR167" s="78">
        <v>2</v>
      </c>
      <c r="AS167" s="78">
        <v>2</v>
      </c>
      <c r="AT167" s="78">
        <v>2</v>
      </c>
      <c r="AU167" s="78">
        <v>1</v>
      </c>
      <c r="AV167" s="78">
        <v>2</v>
      </c>
      <c r="AW167" s="78">
        <v>1</v>
      </c>
      <c r="AX167" s="78">
        <v>4</v>
      </c>
      <c r="AY167" s="78">
        <v>1</v>
      </c>
      <c r="AZ167" s="78">
        <v>2</v>
      </c>
      <c r="BA167" s="78">
        <v>0.5</v>
      </c>
      <c r="BB167" s="78">
        <v>0.5</v>
      </c>
      <c r="BC167" s="78">
        <v>0.5</v>
      </c>
      <c r="BD167" s="78">
        <v>1</v>
      </c>
      <c r="BE167" s="78">
        <v>0.5</v>
      </c>
      <c r="BF167" s="78">
        <v>0</v>
      </c>
      <c r="BG167" s="78">
        <v>8</v>
      </c>
      <c r="BH167" s="137">
        <v>0.90909090000000004</v>
      </c>
      <c r="BJ167" s="143" t="s">
        <v>793</v>
      </c>
      <c r="BK167" s="143" t="s">
        <v>794</v>
      </c>
      <c r="BL167" s="143" t="s">
        <v>728</v>
      </c>
      <c r="BM167" s="143">
        <v>3461</v>
      </c>
      <c r="BN167" s="78">
        <v>1</v>
      </c>
      <c r="BO167" s="78">
        <v>4</v>
      </c>
      <c r="BP167" s="78">
        <v>7</v>
      </c>
      <c r="BQ167" s="78">
        <v>3</v>
      </c>
      <c r="BR167" s="78">
        <v>0</v>
      </c>
      <c r="BS167" s="78">
        <v>3</v>
      </c>
      <c r="BT167" s="78">
        <v>0</v>
      </c>
      <c r="BU167" s="137">
        <v>0.78260870000000005</v>
      </c>
      <c r="BW167" s="143" t="s">
        <v>793</v>
      </c>
      <c r="BX167" s="143" t="s">
        <v>794</v>
      </c>
      <c r="BY167" s="143" t="s">
        <v>728</v>
      </c>
      <c r="BZ167" s="143">
        <v>3461</v>
      </c>
      <c r="CM167" s="143" t="s">
        <v>793</v>
      </c>
      <c r="CN167" s="143" t="s">
        <v>794</v>
      </c>
      <c r="CO167" s="143" t="s">
        <v>728</v>
      </c>
      <c r="CP167" s="143">
        <v>3461</v>
      </c>
      <c r="CQ167" s="78">
        <v>8</v>
      </c>
      <c r="CR167" s="78">
        <v>0</v>
      </c>
      <c r="CS167" s="78">
        <v>20</v>
      </c>
      <c r="CT167" s="78">
        <v>4</v>
      </c>
      <c r="CU167" s="78">
        <v>2</v>
      </c>
      <c r="CV167" s="78">
        <v>8</v>
      </c>
      <c r="CW167" s="137">
        <v>0.80769230000000003</v>
      </c>
      <c r="CY167" s="143" t="s">
        <v>793</v>
      </c>
      <c r="CZ167" s="143" t="s">
        <v>794</v>
      </c>
      <c r="DA167" s="143" t="s">
        <v>728</v>
      </c>
      <c r="DB167" s="143">
        <v>3461</v>
      </c>
      <c r="DC167" s="78">
        <v>20</v>
      </c>
      <c r="DD167" s="137">
        <v>0</v>
      </c>
      <c r="DE167" s="137">
        <v>0</v>
      </c>
      <c r="DG167" s="143" t="s">
        <v>793</v>
      </c>
      <c r="DH167" s="143" t="s">
        <v>794</v>
      </c>
      <c r="DI167" s="143" t="s">
        <v>728</v>
      </c>
      <c r="DJ167" s="143">
        <v>3461</v>
      </c>
      <c r="DK167" s="78">
        <v>2</v>
      </c>
      <c r="DL167" s="78">
        <v>1</v>
      </c>
      <c r="DM167" s="78">
        <v>1</v>
      </c>
      <c r="DN167" s="78">
        <v>6</v>
      </c>
      <c r="DO167" s="78">
        <v>2</v>
      </c>
      <c r="DP167" s="78">
        <v>3</v>
      </c>
      <c r="DQ167" s="78">
        <v>8</v>
      </c>
      <c r="DR167" s="78">
        <v>1</v>
      </c>
      <c r="DS167" s="78">
        <v>1</v>
      </c>
      <c r="DT167" s="78">
        <v>0</v>
      </c>
      <c r="DU167" s="78">
        <v>1</v>
      </c>
      <c r="DV167" s="137">
        <v>0.89655169999999995</v>
      </c>
      <c r="DX167" s="143" t="s">
        <v>793</v>
      </c>
      <c r="DY167" s="143" t="s">
        <v>794</v>
      </c>
      <c r="DZ167" s="143" t="s">
        <v>728</v>
      </c>
      <c r="EA167" s="143">
        <v>3461</v>
      </c>
      <c r="EB167" s="78">
        <v>1</v>
      </c>
      <c r="EC167" s="78">
        <v>8</v>
      </c>
      <c r="ED167" s="78">
        <v>1</v>
      </c>
      <c r="EE167" s="78">
        <v>4</v>
      </c>
      <c r="EF167" s="78">
        <v>1</v>
      </c>
      <c r="EG167" s="78">
        <v>1</v>
      </c>
      <c r="EH167" s="78">
        <v>2</v>
      </c>
      <c r="EI167" s="78">
        <v>1</v>
      </c>
      <c r="EJ167" s="78">
        <v>1</v>
      </c>
      <c r="EK167" s="78">
        <v>1</v>
      </c>
      <c r="EL167" s="78">
        <v>4</v>
      </c>
      <c r="EM167" s="78">
        <v>1</v>
      </c>
      <c r="EN167" s="78">
        <v>1</v>
      </c>
      <c r="EO167" s="137">
        <v>1</v>
      </c>
      <c r="EQ167" s="143" t="s">
        <v>793</v>
      </c>
      <c r="ER167" s="143" t="s">
        <v>794</v>
      </c>
      <c r="ES167" s="143" t="s">
        <v>728</v>
      </c>
      <c r="ET167" s="143">
        <v>3461</v>
      </c>
      <c r="EU167" s="78">
        <v>0.5</v>
      </c>
      <c r="EV167" s="78">
        <v>0</v>
      </c>
      <c r="EW167" s="78">
        <v>3</v>
      </c>
      <c r="EX167" s="78">
        <v>2</v>
      </c>
      <c r="EY167" s="78">
        <v>0.5</v>
      </c>
      <c r="EZ167" s="78">
        <v>3</v>
      </c>
      <c r="FA167" s="78">
        <v>2</v>
      </c>
      <c r="FB167" s="78">
        <v>1</v>
      </c>
      <c r="FC167" s="137">
        <v>0.92307689999999998</v>
      </c>
      <c r="FE167" s="137">
        <v>0.64110429999999996</v>
      </c>
    </row>
    <row r="168" spans="1:161" x14ac:dyDescent="0.25">
      <c r="A168" s="143" t="s">
        <v>793</v>
      </c>
      <c r="B168" s="143" t="s">
        <v>794</v>
      </c>
      <c r="C168" s="143" t="s">
        <v>728</v>
      </c>
      <c r="D168" s="143">
        <v>10307</v>
      </c>
      <c r="E168" s="78">
        <v>0.5</v>
      </c>
      <c r="F168" s="78">
        <v>2</v>
      </c>
      <c r="G168" s="78">
        <v>1</v>
      </c>
      <c r="H168" s="78">
        <v>4</v>
      </c>
      <c r="I168" s="78">
        <v>1</v>
      </c>
      <c r="J168" s="78">
        <v>1</v>
      </c>
      <c r="K168" s="78">
        <v>1</v>
      </c>
      <c r="L168" s="78">
        <v>1</v>
      </c>
      <c r="M168" s="78">
        <v>2</v>
      </c>
      <c r="N168" s="137">
        <v>0.96428570000000002</v>
      </c>
      <c r="P168" s="143" t="s">
        <v>793</v>
      </c>
      <c r="Q168" s="143" t="s">
        <v>794</v>
      </c>
      <c r="R168" s="143" t="s">
        <v>728</v>
      </c>
      <c r="S168" s="143">
        <v>10307</v>
      </c>
      <c r="T168" s="78">
        <v>1</v>
      </c>
      <c r="U168" s="78">
        <v>1</v>
      </c>
      <c r="V168" s="78">
        <v>1.5</v>
      </c>
      <c r="W168" s="78">
        <v>2</v>
      </c>
      <c r="X168" s="78">
        <v>12</v>
      </c>
      <c r="Y168" s="78">
        <v>1</v>
      </c>
      <c r="Z168" s="78">
        <v>3</v>
      </c>
      <c r="AA168" s="78">
        <v>0</v>
      </c>
      <c r="AB168" s="78">
        <v>6</v>
      </c>
      <c r="AC168" s="78">
        <v>0</v>
      </c>
      <c r="AD168" s="137">
        <v>0.80882350000000003</v>
      </c>
      <c r="AF168" s="143" t="s">
        <v>793</v>
      </c>
      <c r="AG168" s="143" t="s">
        <v>794</v>
      </c>
      <c r="AH168" s="143" t="s">
        <v>728</v>
      </c>
      <c r="AI168" s="143">
        <v>10307</v>
      </c>
      <c r="AJ168" s="78">
        <v>1</v>
      </c>
      <c r="AK168" s="78">
        <v>1</v>
      </c>
      <c r="AL168" s="78">
        <v>1</v>
      </c>
      <c r="AM168" s="78">
        <v>6</v>
      </c>
      <c r="AN168" s="78">
        <v>1</v>
      </c>
      <c r="AO168" s="78">
        <v>2</v>
      </c>
      <c r="AP168" s="78">
        <v>1</v>
      </c>
      <c r="AQ168" s="78">
        <v>1</v>
      </c>
      <c r="AR168" s="78">
        <v>0</v>
      </c>
      <c r="AS168" s="78">
        <v>2</v>
      </c>
      <c r="AT168" s="78">
        <v>2</v>
      </c>
      <c r="AU168" s="78">
        <v>1</v>
      </c>
      <c r="AV168" s="78">
        <v>2</v>
      </c>
      <c r="AW168" s="78">
        <v>1</v>
      </c>
      <c r="AX168" s="78">
        <v>0</v>
      </c>
      <c r="AY168" s="78">
        <v>1</v>
      </c>
      <c r="AZ168" s="78">
        <v>2</v>
      </c>
      <c r="BA168" s="78">
        <v>0.5</v>
      </c>
      <c r="BB168" s="78">
        <v>0.5</v>
      </c>
      <c r="BC168" s="78">
        <v>0.5</v>
      </c>
      <c r="BD168" s="78">
        <v>1</v>
      </c>
      <c r="BE168" s="78">
        <v>0.5</v>
      </c>
      <c r="BF168" s="78">
        <v>1</v>
      </c>
      <c r="BG168" s="78">
        <v>8</v>
      </c>
      <c r="BH168" s="137">
        <v>0.84090909999999996</v>
      </c>
      <c r="BJ168" s="143" t="s">
        <v>793</v>
      </c>
      <c r="BK168" s="143" t="s">
        <v>794</v>
      </c>
      <c r="BL168" s="143" t="s">
        <v>728</v>
      </c>
      <c r="BM168" s="143">
        <v>10307</v>
      </c>
      <c r="BN168" s="78">
        <v>1</v>
      </c>
      <c r="BO168" s="78">
        <v>0</v>
      </c>
      <c r="BP168" s="78">
        <v>7</v>
      </c>
      <c r="BQ168" s="78">
        <v>3</v>
      </c>
      <c r="BR168" s="78">
        <v>3</v>
      </c>
      <c r="BS168" s="78">
        <v>3</v>
      </c>
      <c r="BT168" s="78">
        <v>2</v>
      </c>
      <c r="BU168" s="137">
        <v>0.82608689999999996</v>
      </c>
      <c r="BW168" s="143" t="s">
        <v>793</v>
      </c>
      <c r="BX168" s="143" t="s">
        <v>794</v>
      </c>
      <c r="BY168" s="143" t="s">
        <v>728</v>
      </c>
      <c r="BZ168" s="143">
        <v>10307</v>
      </c>
      <c r="CM168" s="143" t="s">
        <v>793</v>
      </c>
      <c r="CN168" s="143" t="s">
        <v>794</v>
      </c>
      <c r="CO168" s="143" t="s">
        <v>728</v>
      </c>
      <c r="CP168" s="143">
        <v>10307</v>
      </c>
      <c r="CQ168" s="78">
        <v>8</v>
      </c>
      <c r="CR168" s="78">
        <v>0</v>
      </c>
      <c r="CS168" s="78">
        <v>16</v>
      </c>
      <c r="CT168" s="78">
        <v>4</v>
      </c>
      <c r="CU168" s="78">
        <v>2</v>
      </c>
      <c r="CV168" s="78">
        <v>8</v>
      </c>
      <c r="CW168" s="137">
        <v>0.73076920000000001</v>
      </c>
      <c r="CY168" s="143" t="s">
        <v>793</v>
      </c>
      <c r="CZ168" s="143" t="s">
        <v>794</v>
      </c>
      <c r="DA168" s="143" t="s">
        <v>728</v>
      </c>
      <c r="DB168" s="143">
        <v>10307</v>
      </c>
      <c r="DC168" s="78">
        <v>58</v>
      </c>
      <c r="DD168" s="137">
        <v>0</v>
      </c>
      <c r="DE168" s="137">
        <v>0</v>
      </c>
      <c r="DG168" s="143" t="s">
        <v>793</v>
      </c>
      <c r="DH168" s="143" t="s">
        <v>794</v>
      </c>
      <c r="DI168" s="143" t="s">
        <v>728</v>
      </c>
      <c r="DJ168" s="143">
        <v>10307</v>
      </c>
      <c r="DK168" s="78">
        <v>2</v>
      </c>
      <c r="DL168" s="78">
        <v>1</v>
      </c>
      <c r="DM168" s="78">
        <v>1</v>
      </c>
      <c r="DN168" s="78">
        <v>7</v>
      </c>
      <c r="DO168" s="78">
        <v>2</v>
      </c>
      <c r="DP168" s="78">
        <v>3</v>
      </c>
      <c r="DQ168" s="78">
        <v>8</v>
      </c>
      <c r="DR168" s="78">
        <v>1</v>
      </c>
      <c r="DS168" s="78">
        <v>1</v>
      </c>
      <c r="DT168" s="78">
        <v>0</v>
      </c>
      <c r="DU168" s="78">
        <v>1</v>
      </c>
      <c r="DV168" s="137">
        <v>0.93103449999999999</v>
      </c>
      <c r="DX168" s="143" t="s">
        <v>793</v>
      </c>
      <c r="DY168" s="143" t="s">
        <v>794</v>
      </c>
      <c r="DZ168" s="143" t="s">
        <v>728</v>
      </c>
      <c r="EA168" s="143">
        <v>10307</v>
      </c>
      <c r="EB168" s="78">
        <v>1</v>
      </c>
      <c r="EC168" s="78">
        <v>8</v>
      </c>
      <c r="ED168" s="78">
        <v>1</v>
      </c>
      <c r="EE168" s="78">
        <v>4</v>
      </c>
      <c r="EF168" s="78">
        <v>0</v>
      </c>
      <c r="EG168" s="78">
        <v>1</v>
      </c>
      <c r="EH168" s="78">
        <v>0</v>
      </c>
      <c r="EI168" s="78">
        <v>1</v>
      </c>
      <c r="EJ168" s="78">
        <v>1</v>
      </c>
      <c r="EK168" s="78">
        <v>1</v>
      </c>
      <c r="EL168" s="78">
        <v>4</v>
      </c>
      <c r="EM168" s="78">
        <v>1</v>
      </c>
      <c r="EN168" s="78">
        <v>1</v>
      </c>
      <c r="EO168" s="137">
        <v>0.88888889999999998</v>
      </c>
      <c r="EQ168" s="143" t="s">
        <v>793</v>
      </c>
      <c r="ER168" s="143" t="s">
        <v>794</v>
      </c>
      <c r="ES168" s="143" t="s">
        <v>728</v>
      </c>
      <c r="ET168" s="143">
        <v>10307</v>
      </c>
      <c r="EU168" s="78">
        <v>0.5</v>
      </c>
      <c r="EV168" s="78">
        <v>0</v>
      </c>
      <c r="EW168" s="78">
        <v>3</v>
      </c>
      <c r="EX168" s="78">
        <v>2</v>
      </c>
      <c r="EY168" s="78">
        <v>0.5</v>
      </c>
      <c r="EZ168" s="78">
        <v>3</v>
      </c>
      <c r="FA168" s="78">
        <v>2</v>
      </c>
      <c r="FB168" s="78">
        <v>1</v>
      </c>
      <c r="FC168" s="137">
        <v>0.92307689999999998</v>
      </c>
      <c r="FE168" s="137">
        <v>0.60736199999999996</v>
      </c>
    </row>
    <row r="169" spans="1:161" x14ac:dyDescent="0.25">
      <c r="A169" s="143" t="s">
        <v>793</v>
      </c>
      <c r="B169" s="143" t="s">
        <v>794</v>
      </c>
      <c r="C169" s="143" t="s">
        <v>728</v>
      </c>
      <c r="D169" s="143">
        <v>10310</v>
      </c>
      <c r="E169" s="78">
        <v>0</v>
      </c>
      <c r="F169" s="78">
        <v>1.5</v>
      </c>
      <c r="G169" s="78">
        <v>1</v>
      </c>
      <c r="H169" s="78">
        <v>4</v>
      </c>
      <c r="I169" s="78">
        <v>1</v>
      </c>
      <c r="J169" s="78">
        <v>0</v>
      </c>
      <c r="K169" s="78">
        <v>1</v>
      </c>
      <c r="L169" s="78">
        <v>0</v>
      </c>
      <c r="M169" s="78">
        <v>2</v>
      </c>
      <c r="N169" s="137">
        <v>0.75</v>
      </c>
      <c r="P169" s="143" t="s">
        <v>793</v>
      </c>
      <c r="Q169" s="143" t="s">
        <v>794</v>
      </c>
      <c r="R169" s="143" t="s">
        <v>728</v>
      </c>
      <c r="S169" s="143">
        <v>10310</v>
      </c>
      <c r="T169" s="78">
        <v>1</v>
      </c>
      <c r="U169" s="78">
        <v>1</v>
      </c>
      <c r="V169" s="78">
        <v>2</v>
      </c>
      <c r="W169" s="78">
        <v>2</v>
      </c>
      <c r="X169" s="78">
        <v>9</v>
      </c>
      <c r="Y169" s="78">
        <v>1</v>
      </c>
      <c r="Z169" s="78">
        <v>0</v>
      </c>
      <c r="AA169" s="78">
        <v>0</v>
      </c>
      <c r="AB169" s="78">
        <v>6</v>
      </c>
      <c r="AC169" s="78">
        <v>3</v>
      </c>
      <c r="AD169" s="137">
        <v>0.73529409999999995</v>
      </c>
      <c r="AF169" s="143" t="s">
        <v>793</v>
      </c>
      <c r="AG169" s="143" t="s">
        <v>794</v>
      </c>
      <c r="AH169" s="143" t="s">
        <v>728</v>
      </c>
      <c r="AI169" s="143">
        <v>10310</v>
      </c>
      <c r="AJ169" s="78">
        <v>1</v>
      </c>
      <c r="AK169" s="78">
        <v>1</v>
      </c>
      <c r="AL169" s="78">
        <v>1</v>
      </c>
      <c r="AM169" s="78">
        <v>6</v>
      </c>
      <c r="AN169" s="78">
        <v>1</v>
      </c>
      <c r="AO169" s="78">
        <v>2</v>
      </c>
      <c r="AP169" s="78">
        <v>1</v>
      </c>
      <c r="AQ169" s="78">
        <v>1</v>
      </c>
      <c r="AR169" s="78">
        <v>0</v>
      </c>
      <c r="AS169" s="78">
        <v>0</v>
      </c>
      <c r="AT169" s="78">
        <v>0</v>
      </c>
      <c r="AU169" s="78">
        <v>1</v>
      </c>
      <c r="AV169" s="78">
        <v>2</v>
      </c>
      <c r="AW169" s="78">
        <v>1</v>
      </c>
      <c r="AX169" s="78">
        <v>0</v>
      </c>
      <c r="AY169" s="78">
        <v>1</v>
      </c>
      <c r="AZ169" s="78">
        <v>2</v>
      </c>
      <c r="BA169" s="78">
        <v>0.5</v>
      </c>
      <c r="BB169" s="78">
        <v>0.5</v>
      </c>
      <c r="BC169" s="78">
        <v>0.5</v>
      </c>
      <c r="BD169" s="78">
        <v>1</v>
      </c>
      <c r="BE169" s="78">
        <v>0.5</v>
      </c>
      <c r="BF169" s="78">
        <v>0</v>
      </c>
      <c r="BG169" s="78">
        <v>8</v>
      </c>
      <c r="BH169" s="137">
        <v>0.72727269999999999</v>
      </c>
      <c r="BJ169" s="143" t="s">
        <v>793</v>
      </c>
      <c r="BK169" s="143" t="s">
        <v>794</v>
      </c>
      <c r="BL169" s="143" t="s">
        <v>728</v>
      </c>
      <c r="BM169" s="143">
        <v>10310</v>
      </c>
      <c r="BN169" s="78">
        <v>0</v>
      </c>
      <c r="BO169" s="78">
        <v>4</v>
      </c>
      <c r="BP169" s="78">
        <v>7</v>
      </c>
      <c r="BQ169" s="78">
        <v>3</v>
      </c>
      <c r="BR169" s="78">
        <v>3</v>
      </c>
      <c r="BS169" s="78">
        <v>0</v>
      </c>
      <c r="BT169" s="78">
        <v>0</v>
      </c>
      <c r="BU169" s="137">
        <v>0.73913039999999997</v>
      </c>
      <c r="BW169" s="143" t="s">
        <v>793</v>
      </c>
      <c r="BX169" s="143" t="s">
        <v>794</v>
      </c>
      <c r="BY169" s="143" t="s">
        <v>728</v>
      </c>
      <c r="BZ169" s="143">
        <v>10310</v>
      </c>
      <c r="CM169" s="143" t="s">
        <v>793</v>
      </c>
      <c r="CN169" s="143" t="s">
        <v>794</v>
      </c>
      <c r="CO169" s="143" t="s">
        <v>728</v>
      </c>
      <c r="CP169" s="143">
        <v>10310</v>
      </c>
      <c r="CQ169" s="78">
        <v>8</v>
      </c>
      <c r="CR169" s="78">
        <v>0</v>
      </c>
      <c r="CS169" s="78">
        <v>16</v>
      </c>
      <c r="CT169" s="78">
        <v>4</v>
      </c>
      <c r="CU169" s="78">
        <v>2</v>
      </c>
      <c r="CV169" s="78">
        <v>8</v>
      </c>
      <c r="CW169" s="137">
        <v>0.73076920000000001</v>
      </c>
      <c r="CY169" s="143" t="s">
        <v>793</v>
      </c>
      <c r="CZ169" s="143" t="s">
        <v>794</v>
      </c>
      <c r="DA169" s="143" t="s">
        <v>728</v>
      </c>
      <c r="DB169" s="143">
        <v>10310</v>
      </c>
      <c r="DC169" s="78">
        <v>0</v>
      </c>
      <c r="DD169" s="137">
        <v>0</v>
      </c>
      <c r="DE169" s="137">
        <v>0</v>
      </c>
      <c r="DG169" s="143" t="s">
        <v>793</v>
      </c>
      <c r="DH169" s="143" t="s">
        <v>794</v>
      </c>
      <c r="DI169" s="143" t="s">
        <v>728</v>
      </c>
      <c r="DJ169" s="143">
        <v>10310</v>
      </c>
      <c r="DK169" s="78">
        <v>2</v>
      </c>
      <c r="DL169" s="78">
        <v>1</v>
      </c>
      <c r="DM169" s="78">
        <v>1</v>
      </c>
      <c r="DN169" s="78">
        <v>7</v>
      </c>
      <c r="DO169" s="78">
        <v>2</v>
      </c>
      <c r="DP169" s="78">
        <v>3</v>
      </c>
      <c r="DQ169" s="78">
        <v>8</v>
      </c>
      <c r="DR169" s="78">
        <v>1</v>
      </c>
      <c r="DS169" s="78">
        <v>1</v>
      </c>
      <c r="DT169" s="78">
        <v>0</v>
      </c>
      <c r="DU169" s="78">
        <v>1</v>
      </c>
      <c r="DV169" s="137">
        <v>0.93103449999999999</v>
      </c>
      <c r="DX169" s="143" t="s">
        <v>793</v>
      </c>
      <c r="DY169" s="143" t="s">
        <v>794</v>
      </c>
      <c r="DZ169" s="143" t="s">
        <v>728</v>
      </c>
      <c r="EA169" s="143">
        <v>10310</v>
      </c>
      <c r="EB169" s="78">
        <v>1</v>
      </c>
      <c r="EC169" s="78">
        <v>8</v>
      </c>
      <c r="ED169" s="78">
        <v>1</v>
      </c>
      <c r="EE169" s="78">
        <v>4</v>
      </c>
      <c r="EF169" s="78">
        <v>1</v>
      </c>
      <c r="EG169" s="78">
        <v>1</v>
      </c>
      <c r="EH169" s="78">
        <v>0</v>
      </c>
      <c r="EI169" s="78">
        <v>1</v>
      </c>
      <c r="EJ169" s="78">
        <v>1</v>
      </c>
      <c r="EK169" s="78">
        <v>1</v>
      </c>
      <c r="EL169" s="78">
        <v>4</v>
      </c>
      <c r="EM169" s="78">
        <v>1</v>
      </c>
      <c r="EN169" s="78">
        <v>1</v>
      </c>
      <c r="EO169" s="137">
        <v>0.92592589999999997</v>
      </c>
      <c r="EQ169" s="143" t="s">
        <v>793</v>
      </c>
      <c r="ER169" s="143" t="s">
        <v>794</v>
      </c>
      <c r="ES169" s="143" t="s">
        <v>728</v>
      </c>
      <c r="ET169" s="143">
        <v>10310</v>
      </c>
      <c r="EU169" s="78">
        <v>0</v>
      </c>
      <c r="EV169" s="78">
        <v>0</v>
      </c>
      <c r="EW169" s="78">
        <v>3</v>
      </c>
      <c r="EX169" s="78">
        <v>2</v>
      </c>
      <c r="EY169" s="78">
        <v>0.5</v>
      </c>
      <c r="EZ169" s="78">
        <v>3</v>
      </c>
      <c r="FA169" s="78">
        <v>2</v>
      </c>
      <c r="FB169" s="78">
        <v>0</v>
      </c>
      <c r="FC169" s="137">
        <v>0.80769230000000003</v>
      </c>
      <c r="FE169" s="137">
        <v>0.56748469999999995</v>
      </c>
    </row>
    <row r="170" spans="1:161" x14ac:dyDescent="0.25">
      <c r="A170" s="143" t="s">
        <v>795</v>
      </c>
      <c r="B170" s="143" t="s">
        <v>761</v>
      </c>
      <c r="C170" s="143" t="s">
        <v>728</v>
      </c>
      <c r="D170" s="143">
        <v>204</v>
      </c>
      <c r="E170" s="78">
        <v>0.5</v>
      </c>
      <c r="F170" s="78">
        <v>1.5</v>
      </c>
      <c r="G170" s="78">
        <v>1</v>
      </c>
      <c r="H170" s="78">
        <v>3</v>
      </c>
      <c r="I170" s="78">
        <v>1</v>
      </c>
      <c r="J170" s="78">
        <v>0</v>
      </c>
      <c r="K170" s="78">
        <v>1</v>
      </c>
      <c r="L170" s="78">
        <v>1</v>
      </c>
      <c r="M170" s="78">
        <v>2</v>
      </c>
      <c r="N170" s="137">
        <v>0.78571429999999998</v>
      </c>
      <c r="P170" s="143" t="s">
        <v>795</v>
      </c>
      <c r="Q170" s="143" t="s">
        <v>761</v>
      </c>
      <c r="R170" s="143" t="s">
        <v>728</v>
      </c>
      <c r="S170" s="143">
        <v>204</v>
      </c>
      <c r="T170" s="78">
        <v>0</v>
      </c>
      <c r="U170" s="78">
        <v>1</v>
      </c>
      <c r="V170" s="78">
        <v>0</v>
      </c>
      <c r="W170" s="78">
        <v>0</v>
      </c>
      <c r="X170" s="78">
        <v>3</v>
      </c>
      <c r="Y170" s="78">
        <v>1</v>
      </c>
      <c r="Z170" s="78">
        <v>0</v>
      </c>
      <c r="AA170" s="78">
        <v>2</v>
      </c>
      <c r="AB170" s="78">
        <v>6</v>
      </c>
      <c r="AC170" s="78">
        <v>0</v>
      </c>
      <c r="AD170" s="137">
        <v>0.3823529</v>
      </c>
      <c r="AF170" s="143" t="s">
        <v>795</v>
      </c>
      <c r="AG170" s="143" t="s">
        <v>761</v>
      </c>
      <c r="AH170" s="143" t="s">
        <v>728</v>
      </c>
      <c r="AI170" s="143">
        <v>204</v>
      </c>
      <c r="AJ170" s="78">
        <v>0</v>
      </c>
      <c r="AK170" s="78">
        <v>0</v>
      </c>
      <c r="AL170" s="78">
        <v>0</v>
      </c>
      <c r="AM170" s="78">
        <v>0</v>
      </c>
      <c r="AN170" s="78">
        <v>0</v>
      </c>
      <c r="AO170" s="78">
        <v>0</v>
      </c>
      <c r="AP170" s="78">
        <v>1</v>
      </c>
      <c r="AQ170" s="78">
        <v>1</v>
      </c>
      <c r="AR170" s="78">
        <v>0</v>
      </c>
      <c r="AS170" s="78">
        <v>0</v>
      </c>
      <c r="AT170" s="78">
        <v>0</v>
      </c>
      <c r="AU170" s="78">
        <v>0</v>
      </c>
      <c r="AV170" s="78">
        <v>0</v>
      </c>
      <c r="AW170" s="78">
        <v>0</v>
      </c>
      <c r="AX170" s="78">
        <v>0</v>
      </c>
      <c r="AY170" s="78">
        <v>1</v>
      </c>
      <c r="AZ170" s="78">
        <v>2</v>
      </c>
      <c r="BA170" s="78">
        <v>0.5</v>
      </c>
      <c r="BB170" s="78">
        <v>0.5</v>
      </c>
      <c r="BC170" s="78">
        <v>0.5</v>
      </c>
      <c r="BD170" s="78">
        <v>0</v>
      </c>
      <c r="BE170" s="78">
        <v>0.5</v>
      </c>
      <c r="BF170" s="78">
        <v>0</v>
      </c>
      <c r="BG170" s="78">
        <v>6</v>
      </c>
      <c r="BH170" s="137">
        <v>0.29545450000000001</v>
      </c>
      <c r="BJ170" s="143" t="s">
        <v>795</v>
      </c>
      <c r="BK170" s="143" t="s">
        <v>761</v>
      </c>
      <c r="BL170" s="143" t="s">
        <v>728</v>
      </c>
      <c r="BM170" s="143">
        <v>204</v>
      </c>
      <c r="BN170" s="78">
        <v>1</v>
      </c>
      <c r="BO170" s="78">
        <v>0</v>
      </c>
      <c r="BP170" s="78">
        <v>0</v>
      </c>
      <c r="BQ170" s="78">
        <v>0</v>
      </c>
      <c r="BR170" s="78">
        <v>0</v>
      </c>
      <c r="BS170" s="78">
        <v>0</v>
      </c>
      <c r="BT170" s="78">
        <v>2</v>
      </c>
      <c r="BU170" s="137">
        <v>0.13043479999999999</v>
      </c>
      <c r="BW170" s="143" t="s">
        <v>795</v>
      </c>
      <c r="BX170" s="143" t="s">
        <v>761</v>
      </c>
      <c r="BY170" s="143" t="s">
        <v>728</v>
      </c>
      <c r="BZ170" s="143">
        <v>204</v>
      </c>
      <c r="CA170" s="78">
        <v>1</v>
      </c>
      <c r="CB170" s="78">
        <v>0</v>
      </c>
      <c r="CC170" s="78">
        <v>1</v>
      </c>
      <c r="CD170" s="78">
        <v>0</v>
      </c>
      <c r="CE170" s="78">
        <v>1</v>
      </c>
      <c r="CF170" s="78">
        <v>2</v>
      </c>
      <c r="CG170" s="78">
        <v>1</v>
      </c>
      <c r="CH170" s="78">
        <v>2</v>
      </c>
      <c r="CI170" s="78">
        <v>1</v>
      </c>
      <c r="CJ170" s="78">
        <v>0</v>
      </c>
      <c r="CK170" s="137">
        <v>0.6</v>
      </c>
      <c r="CM170" s="143" t="s">
        <v>795</v>
      </c>
      <c r="CN170" s="143" t="s">
        <v>761</v>
      </c>
      <c r="CO170" s="143" t="s">
        <v>728</v>
      </c>
      <c r="CP170" s="143">
        <v>204</v>
      </c>
      <c r="CQ170" s="78">
        <v>8</v>
      </c>
      <c r="CR170" s="78">
        <v>0</v>
      </c>
      <c r="CS170" s="78">
        <v>0</v>
      </c>
      <c r="CT170" s="78">
        <v>4</v>
      </c>
      <c r="CU170" s="78">
        <v>0</v>
      </c>
      <c r="CV170" s="78">
        <v>4</v>
      </c>
      <c r="CW170" s="137">
        <v>0.30769229999999997</v>
      </c>
      <c r="CY170" s="143" t="s">
        <v>795</v>
      </c>
      <c r="CZ170" s="143" t="s">
        <v>761</v>
      </c>
      <c r="DA170" s="143" t="s">
        <v>728</v>
      </c>
      <c r="DB170" s="143">
        <v>204</v>
      </c>
      <c r="DC170" s="78">
        <v>0</v>
      </c>
      <c r="DD170" s="137">
        <v>0</v>
      </c>
      <c r="DE170" s="137">
        <v>0</v>
      </c>
      <c r="DG170" s="143" t="s">
        <v>795</v>
      </c>
      <c r="DH170" s="143" t="s">
        <v>761</v>
      </c>
      <c r="DI170" s="143" t="s">
        <v>728</v>
      </c>
      <c r="DJ170" s="143">
        <v>204</v>
      </c>
      <c r="DK170" s="78">
        <v>2</v>
      </c>
      <c r="DL170" s="78">
        <v>1</v>
      </c>
      <c r="DM170" s="78">
        <v>0</v>
      </c>
      <c r="DN170" s="78">
        <v>4</v>
      </c>
      <c r="DO170" s="78">
        <v>2</v>
      </c>
      <c r="DP170" s="78">
        <v>1</v>
      </c>
      <c r="DQ170" s="78">
        <v>5</v>
      </c>
      <c r="DR170" s="78">
        <v>0</v>
      </c>
      <c r="DS170" s="78">
        <v>0</v>
      </c>
      <c r="DT170" s="78">
        <v>0</v>
      </c>
      <c r="DU170" s="78">
        <v>1</v>
      </c>
      <c r="DV170" s="137">
        <v>0.55172410000000005</v>
      </c>
      <c r="DX170" s="143" t="s">
        <v>795</v>
      </c>
      <c r="DY170" s="143" t="s">
        <v>761</v>
      </c>
      <c r="DZ170" s="143" t="s">
        <v>728</v>
      </c>
      <c r="EA170" s="143">
        <v>204</v>
      </c>
      <c r="EB170" s="78">
        <v>1</v>
      </c>
      <c r="EC170" s="78">
        <v>8</v>
      </c>
      <c r="ED170" s="78">
        <v>1</v>
      </c>
      <c r="EE170" s="78">
        <v>4</v>
      </c>
      <c r="EF170" s="78">
        <v>1</v>
      </c>
      <c r="EG170" s="78">
        <v>1</v>
      </c>
      <c r="EH170" s="78">
        <v>0</v>
      </c>
      <c r="EI170" s="78">
        <v>1</v>
      </c>
      <c r="EJ170" s="78">
        <v>1</v>
      </c>
      <c r="EK170" s="78">
        <v>1</v>
      </c>
      <c r="EL170" s="78">
        <v>0</v>
      </c>
      <c r="EM170" s="78">
        <v>0</v>
      </c>
      <c r="EN170" s="78">
        <v>0</v>
      </c>
      <c r="EO170" s="137">
        <v>0.70370370000000004</v>
      </c>
      <c r="EQ170" s="143" t="s">
        <v>795</v>
      </c>
      <c r="ER170" s="143" t="s">
        <v>761</v>
      </c>
      <c r="ES170" s="143" t="s">
        <v>728</v>
      </c>
      <c r="ET170" s="143">
        <v>204</v>
      </c>
      <c r="EU170" s="78">
        <v>0</v>
      </c>
      <c r="EV170" s="78">
        <v>1</v>
      </c>
      <c r="EW170" s="78">
        <v>0</v>
      </c>
      <c r="EX170" s="78">
        <v>0</v>
      </c>
      <c r="EY170" s="78">
        <v>0.5</v>
      </c>
      <c r="EZ170" s="78">
        <v>3</v>
      </c>
      <c r="FA170" s="78">
        <v>0</v>
      </c>
      <c r="FB170" s="78">
        <v>1</v>
      </c>
      <c r="FC170" s="137">
        <v>0.42307689999999998</v>
      </c>
      <c r="FE170" s="137">
        <v>0.3093842</v>
      </c>
    </row>
    <row r="171" spans="1:161" hidden="1" x14ac:dyDescent="0.25">
      <c r="A171" s="143" t="s">
        <v>795</v>
      </c>
      <c r="B171" s="143" t="s">
        <v>761</v>
      </c>
      <c r="C171" s="143" t="s">
        <v>729</v>
      </c>
      <c r="D171" s="143">
        <v>213</v>
      </c>
      <c r="E171" s="78">
        <v>0.5</v>
      </c>
      <c r="F171" s="78">
        <v>2</v>
      </c>
      <c r="G171" s="78">
        <v>1</v>
      </c>
      <c r="H171" s="78">
        <v>0</v>
      </c>
      <c r="I171" s="78">
        <v>1</v>
      </c>
      <c r="J171" s="78">
        <v>0</v>
      </c>
      <c r="K171" s="78">
        <v>1</v>
      </c>
      <c r="L171" s="78">
        <v>1</v>
      </c>
      <c r="M171" s="78">
        <v>2</v>
      </c>
      <c r="N171" s="137">
        <v>0.60714290000000004</v>
      </c>
      <c r="P171" s="143" t="s">
        <v>795</v>
      </c>
      <c r="Q171" s="143" t="s">
        <v>761</v>
      </c>
      <c r="R171" s="143" t="s">
        <v>729</v>
      </c>
      <c r="S171" s="143">
        <v>213</v>
      </c>
      <c r="T171" s="78">
        <v>1</v>
      </c>
      <c r="U171" s="78">
        <v>1</v>
      </c>
      <c r="V171" s="78">
        <v>3</v>
      </c>
      <c r="W171" s="78">
        <v>2</v>
      </c>
      <c r="X171" s="78">
        <v>12</v>
      </c>
      <c r="Y171" s="78">
        <v>1</v>
      </c>
      <c r="Z171" s="78">
        <v>3</v>
      </c>
      <c r="AA171" s="78">
        <v>0</v>
      </c>
      <c r="AB171" s="78">
        <v>0</v>
      </c>
      <c r="AC171" s="78">
        <v>0</v>
      </c>
      <c r="AD171" s="137">
        <v>0.67647060000000003</v>
      </c>
      <c r="AF171" s="143" t="s">
        <v>795</v>
      </c>
      <c r="AG171" s="143" t="s">
        <v>761</v>
      </c>
      <c r="AH171" s="143" t="s">
        <v>729</v>
      </c>
      <c r="AI171" s="143">
        <v>213</v>
      </c>
      <c r="AJ171" s="78">
        <v>0</v>
      </c>
      <c r="AK171" s="78">
        <v>0</v>
      </c>
      <c r="AL171" s="78">
        <v>1</v>
      </c>
      <c r="AM171" s="78">
        <v>6</v>
      </c>
      <c r="AN171" s="78">
        <v>1</v>
      </c>
      <c r="AO171" s="78">
        <v>2</v>
      </c>
      <c r="AP171" s="78">
        <v>1</v>
      </c>
      <c r="AQ171" s="78">
        <v>1</v>
      </c>
      <c r="AR171" s="78">
        <v>2</v>
      </c>
      <c r="AS171" s="78">
        <v>2</v>
      </c>
      <c r="AT171" s="78">
        <v>2</v>
      </c>
      <c r="AU171" s="78">
        <v>0</v>
      </c>
      <c r="AV171" s="78">
        <v>2</v>
      </c>
      <c r="AW171" s="78">
        <v>1</v>
      </c>
      <c r="AX171" s="78">
        <v>0</v>
      </c>
      <c r="AY171" s="78">
        <v>1</v>
      </c>
      <c r="AZ171" s="78">
        <v>2</v>
      </c>
      <c r="BA171" s="78">
        <v>0.5</v>
      </c>
      <c r="BB171" s="78">
        <v>0.5</v>
      </c>
      <c r="BC171" s="78">
        <v>0.5</v>
      </c>
      <c r="BD171" s="78">
        <v>1</v>
      </c>
      <c r="BE171" s="78">
        <v>0.5</v>
      </c>
      <c r="BF171" s="78">
        <v>1</v>
      </c>
      <c r="BG171" s="78">
        <v>8</v>
      </c>
      <c r="BH171" s="137">
        <v>0.81818179999999996</v>
      </c>
      <c r="BJ171" s="143" t="s">
        <v>795</v>
      </c>
      <c r="BK171" s="143" t="s">
        <v>761</v>
      </c>
      <c r="BL171" s="143" t="s">
        <v>729</v>
      </c>
      <c r="BM171" s="143">
        <v>213</v>
      </c>
      <c r="BN171" s="78">
        <v>1</v>
      </c>
      <c r="BO171" s="78">
        <v>4</v>
      </c>
      <c r="BP171" s="78">
        <v>0</v>
      </c>
      <c r="BQ171" s="78">
        <v>0</v>
      </c>
      <c r="BR171" s="78">
        <v>3</v>
      </c>
      <c r="BS171" s="78">
        <v>0</v>
      </c>
      <c r="BT171" s="78">
        <v>2</v>
      </c>
      <c r="BU171" s="137">
        <v>0.43478260000000002</v>
      </c>
      <c r="BW171" s="143" t="s">
        <v>795</v>
      </c>
      <c r="BX171" s="143" t="s">
        <v>761</v>
      </c>
      <c r="BY171" s="143" t="s">
        <v>729</v>
      </c>
      <c r="BZ171" s="143">
        <v>213</v>
      </c>
      <c r="CA171" s="78">
        <v>1</v>
      </c>
      <c r="CB171" s="78">
        <v>1</v>
      </c>
      <c r="CC171" s="78">
        <v>1</v>
      </c>
      <c r="CD171" s="78">
        <v>2</v>
      </c>
      <c r="CE171" s="78">
        <v>1</v>
      </c>
      <c r="CF171" s="78">
        <v>2</v>
      </c>
      <c r="CG171" s="78">
        <v>1</v>
      </c>
      <c r="CH171" s="78">
        <v>2</v>
      </c>
      <c r="CI171" s="78">
        <v>1</v>
      </c>
      <c r="CJ171" s="78">
        <v>0</v>
      </c>
      <c r="CK171" s="137">
        <v>0.8</v>
      </c>
      <c r="CM171" s="143" t="s">
        <v>795</v>
      </c>
      <c r="CN171" s="143" t="s">
        <v>761</v>
      </c>
      <c r="CO171" s="143" t="s">
        <v>729</v>
      </c>
      <c r="CP171" s="143">
        <v>213</v>
      </c>
      <c r="CQ171" s="78">
        <v>8</v>
      </c>
      <c r="CR171" s="78">
        <v>0</v>
      </c>
      <c r="CS171" s="78">
        <v>0</v>
      </c>
      <c r="CT171" s="78">
        <v>4</v>
      </c>
      <c r="CU171" s="78">
        <v>2</v>
      </c>
      <c r="CV171" s="78">
        <v>8</v>
      </c>
      <c r="CW171" s="137">
        <v>0.42307689999999998</v>
      </c>
      <c r="CY171" s="143" t="s">
        <v>795</v>
      </c>
      <c r="CZ171" s="143" t="s">
        <v>761</v>
      </c>
      <c r="DA171" s="143" t="s">
        <v>729</v>
      </c>
      <c r="DB171" s="143">
        <v>213</v>
      </c>
      <c r="DC171" s="78">
        <v>0</v>
      </c>
      <c r="DD171" s="137">
        <v>0</v>
      </c>
      <c r="DE171" s="137">
        <v>0</v>
      </c>
      <c r="DG171" s="143" t="s">
        <v>795</v>
      </c>
      <c r="DH171" s="143" t="s">
        <v>761</v>
      </c>
      <c r="DI171" s="143" t="s">
        <v>729</v>
      </c>
      <c r="DJ171" s="143">
        <v>213</v>
      </c>
      <c r="DK171" s="78">
        <v>2</v>
      </c>
      <c r="DL171" s="78">
        <v>1</v>
      </c>
      <c r="DM171" s="78">
        <v>1</v>
      </c>
      <c r="DN171" s="78">
        <v>7</v>
      </c>
      <c r="DO171" s="78">
        <v>2</v>
      </c>
      <c r="DP171" s="78">
        <v>3</v>
      </c>
      <c r="DQ171" s="78">
        <v>5</v>
      </c>
      <c r="DR171" s="78">
        <v>1</v>
      </c>
      <c r="DS171" s="78">
        <v>1</v>
      </c>
      <c r="DT171" s="78">
        <v>2</v>
      </c>
      <c r="DU171" s="78">
        <v>1</v>
      </c>
      <c r="DV171" s="137">
        <v>0.89655169999999995</v>
      </c>
      <c r="DX171" s="143" t="s">
        <v>795</v>
      </c>
      <c r="DY171" s="143" t="s">
        <v>761</v>
      </c>
      <c r="DZ171" s="143" t="s">
        <v>729</v>
      </c>
      <c r="EA171" s="143">
        <v>213</v>
      </c>
      <c r="EB171" s="78">
        <v>1</v>
      </c>
      <c r="EC171" s="78">
        <v>8</v>
      </c>
      <c r="ED171" s="78">
        <v>1</v>
      </c>
      <c r="EE171" s="78">
        <v>4</v>
      </c>
      <c r="EF171" s="78">
        <v>1</v>
      </c>
      <c r="EG171" s="78">
        <v>1</v>
      </c>
      <c r="EH171" s="78">
        <v>2</v>
      </c>
      <c r="EI171" s="78">
        <v>1</v>
      </c>
      <c r="EJ171" s="78">
        <v>1</v>
      </c>
      <c r="EK171" s="78">
        <v>1</v>
      </c>
      <c r="EL171" s="78">
        <v>4</v>
      </c>
      <c r="EM171" s="78">
        <v>1</v>
      </c>
      <c r="EN171" s="78">
        <v>0</v>
      </c>
      <c r="EO171" s="137">
        <v>0.96296300000000001</v>
      </c>
      <c r="EQ171" s="143" t="s">
        <v>795</v>
      </c>
      <c r="ER171" s="143" t="s">
        <v>761</v>
      </c>
      <c r="ES171" s="143" t="s">
        <v>729</v>
      </c>
      <c r="ET171" s="143">
        <v>213</v>
      </c>
      <c r="EU171" s="78">
        <v>0.5</v>
      </c>
      <c r="EV171" s="78">
        <v>1</v>
      </c>
      <c r="EW171" s="78">
        <v>3</v>
      </c>
      <c r="EX171" s="78">
        <v>2</v>
      </c>
      <c r="EY171" s="78">
        <v>0.5</v>
      </c>
      <c r="EZ171" s="78">
        <v>3</v>
      </c>
      <c r="FA171" s="78">
        <v>2</v>
      </c>
      <c r="FB171" s="78">
        <v>1</v>
      </c>
      <c r="FC171" s="137">
        <v>1</v>
      </c>
      <c r="FE171" s="137">
        <v>0.51759529999999998</v>
      </c>
    </row>
    <row r="172" spans="1:161" hidden="1" x14ac:dyDescent="0.25">
      <c r="A172" s="143" t="s">
        <v>795</v>
      </c>
      <c r="B172" s="143" t="s">
        <v>761</v>
      </c>
      <c r="C172" s="143" t="s">
        <v>727</v>
      </c>
      <c r="D172" s="143">
        <v>223</v>
      </c>
      <c r="E172" s="78">
        <v>0.5</v>
      </c>
      <c r="F172" s="78">
        <v>2.5</v>
      </c>
      <c r="G172" s="78">
        <v>1</v>
      </c>
      <c r="H172" s="78">
        <v>4</v>
      </c>
      <c r="I172" s="78">
        <v>1</v>
      </c>
      <c r="J172" s="78">
        <v>0</v>
      </c>
      <c r="K172" s="78">
        <v>1</v>
      </c>
      <c r="L172" s="78">
        <v>1</v>
      </c>
      <c r="M172" s="78">
        <v>2</v>
      </c>
      <c r="N172" s="137">
        <v>0.92857140000000005</v>
      </c>
      <c r="P172" s="143" t="s">
        <v>795</v>
      </c>
      <c r="Q172" s="143" t="s">
        <v>761</v>
      </c>
      <c r="R172" s="143" t="s">
        <v>727</v>
      </c>
      <c r="S172" s="143">
        <v>223</v>
      </c>
      <c r="T172" s="78">
        <v>1</v>
      </c>
      <c r="U172" s="78">
        <v>1</v>
      </c>
      <c r="V172" s="78">
        <v>2</v>
      </c>
      <c r="W172" s="78">
        <v>1</v>
      </c>
      <c r="X172" s="78">
        <v>12</v>
      </c>
      <c r="Y172" s="78">
        <v>1</v>
      </c>
      <c r="Z172" s="78">
        <v>3</v>
      </c>
      <c r="AA172" s="78">
        <v>2</v>
      </c>
      <c r="AB172" s="78">
        <v>6</v>
      </c>
      <c r="AC172" s="78">
        <v>0</v>
      </c>
      <c r="AD172" s="137">
        <v>0.85294119999999995</v>
      </c>
      <c r="AF172" s="143" t="s">
        <v>795</v>
      </c>
      <c r="AG172" s="143" t="s">
        <v>761</v>
      </c>
      <c r="AH172" s="143" t="s">
        <v>727</v>
      </c>
      <c r="AI172" s="143">
        <v>223</v>
      </c>
      <c r="AJ172" s="78">
        <v>0</v>
      </c>
      <c r="AK172" s="78">
        <v>1</v>
      </c>
      <c r="AL172" s="78">
        <v>1</v>
      </c>
      <c r="AM172" s="78">
        <v>6</v>
      </c>
      <c r="AN172" s="78">
        <v>1</v>
      </c>
      <c r="AO172" s="78">
        <v>2</v>
      </c>
      <c r="AP172" s="78">
        <v>1</v>
      </c>
      <c r="AQ172" s="78">
        <v>1</v>
      </c>
      <c r="AR172" s="78">
        <v>2</v>
      </c>
      <c r="AS172" s="78">
        <v>2</v>
      </c>
      <c r="AT172" s="78">
        <v>0</v>
      </c>
      <c r="AU172" s="78">
        <v>1</v>
      </c>
      <c r="AV172" s="78">
        <v>0</v>
      </c>
      <c r="AW172" s="78">
        <v>0</v>
      </c>
      <c r="AX172" s="78">
        <v>0</v>
      </c>
      <c r="AY172" s="78">
        <v>1</v>
      </c>
      <c r="AZ172" s="78">
        <v>2</v>
      </c>
      <c r="BA172" s="78">
        <v>0.5</v>
      </c>
      <c r="BB172" s="78">
        <v>0.5</v>
      </c>
      <c r="BC172" s="78">
        <v>0.5</v>
      </c>
      <c r="BD172" s="78">
        <v>1</v>
      </c>
      <c r="BE172" s="78">
        <v>0.5</v>
      </c>
      <c r="BF172" s="78">
        <v>0</v>
      </c>
      <c r="BG172" s="78">
        <v>8</v>
      </c>
      <c r="BH172" s="137">
        <v>0.72727269999999999</v>
      </c>
      <c r="BJ172" s="143" t="s">
        <v>795</v>
      </c>
      <c r="BK172" s="143" t="s">
        <v>761</v>
      </c>
      <c r="BL172" s="143" t="s">
        <v>727</v>
      </c>
      <c r="BM172" s="143">
        <v>223</v>
      </c>
      <c r="BN172" s="78">
        <v>1</v>
      </c>
      <c r="BO172" s="78">
        <v>4</v>
      </c>
      <c r="BP172" s="78">
        <v>0</v>
      </c>
      <c r="BQ172" s="78">
        <v>3</v>
      </c>
      <c r="BR172" s="78">
        <v>3</v>
      </c>
      <c r="BS172" s="78">
        <v>3</v>
      </c>
      <c r="BT172" s="78">
        <v>2</v>
      </c>
      <c r="BU172" s="137">
        <v>0.69565220000000005</v>
      </c>
      <c r="BW172" s="143" t="s">
        <v>795</v>
      </c>
      <c r="BX172" s="143" t="s">
        <v>761</v>
      </c>
      <c r="BY172" s="143" t="s">
        <v>727</v>
      </c>
      <c r="BZ172" s="143">
        <v>223</v>
      </c>
      <c r="CA172" s="78">
        <v>1</v>
      </c>
      <c r="CB172" s="78">
        <v>0</v>
      </c>
      <c r="CC172" s="78">
        <v>1</v>
      </c>
      <c r="CD172" s="78">
        <v>2</v>
      </c>
      <c r="CE172" s="78">
        <v>0</v>
      </c>
      <c r="CF172" s="78">
        <v>2</v>
      </c>
      <c r="CG172" s="78">
        <v>1</v>
      </c>
      <c r="CH172" s="78">
        <v>2</v>
      </c>
      <c r="CI172" s="78">
        <v>1</v>
      </c>
      <c r="CJ172" s="78">
        <v>0</v>
      </c>
      <c r="CK172" s="137">
        <v>0.66666669999999995</v>
      </c>
      <c r="CM172" s="143" t="s">
        <v>795</v>
      </c>
      <c r="CN172" s="143" t="s">
        <v>761</v>
      </c>
      <c r="CO172" s="143" t="s">
        <v>727</v>
      </c>
      <c r="CP172" s="143">
        <v>223</v>
      </c>
      <c r="CQ172" s="78">
        <v>8</v>
      </c>
      <c r="CR172" s="78">
        <v>0</v>
      </c>
      <c r="CS172" s="78">
        <v>0</v>
      </c>
      <c r="CT172" s="78">
        <v>4</v>
      </c>
      <c r="CU172" s="78">
        <v>2</v>
      </c>
      <c r="CV172" s="78">
        <v>8</v>
      </c>
      <c r="CW172" s="137">
        <v>0.42307689999999998</v>
      </c>
      <c r="CY172" s="143" t="s">
        <v>795</v>
      </c>
      <c r="CZ172" s="143" t="s">
        <v>761</v>
      </c>
      <c r="DA172" s="143" t="s">
        <v>727</v>
      </c>
      <c r="DB172" s="143">
        <v>223</v>
      </c>
      <c r="DC172" s="78">
        <v>0</v>
      </c>
      <c r="DD172" s="137">
        <v>0</v>
      </c>
      <c r="DE172" s="137">
        <v>0</v>
      </c>
      <c r="DG172" s="143" t="s">
        <v>795</v>
      </c>
      <c r="DH172" s="143" t="s">
        <v>761</v>
      </c>
      <c r="DI172" s="143" t="s">
        <v>727</v>
      </c>
      <c r="DJ172" s="143">
        <v>223</v>
      </c>
      <c r="DK172" s="78">
        <v>2</v>
      </c>
      <c r="DL172" s="78">
        <v>1</v>
      </c>
      <c r="DM172" s="78">
        <v>1</v>
      </c>
      <c r="DN172" s="78">
        <v>5</v>
      </c>
      <c r="DO172" s="78">
        <v>2</v>
      </c>
      <c r="DP172" s="78">
        <v>3</v>
      </c>
      <c r="DQ172" s="78">
        <v>6</v>
      </c>
      <c r="DR172" s="78">
        <v>0</v>
      </c>
      <c r="DS172" s="78">
        <v>1</v>
      </c>
      <c r="DT172" s="78">
        <v>2</v>
      </c>
      <c r="DU172" s="78">
        <v>1</v>
      </c>
      <c r="DV172" s="137">
        <v>0.82758620000000005</v>
      </c>
      <c r="DX172" s="143" t="s">
        <v>795</v>
      </c>
      <c r="DY172" s="143" t="s">
        <v>761</v>
      </c>
      <c r="DZ172" s="143" t="s">
        <v>727</v>
      </c>
      <c r="EA172" s="143">
        <v>223</v>
      </c>
      <c r="EB172" s="78">
        <v>1</v>
      </c>
      <c r="EC172" s="78">
        <v>8</v>
      </c>
      <c r="ED172" s="78">
        <v>1</v>
      </c>
      <c r="EE172" s="78">
        <v>4</v>
      </c>
      <c r="EF172" s="78">
        <v>1</v>
      </c>
      <c r="EG172" s="78">
        <v>1</v>
      </c>
      <c r="EH172" s="78">
        <v>2</v>
      </c>
      <c r="EI172" s="78">
        <v>1</v>
      </c>
      <c r="EJ172" s="78">
        <v>1</v>
      </c>
      <c r="EK172" s="78">
        <v>1</v>
      </c>
      <c r="EL172" s="78">
        <v>4</v>
      </c>
      <c r="EM172" s="78">
        <v>1</v>
      </c>
      <c r="EN172" s="78">
        <v>1</v>
      </c>
      <c r="EO172" s="137">
        <v>1</v>
      </c>
      <c r="EQ172" s="143" t="s">
        <v>795</v>
      </c>
      <c r="ER172" s="143" t="s">
        <v>761</v>
      </c>
      <c r="ES172" s="143" t="s">
        <v>727</v>
      </c>
      <c r="ET172" s="143">
        <v>223</v>
      </c>
      <c r="EU172" s="78">
        <v>0</v>
      </c>
      <c r="EV172" s="78">
        <v>1</v>
      </c>
      <c r="EW172" s="78">
        <v>3</v>
      </c>
      <c r="EX172" s="78">
        <v>2</v>
      </c>
      <c r="EY172" s="78">
        <v>0.5</v>
      </c>
      <c r="EZ172" s="78">
        <v>3</v>
      </c>
      <c r="FA172" s="78">
        <v>2</v>
      </c>
      <c r="FB172" s="78">
        <v>1</v>
      </c>
      <c r="FC172" s="137">
        <v>0.96153840000000002</v>
      </c>
      <c r="FE172" s="137">
        <v>0.54398829999999998</v>
      </c>
    </row>
    <row r="173" spans="1:161" x14ac:dyDescent="0.25">
      <c r="A173" s="143" t="s">
        <v>795</v>
      </c>
      <c r="B173" s="143" t="s">
        <v>761</v>
      </c>
      <c r="C173" s="143" t="s">
        <v>728</v>
      </c>
      <c r="D173" s="143">
        <v>1060</v>
      </c>
      <c r="E173" s="78">
        <v>0</v>
      </c>
      <c r="F173" s="78">
        <v>2</v>
      </c>
      <c r="G173" s="78">
        <v>0</v>
      </c>
      <c r="H173" s="78">
        <v>3</v>
      </c>
      <c r="I173" s="78">
        <v>1</v>
      </c>
      <c r="J173" s="78">
        <v>0</v>
      </c>
      <c r="K173" s="78">
        <v>1</v>
      </c>
      <c r="L173" s="78">
        <v>1</v>
      </c>
      <c r="M173" s="78">
        <v>2</v>
      </c>
      <c r="N173" s="137">
        <v>0.71428570000000002</v>
      </c>
      <c r="P173" s="143" t="s">
        <v>795</v>
      </c>
      <c r="Q173" s="143" t="s">
        <v>761</v>
      </c>
      <c r="R173" s="143" t="s">
        <v>728</v>
      </c>
      <c r="S173" s="143">
        <v>1060</v>
      </c>
      <c r="T173" s="78">
        <v>1</v>
      </c>
      <c r="U173" s="78">
        <v>1</v>
      </c>
      <c r="V173" s="78">
        <v>0</v>
      </c>
      <c r="W173" s="78">
        <v>0</v>
      </c>
      <c r="X173" s="78">
        <v>0</v>
      </c>
      <c r="Y173" s="78">
        <v>1</v>
      </c>
      <c r="Z173" s="78">
        <v>0</v>
      </c>
      <c r="AA173" s="78">
        <v>2</v>
      </c>
      <c r="AB173" s="78">
        <v>6</v>
      </c>
      <c r="AC173" s="78">
        <v>3</v>
      </c>
      <c r="AD173" s="137">
        <v>0.41176469999999998</v>
      </c>
      <c r="AF173" s="143" t="s">
        <v>795</v>
      </c>
      <c r="AG173" s="143" t="s">
        <v>761</v>
      </c>
      <c r="AH173" s="143" t="s">
        <v>728</v>
      </c>
      <c r="AI173" s="143">
        <v>1060</v>
      </c>
      <c r="AJ173" s="78">
        <v>1</v>
      </c>
      <c r="AK173" s="78">
        <v>1</v>
      </c>
      <c r="AL173" s="78">
        <v>1</v>
      </c>
      <c r="AM173" s="78">
        <v>0</v>
      </c>
      <c r="AN173" s="78">
        <v>1</v>
      </c>
      <c r="AO173" s="78">
        <v>2</v>
      </c>
      <c r="AP173" s="78">
        <v>1</v>
      </c>
      <c r="AQ173" s="78">
        <v>1</v>
      </c>
      <c r="AR173" s="78">
        <v>0</v>
      </c>
      <c r="AS173" s="78">
        <v>2</v>
      </c>
      <c r="AT173" s="78">
        <v>2</v>
      </c>
      <c r="AU173" s="78">
        <v>0</v>
      </c>
      <c r="AV173" s="78">
        <v>2</v>
      </c>
      <c r="AW173" s="78">
        <v>0</v>
      </c>
      <c r="AX173" s="78">
        <v>0</v>
      </c>
      <c r="AY173" s="78">
        <v>1</v>
      </c>
      <c r="AZ173" s="78">
        <v>2</v>
      </c>
      <c r="BA173" s="78">
        <v>0.5</v>
      </c>
      <c r="BB173" s="78">
        <v>0.5</v>
      </c>
      <c r="BC173" s="78">
        <v>0.5</v>
      </c>
      <c r="BD173" s="78">
        <v>1</v>
      </c>
      <c r="BE173" s="78">
        <v>0.5</v>
      </c>
      <c r="BF173" s="78">
        <v>0</v>
      </c>
      <c r="BG173" s="78">
        <v>6</v>
      </c>
      <c r="BH173" s="137">
        <v>0.59090909999999996</v>
      </c>
      <c r="BJ173" s="143" t="s">
        <v>795</v>
      </c>
      <c r="BK173" s="143" t="s">
        <v>761</v>
      </c>
      <c r="BL173" s="143" t="s">
        <v>728</v>
      </c>
      <c r="BM173" s="143">
        <v>1060</v>
      </c>
      <c r="BN173" s="78">
        <v>1</v>
      </c>
      <c r="BO173" s="78">
        <v>4</v>
      </c>
      <c r="BP173" s="78">
        <v>7</v>
      </c>
      <c r="BQ173" s="78">
        <v>3</v>
      </c>
      <c r="BR173" s="78">
        <v>3</v>
      </c>
      <c r="BS173" s="78">
        <v>3</v>
      </c>
      <c r="BT173" s="78">
        <v>0</v>
      </c>
      <c r="BU173" s="137">
        <v>0.91304350000000001</v>
      </c>
      <c r="BW173" s="143" t="s">
        <v>795</v>
      </c>
      <c r="BX173" s="143" t="s">
        <v>761</v>
      </c>
      <c r="BY173" s="143" t="s">
        <v>728</v>
      </c>
      <c r="BZ173" s="143">
        <v>1060</v>
      </c>
      <c r="CM173" s="143" t="s">
        <v>795</v>
      </c>
      <c r="CN173" s="143" t="s">
        <v>761</v>
      </c>
      <c r="CO173" s="143" t="s">
        <v>728</v>
      </c>
      <c r="CP173" s="143">
        <v>1060</v>
      </c>
      <c r="CQ173" s="78">
        <v>8</v>
      </c>
      <c r="CR173" s="78">
        <v>0</v>
      </c>
      <c r="CS173" s="78">
        <v>0</v>
      </c>
      <c r="CT173" s="78">
        <v>4</v>
      </c>
      <c r="CU173" s="78">
        <v>0</v>
      </c>
      <c r="CV173" s="78">
        <v>8</v>
      </c>
      <c r="CW173" s="137">
        <v>0.3846154</v>
      </c>
      <c r="CY173" s="143" t="s">
        <v>795</v>
      </c>
      <c r="CZ173" s="143" t="s">
        <v>761</v>
      </c>
      <c r="DA173" s="143" t="s">
        <v>728</v>
      </c>
      <c r="DB173" s="143">
        <v>1060</v>
      </c>
      <c r="DC173" s="78">
        <v>0</v>
      </c>
      <c r="DD173" s="137">
        <v>0</v>
      </c>
      <c r="DE173" s="137">
        <v>0</v>
      </c>
      <c r="DG173" s="143" t="s">
        <v>795</v>
      </c>
      <c r="DH173" s="143" t="s">
        <v>761</v>
      </c>
      <c r="DI173" s="143" t="s">
        <v>728</v>
      </c>
      <c r="DJ173" s="143">
        <v>1060</v>
      </c>
      <c r="DK173" s="78">
        <v>2</v>
      </c>
      <c r="DL173" s="78">
        <v>1</v>
      </c>
      <c r="DM173" s="78">
        <v>1</v>
      </c>
      <c r="DN173" s="78">
        <v>4</v>
      </c>
      <c r="DO173" s="78">
        <v>2</v>
      </c>
      <c r="DP173" s="78">
        <v>3</v>
      </c>
      <c r="DQ173" s="78">
        <v>7</v>
      </c>
      <c r="DR173" s="78">
        <v>1</v>
      </c>
      <c r="DS173" s="78">
        <v>1</v>
      </c>
      <c r="DT173" s="78">
        <v>0</v>
      </c>
      <c r="DU173" s="78">
        <v>1</v>
      </c>
      <c r="DV173" s="137">
        <v>0.79310349999999996</v>
      </c>
      <c r="DX173" s="143" t="s">
        <v>795</v>
      </c>
      <c r="DY173" s="143" t="s">
        <v>761</v>
      </c>
      <c r="DZ173" s="143" t="s">
        <v>728</v>
      </c>
      <c r="EA173" s="143">
        <v>1060</v>
      </c>
      <c r="EB173" s="78">
        <v>1</v>
      </c>
      <c r="EC173" s="78">
        <v>8</v>
      </c>
      <c r="ED173" s="78">
        <v>1</v>
      </c>
      <c r="EE173" s="78">
        <v>4</v>
      </c>
      <c r="EF173" s="78">
        <v>1</v>
      </c>
      <c r="EG173" s="78">
        <v>1</v>
      </c>
      <c r="EH173" s="78">
        <v>0</v>
      </c>
      <c r="EI173" s="78">
        <v>1</v>
      </c>
      <c r="EJ173" s="78">
        <v>1</v>
      </c>
      <c r="EK173" s="78">
        <v>1</v>
      </c>
      <c r="EL173" s="78">
        <v>4</v>
      </c>
      <c r="EM173" s="78">
        <v>1</v>
      </c>
      <c r="EN173" s="78">
        <v>1</v>
      </c>
      <c r="EO173" s="137">
        <v>0.92592589999999997</v>
      </c>
      <c r="EQ173" s="143" t="s">
        <v>795</v>
      </c>
      <c r="ER173" s="143" t="s">
        <v>761</v>
      </c>
      <c r="ES173" s="143" t="s">
        <v>728</v>
      </c>
      <c r="ET173" s="143">
        <v>1060</v>
      </c>
      <c r="EU173" s="78">
        <v>0</v>
      </c>
      <c r="EV173" s="78">
        <v>0</v>
      </c>
      <c r="EW173" s="78">
        <v>0</v>
      </c>
      <c r="EX173" s="78">
        <v>0</v>
      </c>
      <c r="EY173" s="78">
        <v>0.5</v>
      </c>
      <c r="EZ173" s="78">
        <v>0</v>
      </c>
      <c r="FA173" s="78">
        <v>2</v>
      </c>
      <c r="FB173" s="78">
        <v>1</v>
      </c>
      <c r="FC173" s="137">
        <v>0.26923079999999999</v>
      </c>
      <c r="FE173" s="137">
        <v>0.43711660000000002</v>
      </c>
    </row>
    <row r="174" spans="1:161" x14ac:dyDescent="0.25">
      <c r="A174" s="143" t="s">
        <v>795</v>
      </c>
      <c r="B174" s="143" t="s">
        <v>761</v>
      </c>
      <c r="C174" s="143" t="s">
        <v>728</v>
      </c>
      <c r="D174" s="143">
        <v>1812</v>
      </c>
      <c r="E174" s="78">
        <v>0.5</v>
      </c>
      <c r="F174" s="78">
        <v>2</v>
      </c>
      <c r="G174" s="78">
        <v>1</v>
      </c>
      <c r="H174" s="78">
        <v>4</v>
      </c>
      <c r="I174" s="78">
        <v>1</v>
      </c>
      <c r="J174" s="78">
        <v>1</v>
      </c>
      <c r="K174" s="78">
        <v>1</v>
      </c>
      <c r="L174" s="78">
        <v>1</v>
      </c>
      <c r="M174" s="78">
        <v>2</v>
      </c>
      <c r="N174" s="137">
        <v>0.96428570000000002</v>
      </c>
      <c r="P174" s="143" t="s">
        <v>795</v>
      </c>
      <c r="Q174" s="143" t="s">
        <v>761</v>
      </c>
      <c r="R174" s="143" t="s">
        <v>728</v>
      </c>
      <c r="S174" s="143">
        <v>1812</v>
      </c>
      <c r="T174" s="78">
        <v>1</v>
      </c>
      <c r="U174" s="78">
        <v>1</v>
      </c>
      <c r="V174" s="78">
        <v>0</v>
      </c>
      <c r="W174" s="78">
        <v>0</v>
      </c>
      <c r="X174" s="78">
        <v>12</v>
      </c>
      <c r="Y174" s="78">
        <v>1</v>
      </c>
      <c r="Z174" s="78">
        <v>3</v>
      </c>
      <c r="AA174" s="78">
        <v>2</v>
      </c>
      <c r="AB174" s="78">
        <v>6</v>
      </c>
      <c r="AC174" s="78">
        <v>3</v>
      </c>
      <c r="AD174" s="137">
        <v>0.85294119999999995</v>
      </c>
      <c r="AF174" s="143" t="s">
        <v>795</v>
      </c>
      <c r="AG174" s="143" t="s">
        <v>761</v>
      </c>
      <c r="AH174" s="143" t="s">
        <v>728</v>
      </c>
      <c r="AI174" s="143">
        <v>1812</v>
      </c>
      <c r="AJ174" s="78">
        <v>1</v>
      </c>
      <c r="AK174" s="78">
        <v>1</v>
      </c>
      <c r="AL174" s="78">
        <v>0</v>
      </c>
      <c r="AM174" s="78">
        <v>5</v>
      </c>
      <c r="AN174" s="78">
        <v>1</v>
      </c>
      <c r="AO174" s="78">
        <v>2</v>
      </c>
      <c r="AP174" s="78">
        <v>1</v>
      </c>
      <c r="AQ174" s="78">
        <v>1</v>
      </c>
      <c r="AR174" s="78">
        <v>0</v>
      </c>
      <c r="AS174" s="78">
        <v>2</v>
      </c>
      <c r="AT174" s="78">
        <v>2</v>
      </c>
      <c r="AU174" s="78">
        <v>0</v>
      </c>
      <c r="AV174" s="78">
        <v>2</v>
      </c>
      <c r="AW174" s="78">
        <v>0</v>
      </c>
      <c r="AX174" s="78">
        <v>0</v>
      </c>
      <c r="AY174" s="78">
        <v>1</v>
      </c>
      <c r="AZ174" s="78">
        <v>2</v>
      </c>
      <c r="BA174" s="78">
        <v>0.5</v>
      </c>
      <c r="BB174" s="78">
        <v>0.5</v>
      </c>
      <c r="BC174" s="78">
        <v>0.5</v>
      </c>
      <c r="BD174" s="78">
        <v>1</v>
      </c>
      <c r="BE174" s="78">
        <v>0.5</v>
      </c>
      <c r="BF174" s="78">
        <v>0</v>
      </c>
      <c r="BG174" s="78">
        <v>2</v>
      </c>
      <c r="BH174" s="137">
        <v>0.59090909999999996</v>
      </c>
      <c r="BJ174" s="143" t="s">
        <v>795</v>
      </c>
      <c r="BK174" s="143" t="s">
        <v>761</v>
      </c>
      <c r="BL174" s="143" t="s">
        <v>728</v>
      </c>
      <c r="BM174" s="143">
        <v>1812</v>
      </c>
      <c r="BN174" s="78">
        <v>0</v>
      </c>
      <c r="BO174" s="78">
        <v>4</v>
      </c>
      <c r="BP174" s="78">
        <v>7</v>
      </c>
      <c r="BQ174" s="78">
        <v>0</v>
      </c>
      <c r="BR174" s="78">
        <v>0</v>
      </c>
      <c r="BS174" s="78">
        <v>0</v>
      </c>
      <c r="BT174" s="78">
        <v>0</v>
      </c>
      <c r="BU174" s="137">
        <v>0.47826089999999999</v>
      </c>
      <c r="BW174" s="143" t="s">
        <v>795</v>
      </c>
      <c r="BX174" s="143" t="s">
        <v>761</v>
      </c>
      <c r="BY174" s="143" t="s">
        <v>728</v>
      </c>
      <c r="BZ174" s="143">
        <v>1812</v>
      </c>
      <c r="CA174" s="78">
        <v>1</v>
      </c>
      <c r="CB174" s="78">
        <v>0</v>
      </c>
      <c r="CC174" s="78">
        <v>1</v>
      </c>
      <c r="CD174" s="78">
        <v>2</v>
      </c>
      <c r="CE174" s="78">
        <v>0</v>
      </c>
      <c r="CF174" s="78">
        <v>2</v>
      </c>
      <c r="CG174" s="78">
        <v>1</v>
      </c>
      <c r="CH174" s="78">
        <v>2</v>
      </c>
      <c r="CI174" s="78">
        <v>1</v>
      </c>
      <c r="CJ174" s="78">
        <v>0</v>
      </c>
      <c r="CK174" s="137">
        <v>0.66666669999999995</v>
      </c>
      <c r="CM174" s="143" t="s">
        <v>795</v>
      </c>
      <c r="CN174" s="143" t="s">
        <v>761</v>
      </c>
      <c r="CO174" s="143" t="s">
        <v>728</v>
      </c>
      <c r="CP174" s="143">
        <v>1812</v>
      </c>
      <c r="CQ174" s="78">
        <v>0</v>
      </c>
      <c r="CR174" s="78">
        <v>0</v>
      </c>
      <c r="CS174" s="78">
        <v>0</v>
      </c>
      <c r="CT174" s="78">
        <v>4</v>
      </c>
      <c r="CU174" s="78">
        <v>0</v>
      </c>
      <c r="CV174" s="78">
        <v>8</v>
      </c>
      <c r="CW174" s="137">
        <v>0.23076920000000001</v>
      </c>
      <c r="CY174" s="143" t="s">
        <v>795</v>
      </c>
      <c r="CZ174" s="143" t="s">
        <v>761</v>
      </c>
      <c r="DA174" s="143" t="s">
        <v>728</v>
      </c>
      <c r="DB174" s="143">
        <v>1812</v>
      </c>
      <c r="DC174" s="78">
        <v>0</v>
      </c>
      <c r="DD174" s="137">
        <v>0</v>
      </c>
      <c r="DE174" s="137">
        <v>0</v>
      </c>
      <c r="DG174" s="143" t="s">
        <v>795</v>
      </c>
      <c r="DH174" s="143" t="s">
        <v>761</v>
      </c>
      <c r="DI174" s="143" t="s">
        <v>728</v>
      </c>
      <c r="DJ174" s="143">
        <v>1812</v>
      </c>
      <c r="DK174" s="78">
        <v>2</v>
      </c>
      <c r="DL174" s="78">
        <v>1</v>
      </c>
      <c r="DM174" s="78">
        <v>0</v>
      </c>
      <c r="DN174" s="78">
        <v>4</v>
      </c>
      <c r="DO174" s="78">
        <v>2</v>
      </c>
      <c r="DP174" s="78">
        <v>3</v>
      </c>
      <c r="DQ174" s="78">
        <v>8</v>
      </c>
      <c r="DR174" s="78">
        <v>1</v>
      </c>
      <c r="DS174" s="78">
        <v>1</v>
      </c>
      <c r="DT174" s="78">
        <v>2</v>
      </c>
      <c r="DU174" s="78">
        <v>0</v>
      </c>
      <c r="DV174" s="137">
        <v>0.82758620000000005</v>
      </c>
      <c r="DX174" s="143" t="s">
        <v>795</v>
      </c>
      <c r="DY174" s="143" t="s">
        <v>761</v>
      </c>
      <c r="DZ174" s="143" t="s">
        <v>728</v>
      </c>
      <c r="EA174" s="143">
        <v>1812</v>
      </c>
      <c r="EB174" s="78">
        <v>1</v>
      </c>
      <c r="EC174" s="78">
        <v>8</v>
      </c>
      <c r="ED174" s="78">
        <v>1</v>
      </c>
      <c r="EE174" s="78">
        <v>4</v>
      </c>
      <c r="EF174" s="78">
        <v>1</v>
      </c>
      <c r="EG174" s="78">
        <v>1</v>
      </c>
      <c r="EH174" s="78">
        <v>0</v>
      </c>
      <c r="EI174" s="78">
        <v>1</v>
      </c>
      <c r="EJ174" s="78">
        <v>1</v>
      </c>
      <c r="EK174" s="78">
        <v>1</v>
      </c>
      <c r="EL174" s="78">
        <v>4</v>
      </c>
      <c r="EM174" s="78">
        <v>1</v>
      </c>
      <c r="EN174" s="78">
        <v>1</v>
      </c>
      <c r="EO174" s="137">
        <v>0.92592589999999997</v>
      </c>
      <c r="EQ174" s="143" t="s">
        <v>795</v>
      </c>
      <c r="ER174" s="143" t="s">
        <v>761</v>
      </c>
      <c r="ES174" s="143" t="s">
        <v>728</v>
      </c>
      <c r="ET174" s="143">
        <v>1812</v>
      </c>
      <c r="EU174" s="78">
        <v>0</v>
      </c>
      <c r="EV174" s="78">
        <v>1</v>
      </c>
      <c r="EW174" s="78">
        <v>0</v>
      </c>
      <c r="EX174" s="78">
        <v>0</v>
      </c>
      <c r="EY174" s="78">
        <v>0.5</v>
      </c>
      <c r="EZ174" s="78">
        <v>3</v>
      </c>
      <c r="FA174" s="78">
        <v>2</v>
      </c>
      <c r="FB174" s="78">
        <v>1</v>
      </c>
      <c r="FC174" s="137">
        <v>0.57692310000000002</v>
      </c>
      <c r="FE174" s="137">
        <v>0.46334310000000001</v>
      </c>
    </row>
    <row r="175" spans="1:161" x14ac:dyDescent="0.25">
      <c r="A175" s="143" t="s">
        <v>795</v>
      </c>
      <c r="B175" s="143" t="s">
        <v>761</v>
      </c>
      <c r="C175" s="143" t="s">
        <v>728</v>
      </c>
      <c r="D175" s="143">
        <v>2936</v>
      </c>
      <c r="E175" s="78">
        <v>0.5</v>
      </c>
      <c r="F175" s="78">
        <v>1.5</v>
      </c>
      <c r="G175" s="78">
        <v>1</v>
      </c>
      <c r="H175" s="78">
        <v>3</v>
      </c>
      <c r="I175" s="78">
        <v>1</v>
      </c>
      <c r="J175" s="78">
        <v>0</v>
      </c>
      <c r="K175" s="78">
        <v>1</v>
      </c>
      <c r="L175" s="78">
        <v>1</v>
      </c>
      <c r="M175" s="78">
        <v>2</v>
      </c>
      <c r="N175" s="137">
        <v>0.78571429999999998</v>
      </c>
      <c r="P175" s="143" t="s">
        <v>795</v>
      </c>
      <c r="Q175" s="143" t="s">
        <v>761</v>
      </c>
      <c r="R175" s="143" t="s">
        <v>728</v>
      </c>
      <c r="S175" s="143">
        <v>2936</v>
      </c>
      <c r="T175" s="78">
        <v>1</v>
      </c>
      <c r="U175" s="78">
        <v>1</v>
      </c>
      <c r="V175" s="78">
        <v>3</v>
      </c>
      <c r="W175" s="78">
        <v>0.5</v>
      </c>
      <c r="X175" s="78">
        <v>6</v>
      </c>
      <c r="Y175" s="78">
        <v>1</v>
      </c>
      <c r="Z175" s="78">
        <v>0</v>
      </c>
      <c r="AA175" s="78">
        <v>0</v>
      </c>
      <c r="AB175" s="78">
        <v>6</v>
      </c>
      <c r="AC175" s="78">
        <v>0</v>
      </c>
      <c r="AD175" s="137">
        <v>0.54411759999999998</v>
      </c>
      <c r="AF175" s="143" t="s">
        <v>795</v>
      </c>
      <c r="AG175" s="143" t="s">
        <v>761</v>
      </c>
      <c r="AH175" s="143" t="s">
        <v>728</v>
      </c>
      <c r="AI175" s="143">
        <v>2936</v>
      </c>
      <c r="AJ175" s="78">
        <v>1</v>
      </c>
      <c r="AK175" s="78">
        <v>0</v>
      </c>
      <c r="AL175" s="78">
        <v>1</v>
      </c>
      <c r="AM175" s="78">
        <v>0</v>
      </c>
      <c r="AN175" s="78">
        <v>0</v>
      </c>
      <c r="AO175" s="78">
        <v>2</v>
      </c>
      <c r="AP175" s="78">
        <v>1</v>
      </c>
      <c r="AQ175" s="78">
        <v>1</v>
      </c>
      <c r="AR175" s="78">
        <v>0</v>
      </c>
      <c r="AS175" s="78">
        <v>0</v>
      </c>
      <c r="AT175" s="78">
        <v>0</v>
      </c>
      <c r="AU175" s="78">
        <v>0</v>
      </c>
      <c r="AV175" s="78">
        <v>0</v>
      </c>
      <c r="AW175" s="78">
        <v>0</v>
      </c>
      <c r="AX175" s="78">
        <v>0</v>
      </c>
      <c r="AY175" s="78">
        <v>1</v>
      </c>
      <c r="AZ175" s="78">
        <v>2</v>
      </c>
      <c r="BA175" s="78">
        <v>0.5</v>
      </c>
      <c r="BB175" s="78">
        <v>0.5</v>
      </c>
      <c r="BC175" s="78">
        <v>0.5</v>
      </c>
      <c r="BD175" s="78">
        <v>1</v>
      </c>
      <c r="BE175" s="78">
        <v>0.5</v>
      </c>
      <c r="BF175" s="78">
        <v>0</v>
      </c>
      <c r="BG175" s="78">
        <v>6</v>
      </c>
      <c r="BH175" s="137">
        <v>0.40909089999999998</v>
      </c>
      <c r="BJ175" s="143" t="s">
        <v>795</v>
      </c>
      <c r="BK175" s="143" t="s">
        <v>761</v>
      </c>
      <c r="BL175" s="143" t="s">
        <v>728</v>
      </c>
      <c r="BM175" s="143">
        <v>2936</v>
      </c>
      <c r="BN175" s="78">
        <v>0</v>
      </c>
      <c r="BO175" s="78">
        <v>4</v>
      </c>
      <c r="BP175" s="78">
        <v>7</v>
      </c>
      <c r="BQ175" s="78">
        <v>3</v>
      </c>
      <c r="BR175" s="78">
        <v>3</v>
      </c>
      <c r="BS175" s="78">
        <v>0</v>
      </c>
      <c r="BT175" s="78">
        <v>2</v>
      </c>
      <c r="BU175" s="137">
        <v>0.82608689999999996</v>
      </c>
      <c r="BW175" s="143" t="s">
        <v>795</v>
      </c>
      <c r="BX175" s="143" t="s">
        <v>761</v>
      </c>
      <c r="BY175" s="143" t="s">
        <v>728</v>
      </c>
      <c r="BZ175" s="143">
        <v>2936</v>
      </c>
      <c r="CM175" s="143" t="s">
        <v>795</v>
      </c>
      <c r="CN175" s="143" t="s">
        <v>761</v>
      </c>
      <c r="CO175" s="143" t="s">
        <v>728</v>
      </c>
      <c r="CP175" s="143">
        <v>2936</v>
      </c>
      <c r="CQ175" s="78">
        <v>8</v>
      </c>
      <c r="CR175" s="78">
        <v>0</v>
      </c>
      <c r="CS175" s="78">
        <v>4</v>
      </c>
      <c r="CT175" s="78">
        <v>4</v>
      </c>
      <c r="CU175" s="78">
        <v>0</v>
      </c>
      <c r="CV175" s="78">
        <v>8</v>
      </c>
      <c r="CW175" s="137">
        <v>0.46153850000000002</v>
      </c>
      <c r="CY175" s="143" t="s">
        <v>795</v>
      </c>
      <c r="CZ175" s="143" t="s">
        <v>761</v>
      </c>
      <c r="DA175" s="143" t="s">
        <v>728</v>
      </c>
      <c r="DB175" s="143">
        <v>2936</v>
      </c>
      <c r="DC175" s="78">
        <v>0</v>
      </c>
      <c r="DD175" s="137">
        <v>0</v>
      </c>
      <c r="DE175" s="137">
        <v>0</v>
      </c>
      <c r="DG175" s="143" t="s">
        <v>795</v>
      </c>
      <c r="DH175" s="143" t="s">
        <v>761</v>
      </c>
      <c r="DI175" s="143" t="s">
        <v>728</v>
      </c>
      <c r="DJ175" s="143">
        <v>2936</v>
      </c>
      <c r="DK175" s="78">
        <v>2</v>
      </c>
      <c r="DL175" s="78">
        <v>1</v>
      </c>
      <c r="DM175" s="78">
        <v>1</v>
      </c>
      <c r="DN175" s="78">
        <v>4</v>
      </c>
      <c r="DO175" s="78">
        <v>2</v>
      </c>
      <c r="DP175" s="78">
        <v>3</v>
      </c>
      <c r="DQ175" s="78">
        <v>8</v>
      </c>
      <c r="DR175" s="78">
        <v>1</v>
      </c>
      <c r="DS175" s="78">
        <v>1</v>
      </c>
      <c r="DT175" s="78">
        <v>0</v>
      </c>
      <c r="DU175" s="78">
        <v>1</v>
      </c>
      <c r="DV175" s="137">
        <v>0.82758620000000005</v>
      </c>
      <c r="DX175" s="143" t="s">
        <v>795</v>
      </c>
      <c r="DY175" s="143" t="s">
        <v>761</v>
      </c>
      <c r="DZ175" s="143" t="s">
        <v>728</v>
      </c>
      <c r="EA175" s="143">
        <v>2936</v>
      </c>
      <c r="EB175" s="78">
        <v>1</v>
      </c>
      <c r="EC175" s="78">
        <v>8</v>
      </c>
      <c r="ED175" s="78">
        <v>0</v>
      </c>
      <c r="EE175" s="78">
        <v>4</v>
      </c>
      <c r="EF175" s="78">
        <v>1</v>
      </c>
      <c r="EG175" s="78">
        <v>1</v>
      </c>
      <c r="EH175" s="78">
        <v>0</v>
      </c>
      <c r="EI175" s="78">
        <v>1</v>
      </c>
      <c r="EJ175" s="78">
        <v>1</v>
      </c>
      <c r="EK175" s="78">
        <v>1</v>
      </c>
      <c r="EL175" s="78">
        <v>4</v>
      </c>
      <c r="EM175" s="78">
        <v>1</v>
      </c>
      <c r="EN175" s="78">
        <v>0</v>
      </c>
      <c r="EO175" s="137">
        <v>0.8518519</v>
      </c>
      <c r="EQ175" s="143" t="s">
        <v>795</v>
      </c>
      <c r="ER175" s="143" t="s">
        <v>761</v>
      </c>
      <c r="ES175" s="143" t="s">
        <v>728</v>
      </c>
      <c r="ET175" s="143">
        <v>2936</v>
      </c>
      <c r="EU175" s="78">
        <v>0</v>
      </c>
      <c r="EV175" s="78">
        <v>0</v>
      </c>
      <c r="EW175" s="78">
        <v>0</v>
      </c>
      <c r="EX175" s="78">
        <v>0</v>
      </c>
      <c r="EY175" s="78">
        <v>0.5</v>
      </c>
      <c r="EZ175" s="78">
        <v>3</v>
      </c>
      <c r="FA175" s="78">
        <v>2</v>
      </c>
      <c r="FB175" s="78">
        <v>1</v>
      </c>
      <c r="FC175" s="137">
        <v>0.5</v>
      </c>
      <c r="FE175" s="137">
        <v>0.44171779999999999</v>
      </c>
    </row>
    <row r="176" spans="1:161"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sheetData>
  <autoFilter ref="A2:FE265" xr:uid="{00000000-0009-0000-0000-000007000000}">
    <filterColumn colId="76">
      <filters>
        <filter val="BHC"/>
      </filters>
    </filterColumn>
  </autoFilter>
  <mergeCells count="11">
    <mergeCell ref="FE1:FE2"/>
    <mergeCell ref="E1:N1"/>
    <mergeCell ref="T1:AD1"/>
    <mergeCell ref="AJ1:BH1"/>
    <mergeCell ref="BN1:BU1"/>
    <mergeCell ref="CA1:CK1"/>
    <mergeCell ref="CQ1:CW1"/>
    <mergeCell ref="DC1:DE1"/>
    <mergeCell ref="DK1:DV1"/>
    <mergeCell ref="EB1:EO1"/>
    <mergeCell ref="EU1:FC1"/>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3ED55-D028-4EF9-9309-A97635D0F585}">
  <sheetPr>
    <tabColor theme="4" tint="0.39997558519241921"/>
  </sheetPr>
  <dimension ref="A1:CR37"/>
  <sheetViews>
    <sheetView zoomScale="70" zoomScaleNormal="85" workbookViewId="0">
      <pane ySplit="1" topLeftCell="A2" activePane="bottomLeft" state="frozen"/>
      <selection pane="bottomLeft" activeCell="A3" sqref="A3:XFD3"/>
    </sheetView>
  </sheetViews>
  <sheetFormatPr defaultColWidth="20.5" defaultRowHeight="15.75" x14ac:dyDescent="0.25"/>
  <cols>
    <col min="1" max="1" width="20.5" style="78"/>
    <col min="2" max="2" width="23.375" style="78" bestFit="1" customWidth="1"/>
    <col min="3" max="46" width="20.5" style="129" hidden="1" customWidth="1"/>
    <col min="47" max="47" width="24.125" style="129" hidden="1" customWidth="1"/>
    <col min="48" max="48" width="53" style="129" hidden="1" customWidth="1"/>
    <col min="49" max="49" width="3.375" style="78" customWidth="1"/>
    <col min="50" max="51" width="0" style="78" hidden="1" customWidth="1"/>
    <col min="52" max="96" width="20.5" style="78"/>
  </cols>
  <sheetData>
    <row r="1" spans="1:96" s="120" customFormat="1" ht="72.75" customHeight="1" x14ac:dyDescent="0.25">
      <c r="A1" s="296"/>
      <c r="B1" s="296"/>
      <c r="C1" s="545" t="s">
        <v>1632</v>
      </c>
      <c r="D1" s="545"/>
      <c r="E1" s="545"/>
      <c r="F1" s="545"/>
      <c r="G1" s="545"/>
      <c r="H1" s="545"/>
      <c r="I1" s="545"/>
      <c r="J1" s="545"/>
      <c r="K1" s="545"/>
      <c r="L1" s="545"/>
      <c r="M1" s="545"/>
      <c r="N1" s="545"/>
      <c r="O1" s="545"/>
      <c r="P1" s="545"/>
      <c r="Q1" s="545"/>
      <c r="R1" s="545"/>
      <c r="S1" s="545"/>
      <c r="T1" s="545"/>
      <c r="U1" s="545"/>
      <c r="V1" s="545"/>
      <c r="W1" s="545"/>
      <c r="X1" s="545"/>
      <c r="Y1" s="545"/>
      <c r="Z1" s="545"/>
      <c r="AA1" s="545"/>
      <c r="AB1" s="545"/>
      <c r="AC1" s="545"/>
      <c r="AD1" s="545"/>
      <c r="AE1" s="545"/>
      <c r="AF1" s="545"/>
      <c r="AG1" s="546"/>
      <c r="AH1" s="546"/>
      <c r="AI1" s="546"/>
      <c r="AJ1" s="546"/>
      <c r="AK1" s="546"/>
      <c r="AL1" s="546"/>
      <c r="AM1" s="546"/>
      <c r="AN1" s="546"/>
      <c r="AO1" s="546"/>
      <c r="AP1" s="546"/>
      <c r="AQ1" s="546"/>
      <c r="AR1" s="546"/>
      <c r="AS1" s="546"/>
      <c r="AT1" s="546"/>
      <c r="AU1" s="546"/>
      <c r="AV1" s="546"/>
      <c r="AX1" s="296"/>
      <c r="AY1" s="296"/>
      <c r="AZ1" s="541" t="s">
        <v>1633</v>
      </c>
      <c r="BA1" s="541"/>
      <c r="BB1" s="541"/>
      <c r="BC1" s="541"/>
      <c r="BD1" s="541"/>
      <c r="BE1" s="541"/>
      <c r="BF1" s="541"/>
      <c r="BG1" s="541"/>
      <c r="BH1" s="541"/>
      <c r="BI1" s="541"/>
      <c r="BJ1" s="541"/>
      <c r="BK1" s="541"/>
      <c r="BL1" s="541"/>
      <c r="BM1" s="541"/>
      <c r="BN1" s="541"/>
      <c r="BO1" s="541"/>
      <c r="BP1" s="541"/>
      <c r="BQ1" s="541"/>
      <c r="BR1" s="541"/>
      <c r="BS1" s="541"/>
      <c r="BT1" s="541"/>
      <c r="BU1" s="541"/>
      <c r="BV1" s="541"/>
      <c r="BW1" s="541"/>
      <c r="BX1" s="541"/>
      <c r="BY1" s="541"/>
      <c r="BZ1" s="541"/>
      <c r="CA1" s="541"/>
      <c r="CB1" s="541"/>
      <c r="CC1" s="541"/>
      <c r="CD1" s="542"/>
      <c r="CE1" s="542"/>
      <c r="CF1" s="542"/>
      <c r="CG1" s="542"/>
      <c r="CH1" s="542"/>
      <c r="CI1" s="542"/>
      <c r="CJ1" s="542"/>
      <c r="CK1" s="542"/>
      <c r="CL1" s="542"/>
      <c r="CM1" s="542"/>
      <c r="CN1" s="542"/>
      <c r="CO1" s="542"/>
      <c r="CP1" s="542"/>
      <c r="CQ1" s="542"/>
      <c r="CR1" s="542"/>
    </row>
    <row r="2" spans="1:96" s="110" customFormat="1" ht="150" x14ac:dyDescent="0.25">
      <c r="A2" s="282" t="s">
        <v>721</v>
      </c>
      <c r="B2" s="282" t="s">
        <v>1456</v>
      </c>
      <c r="C2" s="291" t="s">
        <v>1634</v>
      </c>
      <c r="D2" s="291" t="s">
        <v>1635</v>
      </c>
      <c r="E2" s="291" t="s">
        <v>1636</v>
      </c>
      <c r="F2" s="291" t="s">
        <v>1637</v>
      </c>
      <c r="G2" s="291" t="s">
        <v>1638</v>
      </c>
      <c r="H2" s="291" t="s">
        <v>1639</v>
      </c>
      <c r="I2" s="291" t="s">
        <v>1640</v>
      </c>
      <c r="J2" s="291" t="s">
        <v>1641</v>
      </c>
      <c r="K2" s="291" t="s">
        <v>1642</v>
      </c>
      <c r="L2" s="291" t="s">
        <v>1643</v>
      </c>
      <c r="M2" s="291" t="s">
        <v>1644</v>
      </c>
      <c r="N2" s="291" t="s">
        <v>1645</v>
      </c>
      <c r="O2" s="291" t="s">
        <v>1646</v>
      </c>
      <c r="P2" s="291" t="s">
        <v>1647</v>
      </c>
      <c r="Q2" s="291" t="s">
        <v>1648</v>
      </c>
      <c r="R2" s="291" t="s">
        <v>1649</v>
      </c>
      <c r="S2" s="291" t="s">
        <v>1650</v>
      </c>
      <c r="T2" s="291" t="s">
        <v>1651</v>
      </c>
      <c r="U2" s="291" t="s">
        <v>1652</v>
      </c>
      <c r="V2" s="291" t="s">
        <v>1653</v>
      </c>
      <c r="W2" s="291" t="s">
        <v>1654</v>
      </c>
      <c r="X2" s="291" t="s">
        <v>1655</v>
      </c>
      <c r="Y2" s="291" t="s">
        <v>1656</v>
      </c>
      <c r="Z2" s="291" t="s">
        <v>1657</v>
      </c>
      <c r="AA2" s="291" t="s">
        <v>1658</v>
      </c>
      <c r="AB2" s="291" t="s">
        <v>1659</v>
      </c>
      <c r="AC2" s="291" t="s">
        <v>1660</v>
      </c>
      <c r="AD2" s="291" t="s">
        <v>1661</v>
      </c>
      <c r="AE2" s="291" t="s">
        <v>1662</v>
      </c>
      <c r="AF2" s="291" t="s">
        <v>1663</v>
      </c>
      <c r="AG2" s="291" t="s">
        <v>1664</v>
      </c>
      <c r="AH2" s="291" t="s">
        <v>1665</v>
      </c>
      <c r="AI2" s="291" t="s">
        <v>1666</v>
      </c>
      <c r="AJ2" s="291" t="s">
        <v>1667</v>
      </c>
      <c r="AK2" s="291" t="s">
        <v>1668</v>
      </c>
      <c r="AL2" s="291" t="s">
        <v>1669</v>
      </c>
      <c r="AM2" s="291" t="s">
        <v>1670</v>
      </c>
      <c r="AN2" s="291" t="s">
        <v>1671</v>
      </c>
      <c r="AO2" s="291" t="s">
        <v>1672</v>
      </c>
      <c r="AP2" s="291" t="s">
        <v>1673</v>
      </c>
      <c r="AQ2" s="291" t="s">
        <v>1674</v>
      </c>
      <c r="AR2" s="291" t="s">
        <v>1675</v>
      </c>
      <c r="AS2" s="291" t="s">
        <v>1676</v>
      </c>
      <c r="AT2" s="291" t="s">
        <v>1677</v>
      </c>
      <c r="AU2" s="291" t="s">
        <v>1678</v>
      </c>
      <c r="AV2" s="292" t="s">
        <v>1679</v>
      </c>
      <c r="AW2" s="311"/>
      <c r="AX2" s="282" t="s">
        <v>721</v>
      </c>
      <c r="AY2" s="282" t="s">
        <v>1456</v>
      </c>
      <c r="AZ2" s="290" t="s">
        <v>1680</v>
      </c>
      <c r="BA2" s="290" t="s">
        <v>1681</v>
      </c>
      <c r="BB2" s="290" t="s">
        <v>1682</v>
      </c>
      <c r="BC2" s="290" t="s">
        <v>1683</v>
      </c>
      <c r="BD2" s="290" t="s">
        <v>1684</v>
      </c>
      <c r="BE2" s="290" t="s">
        <v>1685</v>
      </c>
      <c r="BF2" s="290" t="s">
        <v>1686</v>
      </c>
      <c r="BG2" s="290" t="s">
        <v>1687</v>
      </c>
      <c r="BH2" s="290" t="s">
        <v>1688</v>
      </c>
      <c r="BI2" s="290" t="s">
        <v>1689</v>
      </c>
      <c r="BJ2" s="290" t="s">
        <v>1690</v>
      </c>
      <c r="BK2" s="290" t="s">
        <v>1691</v>
      </c>
      <c r="BL2" s="290" t="s">
        <v>1692</v>
      </c>
      <c r="BM2" s="290" t="s">
        <v>1693</v>
      </c>
      <c r="BN2" s="290" t="s">
        <v>1694</v>
      </c>
      <c r="BO2" s="290" t="s">
        <v>1695</v>
      </c>
      <c r="BP2" s="290" t="s">
        <v>1696</v>
      </c>
      <c r="BQ2" s="290" t="s">
        <v>1697</v>
      </c>
      <c r="BR2" s="290" t="s">
        <v>1698</v>
      </c>
      <c r="BS2" s="290" t="s">
        <v>1699</v>
      </c>
      <c r="BT2" s="290" t="s">
        <v>1700</v>
      </c>
      <c r="BU2" s="290" t="s">
        <v>1701</v>
      </c>
      <c r="BV2" s="290" t="s">
        <v>1702</v>
      </c>
      <c r="BW2" s="290" t="s">
        <v>1703</v>
      </c>
      <c r="BX2" s="290" t="s">
        <v>1704</v>
      </c>
      <c r="BY2" s="290" t="s">
        <v>1705</v>
      </c>
      <c r="BZ2" s="290" t="s">
        <v>1706</v>
      </c>
      <c r="CA2" s="290" t="s">
        <v>1707</v>
      </c>
      <c r="CB2" s="290" t="s">
        <v>1708</v>
      </c>
      <c r="CC2" s="290" t="s">
        <v>1709</v>
      </c>
      <c r="CD2" s="290" t="s">
        <v>1710</v>
      </c>
      <c r="CE2" s="290" t="s">
        <v>1711</v>
      </c>
      <c r="CF2" s="290" t="s">
        <v>1712</v>
      </c>
      <c r="CG2" s="290" t="s">
        <v>1713</v>
      </c>
      <c r="CH2" s="290" t="s">
        <v>1714</v>
      </c>
      <c r="CI2" s="290" t="s">
        <v>1715</v>
      </c>
      <c r="CJ2" s="290" t="s">
        <v>1716</v>
      </c>
      <c r="CK2" s="290" t="s">
        <v>1717</v>
      </c>
      <c r="CL2" s="290" t="s">
        <v>1718</v>
      </c>
      <c r="CM2" s="290" t="s">
        <v>1719</v>
      </c>
      <c r="CN2" s="290" t="s">
        <v>1720</v>
      </c>
      <c r="CO2" s="290" t="s">
        <v>1721</v>
      </c>
      <c r="CP2" s="290" t="s">
        <v>1722</v>
      </c>
      <c r="CQ2" s="290" t="s">
        <v>1723</v>
      </c>
      <c r="CR2" s="290" t="s">
        <v>1724</v>
      </c>
    </row>
    <row r="3" spans="1:96" s="110" customFormat="1" hidden="1" x14ac:dyDescent="0.25">
      <c r="A3" s="406" t="s">
        <v>815</v>
      </c>
      <c r="B3" s="406" t="s">
        <v>816</v>
      </c>
      <c r="C3" s="402" t="s">
        <v>1725</v>
      </c>
      <c r="D3" s="402" t="s">
        <v>1726</v>
      </c>
      <c r="E3" s="402" t="s">
        <v>1727</v>
      </c>
      <c r="F3" s="402" t="s">
        <v>1728</v>
      </c>
      <c r="G3" s="402" t="s">
        <v>1729</v>
      </c>
      <c r="H3" s="402" t="s">
        <v>1730</v>
      </c>
      <c r="I3" s="402" t="s">
        <v>1731</v>
      </c>
      <c r="J3" s="402" t="s">
        <v>1732</v>
      </c>
      <c r="K3" s="402" t="s">
        <v>1733</v>
      </c>
      <c r="L3" s="402" t="s">
        <v>1734</v>
      </c>
      <c r="M3" s="402" t="s">
        <v>1735</v>
      </c>
      <c r="N3" s="402" t="s">
        <v>1736</v>
      </c>
      <c r="O3" s="402" t="s">
        <v>1737</v>
      </c>
      <c r="P3" s="402" t="s">
        <v>1738</v>
      </c>
      <c r="Q3" s="402" t="s">
        <v>1739</v>
      </c>
      <c r="R3" s="402" t="s">
        <v>1740</v>
      </c>
      <c r="S3" s="402" t="s">
        <v>1741</v>
      </c>
      <c r="T3" s="402" t="s">
        <v>1742</v>
      </c>
      <c r="U3" s="402" t="s">
        <v>1743</v>
      </c>
      <c r="V3" s="402" t="s">
        <v>1744</v>
      </c>
      <c r="W3" s="402" t="s">
        <v>1745</v>
      </c>
      <c r="X3" s="402" t="s">
        <v>1746</v>
      </c>
      <c r="Y3" s="402" t="s">
        <v>1747</v>
      </c>
      <c r="Z3" s="402" t="s">
        <v>1748</v>
      </c>
      <c r="AA3" s="402" t="s">
        <v>1749</v>
      </c>
      <c r="AB3" s="402" t="s">
        <v>1750</v>
      </c>
      <c r="AC3" s="402" t="s">
        <v>1751</v>
      </c>
      <c r="AD3" s="402" t="s">
        <v>1752</v>
      </c>
      <c r="AE3" s="402" t="s">
        <v>1753</v>
      </c>
      <c r="AF3" s="402" t="s">
        <v>1754</v>
      </c>
      <c r="AG3" s="402" t="s">
        <v>1755</v>
      </c>
      <c r="AH3" s="402" t="s">
        <v>1756</v>
      </c>
      <c r="AI3" s="402" t="s">
        <v>1757</v>
      </c>
      <c r="AJ3" s="402" t="s">
        <v>1758</v>
      </c>
      <c r="AK3" s="402" t="s">
        <v>1759</v>
      </c>
      <c r="AL3" s="402" t="s">
        <v>1760</v>
      </c>
      <c r="AM3" s="402" t="s">
        <v>1761</v>
      </c>
      <c r="AN3" s="402" t="s">
        <v>1762</v>
      </c>
      <c r="AO3" s="402" t="s">
        <v>1763</v>
      </c>
      <c r="AP3" s="402" t="s">
        <v>1764</v>
      </c>
      <c r="AQ3" s="402" t="s">
        <v>1765</v>
      </c>
      <c r="AR3" s="402" t="s">
        <v>1766</v>
      </c>
      <c r="AS3" s="402" t="s">
        <v>1767</v>
      </c>
      <c r="AT3" s="402" t="s">
        <v>1768</v>
      </c>
      <c r="AU3" s="402" t="s">
        <v>1769</v>
      </c>
      <c r="AV3" s="403" t="s">
        <v>1770</v>
      </c>
      <c r="AW3" s="408" t="s">
        <v>1771</v>
      </c>
      <c r="AX3" s="406" t="s">
        <v>1772</v>
      </c>
      <c r="AY3" s="406" t="s">
        <v>1773</v>
      </c>
      <c r="AZ3" s="401" t="s">
        <v>1774</v>
      </c>
      <c r="BA3" s="401" t="s">
        <v>1775</v>
      </c>
      <c r="BB3" s="401" t="s">
        <v>1776</v>
      </c>
      <c r="BC3" s="401" t="s">
        <v>1777</v>
      </c>
      <c r="BD3" s="401" t="s">
        <v>1778</v>
      </c>
      <c r="BE3" s="401" t="s">
        <v>1779</v>
      </c>
      <c r="BF3" s="401" t="s">
        <v>1780</v>
      </c>
      <c r="BG3" s="401" t="s">
        <v>1781</v>
      </c>
      <c r="BH3" s="401" t="s">
        <v>1782</v>
      </c>
      <c r="BI3" s="401" t="s">
        <v>1783</v>
      </c>
      <c r="BJ3" s="401" t="s">
        <v>1784</v>
      </c>
      <c r="BK3" s="401" t="s">
        <v>1785</v>
      </c>
      <c r="BL3" s="401" t="s">
        <v>1786</v>
      </c>
      <c r="BM3" s="401" t="s">
        <v>1787</v>
      </c>
      <c r="BN3" s="401" t="s">
        <v>1788</v>
      </c>
      <c r="BO3" s="401" t="s">
        <v>1789</v>
      </c>
      <c r="BP3" s="401" t="s">
        <v>1790</v>
      </c>
      <c r="BQ3" s="401" t="s">
        <v>1791</v>
      </c>
      <c r="BR3" s="401" t="s">
        <v>1792</v>
      </c>
      <c r="BS3" s="401" t="s">
        <v>1793</v>
      </c>
      <c r="BT3" s="401" t="s">
        <v>1794</v>
      </c>
      <c r="BU3" s="401" t="s">
        <v>1795</v>
      </c>
      <c r="BV3" s="401" t="s">
        <v>1796</v>
      </c>
      <c r="BW3" s="401" t="s">
        <v>1797</v>
      </c>
      <c r="BX3" s="401" t="s">
        <v>1798</v>
      </c>
      <c r="BY3" s="401" t="s">
        <v>1799</v>
      </c>
      <c r="BZ3" s="401" t="s">
        <v>1800</v>
      </c>
      <c r="CA3" s="401" t="s">
        <v>1801</v>
      </c>
      <c r="CB3" s="401" t="s">
        <v>1802</v>
      </c>
      <c r="CC3" s="401" t="s">
        <v>1803</v>
      </c>
      <c r="CD3" s="401" t="s">
        <v>1804</v>
      </c>
      <c r="CE3" s="401" t="s">
        <v>1805</v>
      </c>
      <c r="CF3" s="401" t="s">
        <v>1806</v>
      </c>
      <c r="CG3" s="401" t="s">
        <v>1807</v>
      </c>
      <c r="CH3" s="401" t="s">
        <v>1808</v>
      </c>
      <c r="CI3" s="401" t="s">
        <v>1809</v>
      </c>
      <c r="CJ3" s="401" t="s">
        <v>1810</v>
      </c>
      <c r="CK3" s="401" t="s">
        <v>1811</v>
      </c>
      <c r="CL3" s="401" t="s">
        <v>1812</v>
      </c>
      <c r="CM3" s="401" t="s">
        <v>1813</v>
      </c>
      <c r="CN3" s="401" t="s">
        <v>1814</v>
      </c>
      <c r="CO3" s="401" t="s">
        <v>1815</v>
      </c>
      <c r="CP3" s="401" t="s">
        <v>1816</v>
      </c>
      <c r="CQ3" s="401" t="s">
        <v>1817</v>
      </c>
      <c r="CR3" s="401" t="s">
        <v>1818</v>
      </c>
    </row>
    <row r="4" spans="1:96" x14ac:dyDescent="0.25">
      <c r="A4" s="143" t="s">
        <v>757</v>
      </c>
      <c r="B4" s="143" t="s">
        <v>758</v>
      </c>
      <c r="C4" s="137">
        <v>1</v>
      </c>
      <c r="D4" s="137">
        <v>1</v>
      </c>
      <c r="E4" s="137">
        <v>0.83333330000000005</v>
      </c>
      <c r="F4" s="137">
        <v>1</v>
      </c>
      <c r="G4" s="137">
        <v>1</v>
      </c>
      <c r="H4" s="137">
        <v>0.83333330000000005</v>
      </c>
      <c r="I4" s="137">
        <v>0.5</v>
      </c>
      <c r="J4" s="137">
        <v>1</v>
      </c>
      <c r="K4" s="137">
        <v>1</v>
      </c>
      <c r="L4" s="137">
        <v>1</v>
      </c>
      <c r="M4" s="137">
        <v>1</v>
      </c>
      <c r="N4" s="137">
        <v>1</v>
      </c>
      <c r="O4" s="137">
        <v>1</v>
      </c>
      <c r="P4" s="137">
        <v>1</v>
      </c>
      <c r="Q4" s="137">
        <v>0.83333330000000005</v>
      </c>
      <c r="R4" s="137">
        <v>1</v>
      </c>
      <c r="S4" s="137">
        <v>1</v>
      </c>
      <c r="T4" s="137">
        <v>1</v>
      </c>
      <c r="U4" s="137">
        <v>0.66666669999999995</v>
      </c>
      <c r="V4" s="137">
        <v>1</v>
      </c>
      <c r="W4" s="137">
        <v>1</v>
      </c>
      <c r="X4" s="137">
        <v>1</v>
      </c>
      <c r="Y4" s="137">
        <v>1</v>
      </c>
      <c r="Z4" s="137">
        <v>1</v>
      </c>
      <c r="AA4" s="137">
        <v>0.83333330000000005</v>
      </c>
      <c r="AB4" s="137">
        <v>0.5</v>
      </c>
      <c r="AC4" s="137">
        <v>0.5</v>
      </c>
      <c r="AD4" s="137">
        <v>0.5</v>
      </c>
      <c r="AE4" s="137">
        <v>0.66666669999999995</v>
      </c>
      <c r="AF4" s="137">
        <v>1</v>
      </c>
      <c r="AG4" s="137">
        <v>1</v>
      </c>
      <c r="AH4" s="137">
        <v>1</v>
      </c>
      <c r="AI4" s="137">
        <v>1</v>
      </c>
      <c r="AJ4" s="137">
        <v>0.83333330000000005</v>
      </c>
      <c r="AK4" s="137">
        <v>1</v>
      </c>
      <c r="AL4" s="137">
        <v>0.83333330000000005</v>
      </c>
      <c r="AM4" s="137">
        <v>1</v>
      </c>
      <c r="AN4" s="137">
        <v>1</v>
      </c>
      <c r="AO4" s="137">
        <v>1</v>
      </c>
      <c r="AP4" s="137">
        <v>1</v>
      </c>
      <c r="AQ4" s="137">
        <v>0.5</v>
      </c>
      <c r="AR4" s="137">
        <v>0.83333330000000005</v>
      </c>
      <c r="AS4" s="137">
        <v>1</v>
      </c>
      <c r="AT4" s="137">
        <v>0.83333330000000005</v>
      </c>
      <c r="AU4" s="137">
        <v>0</v>
      </c>
      <c r="AV4" s="137">
        <v>0.87777780000000005</v>
      </c>
      <c r="AX4" s="143" t="s">
        <v>757</v>
      </c>
      <c r="AY4" s="143" t="s">
        <v>758</v>
      </c>
      <c r="AZ4" s="78" t="s">
        <v>1819</v>
      </c>
      <c r="BA4" s="78" t="s">
        <v>1820</v>
      </c>
      <c r="BB4" s="78" t="s">
        <v>1821</v>
      </c>
      <c r="BC4" s="78" t="s">
        <v>1822</v>
      </c>
      <c r="BD4" s="78" t="s">
        <v>1823</v>
      </c>
      <c r="BE4" s="78" t="s">
        <v>1824</v>
      </c>
      <c r="BF4" s="78" t="s">
        <v>1825</v>
      </c>
      <c r="BG4" s="78" t="s">
        <v>1826</v>
      </c>
      <c r="BH4" s="78" t="s">
        <v>1827</v>
      </c>
      <c r="BI4" s="78" t="s">
        <v>1828</v>
      </c>
      <c r="BJ4" s="78" t="s">
        <v>1829</v>
      </c>
      <c r="BK4" s="78" t="s">
        <v>1830</v>
      </c>
      <c r="BL4" s="78" t="s">
        <v>1831</v>
      </c>
      <c r="BM4" s="78" t="s">
        <v>1832</v>
      </c>
      <c r="BN4" s="78" t="s">
        <v>1833</v>
      </c>
      <c r="BO4" s="78" t="s">
        <v>1834</v>
      </c>
      <c r="BP4" s="78" t="s">
        <v>1835</v>
      </c>
      <c r="BQ4" s="78" t="s">
        <v>1836</v>
      </c>
      <c r="BR4" s="78" t="s">
        <v>1837</v>
      </c>
      <c r="BS4" s="78" t="s">
        <v>1838</v>
      </c>
      <c r="BT4" s="78" t="s">
        <v>1839</v>
      </c>
      <c r="BU4" s="78" t="s">
        <v>1840</v>
      </c>
      <c r="BV4" s="78" t="s">
        <v>1841</v>
      </c>
      <c r="BW4" s="78" t="s">
        <v>1842</v>
      </c>
      <c r="BX4" s="78" t="s">
        <v>1843</v>
      </c>
      <c r="BY4" s="78" t="s">
        <v>1844</v>
      </c>
      <c r="BZ4" s="78" t="s">
        <v>1845</v>
      </c>
      <c r="CA4" s="78" t="s">
        <v>1846</v>
      </c>
      <c r="CB4" s="78" t="s">
        <v>1847</v>
      </c>
      <c r="CC4" s="78" t="s">
        <v>1848</v>
      </c>
      <c r="CD4" s="78" t="s">
        <v>1849</v>
      </c>
      <c r="CE4" s="78" t="s">
        <v>1850</v>
      </c>
      <c r="CF4" s="78" t="s">
        <v>1851</v>
      </c>
      <c r="CG4" s="78" t="s">
        <v>1852</v>
      </c>
      <c r="CH4" s="78" t="s">
        <v>1853</v>
      </c>
      <c r="CI4" s="78" t="s">
        <v>1854</v>
      </c>
      <c r="CJ4" s="78" t="s">
        <v>1855</v>
      </c>
      <c r="CK4" s="78" t="s">
        <v>1856</v>
      </c>
      <c r="CL4" s="78" t="s">
        <v>1857</v>
      </c>
      <c r="CM4" s="78" t="s">
        <v>1858</v>
      </c>
      <c r="CN4" s="78" t="s">
        <v>1859</v>
      </c>
      <c r="CO4" s="78" t="s">
        <v>1860</v>
      </c>
      <c r="CP4" s="78" t="s">
        <v>1861</v>
      </c>
      <c r="CQ4" s="78" t="s">
        <v>1862</v>
      </c>
      <c r="CR4" s="78" t="s">
        <v>1863</v>
      </c>
    </row>
    <row r="5" spans="1:96" x14ac:dyDescent="0.25">
      <c r="A5" s="143" t="s">
        <v>759</v>
      </c>
      <c r="B5" s="143" t="s">
        <v>758</v>
      </c>
      <c r="C5" s="137">
        <v>1</v>
      </c>
      <c r="D5" s="137">
        <v>0.83333330000000005</v>
      </c>
      <c r="E5" s="137">
        <v>0.83333330000000005</v>
      </c>
      <c r="F5" s="137">
        <v>0.66666669999999995</v>
      </c>
      <c r="G5" s="137">
        <v>1</v>
      </c>
      <c r="H5" s="137">
        <v>1</v>
      </c>
      <c r="I5" s="137">
        <v>0.3333333</v>
      </c>
      <c r="J5" s="137">
        <v>1</v>
      </c>
      <c r="K5" s="137">
        <v>1</v>
      </c>
      <c r="L5" s="137">
        <v>1</v>
      </c>
      <c r="M5" s="137">
        <v>0.83333330000000005</v>
      </c>
      <c r="N5" s="137">
        <v>0.83333330000000005</v>
      </c>
      <c r="O5" s="137">
        <v>0.83333330000000005</v>
      </c>
      <c r="P5" s="137">
        <v>1</v>
      </c>
      <c r="Q5" s="137">
        <v>0.3333333</v>
      </c>
      <c r="R5" s="137">
        <v>1</v>
      </c>
      <c r="S5" s="137">
        <v>0.66666669999999995</v>
      </c>
      <c r="T5" s="137">
        <v>1</v>
      </c>
      <c r="U5" s="137">
        <v>0.1666667</v>
      </c>
      <c r="V5" s="137">
        <v>1</v>
      </c>
      <c r="W5" s="137">
        <v>0.83333330000000005</v>
      </c>
      <c r="X5" s="137">
        <v>1</v>
      </c>
      <c r="Y5" s="137">
        <v>1</v>
      </c>
      <c r="Z5" s="137">
        <v>0.83333330000000005</v>
      </c>
      <c r="AA5" s="137">
        <v>1</v>
      </c>
      <c r="AB5" s="137">
        <v>1</v>
      </c>
      <c r="AC5" s="137">
        <v>1</v>
      </c>
      <c r="AD5" s="137">
        <v>1</v>
      </c>
      <c r="AE5" s="137">
        <v>0.66666669999999995</v>
      </c>
      <c r="AF5" s="137">
        <v>1</v>
      </c>
      <c r="AG5" s="137">
        <v>0.83333330000000005</v>
      </c>
      <c r="AH5" s="137">
        <v>0.66666669999999995</v>
      </c>
      <c r="AI5" s="137">
        <v>1</v>
      </c>
      <c r="AJ5" s="137">
        <v>1</v>
      </c>
      <c r="AK5" s="137">
        <v>0.5</v>
      </c>
      <c r="AL5" s="137">
        <v>0.5</v>
      </c>
      <c r="AM5" s="137">
        <v>1</v>
      </c>
      <c r="AN5" s="137">
        <v>1</v>
      </c>
      <c r="AO5" s="137">
        <v>0.83333330000000005</v>
      </c>
      <c r="AP5" s="137">
        <v>1</v>
      </c>
      <c r="AQ5" s="137">
        <v>0.5</v>
      </c>
      <c r="AR5" s="137">
        <v>0.3333333</v>
      </c>
      <c r="AS5" s="137">
        <v>1</v>
      </c>
      <c r="AT5" s="137">
        <v>0.66666669999999995</v>
      </c>
      <c r="AU5" s="137">
        <v>0.1666667</v>
      </c>
      <c r="AV5" s="137">
        <v>0.81481479999999995</v>
      </c>
      <c r="AX5" s="143" t="s">
        <v>759</v>
      </c>
      <c r="AY5" s="143" t="s">
        <v>758</v>
      </c>
      <c r="AZ5" s="78" t="s">
        <v>1864</v>
      </c>
      <c r="BA5" s="78" t="s">
        <v>1865</v>
      </c>
      <c r="BB5" s="78" t="s">
        <v>1866</v>
      </c>
      <c r="BC5" s="78" t="s">
        <v>1867</v>
      </c>
      <c r="BD5" s="78" t="s">
        <v>1868</v>
      </c>
      <c r="BE5" s="78" t="s">
        <v>1869</v>
      </c>
      <c r="BF5" s="78" t="s">
        <v>1870</v>
      </c>
      <c r="BG5" s="78" t="s">
        <v>1871</v>
      </c>
      <c r="BH5" s="78" t="s">
        <v>1872</v>
      </c>
      <c r="BI5" s="78" t="s">
        <v>1873</v>
      </c>
      <c r="BJ5" s="78" t="s">
        <v>1874</v>
      </c>
      <c r="BK5" s="78" t="s">
        <v>1875</v>
      </c>
      <c r="BL5" s="78" t="s">
        <v>1876</v>
      </c>
      <c r="BM5" s="78" t="s">
        <v>1877</v>
      </c>
      <c r="BN5" s="78" t="s">
        <v>1878</v>
      </c>
      <c r="BO5" s="78" t="s">
        <v>1879</v>
      </c>
      <c r="BP5" s="78" t="s">
        <v>1880</v>
      </c>
      <c r="BQ5" s="78" t="s">
        <v>1881</v>
      </c>
      <c r="BR5" s="78" t="s">
        <v>1882</v>
      </c>
      <c r="BS5" s="78" t="s">
        <v>1883</v>
      </c>
      <c r="BT5" s="78" t="s">
        <v>1884</v>
      </c>
      <c r="BU5" s="78" t="s">
        <v>1885</v>
      </c>
      <c r="BV5" s="78" t="s">
        <v>1886</v>
      </c>
      <c r="BW5" s="78" t="s">
        <v>1887</v>
      </c>
      <c r="BX5" s="78" t="s">
        <v>1888</v>
      </c>
      <c r="BY5" s="78" t="s">
        <v>1889</v>
      </c>
      <c r="BZ5" s="78" t="s">
        <v>1890</v>
      </c>
      <c r="CA5" s="78" t="s">
        <v>1891</v>
      </c>
      <c r="CB5" s="78" t="s">
        <v>1892</v>
      </c>
      <c r="CC5" s="78" t="s">
        <v>1893</v>
      </c>
      <c r="CD5" s="78" t="s">
        <v>1894</v>
      </c>
      <c r="CE5" s="78" t="s">
        <v>1895</v>
      </c>
      <c r="CF5" s="78" t="s">
        <v>1896</v>
      </c>
      <c r="CG5" s="78" t="s">
        <v>1897</v>
      </c>
      <c r="CH5" s="78" t="s">
        <v>1898</v>
      </c>
      <c r="CI5" s="78" t="s">
        <v>1899</v>
      </c>
      <c r="CJ5" s="78" t="s">
        <v>1900</v>
      </c>
      <c r="CK5" s="78" t="s">
        <v>1901</v>
      </c>
      <c r="CL5" s="78" t="s">
        <v>1902</v>
      </c>
      <c r="CM5" s="78" t="s">
        <v>1903</v>
      </c>
      <c r="CN5" s="78" t="s">
        <v>1904</v>
      </c>
      <c r="CO5" s="78" t="s">
        <v>1905</v>
      </c>
      <c r="CP5" s="78" t="s">
        <v>1906</v>
      </c>
      <c r="CQ5" s="78" t="s">
        <v>1907</v>
      </c>
      <c r="CR5" s="78" t="s">
        <v>1908</v>
      </c>
    </row>
    <row r="6" spans="1:96" x14ac:dyDescent="0.25">
      <c r="A6" s="143" t="s">
        <v>760</v>
      </c>
      <c r="B6" s="143" t="s">
        <v>761</v>
      </c>
      <c r="C6" s="137">
        <v>1</v>
      </c>
      <c r="D6" s="137">
        <v>1</v>
      </c>
      <c r="E6" s="137">
        <v>1</v>
      </c>
      <c r="F6" s="137">
        <v>0.88888889999999998</v>
      </c>
      <c r="G6" s="137">
        <v>0.77777779999999996</v>
      </c>
      <c r="H6" s="137">
        <v>1</v>
      </c>
      <c r="I6" s="137">
        <v>0.3333333</v>
      </c>
      <c r="J6" s="137">
        <v>1</v>
      </c>
      <c r="K6" s="137">
        <v>1</v>
      </c>
      <c r="L6" s="137">
        <v>0.88888889999999998</v>
      </c>
      <c r="M6" s="137">
        <v>1</v>
      </c>
      <c r="N6" s="137">
        <v>1</v>
      </c>
      <c r="O6" s="137">
        <v>1</v>
      </c>
      <c r="P6" s="137">
        <v>1</v>
      </c>
      <c r="Q6" s="137">
        <v>0.44444440000000002</v>
      </c>
      <c r="R6" s="137">
        <v>1</v>
      </c>
      <c r="S6" s="137">
        <v>0.88888889999999998</v>
      </c>
      <c r="T6" s="137">
        <v>1</v>
      </c>
      <c r="U6" s="137">
        <v>0.3333333</v>
      </c>
      <c r="V6" s="137">
        <v>1</v>
      </c>
      <c r="W6" s="137">
        <v>1</v>
      </c>
      <c r="X6" s="137">
        <v>1</v>
      </c>
      <c r="Y6" s="137">
        <v>1</v>
      </c>
      <c r="Z6" s="137">
        <v>1</v>
      </c>
      <c r="AA6" s="137">
        <v>1</v>
      </c>
      <c r="AB6" s="137">
        <v>0.3333333</v>
      </c>
      <c r="AC6" s="137">
        <v>0.3333333</v>
      </c>
      <c r="AD6" s="137">
        <v>0.3333333</v>
      </c>
      <c r="AE6" s="137">
        <v>0.66666669999999995</v>
      </c>
      <c r="AF6" s="137">
        <v>1</v>
      </c>
      <c r="AG6" s="137">
        <v>1</v>
      </c>
      <c r="AH6" s="137">
        <v>1</v>
      </c>
      <c r="AI6" s="137">
        <v>0.88888889999999998</v>
      </c>
      <c r="AJ6" s="137">
        <v>0.88888889999999998</v>
      </c>
      <c r="AK6" s="137">
        <v>1</v>
      </c>
      <c r="AL6" s="137">
        <v>0.77777779999999996</v>
      </c>
      <c r="AM6" s="137">
        <v>1</v>
      </c>
      <c r="AN6" s="137">
        <v>1</v>
      </c>
      <c r="AO6" s="137">
        <v>1</v>
      </c>
      <c r="AP6" s="137">
        <v>1</v>
      </c>
      <c r="AQ6" s="137">
        <v>0.55555560000000004</v>
      </c>
      <c r="AR6" s="137">
        <v>0.88888889999999998</v>
      </c>
      <c r="AS6" s="137">
        <v>1</v>
      </c>
      <c r="AT6" s="137">
        <v>0.88888889999999998</v>
      </c>
      <c r="AU6" s="137">
        <v>0.22222220000000001</v>
      </c>
      <c r="AV6" s="137">
        <v>0.8518519</v>
      </c>
      <c r="AX6" s="143" t="s">
        <v>760</v>
      </c>
      <c r="AY6" s="143" t="s">
        <v>761</v>
      </c>
      <c r="AZ6" s="78" t="s">
        <v>1909</v>
      </c>
      <c r="BA6" s="78" t="s">
        <v>1910</v>
      </c>
      <c r="BB6" s="78" t="s">
        <v>1911</v>
      </c>
      <c r="BC6" s="78" t="s">
        <v>1912</v>
      </c>
      <c r="BD6" s="78" t="s">
        <v>1913</v>
      </c>
      <c r="BE6" s="78" t="s">
        <v>1914</v>
      </c>
      <c r="BF6" s="78" t="s">
        <v>1915</v>
      </c>
      <c r="BG6" s="78" t="s">
        <v>1916</v>
      </c>
      <c r="BH6" s="78" t="s">
        <v>1917</v>
      </c>
      <c r="BI6" s="78" t="s">
        <v>1918</v>
      </c>
      <c r="BJ6" s="78" t="s">
        <v>1919</v>
      </c>
      <c r="BK6" s="78" t="s">
        <v>1920</v>
      </c>
      <c r="BL6" s="78" t="s">
        <v>1921</v>
      </c>
      <c r="BM6" s="78" t="s">
        <v>1922</v>
      </c>
      <c r="BN6" s="78" t="s">
        <v>1923</v>
      </c>
      <c r="BO6" s="78" t="s">
        <v>1924</v>
      </c>
      <c r="BP6" s="78" t="s">
        <v>1925</v>
      </c>
      <c r="BQ6" s="78" t="s">
        <v>1926</v>
      </c>
      <c r="BR6" s="78" t="s">
        <v>1927</v>
      </c>
      <c r="BS6" s="78" t="s">
        <v>1928</v>
      </c>
      <c r="BT6" s="78" t="s">
        <v>1929</v>
      </c>
      <c r="BU6" s="78" t="s">
        <v>1930</v>
      </c>
      <c r="BV6" s="78" t="s">
        <v>1931</v>
      </c>
      <c r="BW6" s="78" t="s">
        <v>1932</v>
      </c>
      <c r="BX6" s="78" t="s">
        <v>1933</v>
      </c>
      <c r="BY6" s="78" t="s">
        <v>1934</v>
      </c>
      <c r="BZ6" s="78" t="s">
        <v>1935</v>
      </c>
      <c r="CA6" s="78" t="s">
        <v>1936</v>
      </c>
      <c r="CB6" s="78" t="s">
        <v>1937</v>
      </c>
      <c r="CC6" s="78" t="s">
        <v>1938</v>
      </c>
      <c r="CD6" s="78" t="s">
        <v>1939</v>
      </c>
      <c r="CE6" s="78" t="s">
        <v>1940</v>
      </c>
      <c r="CF6" s="78" t="s">
        <v>1941</v>
      </c>
      <c r="CG6" s="78" t="s">
        <v>1942</v>
      </c>
      <c r="CH6" s="78" t="s">
        <v>1943</v>
      </c>
      <c r="CI6" s="78" t="s">
        <v>1944</v>
      </c>
      <c r="CJ6" s="78" t="s">
        <v>1945</v>
      </c>
      <c r="CK6" s="78" t="s">
        <v>1946</v>
      </c>
      <c r="CL6" s="78" t="s">
        <v>1947</v>
      </c>
      <c r="CM6" s="78" t="s">
        <v>1948</v>
      </c>
      <c r="CN6" s="78" t="s">
        <v>1949</v>
      </c>
      <c r="CO6" s="78" t="s">
        <v>1950</v>
      </c>
      <c r="CP6" s="78" t="s">
        <v>1951</v>
      </c>
      <c r="CQ6" s="78" t="s">
        <v>1952</v>
      </c>
      <c r="CR6" s="78" t="s">
        <v>1953</v>
      </c>
    </row>
    <row r="7" spans="1:96" x14ac:dyDescent="0.25">
      <c r="A7" s="143" t="s">
        <v>762</v>
      </c>
      <c r="B7" s="143" t="s">
        <v>758</v>
      </c>
      <c r="C7" s="137">
        <v>1</v>
      </c>
      <c r="D7" s="137">
        <v>1</v>
      </c>
      <c r="E7" s="137">
        <v>1</v>
      </c>
      <c r="F7" s="137">
        <v>0.8</v>
      </c>
      <c r="G7" s="137">
        <v>1</v>
      </c>
      <c r="H7" s="137">
        <v>1</v>
      </c>
      <c r="I7" s="137">
        <v>0.6</v>
      </c>
      <c r="J7" s="137">
        <v>1</v>
      </c>
      <c r="K7" s="137">
        <v>1</v>
      </c>
      <c r="L7" s="137">
        <v>1</v>
      </c>
      <c r="M7" s="137">
        <v>1</v>
      </c>
      <c r="N7" s="137">
        <v>1</v>
      </c>
      <c r="O7" s="137">
        <v>1</v>
      </c>
      <c r="P7" s="137">
        <v>1</v>
      </c>
      <c r="Q7" s="137">
        <v>1</v>
      </c>
      <c r="R7" s="137">
        <v>1</v>
      </c>
      <c r="S7" s="137">
        <v>1</v>
      </c>
      <c r="T7" s="137">
        <v>1</v>
      </c>
      <c r="U7" s="137">
        <v>0.8</v>
      </c>
      <c r="V7" s="137">
        <v>1</v>
      </c>
      <c r="W7" s="137">
        <v>1</v>
      </c>
      <c r="X7" s="137">
        <v>1</v>
      </c>
      <c r="Y7" s="137">
        <v>1</v>
      </c>
      <c r="Z7" s="137">
        <v>0.8</v>
      </c>
      <c r="AA7" s="137">
        <v>1</v>
      </c>
      <c r="AB7" s="137">
        <v>0.8</v>
      </c>
      <c r="AC7" s="137">
        <v>0.8</v>
      </c>
      <c r="AD7" s="137">
        <v>0.6</v>
      </c>
      <c r="AE7" s="137">
        <v>0.4</v>
      </c>
      <c r="AF7" s="137">
        <v>1</v>
      </c>
      <c r="AG7" s="137">
        <v>1</v>
      </c>
      <c r="AH7" s="137">
        <v>1</v>
      </c>
      <c r="AI7" s="137">
        <v>0.6</v>
      </c>
      <c r="AJ7" s="137">
        <v>0.6</v>
      </c>
      <c r="AK7" s="137">
        <v>1</v>
      </c>
      <c r="AL7" s="137">
        <v>0.8</v>
      </c>
      <c r="AM7" s="137">
        <v>1</v>
      </c>
      <c r="AN7" s="137">
        <v>1</v>
      </c>
      <c r="AO7" s="137">
        <v>1</v>
      </c>
      <c r="AP7" s="137">
        <v>1</v>
      </c>
      <c r="AQ7" s="137">
        <v>0.8</v>
      </c>
      <c r="AR7" s="137">
        <v>1</v>
      </c>
      <c r="AS7" s="137">
        <v>1</v>
      </c>
      <c r="AT7" s="137">
        <v>1</v>
      </c>
      <c r="AU7" s="137">
        <v>0.2</v>
      </c>
      <c r="AV7" s="137">
        <v>0.90222219999999997</v>
      </c>
      <c r="AX7" s="143" t="s">
        <v>762</v>
      </c>
      <c r="AY7" s="143" t="s">
        <v>758</v>
      </c>
      <c r="AZ7" s="78" t="s">
        <v>1954</v>
      </c>
      <c r="BA7" s="78" t="s">
        <v>1955</v>
      </c>
      <c r="BB7" s="78" t="s">
        <v>1956</v>
      </c>
      <c r="BC7" s="78" t="s">
        <v>1957</v>
      </c>
      <c r="BD7" s="78" t="s">
        <v>1958</v>
      </c>
      <c r="BE7" s="78" t="s">
        <v>1959</v>
      </c>
      <c r="BF7" s="78" t="s">
        <v>1960</v>
      </c>
      <c r="BG7" s="78" t="s">
        <v>1961</v>
      </c>
      <c r="BH7" s="78" t="s">
        <v>1962</v>
      </c>
      <c r="BI7" s="78" t="s">
        <v>1963</v>
      </c>
      <c r="BJ7" s="78" t="s">
        <v>1964</v>
      </c>
      <c r="BK7" s="78" t="s">
        <v>1965</v>
      </c>
      <c r="BL7" s="78" t="s">
        <v>1966</v>
      </c>
      <c r="BM7" s="78" t="s">
        <v>1967</v>
      </c>
      <c r="BN7" s="78" t="s">
        <v>1968</v>
      </c>
      <c r="BO7" s="78" t="s">
        <v>1969</v>
      </c>
      <c r="BP7" s="78" t="s">
        <v>1970</v>
      </c>
      <c r="BQ7" s="78" t="s">
        <v>1971</v>
      </c>
      <c r="BR7" s="78" t="s">
        <v>1972</v>
      </c>
      <c r="BS7" s="78" t="s">
        <v>1973</v>
      </c>
      <c r="BT7" s="78" t="s">
        <v>1974</v>
      </c>
      <c r="BU7" s="78" t="s">
        <v>1975</v>
      </c>
      <c r="BV7" s="78" t="s">
        <v>1976</v>
      </c>
      <c r="BW7" s="78" t="s">
        <v>1977</v>
      </c>
      <c r="BX7" s="78" t="s">
        <v>1978</v>
      </c>
      <c r="BY7" s="78" t="s">
        <v>1979</v>
      </c>
      <c r="BZ7" s="78" t="s">
        <v>1980</v>
      </c>
      <c r="CA7" s="78" t="s">
        <v>1981</v>
      </c>
      <c r="CB7" s="78" t="s">
        <v>1982</v>
      </c>
      <c r="CC7" s="78" t="s">
        <v>1983</v>
      </c>
      <c r="CD7" s="78" t="s">
        <v>1984</v>
      </c>
      <c r="CE7" s="78" t="s">
        <v>1985</v>
      </c>
      <c r="CF7" s="78" t="s">
        <v>1986</v>
      </c>
      <c r="CG7" s="78" t="s">
        <v>1987</v>
      </c>
      <c r="CH7" s="78" t="s">
        <v>1988</v>
      </c>
      <c r="CI7" s="78" t="s">
        <v>1989</v>
      </c>
      <c r="CJ7" s="78" t="s">
        <v>1990</v>
      </c>
      <c r="CK7" s="78" t="s">
        <v>1991</v>
      </c>
      <c r="CL7" s="78" t="s">
        <v>1992</v>
      </c>
      <c r="CM7" s="78" t="s">
        <v>1993</v>
      </c>
      <c r="CN7" s="78" t="s">
        <v>1994</v>
      </c>
      <c r="CO7" s="78" t="s">
        <v>1995</v>
      </c>
      <c r="CP7" s="78" t="s">
        <v>1996</v>
      </c>
      <c r="CQ7" s="78" t="s">
        <v>1997</v>
      </c>
      <c r="CR7" s="78" t="s">
        <v>1998</v>
      </c>
    </row>
    <row r="8" spans="1:96" x14ac:dyDescent="0.25">
      <c r="A8" s="143" t="s">
        <v>763</v>
      </c>
      <c r="B8" s="143" t="s">
        <v>764</v>
      </c>
      <c r="C8" s="137">
        <v>0.85714290000000004</v>
      </c>
      <c r="D8" s="137">
        <v>0.85714290000000004</v>
      </c>
      <c r="E8" s="137">
        <v>0.85714290000000004</v>
      </c>
      <c r="F8" s="137">
        <v>1</v>
      </c>
      <c r="G8" s="137">
        <v>0.42857139999999999</v>
      </c>
      <c r="H8" s="137">
        <v>0.85714290000000004</v>
      </c>
      <c r="I8" s="137">
        <v>0.42857139999999999</v>
      </c>
      <c r="J8" s="137">
        <v>0.85714290000000004</v>
      </c>
      <c r="K8" s="137">
        <v>1</v>
      </c>
      <c r="L8" s="137">
        <v>0.42857139999999999</v>
      </c>
      <c r="M8" s="137">
        <v>1</v>
      </c>
      <c r="N8" s="137">
        <v>1</v>
      </c>
      <c r="O8" s="137">
        <v>1</v>
      </c>
      <c r="P8" s="137">
        <v>1</v>
      </c>
      <c r="Q8" s="137">
        <v>0.42857139999999999</v>
      </c>
      <c r="R8" s="137">
        <v>1</v>
      </c>
      <c r="S8" s="137">
        <v>0.28571429999999998</v>
      </c>
      <c r="T8" s="137">
        <v>0.71428570000000002</v>
      </c>
      <c r="U8" s="137">
        <v>0</v>
      </c>
      <c r="V8" s="137">
        <v>1</v>
      </c>
      <c r="W8" s="137">
        <v>0.42857139999999999</v>
      </c>
      <c r="X8" s="137">
        <v>1</v>
      </c>
      <c r="Y8" s="137">
        <v>0.14285709999999999</v>
      </c>
      <c r="Z8" s="137">
        <v>1</v>
      </c>
      <c r="AA8" s="137">
        <v>0.85714290000000004</v>
      </c>
      <c r="AB8" s="137">
        <v>0.42857139999999999</v>
      </c>
      <c r="AC8" s="137">
        <v>0.57142859999999995</v>
      </c>
      <c r="AD8" s="137">
        <v>0.28571429999999998</v>
      </c>
      <c r="AE8" s="137">
        <v>0.71428570000000002</v>
      </c>
      <c r="AF8" s="137">
        <v>1</v>
      </c>
      <c r="AG8" s="137">
        <v>0.42857139999999999</v>
      </c>
      <c r="AH8" s="137">
        <v>1</v>
      </c>
      <c r="AI8" s="137">
        <v>0.85714290000000004</v>
      </c>
      <c r="AJ8" s="137">
        <v>0.85714290000000004</v>
      </c>
      <c r="AK8" s="137">
        <v>0.85714290000000004</v>
      </c>
      <c r="AL8" s="137">
        <v>0.57142859999999995</v>
      </c>
      <c r="AM8" s="137">
        <v>0.28571429999999998</v>
      </c>
      <c r="AN8" s="137">
        <v>0.85714290000000004</v>
      </c>
      <c r="AO8" s="137">
        <v>0.85714290000000004</v>
      </c>
      <c r="AP8" s="137">
        <v>0.42857139999999999</v>
      </c>
      <c r="AQ8" s="137">
        <v>0.57142859999999995</v>
      </c>
      <c r="AR8" s="137">
        <v>0.71428570000000002</v>
      </c>
      <c r="AS8" s="137">
        <v>0.71428570000000002</v>
      </c>
      <c r="AT8" s="137">
        <v>0.57142859999999995</v>
      </c>
      <c r="AU8" s="137">
        <v>0.14285709999999999</v>
      </c>
      <c r="AV8" s="137">
        <v>0.69206350000000005</v>
      </c>
      <c r="AX8" s="143" t="s">
        <v>763</v>
      </c>
      <c r="AY8" s="143" t="s">
        <v>764</v>
      </c>
      <c r="AZ8" s="78" t="s">
        <v>1999</v>
      </c>
      <c r="BA8" s="78" t="s">
        <v>2000</v>
      </c>
      <c r="BB8" s="78" t="s">
        <v>2001</v>
      </c>
      <c r="BC8" s="78" t="s">
        <v>2002</v>
      </c>
      <c r="BD8" s="78" t="s">
        <v>2003</v>
      </c>
      <c r="BE8" s="78" t="s">
        <v>2004</v>
      </c>
      <c r="BF8" s="78" t="s">
        <v>2005</v>
      </c>
      <c r="BG8" s="78" t="s">
        <v>2006</v>
      </c>
      <c r="BH8" s="78" t="s">
        <v>2007</v>
      </c>
      <c r="BI8" s="78" t="s">
        <v>2008</v>
      </c>
      <c r="BJ8" s="78" t="s">
        <v>2009</v>
      </c>
      <c r="BK8" s="78" t="s">
        <v>2010</v>
      </c>
      <c r="BL8" s="78" t="s">
        <v>2011</v>
      </c>
      <c r="BM8" s="78" t="s">
        <v>2012</v>
      </c>
      <c r="BN8" s="78" t="s">
        <v>2013</v>
      </c>
      <c r="BO8" s="78" t="s">
        <v>2014</v>
      </c>
      <c r="BP8" s="78" t="s">
        <v>2015</v>
      </c>
      <c r="BQ8" s="78" t="s">
        <v>2016</v>
      </c>
      <c r="BR8" s="78" t="s">
        <v>2017</v>
      </c>
      <c r="BS8" s="78" t="s">
        <v>2018</v>
      </c>
      <c r="BT8" s="78" t="s">
        <v>2019</v>
      </c>
      <c r="BU8" s="78" t="s">
        <v>2020</v>
      </c>
      <c r="BV8" s="78" t="s">
        <v>2021</v>
      </c>
      <c r="BW8" s="78" t="s">
        <v>2022</v>
      </c>
      <c r="BX8" s="78" t="s">
        <v>2023</v>
      </c>
      <c r="BY8" s="78" t="s">
        <v>2024</v>
      </c>
      <c r="BZ8" s="78" t="s">
        <v>2025</v>
      </c>
      <c r="CA8" s="78" t="s">
        <v>2026</v>
      </c>
      <c r="CB8" s="78" t="s">
        <v>2027</v>
      </c>
      <c r="CC8" s="78" t="s">
        <v>2028</v>
      </c>
      <c r="CD8" s="78" t="s">
        <v>2029</v>
      </c>
      <c r="CE8" s="78" t="s">
        <v>2030</v>
      </c>
      <c r="CF8" s="78" t="s">
        <v>2031</v>
      </c>
      <c r="CG8" s="78" t="s">
        <v>2032</v>
      </c>
      <c r="CH8" s="78" t="s">
        <v>2033</v>
      </c>
      <c r="CI8" s="78" t="s">
        <v>2034</v>
      </c>
      <c r="CJ8" s="78" t="s">
        <v>2035</v>
      </c>
      <c r="CK8" s="78" t="s">
        <v>2036</v>
      </c>
      <c r="CL8" s="78" t="s">
        <v>2037</v>
      </c>
      <c r="CM8" s="78" t="s">
        <v>2038</v>
      </c>
      <c r="CN8" s="78" t="s">
        <v>2039</v>
      </c>
      <c r="CO8" s="78" t="s">
        <v>2040</v>
      </c>
      <c r="CP8" s="78" t="s">
        <v>2041</v>
      </c>
      <c r="CQ8" s="78" t="s">
        <v>2042</v>
      </c>
      <c r="CR8" s="78" t="s">
        <v>2043</v>
      </c>
    </row>
    <row r="9" spans="1:96" x14ac:dyDescent="0.25">
      <c r="A9" s="143" t="s">
        <v>765</v>
      </c>
      <c r="B9" s="143" t="s">
        <v>766</v>
      </c>
      <c r="C9" s="137">
        <v>1</v>
      </c>
      <c r="D9" s="137">
        <v>0.9</v>
      </c>
      <c r="E9" s="137">
        <v>0.9</v>
      </c>
      <c r="F9" s="137">
        <v>0.6</v>
      </c>
      <c r="G9" s="137">
        <v>0.9</v>
      </c>
      <c r="H9" s="137">
        <v>0.9</v>
      </c>
      <c r="I9" s="137">
        <v>0.8</v>
      </c>
      <c r="J9" s="137">
        <v>0.9</v>
      </c>
      <c r="K9" s="137">
        <v>1</v>
      </c>
      <c r="L9" s="137">
        <v>0.9</v>
      </c>
      <c r="M9" s="137">
        <v>1</v>
      </c>
      <c r="N9" s="137">
        <v>1</v>
      </c>
      <c r="O9" s="137">
        <v>1</v>
      </c>
      <c r="P9" s="137">
        <v>0.9</v>
      </c>
      <c r="Q9" s="137">
        <v>0.7</v>
      </c>
      <c r="R9" s="137">
        <v>0.9</v>
      </c>
      <c r="S9" s="137">
        <v>0.9</v>
      </c>
      <c r="T9" s="137">
        <v>1</v>
      </c>
      <c r="U9" s="137">
        <v>0.6</v>
      </c>
      <c r="V9" s="137">
        <v>1</v>
      </c>
      <c r="W9" s="137">
        <v>1</v>
      </c>
      <c r="X9" s="137">
        <v>0.9</v>
      </c>
      <c r="Y9" s="137">
        <v>0.6</v>
      </c>
      <c r="Z9" s="137">
        <v>0.8</v>
      </c>
      <c r="AA9" s="137">
        <v>1</v>
      </c>
      <c r="AB9" s="137">
        <v>0.4</v>
      </c>
      <c r="AC9" s="137">
        <v>0.5</v>
      </c>
      <c r="AD9" s="137">
        <v>0.4</v>
      </c>
      <c r="AE9" s="137">
        <v>0.9</v>
      </c>
      <c r="AF9" s="137">
        <v>1</v>
      </c>
      <c r="AG9" s="137">
        <v>1</v>
      </c>
      <c r="AH9" s="137">
        <v>1</v>
      </c>
      <c r="AI9" s="137">
        <v>0.8</v>
      </c>
      <c r="AJ9" s="137">
        <v>0.9</v>
      </c>
      <c r="AK9" s="137">
        <v>0.9</v>
      </c>
      <c r="AL9" s="137">
        <v>0.9</v>
      </c>
      <c r="AM9" s="137">
        <v>0.7</v>
      </c>
      <c r="AN9" s="137">
        <v>0.8</v>
      </c>
      <c r="AO9" s="137">
        <v>1</v>
      </c>
      <c r="AP9" s="137">
        <v>0.8</v>
      </c>
      <c r="AQ9" s="137">
        <v>1</v>
      </c>
      <c r="AR9" s="137">
        <v>0.6</v>
      </c>
      <c r="AS9" s="137">
        <v>0.7</v>
      </c>
      <c r="AT9" s="137">
        <v>0.8</v>
      </c>
      <c r="AU9" s="137">
        <v>0.2</v>
      </c>
      <c r="AV9" s="137">
        <v>0.83111109999999999</v>
      </c>
      <c r="AX9" s="143" t="s">
        <v>765</v>
      </c>
      <c r="AY9" s="143" t="s">
        <v>766</v>
      </c>
      <c r="AZ9" s="78" t="s">
        <v>2044</v>
      </c>
      <c r="BA9" s="78" t="s">
        <v>2045</v>
      </c>
      <c r="BB9" s="78" t="s">
        <v>2046</v>
      </c>
      <c r="BC9" s="78" t="s">
        <v>2047</v>
      </c>
      <c r="BD9" s="78" t="s">
        <v>2048</v>
      </c>
      <c r="BE9" s="78" t="s">
        <v>2049</v>
      </c>
      <c r="BF9" s="78" t="s">
        <v>2050</v>
      </c>
      <c r="BG9" s="78" t="s">
        <v>2051</v>
      </c>
      <c r="BH9" s="78" t="s">
        <v>2052</v>
      </c>
      <c r="BI9" s="78" t="s">
        <v>2053</v>
      </c>
      <c r="BJ9" s="78" t="s">
        <v>2054</v>
      </c>
      <c r="BK9" s="78" t="s">
        <v>2055</v>
      </c>
      <c r="BL9" s="78" t="s">
        <v>2056</v>
      </c>
      <c r="BM9" s="78" t="s">
        <v>2057</v>
      </c>
      <c r="BN9" s="78" t="s">
        <v>2058</v>
      </c>
      <c r="BO9" s="78" t="s">
        <v>2059</v>
      </c>
      <c r="BP9" s="78" t="s">
        <v>2060</v>
      </c>
      <c r="BQ9" s="78" t="s">
        <v>2061</v>
      </c>
      <c r="BR9" s="78" t="s">
        <v>2062</v>
      </c>
      <c r="BS9" s="78" t="s">
        <v>2063</v>
      </c>
      <c r="BT9" s="78" t="s">
        <v>2064</v>
      </c>
      <c r="BU9" s="78" t="s">
        <v>2065</v>
      </c>
      <c r="BV9" s="78" t="s">
        <v>2066</v>
      </c>
      <c r="BW9" s="78" t="s">
        <v>2067</v>
      </c>
      <c r="BX9" s="78" t="s">
        <v>2068</v>
      </c>
      <c r="BY9" s="78" t="s">
        <v>2069</v>
      </c>
      <c r="BZ9" s="78" t="s">
        <v>2070</v>
      </c>
      <c r="CA9" s="78" t="s">
        <v>2071</v>
      </c>
      <c r="CB9" s="78" t="s">
        <v>2072</v>
      </c>
      <c r="CC9" s="78" t="s">
        <v>2073</v>
      </c>
      <c r="CD9" s="78" t="s">
        <v>2074</v>
      </c>
      <c r="CE9" s="78" t="s">
        <v>2075</v>
      </c>
      <c r="CF9" s="78" t="s">
        <v>2076</v>
      </c>
      <c r="CG9" s="78" t="s">
        <v>2077</v>
      </c>
      <c r="CH9" s="78" t="s">
        <v>2078</v>
      </c>
      <c r="CI9" s="78" t="s">
        <v>2079</v>
      </c>
      <c r="CJ9" s="78" t="s">
        <v>2080</v>
      </c>
      <c r="CK9" s="78" t="s">
        <v>2081</v>
      </c>
      <c r="CL9" s="78" t="s">
        <v>2082</v>
      </c>
      <c r="CM9" s="78" t="s">
        <v>2083</v>
      </c>
      <c r="CN9" s="78" t="s">
        <v>2084</v>
      </c>
      <c r="CO9" s="78" t="s">
        <v>2085</v>
      </c>
      <c r="CP9" s="78" t="s">
        <v>2086</v>
      </c>
      <c r="CQ9" s="78" t="s">
        <v>2087</v>
      </c>
      <c r="CR9" s="78" t="s">
        <v>2088</v>
      </c>
    </row>
    <row r="10" spans="1:96" x14ac:dyDescent="0.25">
      <c r="A10" s="143" t="s">
        <v>767</v>
      </c>
      <c r="B10" s="143" t="s">
        <v>768</v>
      </c>
      <c r="C10" s="137">
        <v>1</v>
      </c>
      <c r="D10" s="137">
        <v>1</v>
      </c>
      <c r="E10" s="137">
        <v>0.8</v>
      </c>
      <c r="F10" s="137">
        <v>1</v>
      </c>
      <c r="G10" s="137">
        <v>0.8</v>
      </c>
      <c r="H10" s="137">
        <v>1</v>
      </c>
      <c r="I10" s="137">
        <v>1</v>
      </c>
      <c r="J10" s="137">
        <v>1</v>
      </c>
      <c r="K10" s="137">
        <v>1</v>
      </c>
      <c r="L10" s="137">
        <v>1</v>
      </c>
      <c r="M10" s="137">
        <v>1</v>
      </c>
      <c r="N10" s="137">
        <v>1</v>
      </c>
      <c r="O10" s="137">
        <v>1</v>
      </c>
      <c r="P10" s="137">
        <v>1</v>
      </c>
      <c r="Q10" s="137">
        <v>0.4</v>
      </c>
      <c r="R10" s="137">
        <v>1</v>
      </c>
      <c r="S10" s="137">
        <v>0.8</v>
      </c>
      <c r="T10" s="137">
        <v>0.8</v>
      </c>
      <c r="U10" s="137">
        <v>0.6</v>
      </c>
      <c r="V10" s="137">
        <v>1</v>
      </c>
      <c r="W10" s="137">
        <v>1</v>
      </c>
      <c r="X10" s="137">
        <v>1</v>
      </c>
      <c r="Y10" s="137">
        <v>1</v>
      </c>
      <c r="Z10" s="137">
        <v>1</v>
      </c>
      <c r="AA10" s="137">
        <v>1</v>
      </c>
      <c r="AB10" s="137">
        <v>0.4</v>
      </c>
      <c r="AC10" s="137">
        <v>0.4</v>
      </c>
      <c r="AD10" s="137">
        <v>0.4</v>
      </c>
      <c r="AE10" s="137">
        <v>1</v>
      </c>
      <c r="AF10" s="137">
        <v>0.8</v>
      </c>
      <c r="AG10" s="137">
        <v>1</v>
      </c>
      <c r="AH10" s="137">
        <v>0.8</v>
      </c>
      <c r="AI10" s="137">
        <v>1</v>
      </c>
      <c r="AJ10" s="137">
        <v>1</v>
      </c>
      <c r="AK10" s="137">
        <v>1</v>
      </c>
      <c r="AL10" s="137">
        <v>0.2</v>
      </c>
      <c r="AM10" s="137">
        <v>1</v>
      </c>
      <c r="AN10" s="137">
        <v>1</v>
      </c>
      <c r="AO10" s="137">
        <v>1</v>
      </c>
      <c r="AP10" s="137">
        <v>1</v>
      </c>
      <c r="AQ10" s="137">
        <v>1</v>
      </c>
      <c r="AR10" s="137">
        <v>0.8</v>
      </c>
      <c r="AS10" s="137">
        <v>1</v>
      </c>
      <c r="AT10" s="137">
        <v>1</v>
      </c>
      <c r="AU10" s="137">
        <v>0.8</v>
      </c>
      <c r="AV10" s="137">
        <v>0.88444449999999997</v>
      </c>
      <c r="AX10" s="143" t="s">
        <v>767</v>
      </c>
      <c r="AY10" s="143" t="s">
        <v>768</v>
      </c>
      <c r="AZ10" s="78" t="s">
        <v>2089</v>
      </c>
      <c r="BA10" s="78" t="s">
        <v>2090</v>
      </c>
      <c r="BB10" s="78" t="s">
        <v>2091</v>
      </c>
      <c r="BC10" s="78" t="s">
        <v>2092</v>
      </c>
      <c r="BD10" s="78" t="s">
        <v>2093</v>
      </c>
      <c r="BE10" s="78" t="s">
        <v>2094</v>
      </c>
      <c r="BF10" s="78" t="s">
        <v>2095</v>
      </c>
      <c r="BG10" s="78" t="s">
        <v>2096</v>
      </c>
      <c r="BH10" s="78" t="s">
        <v>2097</v>
      </c>
      <c r="BI10" s="78" t="s">
        <v>2098</v>
      </c>
      <c r="BJ10" s="78" t="s">
        <v>2099</v>
      </c>
      <c r="BK10" s="78" t="s">
        <v>2100</v>
      </c>
      <c r="BL10" s="78" t="s">
        <v>2101</v>
      </c>
      <c r="BM10" s="78" t="s">
        <v>2102</v>
      </c>
      <c r="BN10" s="78" t="s">
        <v>2103</v>
      </c>
      <c r="BO10" s="78" t="s">
        <v>2104</v>
      </c>
      <c r="BP10" s="78" t="s">
        <v>2105</v>
      </c>
      <c r="BQ10" s="78" t="s">
        <v>2106</v>
      </c>
      <c r="BR10" s="78" t="s">
        <v>2107</v>
      </c>
      <c r="BS10" s="78" t="s">
        <v>2108</v>
      </c>
      <c r="BT10" s="78" t="s">
        <v>2109</v>
      </c>
      <c r="BU10" s="78" t="s">
        <v>2110</v>
      </c>
      <c r="BV10" s="78" t="s">
        <v>2111</v>
      </c>
      <c r="BW10" s="78" t="s">
        <v>2112</v>
      </c>
      <c r="BX10" s="78" t="s">
        <v>2113</v>
      </c>
      <c r="BY10" s="78" t="s">
        <v>2114</v>
      </c>
      <c r="BZ10" s="78" t="s">
        <v>2115</v>
      </c>
      <c r="CA10" s="78" t="s">
        <v>2116</v>
      </c>
      <c r="CB10" s="78" t="s">
        <v>2117</v>
      </c>
      <c r="CC10" s="78" t="s">
        <v>2118</v>
      </c>
      <c r="CD10" s="78" t="s">
        <v>2119</v>
      </c>
      <c r="CE10" s="78" t="s">
        <v>2120</v>
      </c>
      <c r="CF10" s="78" t="s">
        <v>2121</v>
      </c>
      <c r="CG10" s="78" t="s">
        <v>2122</v>
      </c>
      <c r="CH10" s="78" t="s">
        <v>2123</v>
      </c>
      <c r="CI10" s="78" t="s">
        <v>2124</v>
      </c>
      <c r="CJ10" s="78" t="s">
        <v>2125</v>
      </c>
      <c r="CK10" s="78" t="s">
        <v>2126</v>
      </c>
      <c r="CL10" s="78" t="s">
        <v>2127</v>
      </c>
      <c r="CM10" s="78" t="s">
        <v>2128</v>
      </c>
      <c r="CN10" s="78" t="s">
        <v>2129</v>
      </c>
      <c r="CO10" s="78" t="s">
        <v>2130</v>
      </c>
      <c r="CP10" s="78" t="s">
        <v>2131</v>
      </c>
      <c r="CQ10" s="78" t="s">
        <v>2132</v>
      </c>
      <c r="CR10" s="78" t="s">
        <v>2133</v>
      </c>
    </row>
    <row r="11" spans="1:96" x14ac:dyDescent="0.25">
      <c r="A11" s="143" t="s">
        <v>769</v>
      </c>
      <c r="B11" s="143" t="s">
        <v>770</v>
      </c>
      <c r="C11" s="137">
        <v>0.55555560000000004</v>
      </c>
      <c r="D11" s="137">
        <v>0.66666669999999995</v>
      </c>
      <c r="E11" s="137">
        <v>0.66666669999999995</v>
      </c>
      <c r="F11" s="137">
        <v>0.3333333</v>
      </c>
      <c r="G11" s="137">
        <v>0.77777779999999996</v>
      </c>
      <c r="H11" s="137">
        <v>0.66666669999999995</v>
      </c>
      <c r="I11" s="137">
        <v>1</v>
      </c>
      <c r="J11" s="137">
        <v>1</v>
      </c>
      <c r="K11" s="137">
        <v>1</v>
      </c>
      <c r="L11" s="137">
        <v>1</v>
      </c>
      <c r="M11" s="137">
        <v>1</v>
      </c>
      <c r="N11" s="137">
        <v>1</v>
      </c>
      <c r="O11" s="137">
        <v>0.88888889999999998</v>
      </c>
      <c r="P11" s="137">
        <v>0.88888889999999998</v>
      </c>
      <c r="Q11" s="137">
        <v>0.77777779999999996</v>
      </c>
      <c r="R11" s="137">
        <v>0.88888889999999998</v>
      </c>
      <c r="S11" s="137">
        <v>0.88888889999999998</v>
      </c>
      <c r="T11" s="137">
        <v>0.55555560000000004</v>
      </c>
      <c r="U11" s="137">
        <v>0.44444440000000002</v>
      </c>
      <c r="V11" s="137">
        <v>1</v>
      </c>
      <c r="W11" s="137">
        <v>1</v>
      </c>
      <c r="X11" s="137">
        <v>1</v>
      </c>
      <c r="Y11" s="137">
        <v>0.55555560000000004</v>
      </c>
      <c r="Z11" s="137">
        <v>0.88888889999999998</v>
      </c>
      <c r="AA11" s="137">
        <v>0.77777779999999996</v>
      </c>
      <c r="AB11" s="137">
        <v>0.3333333</v>
      </c>
      <c r="AC11" s="137">
        <v>0.3333333</v>
      </c>
      <c r="AD11" s="137">
        <v>0.3333333</v>
      </c>
      <c r="AE11" s="137">
        <v>0.44444440000000002</v>
      </c>
      <c r="AF11" s="137">
        <v>1</v>
      </c>
      <c r="AG11" s="137">
        <v>0.66666669999999995</v>
      </c>
      <c r="AH11" s="137">
        <v>0.77777779999999996</v>
      </c>
      <c r="AI11" s="137">
        <v>0.44444440000000002</v>
      </c>
      <c r="AJ11" s="137">
        <v>0.77777779999999996</v>
      </c>
      <c r="AK11" s="137">
        <v>0.77777779999999996</v>
      </c>
      <c r="AL11" s="137">
        <v>0.22222220000000001</v>
      </c>
      <c r="AM11" s="137">
        <v>0.88888889999999998</v>
      </c>
      <c r="AN11" s="137">
        <v>1</v>
      </c>
      <c r="AO11" s="137">
        <v>1</v>
      </c>
      <c r="AP11" s="137">
        <v>1</v>
      </c>
      <c r="AQ11" s="137">
        <v>0.22222220000000001</v>
      </c>
      <c r="AR11" s="137">
        <v>0.88888889999999998</v>
      </c>
      <c r="AS11" s="137">
        <v>1</v>
      </c>
      <c r="AT11" s="137">
        <v>1</v>
      </c>
      <c r="AU11" s="137">
        <v>0.1111111</v>
      </c>
      <c r="AV11" s="137">
        <v>0.74320989999999998</v>
      </c>
      <c r="AX11" s="143" t="s">
        <v>769</v>
      </c>
      <c r="AY11" s="143" t="s">
        <v>770</v>
      </c>
      <c r="AZ11" s="78" t="s">
        <v>2134</v>
      </c>
      <c r="BA11" s="78" t="s">
        <v>2135</v>
      </c>
      <c r="BB11" s="78" t="s">
        <v>2136</v>
      </c>
      <c r="BC11" s="78" t="s">
        <v>2137</v>
      </c>
      <c r="BD11" s="78" t="s">
        <v>2138</v>
      </c>
      <c r="BE11" s="78" t="s">
        <v>2139</v>
      </c>
      <c r="BF11" s="78" t="s">
        <v>2140</v>
      </c>
      <c r="BG11" s="78" t="s">
        <v>2141</v>
      </c>
      <c r="BH11" s="78" t="s">
        <v>2142</v>
      </c>
      <c r="BI11" s="78" t="s">
        <v>2143</v>
      </c>
      <c r="BJ11" s="78" t="s">
        <v>2144</v>
      </c>
      <c r="BK11" s="78" t="s">
        <v>2145</v>
      </c>
      <c r="BL11" s="78" t="s">
        <v>2146</v>
      </c>
      <c r="BM11" s="78" t="s">
        <v>2147</v>
      </c>
      <c r="BN11" s="78" t="s">
        <v>2148</v>
      </c>
      <c r="BO11" s="78" t="s">
        <v>2149</v>
      </c>
      <c r="BP11" s="78" t="s">
        <v>2150</v>
      </c>
      <c r="BQ11" s="78" t="s">
        <v>2151</v>
      </c>
      <c r="BR11" s="78" t="s">
        <v>2152</v>
      </c>
      <c r="BS11" s="78" t="s">
        <v>2153</v>
      </c>
      <c r="BT11" s="78" t="s">
        <v>2154</v>
      </c>
      <c r="BU11" s="78" t="s">
        <v>2155</v>
      </c>
      <c r="BV11" s="78" t="s">
        <v>2156</v>
      </c>
      <c r="BW11" s="78" t="s">
        <v>2157</v>
      </c>
      <c r="BX11" s="78" t="s">
        <v>2158</v>
      </c>
      <c r="BY11" s="78" t="s">
        <v>2159</v>
      </c>
      <c r="BZ11" s="78" t="s">
        <v>2160</v>
      </c>
      <c r="CA11" s="78" t="s">
        <v>2161</v>
      </c>
      <c r="CB11" s="78" t="s">
        <v>2162</v>
      </c>
      <c r="CC11" s="78" t="s">
        <v>2163</v>
      </c>
      <c r="CD11" s="78" t="s">
        <v>2164</v>
      </c>
      <c r="CE11" s="78" t="s">
        <v>2165</v>
      </c>
      <c r="CF11" s="78" t="s">
        <v>2166</v>
      </c>
      <c r="CG11" s="78" t="s">
        <v>2167</v>
      </c>
      <c r="CH11" s="78" t="s">
        <v>2168</v>
      </c>
      <c r="CI11" s="78" t="s">
        <v>2169</v>
      </c>
      <c r="CJ11" s="78" t="s">
        <v>2170</v>
      </c>
      <c r="CK11" s="78" t="s">
        <v>2171</v>
      </c>
      <c r="CL11" s="78" t="s">
        <v>2172</v>
      </c>
      <c r="CM11" s="78" t="s">
        <v>2173</v>
      </c>
      <c r="CN11" s="78" t="s">
        <v>2174</v>
      </c>
      <c r="CO11" s="78" t="s">
        <v>2175</v>
      </c>
      <c r="CP11" s="78" t="s">
        <v>2176</v>
      </c>
      <c r="CQ11" s="78" t="s">
        <v>2177</v>
      </c>
      <c r="CR11" s="78" t="s">
        <v>2178</v>
      </c>
    </row>
    <row r="12" spans="1:96" x14ac:dyDescent="0.25">
      <c r="A12" s="143" t="s">
        <v>771</v>
      </c>
      <c r="B12" s="143" t="s">
        <v>772</v>
      </c>
      <c r="C12" s="137">
        <v>1</v>
      </c>
      <c r="D12" s="137">
        <v>1</v>
      </c>
      <c r="E12" s="137">
        <v>1</v>
      </c>
      <c r="F12" s="137">
        <v>1</v>
      </c>
      <c r="G12" s="137">
        <v>1</v>
      </c>
      <c r="H12" s="137">
        <v>0.8</v>
      </c>
      <c r="I12" s="137">
        <v>0</v>
      </c>
      <c r="J12" s="137">
        <v>1</v>
      </c>
      <c r="K12" s="137">
        <v>0.9</v>
      </c>
      <c r="L12" s="137">
        <v>1</v>
      </c>
      <c r="M12" s="137">
        <v>1</v>
      </c>
      <c r="N12" s="137">
        <v>1</v>
      </c>
      <c r="O12" s="137">
        <v>1</v>
      </c>
      <c r="P12" s="137">
        <v>1</v>
      </c>
      <c r="Q12" s="137">
        <v>0.8</v>
      </c>
      <c r="R12" s="137">
        <v>1</v>
      </c>
      <c r="S12" s="137">
        <v>0.9</v>
      </c>
      <c r="T12" s="137">
        <v>0.7</v>
      </c>
      <c r="U12" s="137">
        <v>0.3</v>
      </c>
      <c r="V12" s="137">
        <v>1</v>
      </c>
      <c r="W12" s="137">
        <v>1</v>
      </c>
      <c r="X12" s="137">
        <v>0.9</v>
      </c>
      <c r="Y12" s="137">
        <v>0.8</v>
      </c>
      <c r="Z12" s="137">
        <v>0.9</v>
      </c>
      <c r="AA12" s="137">
        <v>0.9</v>
      </c>
      <c r="AB12" s="137">
        <v>0.8</v>
      </c>
      <c r="AC12" s="137">
        <v>0.8</v>
      </c>
      <c r="AD12" s="137">
        <v>0.8</v>
      </c>
      <c r="AE12" s="137">
        <v>0.4</v>
      </c>
      <c r="AF12" s="137">
        <v>0.7</v>
      </c>
      <c r="AG12" s="137">
        <v>1</v>
      </c>
      <c r="AH12" s="137">
        <v>1</v>
      </c>
      <c r="AI12" s="137">
        <v>1</v>
      </c>
      <c r="AJ12" s="137">
        <v>1</v>
      </c>
      <c r="AK12" s="137">
        <v>1</v>
      </c>
      <c r="AL12" s="137">
        <v>0.7</v>
      </c>
      <c r="AM12" s="137">
        <v>0.9</v>
      </c>
      <c r="AN12" s="137">
        <v>1</v>
      </c>
      <c r="AO12" s="137">
        <v>0.9</v>
      </c>
      <c r="AP12" s="137">
        <v>0.8</v>
      </c>
      <c r="AQ12" s="137">
        <v>0.7</v>
      </c>
      <c r="AR12" s="137">
        <v>0.7</v>
      </c>
      <c r="AS12" s="137">
        <v>0.9</v>
      </c>
      <c r="AT12" s="137">
        <v>1</v>
      </c>
      <c r="AU12" s="137">
        <v>0.6</v>
      </c>
      <c r="AV12" s="137">
        <v>0.85777780000000003</v>
      </c>
      <c r="AX12" s="143" t="s">
        <v>771</v>
      </c>
      <c r="AY12" s="143" t="s">
        <v>772</v>
      </c>
      <c r="AZ12" s="78" t="s">
        <v>2179</v>
      </c>
      <c r="BA12" s="78" t="s">
        <v>2180</v>
      </c>
      <c r="BB12" s="78" t="s">
        <v>2181</v>
      </c>
      <c r="BC12" s="78" t="s">
        <v>2182</v>
      </c>
      <c r="BD12" s="78" t="s">
        <v>2183</v>
      </c>
      <c r="BE12" s="78" t="s">
        <v>2184</v>
      </c>
      <c r="BF12" s="78" t="s">
        <v>1863</v>
      </c>
      <c r="BG12" s="78" t="s">
        <v>2185</v>
      </c>
      <c r="BH12" s="78" t="s">
        <v>2186</v>
      </c>
      <c r="BI12" s="78" t="s">
        <v>2187</v>
      </c>
      <c r="BJ12" s="78" t="s">
        <v>2188</v>
      </c>
      <c r="BK12" s="78" t="s">
        <v>2189</v>
      </c>
      <c r="BL12" s="78" t="s">
        <v>2190</v>
      </c>
      <c r="BM12" s="78" t="s">
        <v>2191</v>
      </c>
      <c r="BN12" s="78" t="s">
        <v>2192</v>
      </c>
      <c r="BO12" s="78" t="s">
        <v>2193</v>
      </c>
      <c r="BP12" s="78" t="s">
        <v>2194</v>
      </c>
      <c r="BQ12" s="78" t="s">
        <v>2195</v>
      </c>
      <c r="BR12" s="78" t="s">
        <v>2196</v>
      </c>
      <c r="BS12" s="78" t="s">
        <v>2197</v>
      </c>
      <c r="BT12" s="78" t="s">
        <v>2198</v>
      </c>
      <c r="BU12" s="78" t="s">
        <v>2199</v>
      </c>
      <c r="BV12" s="78" t="s">
        <v>2200</v>
      </c>
      <c r="BW12" s="78" t="s">
        <v>2201</v>
      </c>
      <c r="BX12" s="78" t="s">
        <v>2202</v>
      </c>
      <c r="BY12" s="78" t="s">
        <v>2203</v>
      </c>
      <c r="BZ12" s="78" t="s">
        <v>2204</v>
      </c>
      <c r="CA12" s="78" t="s">
        <v>2205</v>
      </c>
      <c r="CB12" s="78" t="s">
        <v>2206</v>
      </c>
      <c r="CC12" s="78" t="s">
        <v>2207</v>
      </c>
      <c r="CD12" s="78" t="s">
        <v>2208</v>
      </c>
      <c r="CE12" s="78" t="s">
        <v>2209</v>
      </c>
      <c r="CF12" s="78" t="s">
        <v>2210</v>
      </c>
      <c r="CG12" s="78" t="s">
        <v>2211</v>
      </c>
      <c r="CH12" s="78" t="s">
        <v>2212</v>
      </c>
      <c r="CI12" s="78" t="s">
        <v>2213</v>
      </c>
      <c r="CJ12" s="78" t="s">
        <v>2214</v>
      </c>
      <c r="CK12" s="78" t="s">
        <v>2215</v>
      </c>
      <c r="CL12" s="78" t="s">
        <v>2216</v>
      </c>
      <c r="CM12" s="78" t="s">
        <v>2217</v>
      </c>
      <c r="CN12" s="78" t="s">
        <v>2218</v>
      </c>
      <c r="CO12" s="78" t="s">
        <v>2219</v>
      </c>
      <c r="CP12" s="78" t="s">
        <v>2220</v>
      </c>
      <c r="CQ12" s="78" t="s">
        <v>2221</v>
      </c>
      <c r="CR12" s="78" t="s">
        <v>2222</v>
      </c>
    </row>
    <row r="13" spans="1:96" x14ac:dyDescent="0.25">
      <c r="A13" s="143" t="s">
        <v>773</v>
      </c>
      <c r="B13" s="143" t="s">
        <v>764</v>
      </c>
      <c r="C13" s="137">
        <v>0.5</v>
      </c>
      <c r="D13" s="137">
        <v>0.1666667</v>
      </c>
      <c r="E13" s="137">
        <v>1</v>
      </c>
      <c r="F13" s="137">
        <v>0.83333330000000005</v>
      </c>
      <c r="G13" s="137">
        <v>1</v>
      </c>
      <c r="H13" s="137">
        <v>0.83333330000000005</v>
      </c>
      <c r="I13" s="137">
        <v>0.66666669999999995</v>
      </c>
      <c r="J13" s="137">
        <v>0.83333330000000005</v>
      </c>
      <c r="K13" s="137">
        <v>1</v>
      </c>
      <c r="L13" s="137">
        <v>0</v>
      </c>
      <c r="M13" s="137">
        <v>0.83333330000000005</v>
      </c>
      <c r="N13" s="137">
        <v>0.1666667</v>
      </c>
      <c r="O13" s="137">
        <v>0.83333330000000005</v>
      </c>
      <c r="P13" s="137">
        <v>0.83333330000000005</v>
      </c>
      <c r="Q13" s="137">
        <v>0.5</v>
      </c>
      <c r="R13" s="137">
        <v>0.66666669999999995</v>
      </c>
      <c r="S13" s="137">
        <v>0.3333333</v>
      </c>
      <c r="T13" s="137">
        <v>1</v>
      </c>
      <c r="U13" s="137">
        <v>0.1666667</v>
      </c>
      <c r="V13" s="137">
        <v>1</v>
      </c>
      <c r="W13" s="137">
        <v>0.66666669999999995</v>
      </c>
      <c r="X13" s="137">
        <v>0.5</v>
      </c>
      <c r="Y13" s="137">
        <v>1</v>
      </c>
      <c r="Z13" s="137">
        <v>1</v>
      </c>
      <c r="AA13" s="137">
        <v>1</v>
      </c>
      <c r="AB13" s="137">
        <v>0.3333333</v>
      </c>
      <c r="AC13" s="137">
        <v>0.3333333</v>
      </c>
      <c r="AD13" s="137">
        <v>0.3333333</v>
      </c>
      <c r="AE13" s="137">
        <v>0.3333333</v>
      </c>
      <c r="AF13" s="137">
        <v>1</v>
      </c>
      <c r="AG13" s="137">
        <v>0.3333333</v>
      </c>
      <c r="AH13" s="137">
        <v>1</v>
      </c>
      <c r="AI13" s="137">
        <v>0.66666669999999995</v>
      </c>
      <c r="AJ13" s="137">
        <v>1</v>
      </c>
      <c r="AK13" s="137">
        <v>1</v>
      </c>
      <c r="AL13" s="137">
        <v>0.66666669999999995</v>
      </c>
      <c r="AM13" s="137">
        <v>0.83333330000000005</v>
      </c>
      <c r="AN13" s="137">
        <v>0.83333330000000005</v>
      </c>
      <c r="AO13" s="137">
        <v>0.83333330000000005</v>
      </c>
      <c r="AP13" s="137">
        <v>0.3333333</v>
      </c>
      <c r="AQ13" s="137">
        <v>0.83333330000000005</v>
      </c>
      <c r="AR13" s="137">
        <v>0.66666669999999995</v>
      </c>
      <c r="AS13" s="137">
        <v>0.5</v>
      </c>
      <c r="AT13" s="137">
        <v>0.66666669999999995</v>
      </c>
      <c r="AU13" s="137">
        <v>0</v>
      </c>
      <c r="AV13" s="137">
        <v>0.66296299999999997</v>
      </c>
      <c r="AX13" s="143" t="s">
        <v>773</v>
      </c>
      <c r="AY13" s="143" t="s">
        <v>764</v>
      </c>
      <c r="AZ13" s="78" t="s">
        <v>2223</v>
      </c>
      <c r="BA13" s="78" t="s">
        <v>2224</v>
      </c>
      <c r="BB13" s="78" t="s">
        <v>2225</v>
      </c>
      <c r="BC13" s="78" t="s">
        <v>2226</v>
      </c>
      <c r="BD13" s="78" t="s">
        <v>2227</v>
      </c>
      <c r="BE13" s="78" t="s">
        <v>2228</v>
      </c>
      <c r="BF13" s="78" t="s">
        <v>2229</v>
      </c>
      <c r="BG13" s="78" t="s">
        <v>2230</v>
      </c>
      <c r="BH13" s="78" t="s">
        <v>2231</v>
      </c>
      <c r="BI13" s="78" t="s">
        <v>1863</v>
      </c>
      <c r="BJ13" s="78" t="s">
        <v>2232</v>
      </c>
      <c r="BK13" s="78" t="s">
        <v>2233</v>
      </c>
      <c r="BL13" s="78" t="s">
        <v>2234</v>
      </c>
      <c r="BM13" s="78" t="s">
        <v>2235</v>
      </c>
      <c r="BN13" s="78" t="s">
        <v>2236</v>
      </c>
      <c r="BO13" s="78" t="s">
        <v>2237</v>
      </c>
      <c r="BP13" s="78" t="s">
        <v>2238</v>
      </c>
      <c r="BQ13" s="78" t="s">
        <v>2239</v>
      </c>
      <c r="BR13" s="78" t="s">
        <v>2240</v>
      </c>
      <c r="BS13" s="78" t="s">
        <v>2241</v>
      </c>
      <c r="BT13" s="78" t="s">
        <v>2242</v>
      </c>
      <c r="BU13" s="78" t="s">
        <v>2243</v>
      </c>
      <c r="BV13" s="78" t="s">
        <v>2244</v>
      </c>
      <c r="BW13" s="78" t="s">
        <v>2245</v>
      </c>
      <c r="BX13" s="78" t="s">
        <v>2246</v>
      </c>
      <c r="BY13" s="78" t="s">
        <v>2247</v>
      </c>
      <c r="BZ13" s="78" t="s">
        <v>2248</v>
      </c>
      <c r="CA13" s="78" t="s">
        <v>2249</v>
      </c>
      <c r="CB13" s="78" t="s">
        <v>2250</v>
      </c>
      <c r="CC13" s="78" t="s">
        <v>2251</v>
      </c>
      <c r="CD13" s="78" t="s">
        <v>2252</v>
      </c>
      <c r="CE13" s="78" t="s">
        <v>2253</v>
      </c>
      <c r="CF13" s="78" t="s">
        <v>2254</v>
      </c>
      <c r="CG13" s="78" t="s">
        <v>2255</v>
      </c>
      <c r="CH13" s="78" t="s">
        <v>2256</v>
      </c>
      <c r="CI13" s="78" t="s">
        <v>2257</v>
      </c>
      <c r="CJ13" s="78" t="s">
        <v>2258</v>
      </c>
      <c r="CK13" s="78" t="s">
        <v>2259</v>
      </c>
      <c r="CL13" s="78" t="s">
        <v>2260</v>
      </c>
      <c r="CM13" s="78" t="s">
        <v>2261</v>
      </c>
      <c r="CN13" s="78" t="s">
        <v>2262</v>
      </c>
      <c r="CO13" s="78" t="s">
        <v>2263</v>
      </c>
      <c r="CP13" s="78" t="s">
        <v>2264</v>
      </c>
      <c r="CQ13" s="78" t="s">
        <v>2265</v>
      </c>
      <c r="CR13" s="78" t="s">
        <v>1863</v>
      </c>
    </row>
    <row r="14" spans="1:96" x14ac:dyDescent="0.25">
      <c r="A14" s="143" t="s">
        <v>774</v>
      </c>
      <c r="B14" s="143" t="s">
        <v>758</v>
      </c>
      <c r="C14" s="137">
        <v>1</v>
      </c>
      <c r="D14" s="137">
        <v>1</v>
      </c>
      <c r="E14" s="137">
        <v>0.88888889999999998</v>
      </c>
      <c r="F14" s="137">
        <v>1</v>
      </c>
      <c r="G14" s="137">
        <v>1</v>
      </c>
      <c r="H14" s="137">
        <v>1</v>
      </c>
      <c r="I14" s="137">
        <v>0.66666669999999995</v>
      </c>
      <c r="J14" s="137">
        <v>1</v>
      </c>
      <c r="K14" s="137">
        <v>1</v>
      </c>
      <c r="L14" s="137">
        <v>1</v>
      </c>
      <c r="M14" s="137">
        <v>1</v>
      </c>
      <c r="N14" s="137">
        <v>1</v>
      </c>
      <c r="O14" s="137">
        <v>1</v>
      </c>
      <c r="P14" s="137">
        <v>1</v>
      </c>
      <c r="Q14" s="137">
        <v>1</v>
      </c>
      <c r="R14" s="137">
        <v>1</v>
      </c>
      <c r="S14" s="137">
        <v>1</v>
      </c>
      <c r="T14" s="137">
        <v>0.88888889999999998</v>
      </c>
      <c r="U14" s="137">
        <v>0.88888889999999998</v>
      </c>
      <c r="V14" s="137">
        <v>1</v>
      </c>
      <c r="W14" s="137">
        <v>1</v>
      </c>
      <c r="X14" s="137">
        <v>1</v>
      </c>
      <c r="Y14" s="137">
        <v>1</v>
      </c>
      <c r="Z14" s="137">
        <v>1</v>
      </c>
      <c r="AA14" s="137">
        <v>1</v>
      </c>
      <c r="AB14" s="137">
        <v>0.3333333</v>
      </c>
      <c r="AC14" s="137">
        <v>0.3333333</v>
      </c>
      <c r="AD14" s="137">
        <v>0.3333333</v>
      </c>
      <c r="AE14" s="137">
        <v>1</v>
      </c>
      <c r="AF14" s="137">
        <v>0.88888889999999998</v>
      </c>
      <c r="AG14" s="137">
        <v>1</v>
      </c>
      <c r="AH14" s="137">
        <v>0.88888889999999998</v>
      </c>
      <c r="AI14" s="137">
        <v>0.88888889999999998</v>
      </c>
      <c r="AJ14" s="137">
        <v>1</v>
      </c>
      <c r="AK14" s="137">
        <v>0.55555560000000004</v>
      </c>
      <c r="AL14" s="137">
        <v>0.1111111</v>
      </c>
      <c r="AM14" s="137">
        <v>1</v>
      </c>
      <c r="AN14" s="137">
        <v>1</v>
      </c>
      <c r="AO14" s="137">
        <v>1</v>
      </c>
      <c r="AP14" s="137">
        <v>1</v>
      </c>
      <c r="AQ14" s="137">
        <v>0.22222220000000001</v>
      </c>
      <c r="AR14" s="137">
        <v>0.22222220000000001</v>
      </c>
      <c r="AS14" s="137">
        <v>0.88888889999999998</v>
      </c>
      <c r="AT14" s="137">
        <v>1</v>
      </c>
      <c r="AU14" s="137">
        <v>0</v>
      </c>
      <c r="AV14" s="137">
        <v>0.84444450000000004</v>
      </c>
      <c r="AX14" s="143" t="s">
        <v>774</v>
      </c>
      <c r="AY14" s="143" t="s">
        <v>758</v>
      </c>
      <c r="AZ14" s="78" t="s">
        <v>2266</v>
      </c>
      <c r="BA14" s="78" t="s">
        <v>2267</v>
      </c>
      <c r="BB14" s="78" t="s">
        <v>2268</v>
      </c>
      <c r="BC14" s="78" t="s">
        <v>2269</v>
      </c>
      <c r="BD14" s="78" t="s">
        <v>2270</v>
      </c>
      <c r="BE14" s="78" t="s">
        <v>2271</v>
      </c>
      <c r="BF14" s="78" t="s">
        <v>2272</v>
      </c>
      <c r="BG14" s="78" t="s">
        <v>2273</v>
      </c>
      <c r="BH14" s="78" t="s">
        <v>2274</v>
      </c>
      <c r="BI14" s="78" t="s">
        <v>2275</v>
      </c>
      <c r="BJ14" s="78" t="s">
        <v>2276</v>
      </c>
      <c r="BK14" s="78" t="s">
        <v>2277</v>
      </c>
      <c r="BL14" s="78" t="s">
        <v>2278</v>
      </c>
      <c r="BM14" s="78" t="s">
        <v>2279</v>
      </c>
      <c r="BN14" s="78" t="s">
        <v>2280</v>
      </c>
      <c r="BO14" s="78" t="s">
        <v>2281</v>
      </c>
      <c r="BP14" s="78" t="s">
        <v>2282</v>
      </c>
      <c r="BQ14" s="78" t="s">
        <v>2283</v>
      </c>
      <c r="BR14" s="78" t="s">
        <v>2284</v>
      </c>
      <c r="BS14" s="78" t="s">
        <v>2285</v>
      </c>
      <c r="BT14" s="78" t="s">
        <v>2286</v>
      </c>
      <c r="BU14" s="78" t="s">
        <v>2287</v>
      </c>
      <c r="BV14" s="78" t="s">
        <v>2288</v>
      </c>
      <c r="BW14" s="78" t="s">
        <v>2289</v>
      </c>
      <c r="BX14" s="78" t="s">
        <v>2290</v>
      </c>
      <c r="BY14" s="78" t="s">
        <v>2291</v>
      </c>
      <c r="BZ14" s="78" t="s">
        <v>2292</v>
      </c>
      <c r="CA14" s="78" t="s">
        <v>2293</v>
      </c>
      <c r="CB14" s="78" t="s">
        <v>2294</v>
      </c>
      <c r="CC14" s="78" t="s">
        <v>2295</v>
      </c>
      <c r="CD14" s="78" t="s">
        <v>2296</v>
      </c>
      <c r="CE14" s="78" t="s">
        <v>2297</v>
      </c>
      <c r="CF14" s="78" t="s">
        <v>2298</v>
      </c>
      <c r="CG14" s="78" t="s">
        <v>2299</v>
      </c>
      <c r="CH14" s="78" t="s">
        <v>2300</v>
      </c>
      <c r="CI14" s="78" t="s">
        <v>2301</v>
      </c>
      <c r="CJ14" s="78" t="s">
        <v>2302</v>
      </c>
      <c r="CK14" s="78" t="s">
        <v>2303</v>
      </c>
      <c r="CL14" s="78" t="s">
        <v>2304</v>
      </c>
      <c r="CM14" s="78" t="s">
        <v>2305</v>
      </c>
      <c r="CN14" s="78" t="s">
        <v>2306</v>
      </c>
      <c r="CO14" s="78" t="s">
        <v>2307</v>
      </c>
      <c r="CP14" s="78" t="s">
        <v>2308</v>
      </c>
      <c r="CQ14" s="78" t="s">
        <v>2309</v>
      </c>
      <c r="CR14" s="78" t="s">
        <v>1863</v>
      </c>
    </row>
    <row r="15" spans="1:96" x14ac:dyDescent="0.25">
      <c r="A15" s="143" t="s">
        <v>775</v>
      </c>
      <c r="B15" s="143" t="s">
        <v>766</v>
      </c>
      <c r="C15" s="137">
        <v>1</v>
      </c>
      <c r="D15" s="137">
        <v>1</v>
      </c>
      <c r="E15" s="137">
        <v>1</v>
      </c>
      <c r="F15" s="137">
        <v>0.875</v>
      </c>
      <c r="G15" s="137">
        <v>1</v>
      </c>
      <c r="H15" s="137">
        <v>1</v>
      </c>
      <c r="I15" s="137">
        <v>0.375</v>
      </c>
      <c r="J15" s="137">
        <v>0.75</v>
      </c>
      <c r="K15" s="137">
        <v>1</v>
      </c>
      <c r="L15" s="137">
        <v>1</v>
      </c>
      <c r="M15" s="137">
        <v>1</v>
      </c>
      <c r="N15" s="137">
        <v>1</v>
      </c>
      <c r="O15" s="137">
        <v>1</v>
      </c>
      <c r="P15" s="137">
        <v>1</v>
      </c>
      <c r="Q15" s="137">
        <v>1</v>
      </c>
      <c r="R15" s="137">
        <v>1</v>
      </c>
      <c r="S15" s="137">
        <v>0.875</v>
      </c>
      <c r="T15" s="137">
        <v>0.625</v>
      </c>
      <c r="U15" s="137">
        <v>0.375</v>
      </c>
      <c r="V15" s="137">
        <v>1</v>
      </c>
      <c r="W15" s="137">
        <v>1</v>
      </c>
      <c r="X15" s="137">
        <v>1</v>
      </c>
      <c r="Y15" s="137">
        <v>1</v>
      </c>
      <c r="Z15" s="137">
        <v>0.875</v>
      </c>
      <c r="AA15" s="137">
        <v>1</v>
      </c>
      <c r="AB15" s="137">
        <v>0.5</v>
      </c>
      <c r="AC15" s="137">
        <v>0.5</v>
      </c>
      <c r="AD15" s="137">
        <v>0.5</v>
      </c>
      <c r="AE15" s="137">
        <v>0.5</v>
      </c>
      <c r="AF15" s="137">
        <v>0.75</v>
      </c>
      <c r="AG15" s="137">
        <v>1</v>
      </c>
      <c r="AH15" s="137">
        <v>0.875</v>
      </c>
      <c r="AI15" s="137">
        <v>1</v>
      </c>
      <c r="AJ15" s="137">
        <v>1</v>
      </c>
      <c r="AK15" s="137">
        <v>0.625</v>
      </c>
      <c r="AL15" s="137">
        <v>0.875</v>
      </c>
      <c r="AM15" s="137">
        <v>0.875</v>
      </c>
      <c r="AN15" s="137">
        <v>1</v>
      </c>
      <c r="AO15" s="137">
        <v>0.875</v>
      </c>
      <c r="AP15" s="137">
        <v>1</v>
      </c>
      <c r="AQ15" s="137">
        <v>0.875</v>
      </c>
      <c r="AR15" s="137">
        <v>0.5</v>
      </c>
      <c r="AS15" s="137">
        <v>1</v>
      </c>
      <c r="AT15" s="137">
        <v>1</v>
      </c>
      <c r="AU15" s="137">
        <v>0.375</v>
      </c>
      <c r="AV15" s="137">
        <v>0.85277780000000003</v>
      </c>
      <c r="AX15" s="143" t="s">
        <v>775</v>
      </c>
      <c r="AY15" s="143" t="s">
        <v>766</v>
      </c>
      <c r="AZ15" s="78" t="s">
        <v>2310</v>
      </c>
      <c r="BA15" s="78" t="s">
        <v>2311</v>
      </c>
      <c r="BB15" s="78" t="s">
        <v>2312</v>
      </c>
      <c r="BC15" s="78" t="s">
        <v>2313</v>
      </c>
      <c r="BD15" s="78" t="s">
        <v>2314</v>
      </c>
      <c r="BE15" s="78" t="s">
        <v>2315</v>
      </c>
      <c r="BF15" s="78" t="s">
        <v>2316</v>
      </c>
      <c r="BG15" s="78" t="s">
        <v>2317</v>
      </c>
      <c r="BH15" s="78" t="s">
        <v>2318</v>
      </c>
      <c r="BI15" s="78" t="s">
        <v>2319</v>
      </c>
      <c r="BJ15" s="78" t="s">
        <v>2320</v>
      </c>
      <c r="BK15" s="78" t="s">
        <v>2321</v>
      </c>
      <c r="BL15" s="78" t="s">
        <v>2322</v>
      </c>
      <c r="BM15" s="78" t="s">
        <v>2323</v>
      </c>
      <c r="BN15" s="78" t="s">
        <v>2324</v>
      </c>
      <c r="BO15" s="78" t="s">
        <v>2325</v>
      </c>
      <c r="BP15" s="78" t="s">
        <v>2326</v>
      </c>
      <c r="BQ15" s="78" t="s">
        <v>2327</v>
      </c>
      <c r="BR15" s="78" t="s">
        <v>2328</v>
      </c>
      <c r="BS15" s="78" t="s">
        <v>2329</v>
      </c>
      <c r="BT15" s="78" t="s">
        <v>2330</v>
      </c>
      <c r="BU15" s="78" t="s">
        <v>2331</v>
      </c>
      <c r="BV15" s="78" t="s">
        <v>2332</v>
      </c>
      <c r="BW15" s="78" t="s">
        <v>2333</v>
      </c>
      <c r="BX15" s="78" t="s">
        <v>2334</v>
      </c>
      <c r="BY15" s="78" t="s">
        <v>2335</v>
      </c>
      <c r="BZ15" s="78" t="s">
        <v>2336</v>
      </c>
      <c r="CA15" s="78" t="s">
        <v>2337</v>
      </c>
      <c r="CB15" s="78" t="s">
        <v>2338</v>
      </c>
      <c r="CC15" s="78" t="s">
        <v>2339</v>
      </c>
      <c r="CD15" s="78" t="s">
        <v>2340</v>
      </c>
      <c r="CE15" s="78" t="s">
        <v>2341</v>
      </c>
      <c r="CF15" s="78" t="s">
        <v>2342</v>
      </c>
      <c r="CG15" s="78" t="s">
        <v>2343</v>
      </c>
      <c r="CH15" s="78" t="s">
        <v>2344</v>
      </c>
      <c r="CI15" s="78" t="s">
        <v>2345</v>
      </c>
      <c r="CJ15" s="78" t="s">
        <v>2346</v>
      </c>
      <c r="CK15" s="78" t="s">
        <v>2347</v>
      </c>
      <c r="CL15" s="78" t="s">
        <v>2348</v>
      </c>
      <c r="CM15" s="78" t="s">
        <v>2349</v>
      </c>
      <c r="CN15" s="78" t="s">
        <v>2350</v>
      </c>
      <c r="CO15" s="78" t="s">
        <v>2351</v>
      </c>
      <c r="CP15" s="78" t="s">
        <v>2352</v>
      </c>
      <c r="CQ15" s="78" t="s">
        <v>2353</v>
      </c>
      <c r="CR15" s="78" t="s">
        <v>2354</v>
      </c>
    </row>
    <row r="16" spans="1:96" x14ac:dyDescent="0.25">
      <c r="A16" s="143" t="s">
        <v>776</v>
      </c>
      <c r="B16" s="143" t="s">
        <v>777</v>
      </c>
      <c r="C16" s="137">
        <v>1</v>
      </c>
      <c r="D16" s="137">
        <v>1</v>
      </c>
      <c r="E16" s="137">
        <v>0.8</v>
      </c>
      <c r="F16" s="137">
        <v>1</v>
      </c>
      <c r="G16" s="137">
        <v>1</v>
      </c>
      <c r="H16" s="137">
        <v>1</v>
      </c>
      <c r="I16" s="137">
        <v>0.2</v>
      </c>
      <c r="J16" s="137">
        <v>1</v>
      </c>
      <c r="K16" s="137">
        <v>1</v>
      </c>
      <c r="L16" s="137">
        <v>1</v>
      </c>
      <c r="M16" s="137">
        <v>1</v>
      </c>
      <c r="N16" s="137">
        <v>1</v>
      </c>
      <c r="O16" s="137">
        <v>1</v>
      </c>
      <c r="P16" s="137">
        <v>1</v>
      </c>
      <c r="Q16" s="137">
        <v>1</v>
      </c>
      <c r="R16" s="137">
        <v>0.8</v>
      </c>
      <c r="S16" s="137">
        <v>1</v>
      </c>
      <c r="T16" s="137">
        <v>1</v>
      </c>
      <c r="U16" s="137">
        <v>0.6</v>
      </c>
      <c r="V16" s="137">
        <v>1</v>
      </c>
      <c r="W16" s="137">
        <v>1</v>
      </c>
      <c r="X16" s="137">
        <v>1</v>
      </c>
      <c r="Y16" s="137">
        <v>1</v>
      </c>
      <c r="Z16" s="137">
        <v>1</v>
      </c>
      <c r="AA16" s="137">
        <v>1</v>
      </c>
      <c r="AB16" s="137">
        <v>0.6</v>
      </c>
      <c r="AC16" s="137">
        <v>0.4</v>
      </c>
      <c r="AD16" s="137">
        <v>0.6</v>
      </c>
      <c r="AE16" s="137">
        <v>1</v>
      </c>
      <c r="AF16" s="137">
        <v>1</v>
      </c>
      <c r="AG16" s="137">
        <v>1</v>
      </c>
      <c r="AH16" s="137">
        <v>1</v>
      </c>
      <c r="AI16" s="137">
        <v>1</v>
      </c>
      <c r="AJ16" s="137">
        <v>0.8</v>
      </c>
      <c r="AK16" s="137">
        <v>1</v>
      </c>
      <c r="AL16" s="137">
        <v>1</v>
      </c>
      <c r="AM16" s="137">
        <v>1</v>
      </c>
      <c r="AN16" s="137">
        <v>1</v>
      </c>
      <c r="AO16" s="137">
        <v>1</v>
      </c>
      <c r="AP16" s="137">
        <v>1</v>
      </c>
      <c r="AQ16" s="137">
        <v>0.8</v>
      </c>
      <c r="AR16" s="137">
        <v>0.2</v>
      </c>
      <c r="AS16" s="137">
        <v>1</v>
      </c>
      <c r="AT16" s="137">
        <v>1</v>
      </c>
      <c r="AU16" s="137">
        <v>0.2</v>
      </c>
      <c r="AV16" s="137">
        <v>0.88888889999999998</v>
      </c>
      <c r="AX16" s="143" t="s">
        <v>776</v>
      </c>
      <c r="AY16" s="143" t="s">
        <v>777</v>
      </c>
      <c r="AZ16" s="78" t="s">
        <v>2355</v>
      </c>
      <c r="BA16" s="78" t="s">
        <v>2356</v>
      </c>
      <c r="BB16" s="78" t="s">
        <v>2357</v>
      </c>
      <c r="BC16" s="78" t="s">
        <v>2358</v>
      </c>
      <c r="BD16" s="78" t="s">
        <v>2359</v>
      </c>
      <c r="BE16" s="78" t="s">
        <v>2360</v>
      </c>
      <c r="BF16" s="78" t="s">
        <v>2017</v>
      </c>
      <c r="BG16" s="78" t="s">
        <v>2361</v>
      </c>
      <c r="BH16" s="78" t="s">
        <v>2362</v>
      </c>
      <c r="BI16" s="78" t="s">
        <v>2363</v>
      </c>
      <c r="BJ16" s="78" t="s">
        <v>2364</v>
      </c>
      <c r="BK16" s="78" t="s">
        <v>2365</v>
      </c>
      <c r="BL16" s="78" t="s">
        <v>2366</v>
      </c>
      <c r="BM16" s="78" t="s">
        <v>2367</v>
      </c>
      <c r="BN16" s="78" t="s">
        <v>2368</v>
      </c>
      <c r="BO16" s="78" t="s">
        <v>2369</v>
      </c>
      <c r="BP16" s="78" t="s">
        <v>2370</v>
      </c>
      <c r="BQ16" s="78" t="s">
        <v>2371</v>
      </c>
      <c r="BR16" s="78" t="s">
        <v>2372</v>
      </c>
      <c r="BS16" s="78" t="s">
        <v>2373</v>
      </c>
      <c r="BT16" s="78" t="s">
        <v>2374</v>
      </c>
      <c r="BU16" s="78" t="s">
        <v>2375</v>
      </c>
      <c r="BV16" s="78" t="s">
        <v>2376</v>
      </c>
      <c r="BW16" s="78" t="s">
        <v>2377</v>
      </c>
      <c r="BX16" s="78" t="s">
        <v>2378</v>
      </c>
      <c r="BY16" s="78" t="s">
        <v>2379</v>
      </c>
      <c r="BZ16" s="78" t="s">
        <v>2380</v>
      </c>
      <c r="CA16" s="78" t="s">
        <v>2381</v>
      </c>
      <c r="CB16" s="78" t="s">
        <v>2382</v>
      </c>
      <c r="CC16" s="78" t="s">
        <v>2383</v>
      </c>
      <c r="CD16" s="78" t="s">
        <v>2384</v>
      </c>
      <c r="CE16" s="78" t="s">
        <v>2385</v>
      </c>
      <c r="CF16" s="78" t="s">
        <v>2386</v>
      </c>
      <c r="CG16" s="78" t="s">
        <v>2387</v>
      </c>
      <c r="CH16" s="78" t="s">
        <v>2388</v>
      </c>
      <c r="CI16" s="78" t="s">
        <v>2389</v>
      </c>
      <c r="CJ16" s="78" t="s">
        <v>2390</v>
      </c>
      <c r="CK16" s="78" t="s">
        <v>2391</v>
      </c>
      <c r="CL16" s="78" t="s">
        <v>2392</v>
      </c>
      <c r="CM16" s="78" t="s">
        <v>2393</v>
      </c>
      <c r="CN16" s="78" t="s">
        <v>2394</v>
      </c>
      <c r="CO16" s="78" t="s">
        <v>2395</v>
      </c>
      <c r="CP16" s="78" t="s">
        <v>2396</v>
      </c>
      <c r="CQ16" s="78" t="s">
        <v>2397</v>
      </c>
      <c r="CR16" s="78" t="s">
        <v>2043</v>
      </c>
    </row>
    <row r="17" spans="1:96" x14ac:dyDescent="0.25">
      <c r="A17" s="143" t="s">
        <v>778</v>
      </c>
      <c r="B17" s="143" t="s">
        <v>766</v>
      </c>
      <c r="C17" s="137">
        <v>0.85714290000000004</v>
      </c>
      <c r="D17" s="137">
        <v>0.71428570000000002</v>
      </c>
      <c r="E17" s="137">
        <v>0.85714290000000004</v>
      </c>
      <c r="F17" s="137">
        <v>0.14285709999999999</v>
      </c>
      <c r="G17" s="137">
        <v>0.71428570000000002</v>
      </c>
      <c r="H17" s="137">
        <v>0.71428570000000002</v>
      </c>
      <c r="I17" s="137">
        <v>0.28571429999999998</v>
      </c>
      <c r="J17" s="137">
        <v>0.42857139999999999</v>
      </c>
      <c r="K17" s="137">
        <v>1</v>
      </c>
      <c r="L17" s="137">
        <v>1</v>
      </c>
      <c r="M17" s="137">
        <v>1</v>
      </c>
      <c r="N17" s="137">
        <v>0.85714290000000004</v>
      </c>
      <c r="O17" s="137">
        <v>1</v>
      </c>
      <c r="P17" s="137">
        <v>1</v>
      </c>
      <c r="Q17" s="137">
        <v>0.28571429999999998</v>
      </c>
      <c r="R17" s="137">
        <v>1</v>
      </c>
      <c r="S17" s="137">
        <v>0.71428570000000002</v>
      </c>
      <c r="T17" s="137">
        <v>1</v>
      </c>
      <c r="U17" s="137">
        <v>0.28571429999999998</v>
      </c>
      <c r="V17" s="137">
        <v>1</v>
      </c>
      <c r="W17" s="137">
        <v>1</v>
      </c>
      <c r="X17" s="137">
        <v>0.85714290000000004</v>
      </c>
      <c r="Y17" s="137">
        <v>0.85714290000000004</v>
      </c>
      <c r="Z17" s="137">
        <v>1</v>
      </c>
      <c r="AA17" s="137">
        <v>1</v>
      </c>
      <c r="AB17" s="137">
        <v>0.42857139999999999</v>
      </c>
      <c r="AC17" s="137">
        <v>0.42857139999999999</v>
      </c>
      <c r="AD17" s="137">
        <v>0.42857139999999999</v>
      </c>
      <c r="AE17" s="137">
        <v>0.71428570000000002</v>
      </c>
      <c r="AF17" s="137">
        <v>0.85714290000000004</v>
      </c>
      <c r="AG17" s="137">
        <v>0.85714290000000004</v>
      </c>
      <c r="AH17" s="137">
        <v>1</v>
      </c>
      <c r="AI17" s="137">
        <v>0.71428570000000002</v>
      </c>
      <c r="AJ17" s="137">
        <v>0.85714290000000004</v>
      </c>
      <c r="AK17" s="137">
        <v>0.85714290000000004</v>
      </c>
      <c r="AL17" s="137">
        <v>0.71428570000000002</v>
      </c>
      <c r="AM17" s="137">
        <v>0.85714290000000004</v>
      </c>
      <c r="AN17" s="137">
        <v>1</v>
      </c>
      <c r="AO17" s="137">
        <v>0.71428570000000002</v>
      </c>
      <c r="AP17" s="137">
        <v>0.85714290000000004</v>
      </c>
      <c r="AQ17" s="137">
        <v>0.42857139999999999</v>
      </c>
      <c r="AR17" s="137">
        <v>0.42857139999999999</v>
      </c>
      <c r="AS17" s="137">
        <v>1</v>
      </c>
      <c r="AT17" s="137">
        <v>0.85714290000000004</v>
      </c>
      <c r="AU17" s="137">
        <v>0.14285709999999999</v>
      </c>
      <c r="AV17" s="137">
        <v>0.74920640000000005</v>
      </c>
      <c r="AX17" s="143" t="s">
        <v>778</v>
      </c>
      <c r="AY17" s="143" t="s">
        <v>766</v>
      </c>
      <c r="AZ17" s="78" t="s">
        <v>2398</v>
      </c>
      <c r="BA17" s="78" t="s">
        <v>2399</v>
      </c>
      <c r="BB17" s="78" t="s">
        <v>2400</v>
      </c>
      <c r="BC17" s="78" t="s">
        <v>2401</v>
      </c>
      <c r="BD17" s="78" t="s">
        <v>2402</v>
      </c>
      <c r="BE17" s="78" t="s">
        <v>2403</v>
      </c>
      <c r="BF17" s="78" t="s">
        <v>2404</v>
      </c>
      <c r="BG17" s="78" t="s">
        <v>2405</v>
      </c>
      <c r="BH17" s="78" t="s">
        <v>2406</v>
      </c>
      <c r="BI17" s="78" t="s">
        <v>2407</v>
      </c>
      <c r="BJ17" s="78" t="s">
        <v>2408</v>
      </c>
      <c r="BK17" s="78" t="s">
        <v>2409</v>
      </c>
      <c r="BL17" s="78" t="s">
        <v>2410</v>
      </c>
      <c r="BM17" s="78" t="s">
        <v>2411</v>
      </c>
      <c r="BN17" s="78" t="s">
        <v>2412</v>
      </c>
      <c r="BO17" s="78" t="s">
        <v>2413</v>
      </c>
      <c r="BP17" s="78" t="s">
        <v>2414</v>
      </c>
      <c r="BQ17" s="78" t="s">
        <v>2415</v>
      </c>
      <c r="BR17" s="78" t="s">
        <v>2416</v>
      </c>
      <c r="BS17" s="78" t="s">
        <v>2417</v>
      </c>
      <c r="BT17" s="78" t="s">
        <v>2418</v>
      </c>
      <c r="BU17" s="78" t="s">
        <v>2419</v>
      </c>
      <c r="BV17" s="78" t="s">
        <v>2420</v>
      </c>
      <c r="BW17" s="78" t="s">
        <v>2421</v>
      </c>
      <c r="BX17" s="78" t="s">
        <v>2422</v>
      </c>
      <c r="BY17" s="78" t="s">
        <v>2423</v>
      </c>
      <c r="BZ17" s="78" t="s">
        <v>2424</v>
      </c>
      <c r="CA17" s="78" t="s">
        <v>2425</v>
      </c>
      <c r="CB17" s="78" t="s">
        <v>2426</v>
      </c>
      <c r="CC17" s="78" t="s">
        <v>2427</v>
      </c>
      <c r="CD17" s="78" t="s">
        <v>2428</v>
      </c>
      <c r="CE17" s="78" t="s">
        <v>2429</v>
      </c>
      <c r="CF17" s="78" t="s">
        <v>2430</v>
      </c>
      <c r="CG17" s="78" t="s">
        <v>2431</v>
      </c>
      <c r="CH17" s="78" t="s">
        <v>2432</v>
      </c>
      <c r="CI17" s="78" t="s">
        <v>2433</v>
      </c>
      <c r="CJ17" s="78" t="s">
        <v>2434</v>
      </c>
      <c r="CK17" s="78" t="s">
        <v>2435</v>
      </c>
      <c r="CL17" s="78" t="s">
        <v>2436</v>
      </c>
      <c r="CM17" s="78" t="s">
        <v>2437</v>
      </c>
      <c r="CN17" s="78" t="s">
        <v>2438</v>
      </c>
      <c r="CO17" s="78" t="s">
        <v>2439</v>
      </c>
      <c r="CP17" s="78" t="s">
        <v>2440</v>
      </c>
      <c r="CQ17" s="78" t="s">
        <v>2441</v>
      </c>
      <c r="CR17" s="78" t="s">
        <v>2442</v>
      </c>
    </row>
    <row r="18" spans="1:96" x14ac:dyDescent="0.25">
      <c r="A18" s="143" t="s">
        <v>779</v>
      </c>
      <c r="B18" s="143" t="s">
        <v>780</v>
      </c>
      <c r="C18" s="137">
        <v>1</v>
      </c>
      <c r="D18" s="137">
        <v>1</v>
      </c>
      <c r="E18" s="137">
        <v>1</v>
      </c>
      <c r="F18" s="137">
        <v>0.875</v>
      </c>
      <c r="G18" s="137">
        <v>1</v>
      </c>
      <c r="H18" s="137">
        <v>1</v>
      </c>
      <c r="I18" s="137">
        <v>0.25</v>
      </c>
      <c r="J18" s="137">
        <v>1</v>
      </c>
      <c r="K18" s="137">
        <v>1</v>
      </c>
      <c r="L18" s="137">
        <v>1</v>
      </c>
      <c r="M18" s="137">
        <v>1</v>
      </c>
      <c r="N18" s="137">
        <v>1</v>
      </c>
      <c r="O18" s="137">
        <v>1</v>
      </c>
      <c r="P18" s="137">
        <v>1</v>
      </c>
      <c r="Q18" s="137">
        <v>0.75</v>
      </c>
      <c r="R18" s="137">
        <v>1</v>
      </c>
      <c r="S18" s="137">
        <v>0.75</v>
      </c>
      <c r="T18" s="137">
        <v>1</v>
      </c>
      <c r="U18" s="137">
        <v>0.375</v>
      </c>
      <c r="V18" s="137">
        <v>1</v>
      </c>
      <c r="W18" s="137">
        <v>1</v>
      </c>
      <c r="X18" s="137">
        <v>1</v>
      </c>
      <c r="Y18" s="137">
        <v>0.625</v>
      </c>
      <c r="Z18" s="137">
        <v>1</v>
      </c>
      <c r="AA18" s="137">
        <v>1</v>
      </c>
      <c r="AB18" s="137">
        <v>0.375</v>
      </c>
      <c r="AC18" s="137">
        <v>0.375</v>
      </c>
      <c r="AD18" s="137">
        <v>0.375</v>
      </c>
      <c r="AE18" s="137">
        <v>0.375</v>
      </c>
      <c r="AF18" s="137">
        <v>0.75</v>
      </c>
      <c r="AG18" s="137">
        <v>1</v>
      </c>
      <c r="AH18" s="137">
        <v>1</v>
      </c>
      <c r="AI18" s="137">
        <v>0</v>
      </c>
      <c r="AJ18" s="137">
        <v>0.875</v>
      </c>
      <c r="AK18" s="137">
        <v>0</v>
      </c>
      <c r="AL18" s="137">
        <v>1</v>
      </c>
      <c r="AM18" s="137">
        <v>0.875</v>
      </c>
      <c r="AN18" s="137">
        <v>0.875</v>
      </c>
      <c r="AO18" s="137">
        <v>0.5</v>
      </c>
      <c r="AP18" s="137">
        <v>0.375</v>
      </c>
      <c r="AQ18" s="137">
        <v>0.25</v>
      </c>
      <c r="AR18" s="137">
        <v>0.375</v>
      </c>
      <c r="AS18" s="137">
        <v>1</v>
      </c>
      <c r="AT18" s="137">
        <v>1</v>
      </c>
      <c r="AU18" s="137">
        <v>0.375</v>
      </c>
      <c r="AV18" s="137">
        <v>0.76388889999999998</v>
      </c>
      <c r="AX18" s="143" t="s">
        <v>779</v>
      </c>
      <c r="AY18" s="143" t="s">
        <v>780</v>
      </c>
      <c r="AZ18" s="78" t="s">
        <v>2443</v>
      </c>
      <c r="BA18" s="78" t="s">
        <v>2444</v>
      </c>
      <c r="BB18" s="78" t="s">
        <v>2445</v>
      </c>
      <c r="BC18" s="78" t="s">
        <v>2446</v>
      </c>
      <c r="BD18" s="78" t="s">
        <v>2447</v>
      </c>
      <c r="BE18" s="78" t="s">
        <v>2448</v>
      </c>
      <c r="BF18" s="78" t="s">
        <v>2449</v>
      </c>
      <c r="BG18" s="78" t="s">
        <v>2450</v>
      </c>
      <c r="BH18" s="78" t="s">
        <v>2451</v>
      </c>
      <c r="BI18" s="78" t="s">
        <v>2452</v>
      </c>
      <c r="BJ18" s="78" t="s">
        <v>2453</v>
      </c>
      <c r="BK18" s="78" t="s">
        <v>2454</v>
      </c>
      <c r="BL18" s="78" t="s">
        <v>2455</v>
      </c>
      <c r="BM18" s="78" t="s">
        <v>2456</v>
      </c>
      <c r="BN18" s="78" t="s">
        <v>2457</v>
      </c>
      <c r="BO18" s="78" t="s">
        <v>2458</v>
      </c>
      <c r="BP18" s="78" t="s">
        <v>2459</v>
      </c>
      <c r="BQ18" s="78" t="s">
        <v>2460</v>
      </c>
      <c r="BR18" s="78" t="s">
        <v>2461</v>
      </c>
      <c r="BS18" s="78" t="s">
        <v>2462</v>
      </c>
      <c r="BT18" s="78" t="s">
        <v>2463</v>
      </c>
      <c r="BU18" s="78" t="s">
        <v>2464</v>
      </c>
      <c r="BV18" s="78" t="s">
        <v>2465</v>
      </c>
      <c r="BW18" s="78" t="s">
        <v>2466</v>
      </c>
      <c r="BX18" s="78" t="s">
        <v>2467</v>
      </c>
      <c r="BY18" s="78" t="s">
        <v>2468</v>
      </c>
      <c r="BZ18" s="78" t="s">
        <v>2469</v>
      </c>
      <c r="CA18" s="78" t="s">
        <v>2470</v>
      </c>
      <c r="CB18" s="78" t="s">
        <v>2471</v>
      </c>
      <c r="CC18" s="78" t="s">
        <v>2472</v>
      </c>
      <c r="CD18" s="78" t="s">
        <v>2473</v>
      </c>
      <c r="CE18" s="78" t="s">
        <v>2474</v>
      </c>
      <c r="CF18" s="78" t="s">
        <v>2475</v>
      </c>
      <c r="CG18" s="78" t="s">
        <v>2476</v>
      </c>
      <c r="CH18" s="78" t="s">
        <v>2477</v>
      </c>
      <c r="CI18" s="78" t="s">
        <v>2478</v>
      </c>
      <c r="CJ18" s="78" t="s">
        <v>2479</v>
      </c>
      <c r="CK18" s="78" t="s">
        <v>2480</v>
      </c>
      <c r="CL18" s="78" t="s">
        <v>2481</v>
      </c>
      <c r="CM18" s="78" t="s">
        <v>2482</v>
      </c>
      <c r="CN18" s="78" t="s">
        <v>2483</v>
      </c>
      <c r="CO18" s="78" t="s">
        <v>2484</v>
      </c>
      <c r="CP18" s="78" t="s">
        <v>2485</v>
      </c>
      <c r="CQ18" s="78" t="s">
        <v>2486</v>
      </c>
      <c r="CR18" s="78" t="s">
        <v>2487</v>
      </c>
    </row>
    <row r="19" spans="1:96" x14ac:dyDescent="0.25">
      <c r="A19" s="143" t="s">
        <v>781</v>
      </c>
      <c r="B19" s="143" t="s">
        <v>782</v>
      </c>
      <c r="C19" s="137">
        <v>1</v>
      </c>
      <c r="D19" s="137">
        <v>0.83333330000000005</v>
      </c>
      <c r="E19" s="137">
        <v>1</v>
      </c>
      <c r="F19" s="137">
        <v>1</v>
      </c>
      <c r="G19" s="137">
        <v>1</v>
      </c>
      <c r="H19" s="137">
        <v>1</v>
      </c>
      <c r="I19" s="137">
        <v>0.3333333</v>
      </c>
      <c r="J19" s="137">
        <v>1</v>
      </c>
      <c r="K19" s="137">
        <v>0.83333330000000005</v>
      </c>
      <c r="L19" s="137">
        <v>1</v>
      </c>
      <c r="M19" s="137">
        <v>1</v>
      </c>
      <c r="N19" s="137">
        <v>1</v>
      </c>
      <c r="O19" s="137">
        <v>1</v>
      </c>
      <c r="P19" s="137">
        <v>1</v>
      </c>
      <c r="Q19" s="137">
        <v>0.83333330000000005</v>
      </c>
      <c r="R19" s="137">
        <v>1</v>
      </c>
      <c r="S19" s="137">
        <v>0.66666669999999995</v>
      </c>
      <c r="T19" s="137">
        <v>1</v>
      </c>
      <c r="U19" s="137">
        <v>0</v>
      </c>
      <c r="V19" s="137">
        <v>0.83333330000000005</v>
      </c>
      <c r="W19" s="137">
        <v>1</v>
      </c>
      <c r="X19" s="137">
        <v>1</v>
      </c>
      <c r="Y19" s="137">
        <v>1</v>
      </c>
      <c r="Z19" s="137">
        <v>1</v>
      </c>
      <c r="AA19" s="137">
        <v>0.66666669999999995</v>
      </c>
      <c r="AB19" s="137">
        <v>0.5</v>
      </c>
      <c r="AC19" s="137">
        <v>0.5</v>
      </c>
      <c r="AD19" s="137">
        <v>0.5</v>
      </c>
      <c r="AE19" s="137">
        <v>0.83333330000000005</v>
      </c>
      <c r="AF19" s="137">
        <v>0.83333330000000005</v>
      </c>
      <c r="AG19" s="137">
        <v>1</v>
      </c>
      <c r="AH19" s="137">
        <v>1</v>
      </c>
      <c r="AI19" s="137">
        <v>1</v>
      </c>
      <c r="AJ19" s="137">
        <v>1</v>
      </c>
      <c r="AK19" s="137">
        <v>0.83333330000000005</v>
      </c>
      <c r="AL19" s="137">
        <v>0.5</v>
      </c>
      <c r="AM19" s="137">
        <v>1</v>
      </c>
      <c r="AN19" s="137">
        <v>1</v>
      </c>
      <c r="AO19" s="137">
        <v>1</v>
      </c>
      <c r="AP19" s="137">
        <v>1</v>
      </c>
      <c r="AQ19" s="137">
        <v>0.83333330000000005</v>
      </c>
      <c r="AR19" s="137">
        <v>1</v>
      </c>
      <c r="AS19" s="137">
        <v>1</v>
      </c>
      <c r="AT19" s="137">
        <v>1</v>
      </c>
      <c r="AU19" s="137">
        <v>0.3333333</v>
      </c>
      <c r="AV19" s="137">
        <v>0.8592592</v>
      </c>
      <c r="AX19" s="143" t="s">
        <v>781</v>
      </c>
      <c r="AY19" s="143" t="s">
        <v>782</v>
      </c>
      <c r="AZ19" s="78" t="s">
        <v>2488</v>
      </c>
      <c r="BA19" s="78" t="s">
        <v>2489</v>
      </c>
      <c r="BB19" s="78" t="s">
        <v>2490</v>
      </c>
      <c r="BC19" s="78" t="s">
        <v>2491</v>
      </c>
      <c r="BD19" s="78" t="s">
        <v>2492</v>
      </c>
      <c r="BE19" s="78" t="s">
        <v>2493</v>
      </c>
      <c r="BF19" s="78" t="s">
        <v>2494</v>
      </c>
      <c r="BG19" s="78" t="s">
        <v>2495</v>
      </c>
      <c r="BH19" s="78" t="s">
        <v>2496</v>
      </c>
      <c r="BI19" s="78" t="s">
        <v>2497</v>
      </c>
      <c r="BJ19" s="78" t="s">
        <v>2498</v>
      </c>
      <c r="BK19" s="78" t="s">
        <v>2499</v>
      </c>
      <c r="BL19" s="78" t="s">
        <v>2500</v>
      </c>
      <c r="BM19" s="78" t="s">
        <v>2501</v>
      </c>
      <c r="BN19" s="78" t="s">
        <v>2502</v>
      </c>
      <c r="BO19" s="78" t="s">
        <v>2503</v>
      </c>
      <c r="BP19" s="78" t="s">
        <v>2504</v>
      </c>
      <c r="BQ19" s="78" t="s">
        <v>2505</v>
      </c>
      <c r="BR19" s="78" t="s">
        <v>2506</v>
      </c>
      <c r="BS19" s="78" t="s">
        <v>2507</v>
      </c>
      <c r="BT19" s="78" t="s">
        <v>2508</v>
      </c>
      <c r="BU19" s="78" t="s">
        <v>2509</v>
      </c>
      <c r="BV19" s="78" t="s">
        <v>2510</v>
      </c>
      <c r="BW19" s="78" t="s">
        <v>2511</v>
      </c>
      <c r="BX19" s="78" t="s">
        <v>2512</v>
      </c>
      <c r="BY19" s="78" t="s">
        <v>2513</v>
      </c>
      <c r="BZ19" s="78" t="s">
        <v>2514</v>
      </c>
      <c r="CA19" s="78" t="s">
        <v>2515</v>
      </c>
      <c r="CB19" s="78" t="s">
        <v>2516</v>
      </c>
      <c r="CC19" s="78" t="s">
        <v>2517</v>
      </c>
      <c r="CD19" s="78" t="s">
        <v>2518</v>
      </c>
      <c r="CE19" s="78" t="s">
        <v>2519</v>
      </c>
      <c r="CF19" s="78" t="s">
        <v>2520</v>
      </c>
      <c r="CG19" s="78" t="s">
        <v>2521</v>
      </c>
      <c r="CH19" s="78" t="s">
        <v>2522</v>
      </c>
      <c r="CI19" s="78" t="s">
        <v>2523</v>
      </c>
      <c r="CJ19" s="78" t="s">
        <v>2524</v>
      </c>
      <c r="CK19" s="78" t="s">
        <v>2525</v>
      </c>
      <c r="CL19" s="78" t="s">
        <v>2526</v>
      </c>
      <c r="CM19" s="78" t="s">
        <v>2527</v>
      </c>
      <c r="CN19" s="78" t="s">
        <v>2528</v>
      </c>
      <c r="CO19" s="78" t="s">
        <v>2529</v>
      </c>
      <c r="CP19" s="78" t="s">
        <v>2530</v>
      </c>
      <c r="CQ19" s="78" t="s">
        <v>2531</v>
      </c>
      <c r="CR19" s="78" t="s">
        <v>2532</v>
      </c>
    </row>
    <row r="20" spans="1:96" x14ac:dyDescent="0.25">
      <c r="A20" s="143" t="s">
        <v>783</v>
      </c>
      <c r="B20" s="143" t="s">
        <v>772</v>
      </c>
      <c r="C20" s="137">
        <v>1</v>
      </c>
      <c r="D20" s="137">
        <v>1</v>
      </c>
      <c r="E20" s="137">
        <v>1</v>
      </c>
      <c r="F20" s="137">
        <v>1</v>
      </c>
      <c r="G20" s="137">
        <v>1</v>
      </c>
      <c r="H20" s="137">
        <v>1</v>
      </c>
      <c r="I20" s="137">
        <v>1</v>
      </c>
      <c r="J20" s="137">
        <v>1</v>
      </c>
      <c r="K20" s="137">
        <v>1</v>
      </c>
      <c r="L20" s="137">
        <v>1</v>
      </c>
      <c r="M20" s="137">
        <v>1</v>
      </c>
      <c r="N20" s="137">
        <v>1</v>
      </c>
      <c r="O20" s="137">
        <v>1</v>
      </c>
      <c r="P20" s="137">
        <v>1</v>
      </c>
      <c r="Q20" s="137">
        <v>0.75</v>
      </c>
      <c r="R20" s="137">
        <v>1</v>
      </c>
      <c r="S20" s="137">
        <v>1</v>
      </c>
      <c r="T20" s="137">
        <v>1</v>
      </c>
      <c r="U20" s="137">
        <v>1</v>
      </c>
      <c r="V20" s="137">
        <v>1</v>
      </c>
      <c r="W20" s="137">
        <v>1</v>
      </c>
      <c r="X20" s="137">
        <v>0.75</v>
      </c>
      <c r="Y20" s="137">
        <v>0</v>
      </c>
      <c r="Z20" s="137">
        <v>0.75</v>
      </c>
      <c r="AA20" s="137">
        <v>0.25</v>
      </c>
      <c r="AB20" s="137">
        <v>0.5</v>
      </c>
      <c r="AC20" s="137">
        <v>0.75</v>
      </c>
      <c r="AD20" s="137">
        <v>1</v>
      </c>
      <c r="AE20" s="137">
        <v>1</v>
      </c>
      <c r="AF20" s="137">
        <v>1</v>
      </c>
      <c r="AG20" s="137">
        <v>1</v>
      </c>
      <c r="AH20" s="137">
        <v>1</v>
      </c>
      <c r="AI20" s="137">
        <v>0.75</v>
      </c>
      <c r="AJ20" s="137">
        <v>1</v>
      </c>
      <c r="AK20" s="137">
        <v>1</v>
      </c>
      <c r="AL20" s="137">
        <v>0.5</v>
      </c>
      <c r="AM20" s="137">
        <v>0.75</v>
      </c>
      <c r="AN20" s="137">
        <v>1</v>
      </c>
      <c r="AO20" s="137">
        <v>1</v>
      </c>
      <c r="AP20" s="137">
        <v>0.75</v>
      </c>
      <c r="AQ20" s="137">
        <v>0.75</v>
      </c>
      <c r="AR20" s="137">
        <v>1</v>
      </c>
      <c r="AS20" s="137">
        <v>0.75</v>
      </c>
      <c r="AT20" s="137">
        <v>0.5</v>
      </c>
      <c r="AU20" s="137">
        <v>0.25</v>
      </c>
      <c r="AV20" s="137">
        <v>0.86111110000000002</v>
      </c>
      <c r="AX20" s="143" t="s">
        <v>783</v>
      </c>
      <c r="AY20" s="143" t="s">
        <v>772</v>
      </c>
      <c r="AZ20" s="78" t="s">
        <v>2533</v>
      </c>
      <c r="BA20" s="78" t="s">
        <v>2534</v>
      </c>
      <c r="BB20" s="78" t="s">
        <v>2535</v>
      </c>
      <c r="BC20" s="78" t="s">
        <v>2536</v>
      </c>
      <c r="BD20" s="78" t="s">
        <v>2537</v>
      </c>
      <c r="BE20" s="78" t="s">
        <v>2538</v>
      </c>
      <c r="BF20" s="78" t="s">
        <v>2539</v>
      </c>
      <c r="BG20" s="78" t="s">
        <v>2540</v>
      </c>
      <c r="BH20" s="78" t="s">
        <v>2541</v>
      </c>
      <c r="BI20" s="78" t="s">
        <v>2542</v>
      </c>
      <c r="BJ20" s="78" t="s">
        <v>2543</v>
      </c>
      <c r="BK20" s="78" t="s">
        <v>2544</v>
      </c>
      <c r="BL20" s="78" t="s">
        <v>2545</v>
      </c>
      <c r="BM20" s="78" t="s">
        <v>2546</v>
      </c>
      <c r="BN20" s="78" t="s">
        <v>2547</v>
      </c>
      <c r="BO20" s="78" t="s">
        <v>2548</v>
      </c>
      <c r="BP20" s="78" t="s">
        <v>2549</v>
      </c>
      <c r="BQ20" s="78" t="s">
        <v>2550</v>
      </c>
      <c r="BR20" s="78" t="s">
        <v>2551</v>
      </c>
      <c r="BS20" s="78" t="s">
        <v>2552</v>
      </c>
      <c r="BT20" s="78" t="s">
        <v>2553</v>
      </c>
      <c r="BU20" s="78" t="s">
        <v>2554</v>
      </c>
      <c r="BV20" s="78" t="s">
        <v>1863</v>
      </c>
      <c r="BW20" s="78" t="s">
        <v>2555</v>
      </c>
      <c r="BX20" s="78" t="s">
        <v>2556</v>
      </c>
      <c r="BY20" s="78" t="s">
        <v>2557</v>
      </c>
      <c r="BZ20" s="78" t="s">
        <v>2558</v>
      </c>
      <c r="CA20" s="78" t="s">
        <v>2559</v>
      </c>
      <c r="CB20" s="78" t="s">
        <v>2560</v>
      </c>
      <c r="CC20" s="78" t="s">
        <v>2561</v>
      </c>
      <c r="CD20" s="78" t="s">
        <v>2562</v>
      </c>
      <c r="CE20" s="78" t="s">
        <v>2563</v>
      </c>
      <c r="CF20" s="78" t="s">
        <v>2564</v>
      </c>
      <c r="CG20" s="78" t="s">
        <v>2565</v>
      </c>
      <c r="CH20" s="78" t="s">
        <v>2566</v>
      </c>
      <c r="CI20" s="78" t="s">
        <v>2567</v>
      </c>
      <c r="CJ20" s="78" t="s">
        <v>2568</v>
      </c>
      <c r="CK20" s="78" t="s">
        <v>2569</v>
      </c>
      <c r="CL20" s="78" t="s">
        <v>2570</v>
      </c>
      <c r="CM20" s="78" t="s">
        <v>2571</v>
      </c>
      <c r="CN20" s="78" t="s">
        <v>2572</v>
      </c>
      <c r="CO20" s="78" t="s">
        <v>2573</v>
      </c>
      <c r="CP20" s="78" t="s">
        <v>2574</v>
      </c>
      <c r="CQ20" s="78" t="s">
        <v>2575</v>
      </c>
      <c r="CR20" s="78" t="s">
        <v>2576</v>
      </c>
    </row>
    <row r="21" spans="1:96" x14ac:dyDescent="0.25">
      <c r="A21" s="143" t="s">
        <v>784</v>
      </c>
      <c r="B21" s="143" t="s">
        <v>768</v>
      </c>
      <c r="C21" s="137">
        <v>1</v>
      </c>
      <c r="D21" s="137">
        <v>1</v>
      </c>
      <c r="E21" s="137">
        <v>0.83333330000000005</v>
      </c>
      <c r="F21" s="137">
        <v>0.83333330000000005</v>
      </c>
      <c r="G21" s="137">
        <v>1</v>
      </c>
      <c r="H21" s="137">
        <v>1</v>
      </c>
      <c r="I21" s="137">
        <v>1</v>
      </c>
      <c r="J21" s="137">
        <v>1</v>
      </c>
      <c r="K21" s="137">
        <v>1</v>
      </c>
      <c r="L21" s="137">
        <v>1</v>
      </c>
      <c r="M21" s="137">
        <v>1</v>
      </c>
      <c r="N21" s="137">
        <v>1</v>
      </c>
      <c r="O21" s="137">
        <v>0.83333330000000005</v>
      </c>
      <c r="P21" s="137">
        <v>1</v>
      </c>
      <c r="Q21" s="137">
        <v>0.5</v>
      </c>
      <c r="R21" s="137">
        <v>1</v>
      </c>
      <c r="S21" s="137">
        <v>1</v>
      </c>
      <c r="T21" s="137">
        <v>0.5</v>
      </c>
      <c r="U21" s="137">
        <v>0.3333333</v>
      </c>
      <c r="V21" s="137">
        <v>1</v>
      </c>
      <c r="W21" s="137">
        <v>1</v>
      </c>
      <c r="X21" s="137">
        <v>0.83333330000000005</v>
      </c>
      <c r="Y21" s="137">
        <v>0.66666669999999995</v>
      </c>
      <c r="Z21" s="137">
        <v>1</v>
      </c>
      <c r="AA21" s="137">
        <v>1</v>
      </c>
      <c r="AB21" s="137">
        <v>0.83333330000000005</v>
      </c>
      <c r="AC21" s="137">
        <v>0.83333330000000005</v>
      </c>
      <c r="AD21" s="137">
        <v>0.83333330000000005</v>
      </c>
      <c r="AE21" s="137">
        <v>0.83333330000000005</v>
      </c>
      <c r="AF21" s="137">
        <v>0.83333330000000005</v>
      </c>
      <c r="AG21" s="137">
        <v>0.3333333</v>
      </c>
      <c r="AH21" s="137">
        <v>0.66666669999999995</v>
      </c>
      <c r="AI21" s="137">
        <v>1</v>
      </c>
      <c r="AJ21" s="137">
        <v>0.66666669999999995</v>
      </c>
      <c r="AK21" s="137">
        <v>0.1666667</v>
      </c>
      <c r="AL21" s="137">
        <v>1</v>
      </c>
      <c r="AM21" s="137">
        <v>0.83333330000000005</v>
      </c>
      <c r="AN21" s="137">
        <v>0.83333330000000005</v>
      </c>
      <c r="AO21" s="137">
        <v>1</v>
      </c>
      <c r="AP21" s="137">
        <v>0.66666669999999995</v>
      </c>
      <c r="AQ21" s="137">
        <v>0.3333333</v>
      </c>
      <c r="AR21" s="137">
        <v>1</v>
      </c>
      <c r="AS21" s="137">
        <v>0.83333330000000005</v>
      </c>
      <c r="AT21" s="137">
        <v>0.83333330000000005</v>
      </c>
      <c r="AU21" s="137">
        <v>0.5</v>
      </c>
      <c r="AV21" s="137">
        <v>0.82592589999999999</v>
      </c>
      <c r="AX21" s="143" t="s">
        <v>784</v>
      </c>
      <c r="AY21" s="143" t="s">
        <v>768</v>
      </c>
      <c r="AZ21" s="78" t="s">
        <v>2577</v>
      </c>
      <c r="BA21" s="78" t="s">
        <v>2578</v>
      </c>
      <c r="BB21" s="78" t="s">
        <v>2579</v>
      </c>
      <c r="BC21" s="78" t="s">
        <v>2580</v>
      </c>
      <c r="BD21" s="78" t="s">
        <v>2581</v>
      </c>
      <c r="BE21" s="78" t="s">
        <v>2582</v>
      </c>
      <c r="BF21" s="78" t="s">
        <v>2583</v>
      </c>
      <c r="BG21" s="78" t="s">
        <v>2584</v>
      </c>
      <c r="BH21" s="78" t="s">
        <v>2585</v>
      </c>
      <c r="BI21" s="78" t="s">
        <v>2586</v>
      </c>
      <c r="BJ21" s="78" t="s">
        <v>2587</v>
      </c>
      <c r="BK21" s="78" t="s">
        <v>2588</v>
      </c>
      <c r="BL21" s="78" t="s">
        <v>2589</v>
      </c>
      <c r="BM21" s="78" t="s">
        <v>2590</v>
      </c>
      <c r="BN21" s="78" t="s">
        <v>2591</v>
      </c>
      <c r="BO21" s="78" t="s">
        <v>2592</v>
      </c>
      <c r="BP21" s="78" t="s">
        <v>2593</v>
      </c>
      <c r="BQ21" s="78" t="s">
        <v>2594</v>
      </c>
      <c r="BR21" s="78" t="s">
        <v>2595</v>
      </c>
      <c r="BS21" s="78" t="s">
        <v>2596</v>
      </c>
      <c r="BT21" s="78" t="s">
        <v>2597</v>
      </c>
      <c r="BU21" s="78" t="s">
        <v>2598</v>
      </c>
      <c r="BV21" s="78" t="s">
        <v>2599</v>
      </c>
      <c r="BW21" s="78" t="s">
        <v>2600</v>
      </c>
      <c r="BX21" s="78" t="s">
        <v>2601</v>
      </c>
      <c r="BY21" s="78" t="s">
        <v>2602</v>
      </c>
      <c r="BZ21" s="78" t="s">
        <v>2603</v>
      </c>
      <c r="CA21" s="78" t="s">
        <v>2604</v>
      </c>
      <c r="CB21" s="78" t="s">
        <v>2605</v>
      </c>
      <c r="CC21" s="78" t="s">
        <v>2606</v>
      </c>
      <c r="CD21" s="78" t="s">
        <v>2607</v>
      </c>
      <c r="CE21" s="78" t="s">
        <v>2608</v>
      </c>
      <c r="CF21" s="78" t="s">
        <v>2609</v>
      </c>
      <c r="CG21" s="78" t="s">
        <v>2610</v>
      </c>
      <c r="CH21" s="78" t="s">
        <v>2611</v>
      </c>
      <c r="CI21" s="78" t="s">
        <v>2612</v>
      </c>
      <c r="CJ21" s="78" t="s">
        <v>2613</v>
      </c>
      <c r="CK21" s="78" t="s">
        <v>2614</v>
      </c>
      <c r="CL21" s="78" t="s">
        <v>2615</v>
      </c>
      <c r="CM21" s="78" t="s">
        <v>2616</v>
      </c>
      <c r="CN21" s="78" t="s">
        <v>2617</v>
      </c>
      <c r="CO21" s="78" t="s">
        <v>2618</v>
      </c>
      <c r="CP21" s="78" t="s">
        <v>2619</v>
      </c>
      <c r="CQ21" s="78" t="s">
        <v>2620</v>
      </c>
      <c r="CR21" s="78" t="s">
        <v>2621</v>
      </c>
    </row>
    <row r="22" spans="1:96" x14ac:dyDescent="0.25">
      <c r="A22" s="143" t="s">
        <v>785</v>
      </c>
      <c r="B22" s="143" t="s">
        <v>772</v>
      </c>
      <c r="C22" s="137">
        <v>0.28571429999999998</v>
      </c>
      <c r="D22" s="137">
        <v>0.14285709999999999</v>
      </c>
      <c r="E22" s="137">
        <v>0.14285709999999999</v>
      </c>
      <c r="F22" s="137">
        <v>1</v>
      </c>
      <c r="G22" s="137">
        <v>1</v>
      </c>
      <c r="H22" s="137">
        <v>0.71428570000000002</v>
      </c>
      <c r="I22" s="137">
        <v>0.28571429999999998</v>
      </c>
      <c r="J22" s="137">
        <v>0.57142859999999995</v>
      </c>
      <c r="K22" s="137">
        <v>0.85714290000000004</v>
      </c>
      <c r="L22" s="137">
        <v>1</v>
      </c>
      <c r="M22" s="137">
        <v>1</v>
      </c>
      <c r="N22" s="137">
        <v>0.85714290000000004</v>
      </c>
      <c r="O22" s="137">
        <v>0.85714290000000004</v>
      </c>
      <c r="P22" s="137">
        <v>0.85714290000000004</v>
      </c>
      <c r="Q22" s="137">
        <v>0.85714290000000004</v>
      </c>
      <c r="R22" s="137">
        <v>1</v>
      </c>
      <c r="S22" s="137">
        <v>0.57142859999999995</v>
      </c>
      <c r="T22" s="137">
        <v>1</v>
      </c>
      <c r="U22" s="137">
        <v>1</v>
      </c>
      <c r="V22" s="137">
        <v>1</v>
      </c>
      <c r="W22" s="137">
        <v>0.57142859999999995</v>
      </c>
      <c r="X22" s="137">
        <v>1</v>
      </c>
      <c r="Y22" s="137">
        <v>0.28571429999999998</v>
      </c>
      <c r="Z22" s="137">
        <v>0.85714290000000004</v>
      </c>
      <c r="AA22" s="137">
        <v>0.28571429999999998</v>
      </c>
      <c r="AB22" s="137">
        <v>0.71428570000000002</v>
      </c>
      <c r="AC22" s="137">
        <v>0.71428570000000002</v>
      </c>
      <c r="AD22" s="137">
        <v>0.85714290000000004</v>
      </c>
      <c r="AE22" s="137">
        <v>0.71428570000000002</v>
      </c>
      <c r="AF22" s="137">
        <v>0.42857139999999999</v>
      </c>
      <c r="AG22" s="137">
        <v>0.14285709999999999</v>
      </c>
      <c r="AH22" s="137">
        <v>0.71428570000000002</v>
      </c>
      <c r="AI22" s="137">
        <v>1</v>
      </c>
      <c r="AJ22" s="137">
        <v>0</v>
      </c>
      <c r="AK22" s="137">
        <v>0.28571429999999998</v>
      </c>
      <c r="AL22" s="137">
        <v>0.28571429999999998</v>
      </c>
      <c r="AM22" s="137">
        <v>0.71428570000000002</v>
      </c>
      <c r="AN22" s="137">
        <v>0.85714290000000004</v>
      </c>
      <c r="AO22" s="137">
        <v>0.85714290000000004</v>
      </c>
      <c r="AP22" s="137">
        <v>0.85714290000000004</v>
      </c>
      <c r="AQ22" s="137">
        <v>0.71428570000000002</v>
      </c>
      <c r="AR22" s="137">
        <v>1</v>
      </c>
      <c r="AS22" s="137">
        <v>0</v>
      </c>
      <c r="AT22" s="137">
        <v>0.42857139999999999</v>
      </c>
      <c r="AU22" s="137">
        <v>0.28571429999999998</v>
      </c>
      <c r="AV22" s="137">
        <v>0.65714289999999997</v>
      </c>
      <c r="AX22" s="143" t="s">
        <v>785</v>
      </c>
      <c r="AY22" s="143" t="s">
        <v>772</v>
      </c>
      <c r="AZ22" s="78" t="s">
        <v>2622</v>
      </c>
      <c r="BA22" s="78" t="s">
        <v>2623</v>
      </c>
      <c r="BB22" s="78" t="s">
        <v>2624</v>
      </c>
      <c r="BC22" s="78" t="s">
        <v>2625</v>
      </c>
      <c r="BD22" s="78" t="s">
        <v>2626</v>
      </c>
      <c r="BE22" s="78" t="s">
        <v>2627</v>
      </c>
      <c r="BF22" s="78" t="s">
        <v>2628</v>
      </c>
      <c r="BG22" s="78" t="s">
        <v>2629</v>
      </c>
      <c r="BH22" s="78" t="s">
        <v>2630</v>
      </c>
      <c r="BI22" s="78" t="s">
        <v>2631</v>
      </c>
      <c r="BJ22" s="78" t="s">
        <v>2632</v>
      </c>
      <c r="BK22" s="78" t="s">
        <v>2633</v>
      </c>
      <c r="BL22" s="78" t="s">
        <v>2634</v>
      </c>
      <c r="BM22" s="78" t="s">
        <v>2635</v>
      </c>
      <c r="BN22" s="78" t="s">
        <v>2636</v>
      </c>
      <c r="BO22" s="78" t="s">
        <v>2637</v>
      </c>
      <c r="BP22" s="78" t="s">
        <v>2638</v>
      </c>
      <c r="BQ22" s="78" t="s">
        <v>2639</v>
      </c>
      <c r="BR22" s="78" t="s">
        <v>2640</v>
      </c>
      <c r="BS22" s="78" t="s">
        <v>2641</v>
      </c>
      <c r="BT22" s="78" t="s">
        <v>2642</v>
      </c>
      <c r="BU22" s="78" t="s">
        <v>2643</v>
      </c>
      <c r="BV22" s="78" t="s">
        <v>2644</v>
      </c>
      <c r="BW22" s="78" t="s">
        <v>2645</v>
      </c>
      <c r="BX22" s="78" t="s">
        <v>2646</v>
      </c>
      <c r="BY22" s="78" t="s">
        <v>2647</v>
      </c>
      <c r="BZ22" s="78" t="s">
        <v>2648</v>
      </c>
      <c r="CA22" s="78" t="s">
        <v>2649</v>
      </c>
      <c r="CB22" s="78" t="s">
        <v>2650</v>
      </c>
      <c r="CC22" s="78" t="s">
        <v>2651</v>
      </c>
      <c r="CD22" s="78" t="s">
        <v>2652</v>
      </c>
      <c r="CE22" s="78" t="s">
        <v>2653</v>
      </c>
      <c r="CF22" s="78" t="s">
        <v>2654</v>
      </c>
      <c r="CG22" s="78" t="s">
        <v>1863</v>
      </c>
      <c r="CH22" s="78" t="s">
        <v>2655</v>
      </c>
      <c r="CI22" s="78" t="s">
        <v>2656</v>
      </c>
      <c r="CJ22" s="78" t="s">
        <v>2657</v>
      </c>
      <c r="CK22" s="78" t="s">
        <v>2658</v>
      </c>
      <c r="CL22" s="78" t="s">
        <v>2659</v>
      </c>
      <c r="CM22" s="78" t="s">
        <v>2660</v>
      </c>
      <c r="CN22" s="78" t="s">
        <v>2661</v>
      </c>
      <c r="CO22" s="78" t="s">
        <v>2662</v>
      </c>
      <c r="CP22" s="78" t="s">
        <v>1863</v>
      </c>
      <c r="CQ22" s="78" t="s">
        <v>2663</v>
      </c>
      <c r="CR22" s="78" t="s">
        <v>2664</v>
      </c>
    </row>
    <row r="23" spans="1:96" x14ac:dyDescent="0.25">
      <c r="A23" s="143" t="s">
        <v>786</v>
      </c>
      <c r="B23" s="143" t="s">
        <v>787</v>
      </c>
      <c r="C23" s="137">
        <v>1</v>
      </c>
      <c r="D23" s="137">
        <v>1</v>
      </c>
      <c r="E23" s="137">
        <v>0.8</v>
      </c>
      <c r="F23" s="137">
        <v>0.6</v>
      </c>
      <c r="G23" s="137">
        <v>1</v>
      </c>
      <c r="H23" s="137">
        <v>1</v>
      </c>
      <c r="I23" s="137">
        <v>0.2</v>
      </c>
      <c r="J23" s="137">
        <v>0.6</v>
      </c>
      <c r="K23" s="137">
        <v>1</v>
      </c>
      <c r="L23" s="137">
        <v>1</v>
      </c>
      <c r="M23" s="137">
        <v>1</v>
      </c>
      <c r="N23" s="137">
        <v>1</v>
      </c>
      <c r="O23" s="137">
        <v>1</v>
      </c>
      <c r="P23" s="137">
        <v>0.8</v>
      </c>
      <c r="Q23" s="137">
        <v>0.6</v>
      </c>
      <c r="R23" s="137">
        <v>0.6</v>
      </c>
      <c r="S23" s="137">
        <v>0.6</v>
      </c>
      <c r="T23" s="137">
        <v>1</v>
      </c>
      <c r="U23" s="137">
        <v>0.6</v>
      </c>
      <c r="V23" s="137">
        <v>1</v>
      </c>
      <c r="W23" s="137">
        <v>1</v>
      </c>
      <c r="X23" s="137">
        <v>1</v>
      </c>
      <c r="Y23" s="137">
        <v>1</v>
      </c>
      <c r="Z23" s="137">
        <v>1</v>
      </c>
      <c r="AA23" s="137">
        <v>1</v>
      </c>
      <c r="AB23" s="137">
        <v>0.8</v>
      </c>
      <c r="AC23" s="137">
        <v>0.6</v>
      </c>
      <c r="AD23" s="137">
        <v>0.8</v>
      </c>
      <c r="AE23" s="137">
        <v>0.6</v>
      </c>
      <c r="AF23" s="137">
        <v>0.8</v>
      </c>
      <c r="AG23" s="137">
        <v>1</v>
      </c>
      <c r="AH23" s="137">
        <v>0.8</v>
      </c>
      <c r="AI23" s="137">
        <v>0.2</v>
      </c>
      <c r="AJ23" s="137">
        <v>0.4</v>
      </c>
      <c r="AK23" s="137">
        <v>0.6</v>
      </c>
      <c r="AL23" s="137">
        <v>0.4</v>
      </c>
      <c r="AM23" s="137">
        <v>0.8</v>
      </c>
      <c r="AN23" s="137">
        <v>1</v>
      </c>
      <c r="AO23" s="137">
        <v>1</v>
      </c>
      <c r="AP23" s="137">
        <v>1</v>
      </c>
      <c r="AQ23" s="137">
        <v>0.8</v>
      </c>
      <c r="AR23" s="137">
        <v>0.2</v>
      </c>
      <c r="AS23" s="137">
        <v>1</v>
      </c>
      <c r="AT23" s="137">
        <v>0.8</v>
      </c>
      <c r="AU23" s="137">
        <v>0.2</v>
      </c>
      <c r="AV23" s="137">
        <v>0.78222219999999998</v>
      </c>
      <c r="AX23" s="143" t="s">
        <v>786</v>
      </c>
      <c r="AY23" s="143" t="s">
        <v>787</v>
      </c>
      <c r="AZ23" s="78" t="s">
        <v>2665</v>
      </c>
      <c r="BA23" s="78" t="s">
        <v>2666</v>
      </c>
      <c r="BB23" s="78" t="s">
        <v>2667</v>
      </c>
      <c r="BC23" s="78" t="s">
        <v>2668</v>
      </c>
      <c r="BD23" s="78" t="s">
        <v>2669</v>
      </c>
      <c r="BE23" s="78" t="s">
        <v>2670</v>
      </c>
      <c r="BF23" s="78" t="s">
        <v>2671</v>
      </c>
      <c r="BG23" s="78" t="s">
        <v>2672</v>
      </c>
      <c r="BH23" s="78" t="s">
        <v>2673</v>
      </c>
      <c r="BI23" s="78" t="s">
        <v>2674</v>
      </c>
      <c r="BJ23" s="78" t="s">
        <v>2675</v>
      </c>
      <c r="BK23" s="78" t="s">
        <v>2676</v>
      </c>
      <c r="BL23" s="78" t="s">
        <v>2677</v>
      </c>
      <c r="BM23" s="78" t="s">
        <v>2678</v>
      </c>
      <c r="BN23" s="78" t="s">
        <v>2679</v>
      </c>
      <c r="BO23" s="78" t="s">
        <v>2680</v>
      </c>
      <c r="BP23" s="78" t="s">
        <v>2681</v>
      </c>
      <c r="BQ23" s="78" t="s">
        <v>2682</v>
      </c>
      <c r="BR23" s="78" t="s">
        <v>2683</v>
      </c>
      <c r="BS23" s="78" t="s">
        <v>2684</v>
      </c>
      <c r="BT23" s="78" t="s">
        <v>2685</v>
      </c>
      <c r="BU23" s="78" t="s">
        <v>2686</v>
      </c>
      <c r="BV23" s="78" t="s">
        <v>2687</v>
      </c>
      <c r="BW23" s="78" t="s">
        <v>2688</v>
      </c>
      <c r="BX23" s="78" t="s">
        <v>2689</v>
      </c>
      <c r="BY23" s="78" t="s">
        <v>2690</v>
      </c>
      <c r="BZ23" s="78" t="s">
        <v>2691</v>
      </c>
      <c r="CA23" s="78" t="s">
        <v>2692</v>
      </c>
      <c r="CB23" s="78" t="s">
        <v>2693</v>
      </c>
      <c r="CC23" s="78" t="s">
        <v>2694</v>
      </c>
      <c r="CD23" s="78" t="s">
        <v>2695</v>
      </c>
      <c r="CE23" s="78" t="s">
        <v>2696</v>
      </c>
      <c r="CF23" s="78" t="s">
        <v>2697</v>
      </c>
      <c r="CG23" s="78" t="s">
        <v>2698</v>
      </c>
      <c r="CH23" s="78" t="s">
        <v>2699</v>
      </c>
      <c r="CI23" s="78" t="s">
        <v>2700</v>
      </c>
      <c r="CJ23" s="78" t="s">
        <v>2701</v>
      </c>
      <c r="CK23" s="78" t="s">
        <v>2702</v>
      </c>
      <c r="CL23" s="78" t="s">
        <v>2703</v>
      </c>
      <c r="CM23" s="78" t="s">
        <v>2704</v>
      </c>
      <c r="CN23" s="78" t="s">
        <v>2705</v>
      </c>
      <c r="CO23" s="78" t="s">
        <v>2706</v>
      </c>
      <c r="CP23" s="78" t="s">
        <v>2707</v>
      </c>
      <c r="CQ23" s="78" t="s">
        <v>2708</v>
      </c>
      <c r="CR23" s="78" t="s">
        <v>2709</v>
      </c>
    </row>
    <row r="24" spans="1:96" x14ac:dyDescent="0.25">
      <c r="A24" s="143" t="s">
        <v>788</v>
      </c>
      <c r="B24" s="143" t="s">
        <v>766</v>
      </c>
      <c r="C24" s="137">
        <v>1</v>
      </c>
      <c r="D24" s="137">
        <v>1</v>
      </c>
      <c r="E24" s="137">
        <v>1</v>
      </c>
      <c r="F24" s="137">
        <v>0.4</v>
      </c>
      <c r="G24" s="137">
        <v>1</v>
      </c>
      <c r="H24" s="137">
        <v>1</v>
      </c>
      <c r="I24" s="137">
        <v>0.6</v>
      </c>
      <c r="J24" s="137">
        <v>0.8</v>
      </c>
      <c r="K24" s="137">
        <v>1</v>
      </c>
      <c r="L24" s="137">
        <v>0.8</v>
      </c>
      <c r="M24" s="137">
        <v>1</v>
      </c>
      <c r="N24" s="137">
        <v>0.6</v>
      </c>
      <c r="O24" s="137">
        <v>1</v>
      </c>
      <c r="P24" s="137">
        <v>1</v>
      </c>
      <c r="Q24" s="137">
        <v>0.4</v>
      </c>
      <c r="R24" s="137">
        <v>0.8</v>
      </c>
      <c r="S24" s="137">
        <v>1</v>
      </c>
      <c r="T24" s="137">
        <v>1</v>
      </c>
      <c r="U24" s="137">
        <v>0.2</v>
      </c>
      <c r="V24" s="137">
        <v>1</v>
      </c>
      <c r="W24" s="137">
        <v>1</v>
      </c>
      <c r="X24" s="137">
        <v>1</v>
      </c>
      <c r="Y24" s="137">
        <v>1</v>
      </c>
      <c r="Z24" s="137">
        <v>1</v>
      </c>
      <c r="AA24" s="137">
        <v>1</v>
      </c>
      <c r="AB24" s="137">
        <v>0.4</v>
      </c>
      <c r="AC24" s="137">
        <v>0.4</v>
      </c>
      <c r="AD24" s="137">
        <v>0.4</v>
      </c>
      <c r="AE24" s="137">
        <v>0</v>
      </c>
      <c r="AF24" s="137">
        <v>0.8</v>
      </c>
      <c r="AG24" s="137">
        <v>1</v>
      </c>
      <c r="AH24" s="137">
        <v>0.8</v>
      </c>
      <c r="AI24" s="137">
        <v>1</v>
      </c>
      <c r="AJ24" s="137">
        <v>1</v>
      </c>
      <c r="AK24" s="137">
        <v>0</v>
      </c>
      <c r="AL24" s="137">
        <v>0.2</v>
      </c>
      <c r="AM24" s="137">
        <v>1</v>
      </c>
      <c r="AN24" s="137">
        <v>1</v>
      </c>
      <c r="AO24" s="137">
        <v>1</v>
      </c>
      <c r="AP24" s="137">
        <v>1</v>
      </c>
      <c r="AQ24" s="137">
        <v>0.8</v>
      </c>
      <c r="AR24" s="137">
        <v>0.4</v>
      </c>
      <c r="AS24" s="137">
        <v>0.8</v>
      </c>
      <c r="AT24" s="137">
        <v>0.4</v>
      </c>
      <c r="AU24" s="137">
        <v>0.2</v>
      </c>
      <c r="AV24" s="137">
        <v>0.76</v>
      </c>
      <c r="AX24" s="143" t="s">
        <v>788</v>
      </c>
      <c r="AY24" s="143" t="s">
        <v>766</v>
      </c>
      <c r="AZ24" s="78" t="s">
        <v>2710</v>
      </c>
      <c r="BA24" s="78" t="s">
        <v>2711</v>
      </c>
      <c r="BB24" s="78" t="s">
        <v>2712</v>
      </c>
      <c r="BC24" s="78" t="s">
        <v>2713</v>
      </c>
      <c r="BD24" s="78" t="s">
        <v>2714</v>
      </c>
      <c r="BE24" s="78" t="s">
        <v>2715</v>
      </c>
      <c r="BF24" s="78" t="s">
        <v>2716</v>
      </c>
      <c r="BG24" s="78" t="s">
        <v>2717</v>
      </c>
      <c r="BH24" s="78" t="s">
        <v>2718</v>
      </c>
      <c r="BI24" s="78" t="s">
        <v>2719</v>
      </c>
      <c r="BJ24" s="78" t="s">
        <v>2720</v>
      </c>
      <c r="BK24" s="78" t="s">
        <v>2721</v>
      </c>
      <c r="BL24" s="78" t="s">
        <v>2722</v>
      </c>
      <c r="BM24" s="78" t="s">
        <v>2723</v>
      </c>
      <c r="BN24" s="78" t="s">
        <v>2724</v>
      </c>
      <c r="BO24" s="78" t="s">
        <v>2725</v>
      </c>
      <c r="BP24" s="78" t="s">
        <v>2726</v>
      </c>
      <c r="BQ24" s="78" t="s">
        <v>2727</v>
      </c>
      <c r="BR24" s="78" t="s">
        <v>2728</v>
      </c>
      <c r="BS24" s="78" t="s">
        <v>2729</v>
      </c>
      <c r="BT24" s="78" t="s">
        <v>2730</v>
      </c>
      <c r="BU24" s="78" t="s">
        <v>2731</v>
      </c>
      <c r="BV24" s="78" t="s">
        <v>2732</v>
      </c>
      <c r="BW24" s="78" t="s">
        <v>2733</v>
      </c>
      <c r="BX24" s="78" t="s">
        <v>2734</v>
      </c>
      <c r="BY24" s="78" t="s">
        <v>2735</v>
      </c>
      <c r="BZ24" s="78" t="s">
        <v>2736</v>
      </c>
      <c r="CA24" s="78" t="s">
        <v>2737</v>
      </c>
      <c r="CB24" s="78" t="s">
        <v>1863</v>
      </c>
      <c r="CC24" s="78" t="s">
        <v>2738</v>
      </c>
      <c r="CD24" s="78" t="s">
        <v>2739</v>
      </c>
      <c r="CE24" s="78" t="s">
        <v>2740</v>
      </c>
      <c r="CF24" s="78" t="s">
        <v>2741</v>
      </c>
      <c r="CG24" s="78" t="s">
        <v>2742</v>
      </c>
      <c r="CH24" s="78" t="s">
        <v>2743</v>
      </c>
      <c r="CI24" s="78" t="s">
        <v>1908</v>
      </c>
      <c r="CJ24" s="78" t="s">
        <v>2744</v>
      </c>
      <c r="CK24" s="78" t="s">
        <v>2745</v>
      </c>
      <c r="CL24" s="78" t="s">
        <v>2746</v>
      </c>
      <c r="CM24" s="78" t="s">
        <v>2747</v>
      </c>
      <c r="CN24" s="78" t="s">
        <v>2748</v>
      </c>
      <c r="CO24" s="78" t="s">
        <v>2749</v>
      </c>
      <c r="CP24" s="78" t="s">
        <v>2750</v>
      </c>
      <c r="CQ24" s="78" t="s">
        <v>2751</v>
      </c>
      <c r="CR24" s="78" t="s">
        <v>2178</v>
      </c>
    </row>
    <row r="25" spans="1:96" x14ac:dyDescent="0.25">
      <c r="A25" s="143" t="s">
        <v>789</v>
      </c>
      <c r="B25" s="143" t="s">
        <v>790</v>
      </c>
      <c r="C25" s="137">
        <v>0.66666669999999995</v>
      </c>
      <c r="D25" s="137">
        <v>0.1666667</v>
      </c>
      <c r="E25" s="137">
        <v>0.3333333</v>
      </c>
      <c r="F25" s="137">
        <v>1</v>
      </c>
      <c r="G25" s="137">
        <v>1</v>
      </c>
      <c r="H25" s="137">
        <v>0.83333330000000005</v>
      </c>
      <c r="I25" s="137">
        <v>0.5</v>
      </c>
      <c r="J25" s="137">
        <v>0.83333330000000005</v>
      </c>
      <c r="K25" s="137">
        <v>0.83333330000000005</v>
      </c>
      <c r="L25" s="137">
        <v>1</v>
      </c>
      <c r="M25" s="137">
        <v>1</v>
      </c>
      <c r="N25" s="137">
        <v>1</v>
      </c>
      <c r="O25" s="137">
        <v>1</v>
      </c>
      <c r="P25" s="137">
        <v>1</v>
      </c>
      <c r="Q25" s="137">
        <v>1</v>
      </c>
      <c r="R25" s="137">
        <v>1</v>
      </c>
      <c r="S25" s="137">
        <v>1</v>
      </c>
      <c r="T25" s="137">
        <v>0.83333330000000005</v>
      </c>
      <c r="U25" s="137">
        <v>0.66666669999999995</v>
      </c>
      <c r="V25" s="137">
        <v>1</v>
      </c>
      <c r="W25" s="137">
        <v>0.83333330000000005</v>
      </c>
      <c r="X25" s="137">
        <v>1</v>
      </c>
      <c r="Y25" s="137">
        <v>0.83333330000000005</v>
      </c>
      <c r="Z25" s="137">
        <v>1</v>
      </c>
      <c r="AA25" s="137">
        <v>1</v>
      </c>
      <c r="AB25" s="137">
        <v>0.3333333</v>
      </c>
      <c r="AC25" s="137">
        <v>0.3333333</v>
      </c>
      <c r="AD25" s="137">
        <v>0.3333333</v>
      </c>
      <c r="AE25" s="137">
        <v>0.3333333</v>
      </c>
      <c r="AF25" s="137">
        <v>1</v>
      </c>
      <c r="AG25" s="137">
        <v>1</v>
      </c>
      <c r="AH25" s="137">
        <v>1</v>
      </c>
      <c r="AI25" s="137">
        <v>0</v>
      </c>
      <c r="AJ25" s="137">
        <v>0.83333330000000005</v>
      </c>
      <c r="AK25" s="137">
        <v>0.83333330000000005</v>
      </c>
      <c r="AL25" s="137">
        <v>1</v>
      </c>
      <c r="AM25" s="137">
        <v>1</v>
      </c>
      <c r="AN25" s="137">
        <v>1</v>
      </c>
      <c r="AO25" s="137">
        <v>1</v>
      </c>
      <c r="AP25" s="137">
        <v>0.83333330000000005</v>
      </c>
      <c r="AQ25" s="137">
        <v>0.83333330000000005</v>
      </c>
      <c r="AR25" s="137">
        <v>1</v>
      </c>
      <c r="AS25" s="137">
        <v>1</v>
      </c>
      <c r="AT25" s="137">
        <v>1</v>
      </c>
      <c r="AU25" s="137">
        <v>0.1666667</v>
      </c>
      <c r="AV25" s="137">
        <v>0.80370370000000002</v>
      </c>
      <c r="AX25" s="143" t="s">
        <v>789</v>
      </c>
      <c r="AY25" s="143" t="s">
        <v>790</v>
      </c>
      <c r="AZ25" s="78" t="s">
        <v>2752</v>
      </c>
      <c r="BA25" s="78" t="s">
        <v>2753</v>
      </c>
      <c r="BB25" s="78" t="s">
        <v>2754</v>
      </c>
      <c r="BC25" s="78" t="s">
        <v>2755</v>
      </c>
      <c r="BD25" s="78" t="s">
        <v>2756</v>
      </c>
      <c r="BE25" s="78" t="s">
        <v>2757</v>
      </c>
      <c r="BF25" s="78" t="s">
        <v>2758</v>
      </c>
      <c r="BG25" s="78" t="s">
        <v>2759</v>
      </c>
      <c r="BH25" s="78" t="s">
        <v>2760</v>
      </c>
      <c r="BI25" s="78" t="s">
        <v>2761</v>
      </c>
      <c r="BJ25" s="78" t="s">
        <v>2762</v>
      </c>
      <c r="BK25" s="78" t="s">
        <v>2763</v>
      </c>
      <c r="BL25" s="78" t="s">
        <v>2764</v>
      </c>
      <c r="BM25" s="78" t="s">
        <v>2765</v>
      </c>
      <c r="BN25" s="78" t="s">
        <v>2766</v>
      </c>
      <c r="BO25" s="78" t="s">
        <v>2767</v>
      </c>
      <c r="BP25" s="78" t="s">
        <v>2768</v>
      </c>
      <c r="BQ25" s="78" t="s">
        <v>2769</v>
      </c>
      <c r="BR25" s="78" t="s">
        <v>2770</v>
      </c>
      <c r="BS25" s="78" t="s">
        <v>2771</v>
      </c>
      <c r="BT25" s="78" t="s">
        <v>2772</v>
      </c>
      <c r="BU25" s="78" t="s">
        <v>2773</v>
      </c>
      <c r="BV25" s="78" t="s">
        <v>2774</v>
      </c>
      <c r="BW25" s="78" t="s">
        <v>2775</v>
      </c>
      <c r="BX25" s="78" t="s">
        <v>2776</v>
      </c>
      <c r="BY25" s="78" t="s">
        <v>2777</v>
      </c>
      <c r="BZ25" s="78" t="s">
        <v>2778</v>
      </c>
      <c r="CA25" s="78" t="s">
        <v>2779</v>
      </c>
      <c r="CB25" s="78" t="s">
        <v>2780</v>
      </c>
      <c r="CC25" s="78" t="s">
        <v>2781</v>
      </c>
      <c r="CD25" s="78" t="s">
        <v>2782</v>
      </c>
      <c r="CE25" s="78" t="s">
        <v>2783</v>
      </c>
      <c r="CF25" s="78" t="s">
        <v>2784</v>
      </c>
      <c r="CG25" s="78" t="s">
        <v>2785</v>
      </c>
      <c r="CH25" s="78" t="s">
        <v>2786</v>
      </c>
      <c r="CI25" s="78" t="s">
        <v>2787</v>
      </c>
      <c r="CJ25" s="78" t="s">
        <v>2788</v>
      </c>
      <c r="CK25" s="78" t="s">
        <v>2789</v>
      </c>
      <c r="CL25" s="78" t="s">
        <v>2790</v>
      </c>
      <c r="CM25" s="78" t="s">
        <v>2791</v>
      </c>
      <c r="CN25" s="78" t="s">
        <v>2792</v>
      </c>
      <c r="CO25" s="78" t="s">
        <v>2793</v>
      </c>
      <c r="CP25" s="78" t="s">
        <v>2794</v>
      </c>
      <c r="CQ25" s="78" t="s">
        <v>2795</v>
      </c>
      <c r="CR25" s="78" t="s">
        <v>2796</v>
      </c>
    </row>
    <row r="26" spans="1:96" x14ac:dyDescent="0.25">
      <c r="A26" s="143" t="s">
        <v>791</v>
      </c>
      <c r="B26" s="143" t="s">
        <v>790</v>
      </c>
      <c r="C26" s="137">
        <v>0.6</v>
      </c>
      <c r="D26" s="137">
        <v>0</v>
      </c>
      <c r="E26" s="137">
        <v>0</v>
      </c>
      <c r="F26" s="137">
        <v>0.6</v>
      </c>
      <c r="G26" s="137">
        <v>1</v>
      </c>
      <c r="H26" s="137">
        <v>1</v>
      </c>
      <c r="I26" s="137">
        <v>0</v>
      </c>
      <c r="J26" s="137">
        <v>0.8</v>
      </c>
      <c r="K26" s="137">
        <v>1</v>
      </c>
      <c r="L26" s="137">
        <v>0.8</v>
      </c>
      <c r="M26" s="137">
        <v>1</v>
      </c>
      <c r="N26" s="137">
        <v>0.8</v>
      </c>
      <c r="O26" s="137">
        <v>1</v>
      </c>
      <c r="P26" s="137">
        <v>0.8</v>
      </c>
      <c r="Q26" s="137">
        <v>0.4</v>
      </c>
      <c r="R26" s="137">
        <v>0.8</v>
      </c>
      <c r="S26" s="137">
        <v>0.4</v>
      </c>
      <c r="T26" s="137">
        <v>1</v>
      </c>
      <c r="U26" s="137">
        <v>0.2</v>
      </c>
      <c r="V26" s="137">
        <v>1</v>
      </c>
      <c r="W26" s="137">
        <v>0.2</v>
      </c>
      <c r="X26" s="137">
        <v>0.6</v>
      </c>
      <c r="Y26" s="137">
        <v>1</v>
      </c>
      <c r="Z26" s="137">
        <v>1</v>
      </c>
      <c r="AA26" s="137">
        <v>0.8</v>
      </c>
      <c r="AB26" s="137">
        <v>0.4</v>
      </c>
      <c r="AC26" s="137">
        <v>0.4</v>
      </c>
      <c r="AD26" s="137">
        <v>0.4</v>
      </c>
      <c r="AE26" s="137">
        <v>1</v>
      </c>
      <c r="AF26" s="137">
        <v>1</v>
      </c>
      <c r="AG26" s="137">
        <v>1</v>
      </c>
      <c r="AH26" s="137">
        <v>1</v>
      </c>
      <c r="AI26" s="137">
        <v>0.2</v>
      </c>
      <c r="AJ26" s="137">
        <v>0.8</v>
      </c>
      <c r="AK26" s="137">
        <v>0.4</v>
      </c>
      <c r="AL26" s="137">
        <v>0.6</v>
      </c>
      <c r="AM26" s="137">
        <v>1</v>
      </c>
      <c r="AN26" s="137">
        <v>1</v>
      </c>
      <c r="AO26" s="137">
        <v>1</v>
      </c>
      <c r="AP26" s="137">
        <v>0.8</v>
      </c>
      <c r="AQ26" s="137">
        <v>0</v>
      </c>
      <c r="AR26" s="137">
        <v>0.4</v>
      </c>
      <c r="AS26" s="137">
        <v>1</v>
      </c>
      <c r="AT26" s="137">
        <v>1</v>
      </c>
      <c r="AU26" s="137">
        <v>0.4</v>
      </c>
      <c r="AV26" s="137">
        <v>0.68</v>
      </c>
      <c r="AX26" s="143" t="s">
        <v>791</v>
      </c>
      <c r="AY26" s="143" t="s">
        <v>790</v>
      </c>
      <c r="AZ26" s="78" t="s">
        <v>2797</v>
      </c>
      <c r="BA26" s="78" t="s">
        <v>1863</v>
      </c>
      <c r="BB26" s="78" t="s">
        <v>1863</v>
      </c>
      <c r="BC26" s="78" t="s">
        <v>2798</v>
      </c>
      <c r="BD26" s="78" t="s">
        <v>2799</v>
      </c>
      <c r="BE26" s="78" t="s">
        <v>2800</v>
      </c>
      <c r="BF26" s="78" t="s">
        <v>1863</v>
      </c>
      <c r="BG26" s="78" t="s">
        <v>2801</v>
      </c>
      <c r="BH26" s="78" t="s">
        <v>2802</v>
      </c>
      <c r="BI26" s="78" t="s">
        <v>2803</v>
      </c>
      <c r="BJ26" s="78" t="s">
        <v>2804</v>
      </c>
      <c r="BK26" s="78" t="s">
        <v>2805</v>
      </c>
      <c r="BL26" s="78" t="s">
        <v>2806</v>
      </c>
      <c r="BM26" s="78" t="s">
        <v>2807</v>
      </c>
      <c r="BN26" s="78" t="s">
        <v>2808</v>
      </c>
      <c r="BO26" s="78" t="s">
        <v>2809</v>
      </c>
      <c r="BP26" s="78" t="s">
        <v>2810</v>
      </c>
      <c r="BQ26" s="78" t="s">
        <v>2811</v>
      </c>
      <c r="BR26" s="78" t="s">
        <v>2812</v>
      </c>
      <c r="BS26" s="78" t="s">
        <v>2813</v>
      </c>
      <c r="BT26" s="78" t="s">
        <v>2814</v>
      </c>
      <c r="BU26" s="78" t="s">
        <v>2815</v>
      </c>
      <c r="BV26" s="78" t="s">
        <v>2816</v>
      </c>
      <c r="BW26" s="78" t="s">
        <v>2817</v>
      </c>
      <c r="BX26" s="78" t="s">
        <v>2818</v>
      </c>
      <c r="BY26" s="78" t="s">
        <v>2819</v>
      </c>
      <c r="BZ26" s="78" t="s">
        <v>2820</v>
      </c>
      <c r="CA26" s="78" t="s">
        <v>2821</v>
      </c>
      <c r="CB26" s="78" t="s">
        <v>2822</v>
      </c>
      <c r="CC26" s="78" t="s">
        <v>2823</v>
      </c>
      <c r="CD26" s="78" t="s">
        <v>2824</v>
      </c>
      <c r="CE26" s="78" t="s">
        <v>2825</v>
      </c>
      <c r="CF26" s="78" t="s">
        <v>2826</v>
      </c>
      <c r="CG26" s="78" t="s">
        <v>2827</v>
      </c>
      <c r="CH26" s="78" t="s">
        <v>2828</v>
      </c>
      <c r="CI26" s="78" t="s">
        <v>2829</v>
      </c>
      <c r="CJ26" s="78" t="s">
        <v>2830</v>
      </c>
      <c r="CK26" s="78" t="s">
        <v>2831</v>
      </c>
      <c r="CL26" s="78" t="s">
        <v>2832</v>
      </c>
      <c r="CM26" s="78" t="s">
        <v>2833</v>
      </c>
      <c r="CN26" s="78" t="s">
        <v>1863</v>
      </c>
      <c r="CO26" s="78" t="s">
        <v>2834</v>
      </c>
      <c r="CP26" s="78" t="s">
        <v>2835</v>
      </c>
      <c r="CQ26" s="78" t="s">
        <v>2836</v>
      </c>
      <c r="CR26" s="78" t="s">
        <v>2837</v>
      </c>
    </row>
    <row r="27" spans="1:96" x14ac:dyDescent="0.25">
      <c r="A27" s="143" t="s">
        <v>792</v>
      </c>
      <c r="B27" s="143" t="s">
        <v>758</v>
      </c>
      <c r="C27" s="137">
        <v>1</v>
      </c>
      <c r="D27" s="137">
        <v>1</v>
      </c>
      <c r="E27" s="137">
        <v>1</v>
      </c>
      <c r="F27" s="137">
        <v>1</v>
      </c>
      <c r="G27" s="137">
        <v>0.85714290000000004</v>
      </c>
      <c r="H27" s="137">
        <v>1</v>
      </c>
      <c r="I27" s="137">
        <v>0</v>
      </c>
      <c r="J27" s="137">
        <v>1</v>
      </c>
      <c r="K27" s="137">
        <v>1</v>
      </c>
      <c r="L27" s="137">
        <v>0.57142859999999995</v>
      </c>
      <c r="M27" s="137">
        <v>1</v>
      </c>
      <c r="N27" s="137">
        <v>1</v>
      </c>
      <c r="O27" s="137">
        <v>1</v>
      </c>
      <c r="P27" s="137">
        <v>1</v>
      </c>
      <c r="Q27" s="137">
        <v>0.28571429999999998</v>
      </c>
      <c r="R27" s="137">
        <v>1</v>
      </c>
      <c r="S27" s="137">
        <v>0.57142859999999995</v>
      </c>
      <c r="T27" s="137">
        <v>0.85714290000000004</v>
      </c>
      <c r="U27" s="137">
        <v>0.14285709999999999</v>
      </c>
      <c r="V27" s="137">
        <v>1</v>
      </c>
      <c r="W27" s="137">
        <v>1</v>
      </c>
      <c r="X27" s="137">
        <v>1</v>
      </c>
      <c r="Y27" s="137">
        <v>0.85714290000000004</v>
      </c>
      <c r="Z27" s="137">
        <v>1</v>
      </c>
      <c r="AA27" s="137">
        <v>1</v>
      </c>
      <c r="AB27" s="137">
        <v>0.42857139999999999</v>
      </c>
      <c r="AC27" s="137">
        <v>0.42857139999999999</v>
      </c>
      <c r="AD27" s="137">
        <v>0.42857139999999999</v>
      </c>
      <c r="AE27" s="137">
        <v>0.71428570000000002</v>
      </c>
      <c r="AF27" s="137">
        <v>0.71428570000000002</v>
      </c>
      <c r="AG27" s="137">
        <v>1</v>
      </c>
      <c r="AH27" s="137">
        <v>1</v>
      </c>
      <c r="AI27" s="137">
        <v>0.71428570000000002</v>
      </c>
      <c r="AJ27" s="137">
        <v>0.85714290000000004</v>
      </c>
      <c r="AK27" s="137">
        <v>1</v>
      </c>
      <c r="AL27" s="137">
        <v>0.57142859999999995</v>
      </c>
      <c r="AM27" s="137">
        <v>1</v>
      </c>
      <c r="AN27" s="137">
        <v>0.85714290000000004</v>
      </c>
      <c r="AO27" s="137">
        <v>1</v>
      </c>
      <c r="AP27" s="137">
        <v>0.71428570000000002</v>
      </c>
      <c r="AQ27" s="137">
        <v>0.71428570000000002</v>
      </c>
      <c r="AR27" s="137">
        <v>0.57142859999999995</v>
      </c>
      <c r="AS27" s="137">
        <v>0.85714290000000004</v>
      </c>
      <c r="AT27" s="137">
        <v>0.71428570000000002</v>
      </c>
      <c r="AU27" s="137">
        <v>0.57142859999999995</v>
      </c>
      <c r="AV27" s="137">
        <v>0.8</v>
      </c>
      <c r="AX27" s="143" t="s">
        <v>792</v>
      </c>
      <c r="AY27" s="143" t="s">
        <v>758</v>
      </c>
      <c r="AZ27" s="78" t="s">
        <v>2838</v>
      </c>
      <c r="BA27" s="78" t="s">
        <v>2839</v>
      </c>
      <c r="BB27" s="78" t="s">
        <v>2840</v>
      </c>
      <c r="BC27" s="78" t="s">
        <v>2841</v>
      </c>
      <c r="BD27" s="78" t="s">
        <v>2842</v>
      </c>
      <c r="BE27" s="78" t="s">
        <v>2843</v>
      </c>
      <c r="BF27" s="78" t="s">
        <v>1863</v>
      </c>
      <c r="BG27" s="78" t="s">
        <v>2844</v>
      </c>
      <c r="BH27" s="78" t="s">
        <v>2845</v>
      </c>
      <c r="BI27" s="78" t="s">
        <v>2846</v>
      </c>
      <c r="BJ27" s="78" t="s">
        <v>2847</v>
      </c>
      <c r="BK27" s="78" t="s">
        <v>2848</v>
      </c>
      <c r="BL27" s="78" t="s">
        <v>2849</v>
      </c>
      <c r="BM27" s="78" t="s">
        <v>2850</v>
      </c>
      <c r="BN27" s="78" t="s">
        <v>2851</v>
      </c>
      <c r="BO27" s="78" t="s">
        <v>2852</v>
      </c>
      <c r="BP27" s="78" t="s">
        <v>2853</v>
      </c>
      <c r="BQ27" s="78" t="s">
        <v>2854</v>
      </c>
      <c r="BR27" s="78" t="s">
        <v>2017</v>
      </c>
      <c r="BS27" s="78" t="s">
        <v>2855</v>
      </c>
      <c r="BT27" s="78" t="s">
        <v>2856</v>
      </c>
      <c r="BU27" s="78" t="s">
        <v>2857</v>
      </c>
      <c r="BV27" s="78" t="s">
        <v>2858</v>
      </c>
      <c r="BW27" s="78" t="s">
        <v>2859</v>
      </c>
      <c r="BX27" s="78" t="s">
        <v>2860</v>
      </c>
      <c r="BY27" s="78" t="s">
        <v>2861</v>
      </c>
      <c r="BZ27" s="78" t="s">
        <v>2862</v>
      </c>
      <c r="CA27" s="78" t="s">
        <v>2863</v>
      </c>
      <c r="CB27" s="78" t="s">
        <v>2864</v>
      </c>
      <c r="CC27" s="78" t="s">
        <v>2865</v>
      </c>
      <c r="CD27" s="78" t="s">
        <v>2866</v>
      </c>
      <c r="CE27" s="78" t="s">
        <v>2867</v>
      </c>
      <c r="CF27" s="78" t="s">
        <v>2868</v>
      </c>
      <c r="CG27" s="78" t="s">
        <v>2869</v>
      </c>
      <c r="CH27" s="78" t="s">
        <v>2870</v>
      </c>
      <c r="CI27" s="78" t="s">
        <v>2871</v>
      </c>
      <c r="CJ27" s="78" t="s">
        <v>2872</v>
      </c>
      <c r="CK27" s="78" t="s">
        <v>2873</v>
      </c>
      <c r="CL27" s="78" t="s">
        <v>2874</v>
      </c>
      <c r="CM27" s="78" t="s">
        <v>2875</v>
      </c>
      <c r="CN27" s="78" t="s">
        <v>2876</v>
      </c>
      <c r="CO27" s="78" t="s">
        <v>2877</v>
      </c>
      <c r="CP27" s="78" t="s">
        <v>2878</v>
      </c>
      <c r="CQ27" s="78" t="s">
        <v>2879</v>
      </c>
      <c r="CR27" s="78" t="s">
        <v>2880</v>
      </c>
    </row>
    <row r="28" spans="1:96" x14ac:dyDescent="0.25">
      <c r="A28" s="143" t="s">
        <v>793</v>
      </c>
      <c r="B28" s="143" t="s">
        <v>794</v>
      </c>
      <c r="C28" s="137">
        <v>1</v>
      </c>
      <c r="D28" s="137">
        <v>0.8</v>
      </c>
      <c r="E28" s="137">
        <v>1</v>
      </c>
      <c r="F28" s="137">
        <v>1</v>
      </c>
      <c r="G28" s="137">
        <v>1</v>
      </c>
      <c r="H28" s="137">
        <v>1</v>
      </c>
      <c r="I28" s="137">
        <v>0.6</v>
      </c>
      <c r="J28" s="137">
        <v>0.8</v>
      </c>
      <c r="K28" s="137">
        <v>1</v>
      </c>
      <c r="L28" s="137">
        <v>1</v>
      </c>
      <c r="M28" s="137">
        <v>1</v>
      </c>
      <c r="N28" s="137">
        <v>1</v>
      </c>
      <c r="O28" s="137">
        <v>1</v>
      </c>
      <c r="P28" s="137">
        <v>1</v>
      </c>
      <c r="Q28" s="137">
        <v>0.8</v>
      </c>
      <c r="R28" s="137">
        <v>1</v>
      </c>
      <c r="S28" s="137">
        <v>1</v>
      </c>
      <c r="T28" s="137">
        <v>0.8</v>
      </c>
      <c r="U28" s="137">
        <v>0.6</v>
      </c>
      <c r="V28" s="137">
        <v>1</v>
      </c>
      <c r="W28" s="137">
        <v>1</v>
      </c>
      <c r="X28" s="137">
        <v>1</v>
      </c>
      <c r="Y28" s="137">
        <v>1</v>
      </c>
      <c r="Z28" s="137">
        <v>1</v>
      </c>
      <c r="AA28" s="137">
        <v>1</v>
      </c>
      <c r="AB28" s="137">
        <v>0.2</v>
      </c>
      <c r="AC28" s="137">
        <v>0.4</v>
      </c>
      <c r="AD28" s="137">
        <v>0.4</v>
      </c>
      <c r="AE28" s="137">
        <v>0.4</v>
      </c>
      <c r="AF28" s="137">
        <v>1</v>
      </c>
      <c r="AG28" s="137">
        <v>0.8</v>
      </c>
      <c r="AH28" s="137">
        <v>1</v>
      </c>
      <c r="AI28" s="137">
        <v>1</v>
      </c>
      <c r="AJ28" s="137">
        <v>1</v>
      </c>
      <c r="AK28" s="137">
        <v>0.6</v>
      </c>
      <c r="AL28" s="137">
        <v>1</v>
      </c>
      <c r="AM28" s="137">
        <v>1</v>
      </c>
      <c r="AN28" s="137">
        <v>0.8</v>
      </c>
      <c r="AO28" s="137">
        <v>1</v>
      </c>
      <c r="AP28" s="137">
        <v>0.8</v>
      </c>
      <c r="AQ28" s="137">
        <v>1</v>
      </c>
      <c r="AR28" s="137">
        <v>0.8</v>
      </c>
      <c r="AS28" s="137">
        <v>1</v>
      </c>
      <c r="AT28" s="137">
        <v>1</v>
      </c>
      <c r="AU28" s="137">
        <v>0.2</v>
      </c>
      <c r="AV28" s="137">
        <v>0.8622223</v>
      </c>
      <c r="AX28" s="143" t="s">
        <v>793</v>
      </c>
      <c r="AY28" s="143" t="s">
        <v>794</v>
      </c>
      <c r="AZ28" s="78" t="s">
        <v>2881</v>
      </c>
      <c r="BA28" s="78" t="s">
        <v>2882</v>
      </c>
      <c r="BB28" s="78" t="s">
        <v>2883</v>
      </c>
      <c r="BC28" s="78" t="s">
        <v>2884</v>
      </c>
      <c r="BD28" s="78" t="s">
        <v>2885</v>
      </c>
      <c r="BE28" s="78" t="s">
        <v>2886</v>
      </c>
      <c r="BF28" s="78" t="s">
        <v>2887</v>
      </c>
      <c r="BG28" s="78" t="s">
        <v>2888</v>
      </c>
      <c r="BH28" s="78" t="s">
        <v>2889</v>
      </c>
      <c r="BI28" s="78" t="s">
        <v>2890</v>
      </c>
      <c r="BJ28" s="78" t="s">
        <v>2891</v>
      </c>
      <c r="BK28" s="78" t="s">
        <v>2892</v>
      </c>
      <c r="BL28" s="78" t="s">
        <v>2893</v>
      </c>
      <c r="BM28" s="78" t="s">
        <v>2894</v>
      </c>
      <c r="BN28" s="78" t="s">
        <v>2895</v>
      </c>
      <c r="BO28" s="78" t="s">
        <v>2896</v>
      </c>
      <c r="BP28" s="78" t="s">
        <v>2897</v>
      </c>
      <c r="BQ28" s="78" t="s">
        <v>2898</v>
      </c>
      <c r="BR28" s="78" t="s">
        <v>2899</v>
      </c>
      <c r="BS28" s="78" t="s">
        <v>2900</v>
      </c>
      <c r="BT28" s="78" t="s">
        <v>2901</v>
      </c>
      <c r="BU28" s="78" t="s">
        <v>2902</v>
      </c>
      <c r="BV28" s="78" t="s">
        <v>2903</v>
      </c>
      <c r="BW28" s="78" t="s">
        <v>2904</v>
      </c>
      <c r="BX28" s="78" t="s">
        <v>2905</v>
      </c>
      <c r="BY28" s="78" t="s">
        <v>2906</v>
      </c>
      <c r="BZ28" s="78" t="s">
        <v>2907</v>
      </c>
      <c r="CA28" s="78" t="s">
        <v>2908</v>
      </c>
      <c r="CB28" s="78" t="s">
        <v>2909</v>
      </c>
      <c r="CC28" s="78" t="s">
        <v>2910</v>
      </c>
      <c r="CD28" s="78" t="s">
        <v>2911</v>
      </c>
      <c r="CE28" s="78" t="s">
        <v>2912</v>
      </c>
      <c r="CF28" s="78" t="s">
        <v>2913</v>
      </c>
      <c r="CG28" s="78" t="s">
        <v>2914</v>
      </c>
      <c r="CH28" s="78" t="s">
        <v>2915</v>
      </c>
      <c r="CI28" s="78" t="s">
        <v>2916</v>
      </c>
      <c r="CJ28" s="78" t="s">
        <v>2917</v>
      </c>
      <c r="CK28" s="78" t="s">
        <v>2918</v>
      </c>
      <c r="CL28" s="78" t="s">
        <v>2919</v>
      </c>
      <c r="CM28" s="78" t="s">
        <v>2920</v>
      </c>
      <c r="CN28" s="78" t="s">
        <v>2921</v>
      </c>
      <c r="CO28" s="78" t="s">
        <v>2922</v>
      </c>
      <c r="CP28" s="78" t="s">
        <v>2923</v>
      </c>
      <c r="CQ28" s="78" t="s">
        <v>2924</v>
      </c>
      <c r="CR28" s="78" t="s">
        <v>2925</v>
      </c>
    </row>
    <row r="29" spans="1:96" x14ac:dyDescent="0.25">
      <c r="A29" s="143" t="s">
        <v>795</v>
      </c>
      <c r="B29" s="143" t="s">
        <v>761</v>
      </c>
      <c r="C29" s="137">
        <v>1</v>
      </c>
      <c r="D29" s="137">
        <v>1</v>
      </c>
      <c r="E29" s="137">
        <v>1</v>
      </c>
      <c r="F29" s="137">
        <v>0.66666669999999995</v>
      </c>
      <c r="G29" s="137">
        <v>0.5</v>
      </c>
      <c r="H29" s="137">
        <v>1</v>
      </c>
      <c r="I29" s="137">
        <v>0.3333333</v>
      </c>
      <c r="J29" s="137">
        <v>1</v>
      </c>
      <c r="K29" s="137">
        <v>1</v>
      </c>
      <c r="L29" s="137">
        <v>1</v>
      </c>
      <c r="M29" s="137">
        <v>1</v>
      </c>
      <c r="N29" s="137">
        <v>1</v>
      </c>
      <c r="O29" s="137">
        <v>1</v>
      </c>
      <c r="P29" s="137">
        <v>0.66666669999999995</v>
      </c>
      <c r="Q29" s="137">
        <v>1</v>
      </c>
      <c r="R29" s="137">
        <v>0.83333330000000005</v>
      </c>
      <c r="S29" s="137">
        <v>1</v>
      </c>
      <c r="T29" s="137">
        <v>1</v>
      </c>
      <c r="U29" s="137">
        <v>0.5</v>
      </c>
      <c r="V29" s="137">
        <v>1</v>
      </c>
      <c r="W29" s="137">
        <v>1</v>
      </c>
      <c r="X29" s="137">
        <v>1</v>
      </c>
      <c r="Y29" s="137">
        <v>1</v>
      </c>
      <c r="Z29" s="137">
        <v>1</v>
      </c>
      <c r="AA29" s="137">
        <v>0.83333330000000005</v>
      </c>
      <c r="AB29" s="137">
        <v>0.3333333</v>
      </c>
      <c r="AC29" s="137">
        <v>0.1666667</v>
      </c>
      <c r="AD29" s="137">
        <v>0.1666667</v>
      </c>
      <c r="AE29" s="137">
        <v>0.66666669999999995</v>
      </c>
      <c r="AF29" s="137">
        <v>1</v>
      </c>
      <c r="AG29" s="137">
        <v>0.83333330000000005</v>
      </c>
      <c r="AH29" s="137">
        <v>1</v>
      </c>
      <c r="AI29" s="137">
        <v>0.5</v>
      </c>
      <c r="AJ29" s="137">
        <v>1</v>
      </c>
      <c r="AK29" s="137">
        <v>0.5</v>
      </c>
      <c r="AL29" s="137">
        <v>1</v>
      </c>
      <c r="AM29" s="137">
        <v>1</v>
      </c>
      <c r="AN29" s="137">
        <v>1</v>
      </c>
      <c r="AO29" s="137">
        <v>1</v>
      </c>
      <c r="AP29" s="137">
        <v>1</v>
      </c>
      <c r="AQ29" s="137">
        <v>0.66666669999999995</v>
      </c>
      <c r="AR29" s="137">
        <v>0.5</v>
      </c>
      <c r="AS29" s="137">
        <v>1</v>
      </c>
      <c r="AT29" s="137">
        <v>1</v>
      </c>
      <c r="AU29" s="137">
        <v>0.1666667</v>
      </c>
      <c r="AV29" s="137">
        <v>0.81851850000000004</v>
      </c>
      <c r="AX29" s="143" t="s">
        <v>795</v>
      </c>
      <c r="AY29" s="143" t="s">
        <v>761</v>
      </c>
      <c r="AZ29" s="78" t="s">
        <v>2926</v>
      </c>
      <c r="BA29" s="78" t="s">
        <v>2927</v>
      </c>
      <c r="BB29" s="78" t="s">
        <v>2928</v>
      </c>
      <c r="BC29" s="78" t="s">
        <v>2929</v>
      </c>
      <c r="BD29" s="78" t="s">
        <v>2930</v>
      </c>
      <c r="BE29" s="78" t="s">
        <v>2931</v>
      </c>
      <c r="BF29" s="78" t="s">
        <v>2932</v>
      </c>
      <c r="BG29" s="78" t="s">
        <v>2933</v>
      </c>
      <c r="BH29" s="78" t="s">
        <v>2934</v>
      </c>
      <c r="BI29" s="78" t="s">
        <v>2935</v>
      </c>
      <c r="BJ29" s="78" t="s">
        <v>2936</v>
      </c>
      <c r="BK29" s="78" t="s">
        <v>2937</v>
      </c>
      <c r="BL29" s="78" t="s">
        <v>2938</v>
      </c>
      <c r="BM29" s="78" t="s">
        <v>2939</v>
      </c>
      <c r="BN29" s="78" t="s">
        <v>2940</v>
      </c>
      <c r="BO29" s="78" t="s">
        <v>2941</v>
      </c>
      <c r="BP29" s="78" t="s">
        <v>2942</v>
      </c>
      <c r="BQ29" s="78" t="s">
        <v>2943</v>
      </c>
      <c r="BR29" s="78" t="s">
        <v>2944</v>
      </c>
      <c r="BS29" s="78" t="s">
        <v>2945</v>
      </c>
      <c r="BT29" s="78" t="s">
        <v>2946</v>
      </c>
      <c r="BU29" s="78" t="s">
        <v>2947</v>
      </c>
      <c r="BV29" s="78" t="s">
        <v>2948</v>
      </c>
      <c r="BW29" s="78" t="s">
        <v>2949</v>
      </c>
      <c r="BX29" s="78" t="s">
        <v>2950</v>
      </c>
      <c r="BY29" s="78" t="s">
        <v>2951</v>
      </c>
      <c r="BZ29" s="78" t="s">
        <v>2952</v>
      </c>
      <c r="CA29" s="78" t="s">
        <v>2953</v>
      </c>
      <c r="CB29" s="78" t="s">
        <v>2954</v>
      </c>
      <c r="CC29" s="78" t="s">
        <v>2955</v>
      </c>
      <c r="CD29" s="78" t="s">
        <v>2956</v>
      </c>
      <c r="CE29" s="78" t="s">
        <v>2957</v>
      </c>
      <c r="CF29" s="78" t="s">
        <v>2958</v>
      </c>
      <c r="CG29" s="78" t="s">
        <v>2959</v>
      </c>
      <c r="CH29" s="78" t="s">
        <v>2960</v>
      </c>
      <c r="CI29" s="78" t="s">
        <v>2961</v>
      </c>
      <c r="CJ29" s="78" t="s">
        <v>2962</v>
      </c>
      <c r="CK29" s="78" t="s">
        <v>2963</v>
      </c>
      <c r="CL29" s="78" t="s">
        <v>2964</v>
      </c>
      <c r="CM29" s="78" t="s">
        <v>2965</v>
      </c>
      <c r="CN29" s="78" t="s">
        <v>2966</v>
      </c>
      <c r="CO29" s="78" t="s">
        <v>2967</v>
      </c>
      <c r="CP29" s="78" t="s">
        <v>2968</v>
      </c>
      <c r="CQ29" s="78" t="s">
        <v>2969</v>
      </c>
      <c r="CR29" s="78" t="s">
        <v>2970</v>
      </c>
    </row>
    <row r="30" spans="1:96" x14ac:dyDescent="0.25">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X30" s="143"/>
      <c r="AY30" s="143"/>
    </row>
    <row r="31" spans="1:96" x14ac:dyDescent="0.25">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X31" s="143"/>
      <c r="AY31" s="143"/>
    </row>
    <row r="32" spans="1:96" x14ac:dyDescent="0.25">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X32" s="143"/>
      <c r="AY32" s="143"/>
    </row>
    <row r="33" spans="1:51" x14ac:dyDescent="0.25">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X33" s="143"/>
      <c r="AY33" s="143"/>
    </row>
    <row r="34" spans="1:51" x14ac:dyDescent="0.25">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X34" s="143"/>
      <c r="AY34" s="143"/>
    </row>
    <row r="35" spans="1:51" x14ac:dyDescent="0.25">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X35" s="143"/>
      <c r="AY35" s="143"/>
    </row>
    <row r="36" spans="1:51" x14ac:dyDescent="0.25">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X36" s="143"/>
      <c r="AY36" s="143"/>
    </row>
    <row r="37" spans="1:51" x14ac:dyDescent="0.25">
      <c r="A37" s="129"/>
      <c r="B37" s="129"/>
    </row>
  </sheetData>
  <autoFilter ref="A2:CR36" xr:uid="{23E3ED55-D028-4EF9-9309-A97635D0F585}"/>
  <mergeCells count="2">
    <mergeCell ref="AZ1:CR1"/>
    <mergeCell ref="C1:AV1"/>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ER2"/>
  <sheetViews>
    <sheetView workbookViewId="0">
      <selection sqref="A1:B1"/>
    </sheetView>
  </sheetViews>
  <sheetFormatPr defaultColWidth="20.5" defaultRowHeight="15.75" x14ac:dyDescent="0.25"/>
  <cols>
    <col min="1" max="3" width="20.5" style="111"/>
    <col min="14" max="14" width="3.375" customWidth="1"/>
    <col min="15" max="17" width="20.5" style="111"/>
    <col min="29" max="29" width="4.375" customWidth="1"/>
    <col min="30" max="32" width="20.5" style="111"/>
    <col min="58" max="58" width="4.375" customWidth="1"/>
    <col min="59" max="61" width="20.5" style="111"/>
    <col min="70" max="70" width="4.375" customWidth="1"/>
    <col min="71" max="73" width="20.5" style="111"/>
    <col min="85" max="85" width="4.375" customWidth="1"/>
    <col min="86" max="88" width="20.5" style="111"/>
    <col min="96" max="96" width="4.375" customWidth="1"/>
    <col min="97" max="99" width="20.5" style="111"/>
    <col min="102" max="102" width="4.375" customWidth="1"/>
    <col min="103" max="105" width="20.5" style="111"/>
    <col min="114" max="114" width="4.375" customWidth="1"/>
    <col min="115" max="117" width="20.5" style="111"/>
    <col min="134" max="134" width="4.375" customWidth="1"/>
    <col min="135" max="137" width="20.5" style="111"/>
    <col min="146" max="146" width="21.375" customWidth="1"/>
    <col min="147" max="147" width="4.375" customWidth="1"/>
  </cols>
  <sheetData>
    <row r="1" spans="1:148" s="106" customFormat="1" ht="48.95" customHeight="1" x14ac:dyDescent="0.25">
      <c r="A1" s="105"/>
      <c r="B1" s="105"/>
      <c r="C1" s="105"/>
      <c r="D1" s="547" t="s">
        <v>2971</v>
      </c>
      <c r="E1" s="547"/>
      <c r="F1" s="547"/>
      <c r="G1" s="547"/>
      <c r="H1" s="547"/>
      <c r="I1" s="547"/>
      <c r="J1" s="547"/>
      <c r="K1" s="547"/>
      <c r="L1" s="547"/>
      <c r="M1" s="547"/>
      <c r="O1" s="105"/>
      <c r="P1" s="105"/>
      <c r="Q1" s="105"/>
      <c r="R1" s="547" t="s">
        <v>2972</v>
      </c>
      <c r="S1" s="547"/>
      <c r="T1" s="547"/>
      <c r="U1" s="547"/>
      <c r="V1" s="547"/>
      <c r="W1" s="547"/>
      <c r="X1" s="547"/>
      <c r="Y1" s="547"/>
      <c r="Z1" s="547"/>
      <c r="AA1" s="547"/>
      <c r="AB1" s="547"/>
      <c r="AD1" s="105"/>
      <c r="AE1" s="105"/>
      <c r="AF1" s="105"/>
      <c r="AG1" s="547" t="s">
        <v>2973</v>
      </c>
      <c r="AH1" s="547"/>
      <c r="AI1" s="547"/>
      <c r="AJ1" s="547"/>
      <c r="AK1" s="547"/>
      <c r="AL1" s="547"/>
      <c r="AM1" s="547"/>
      <c r="AN1" s="547"/>
      <c r="AO1" s="547"/>
      <c r="AP1" s="547"/>
      <c r="AQ1" s="547"/>
      <c r="AR1" s="547"/>
      <c r="AS1" s="547"/>
      <c r="AT1" s="547"/>
      <c r="AU1" s="547"/>
      <c r="AV1" s="547"/>
      <c r="AW1" s="547"/>
      <c r="AX1" s="547"/>
      <c r="AY1" s="547"/>
      <c r="AZ1" s="547"/>
      <c r="BA1" s="547"/>
      <c r="BB1" s="547"/>
      <c r="BC1" s="547"/>
      <c r="BD1" s="547"/>
      <c r="BE1" s="547"/>
      <c r="BG1" s="105"/>
      <c r="BH1" s="105"/>
      <c r="BI1" s="105"/>
      <c r="BJ1" s="547" t="s">
        <v>2974</v>
      </c>
      <c r="BK1" s="547"/>
      <c r="BL1" s="547"/>
      <c r="BM1" s="547"/>
      <c r="BN1" s="547"/>
      <c r="BO1" s="547"/>
      <c r="BP1" s="547"/>
      <c r="BQ1" s="547"/>
      <c r="BS1" s="105"/>
      <c r="BT1" s="105"/>
      <c r="BU1" s="105"/>
      <c r="BV1" s="547" t="s">
        <v>805</v>
      </c>
      <c r="BW1" s="547"/>
      <c r="BX1" s="547"/>
      <c r="BY1" s="547"/>
      <c r="BZ1" s="547"/>
      <c r="CA1" s="547"/>
      <c r="CB1" s="547"/>
      <c r="CC1" s="547"/>
      <c r="CD1" s="547"/>
      <c r="CE1" s="547"/>
      <c r="CF1" s="547"/>
      <c r="CH1" s="105"/>
      <c r="CI1" s="105"/>
      <c r="CJ1" s="105"/>
      <c r="CK1" s="547" t="s">
        <v>2975</v>
      </c>
      <c r="CL1" s="547"/>
      <c r="CM1" s="547"/>
      <c r="CN1" s="547"/>
      <c r="CO1" s="547"/>
      <c r="CP1" s="547"/>
      <c r="CQ1" s="547"/>
      <c r="CS1" s="105"/>
      <c r="CT1" s="105"/>
      <c r="CU1" s="105"/>
      <c r="CV1" s="548" t="s">
        <v>2976</v>
      </c>
      <c r="CW1" s="548"/>
      <c r="CY1" s="105"/>
      <c r="CZ1" s="105"/>
      <c r="DA1" s="105"/>
      <c r="DB1" s="547" t="s">
        <v>2977</v>
      </c>
      <c r="DC1" s="547"/>
      <c r="DD1" s="547"/>
      <c r="DE1" s="547"/>
      <c r="DF1" s="547"/>
      <c r="DG1" s="547"/>
      <c r="DH1" s="547"/>
      <c r="DI1" s="547"/>
      <c r="DK1" s="105"/>
      <c r="DL1" s="105"/>
      <c r="DM1" s="105"/>
      <c r="DN1" s="547" t="s">
        <v>809</v>
      </c>
      <c r="DO1" s="547"/>
      <c r="DP1" s="547"/>
      <c r="DQ1" s="547"/>
      <c r="DR1" s="547"/>
      <c r="DS1" s="547"/>
      <c r="DT1" s="547"/>
      <c r="DU1" s="547"/>
      <c r="DV1" s="547"/>
      <c r="DW1" s="547"/>
      <c r="DX1" s="547"/>
      <c r="DY1" s="547"/>
      <c r="DZ1" s="547"/>
      <c r="EA1" s="547"/>
      <c r="EB1" s="547"/>
      <c r="EC1" s="547"/>
      <c r="EE1" s="105"/>
      <c r="EF1" s="105"/>
      <c r="EG1" s="105"/>
      <c r="EH1" s="547" t="s">
        <v>2978</v>
      </c>
      <c r="EI1" s="549"/>
      <c r="EJ1" s="549"/>
      <c r="EK1" s="549"/>
      <c r="EL1" s="549"/>
      <c r="EM1" s="549"/>
      <c r="EN1" s="549"/>
      <c r="EO1" s="549"/>
      <c r="EP1" s="549"/>
      <c r="ER1" s="548" t="s">
        <v>2979</v>
      </c>
    </row>
    <row r="2" spans="1:148" s="110" customFormat="1" ht="154.5" customHeight="1" x14ac:dyDescent="0.25">
      <c r="A2" s="74" t="s">
        <v>721</v>
      </c>
      <c r="B2" s="74" t="s">
        <v>1456</v>
      </c>
      <c r="C2" s="112" t="s">
        <v>2980</v>
      </c>
      <c r="D2" s="98" t="s">
        <v>37</v>
      </c>
      <c r="E2" s="98" t="s">
        <v>41</v>
      </c>
      <c r="F2" s="98" t="s">
        <v>1459</v>
      </c>
      <c r="G2" s="98" t="s">
        <v>1460</v>
      </c>
      <c r="H2" s="98" t="s">
        <v>1461</v>
      </c>
      <c r="I2" s="98" t="s">
        <v>57</v>
      </c>
      <c r="J2" s="98" t="s">
        <v>60</v>
      </c>
      <c r="K2" s="98" t="s">
        <v>63</v>
      </c>
      <c r="L2" s="98" t="s">
        <v>66</v>
      </c>
      <c r="M2" s="74" t="s">
        <v>1462</v>
      </c>
      <c r="N2" s="107"/>
      <c r="O2" s="74" t="s">
        <v>721</v>
      </c>
      <c r="P2" s="74" t="s">
        <v>1456</v>
      </c>
      <c r="Q2" s="112" t="s">
        <v>2980</v>
      </c>
      <c r="R2" s="98" t="s">
        <v>70</v>
      </c>
      <c r="S2" s="98" t="s">
        <v>1463</v>
      </c>
      <c r="T2" s="98" t="s">
        <v>1464</v>
      </c>
      <c r="U2" s="98" t="s">
        <v>1465</v>
      </c>
      <c r="V2" s="98" t="s">
        <v>1466</v>
      </c>
      <c r="W2" s="98" t="s">
        <v>94</v>
      </c>
      <c r="X2" s="98" t="s">
        <v>1467</v>
      </c>
      <c r="Y2" s="98" t="s">
        <v>1440</v>
      </c>
      <c r="Z2" s="98" t="s">
        <v>106</v>
      </c>
      <c r="AA2" s="98" t="s">
        <v>108</v>
      </c>
      <c r="AB2" s="74" t="s">
        <v>1468</v>
      </c>
      <c r="AC2" s="107"/>
      <c r="AD2" s="74" t="s">
        <v>721</v>
      </c>
      <c r="AE2" s="74" t="s">
        <v>1456</v>
      </c>
      <c r="AF2" s="112" t="s">
        <v>2980</v>
      </c>
      <c r="AG2" s="98" t="s">
        <v>112</v>
      </c>
      <c r="AH2" s="98" t="s">
        <v>115</v>
      </c>
      <c r="AI2" s="98" t="s">
        <v>118</v>
      </c>
      <c r="AJ2" s="98" t="s">
        <v>121</v>
      </c>
      <c r="AK2" s="98" t="s">
        <v>1469</v>
      </c>
      <c r="AL2" s="98" t="s">
        <v>129</v>
      </c>
      <c r="AM2" s="98" t="s">
        <v>132</v>
      </c>
      <c r="AN2" s="98" t="s">
        <v>136</v>
      </c>
      <c r="AO2" s="98" t="s">
        <v>139</v>
      </c>
      <c r="AP2" s="98" t="s">
        <v>142</v>
      </c>
      <c r="AQ2" s="98" t="s">
        <v>145</v>
      </c>
      <c r="AR2" s="98" t="s">
        <v>148</v>
      </c>
      <c r="AS2" s="98" t="s">
        <v>151</v>
      </c>
      <c r="AT2" s="98" t="s">
        <v>154</v>
      </c>
      <c r="AU2" s="98" t="s">
        <v>1441</v>
      </c>
      <c r="AV2" s="98" t="s">
        <v>160</v>
      </c>
      <c r="AW2" s="98" t="s">
        <v>163</v>
      </c>
      <c r="AX2" s="98" t="s">
        <v>166</v>
      </c>
      <c r="AY2" s="98" t="s">
        <v>169</v>
      </c>
      <c r="AZ2" s="98" t="s">
        <v>172</v>
      </c>
      <c r="BA2" s="98" t="s">
        <v>175</v>
      </c>
      <c r="BB2" s="98" t="s">
        <v>178</v>
      </c>
      <c r="BC2" s="98" t="s">
        <v>181</v>
      </c>
      <c r="BD2" s="98" t="s">
        <v>184</v>
      </c>
      <c r="BE2" s="74" t="s">
        <v>1470</v>
      </c>
      <c r="BF2" s="107"/>
      <c r="BG2" s="74" t="s">
        <v>721</v>
      </c>
      <c r="BH2" s="74" t="s">
        <v>1456</v>
      </c>
      <c r="BI2" s="112" t="s">
        <v>2980</v>
      </c>
      <c r="BJ2" s="98" t="s">
        <v>190</v>
      </c>
      <c r="BK2" s="98" t="s">
        <v>193</v>
      </c>
      <c r="BL2" s="98" t="s">
        <v>196</v>
      </c>
      <c r="BM2" s="98" t="s">
        <v>199</v>
      </c>
      <c r="BN2" s="98" t="s">
        <v>202</v>
      </c>
      <c r="BO2" s="98" t="s">
        <v>205</v>
      </c>
      <c r="BP2" s="98" t="s">
        <v>208</v>
      </c>
      <c r="BQ2" s="74" t="s">
        <v>1471</v>
      </c>
      <c r="BR2" s="107"/>
      <c r="BS2" s="74" t="s">
        <v>721</v>
      </c>
      <c r="BT2" s="74" t="s">
        <v>1456</v>
      </c>
      <c r="BU2" s="112" t="s">
        <v>2980</v>
      </c>
      <c r="BV2" s="98" t="s">
        <v>212</v>
      </c>
      <c r="BW2" s="98" t="s">
        <v>215</v>
      </c>
      <c r="BX2" s="98" t="s">
        <v>218</v>
      </c>
      <c r="BY2" s="98" t="s">
        <v>221</v>
      </c>
      <c r="BZ2" s="98" t="s">
        <v>224</v>
      </c>
      <c r="CA2" s="98" t="s">
        <v>227</v>
      </c>
      <c r="CB2" s="98" t="s">
        <v>230</v>
      </c>
      <c r="CC2" s="98" t="s">
        <v>233</v>
      </c>
      <c r="CD2" s="98" t="s">
        <v>236</v>
      </c>
      <c r="CE2" s="98" t="s">
        <v>238</v>
      </c>
      <c r="CF2" s="74" t="s">
        <v>1472</v>
      </c>
      <c r="CG2" s="107"/>
      <c r="CH2" s="74" t="s">
        <v>721</v>
      </c>
      <c r="CI2" s="74" t="s">
        <v>1456</v>
      </c>
      <c r="CJ2" s="112" t="s">
        <v>2980</v>
      </c>
      <c r="CK2" s="98" t="s">
        <v>242</v>
      </c>
      <c r="CL2" s="98" t="s">
        <v>245</v>
      </c>
      <c r="CM2" s="98" t="s">
        <v>248</v>
      </c>
      <c r="CN2" s="98" t="s">
        <v>256</v>
      </c>
      <c r="CO2" s="98" t="s">
        <v>258</v>
      </c>
      <c r="CP2" s="98" t="s">
        <v>260</v>
      </c>
      <c r="CQ2" s="74" t="s">
        <v>1473</v>
      </c>
      <c r="CR2" s="107"/>
      <c r="CS2" s="74" t="s">
        <v>721</v>
      </c>
      <c r="CT2" s="74" t="s">
        <v>1456</v>
      </c>
      <c r="CU2" s="112" t="s">
        <v>2980</v>
      </c>
      <c r="CV2" s="109" t="s">
        <v>2981</v>
      </c>
      <c r="CW2" s="108" t="s">
        <v>1476</v>
      </c>
      <c r="CX2" s="107"/>
      <c r="CY2" s="74" t="s">
        <v>721</v>
      </c>
      <c r="CZ2" s="74" t="s">
        <v>1456</v>
      </c>
      <c r="DA2" s="112" t="s">
        <v>2980</v>
      </c>
      <c r="DB2" s="98" t="s">
        <v>289</v>
      </c>
      <c r="DC2" s="98" t="s">
        <v>291</v>
      </c>
      <c r="DD2" s="98" t="s">
        <v>295</v>
      </c>
      <c r="DE2" s="98" t="s">
        <v>304</v>
      </c>
      <c r="DF2" s="98" t="s">
        <v>307</v>
      </c>
      <c r="DG2" s="98" t="s">
        <v>310</v>
      </c>
      <c r="DH2" s="98" t="s">
        <v>313</v>
      </c>
      <c r="DI2" s="74" t="s">
        <v>1481</v>
      </c>
      <c r="DJ2" s="107"/>
      <c r="DK2" s="74" t="s">
        <v>721</v>
      </c>
      <c r="DL2" s="74" t="s">
        <v>1456</v>
      </c>
      <c r="DM2" s="112" t="s">
        <v>2980</v>
      </c>
      <c r="DN2" s="98" t="s">
        <v>317</v>
      </c>
      <c r="DO2" s="98" t="s">
        <v>320</v>
      </c>
      <c r="DP2" s="98" t="s">
        <v>326</v>
      </c>
      <c r="DQ2" s="98" t="s">
        <v>329</v>
      </c>
      <c r="DR2" s="98" t="s">
        <v>332</v>
      </c>
      <c r="DS2" s="98" t="s">
        <v>335</v>
      </c>
      <c r="DT2" s="98" t="s">
        <v>338</v>
      </c>
      <c r="DU2" s="98" t="s">
        <v>339</v>
      </c>
      <c r="DV2" s="98" t="s">
        <v>343</v>
      </c>
      <c r="DW2" s="98" t="s">
        <v>346</v>
      </c>
      <c r="DX2" s="98" t="s">
        <v>2982</v>
      </c>
      <c r="DY2" s="98" t="s">
        <v>350</v>
      </c>
      <c r="DZ2" s="98" t="s">
        <v>2983</v>
      </c>
      <c r="EA2" s="98" t="s">
        <v>352</v>
      </c>
      <c r="EB2" s="98" t="s">
        <v>2984</v>
      </c>
      <c r="EC2" s="74" t="s">
        <v>1482</v>
      </c>
      <c r="ED2" s="107"/>
      <c r="EE2" s="74" t="s">
        <v>721</v>
      </c>
      <c r="EF2" s="74" t="s">
        <v>1456</v>
      </c>
      <c r="EG2" s="112" t="s">
        <v>2980</v>
      </c>
      <c r="EH2" s="98" t="s">
        <v>356</v>
      </c>
      <c r="EI2" s="98" t="s">
        <v>359</v>
      </c>
      <c r="EJ2" s="98" t="s">
        <v>362</v>
      </c>
      <c r="EK2" s="98" t="s">
        <v>365</v>
      </c>
      <c r="EL2" s="98" t="s">
        <v>367</v>
      </c>
      <c r="EM2" s="98" t="s">
        <v>370</v>
      </c>
      <c r="EN2" s="98" t="s">
        <v>373</v>
      </c>
      <c r="EO2" s="98" t="s">
        <v>376</v>
      </c>
      <c r="EP2" s="74" t="s">
        <v>2985</v>
      </c>
      <c r="EQ2" s="107"/>
      <c r="ER2" s="548"/>
    </row>
  </sheetData>
  <mergeCells count="11">
    <mergeCell ref="CV1:CW1"/>
    <mergeCell ref="DB1:DI1"/>
    <mergeCell ref="DN1:EC1"/>
    <mergeCell ref="EH1:EP1"/>
    <mergeCell ref="ER1:ER2"/>
    <mergeCell ref="CK1:CQ1"/>
    <mergeCell ref="D1:M1"/>
    <mergeCell ref="R1:AB1"/>
    <mergeCell ref="AG1:BE1"/>
    <mergeCell ref="BJ1:BQ1"/>
    <mergeCell ref="BV1:CF1"/>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AJ117"/>
  <sheetViews>
    <sheetView workbookViewId="0">
      <selection sqref="A1:B1"/>
    </sheetView>
  </sheetViews>
  <sheetFormatPr defaultColWidth="11" defaultRowHeight="15.75" x14ac:dyDescent="0.25"/>
  <cols>
    <col min="1" max="1" width="7.25" customWidth="1"/>
    <col min="2" max="2" width="61.75" style="21" customWidth="1"/>
    <col min="3" max="36" width="20.875" style="78" customWidth="1"/>
  </cols>
  <sheetData>
    <row r="1" spans="1:36" s="62" customFormat="1" ht="34.5" customHeight="1" x14ac:dyDescent="0.25">
      <c r="A1" s="553" t="s">
        <v>2986</v>
      </c>
      <c r="B1" s="534"/>
      <c r="C1" s="550" t="s">
        <v>757</v>
      </c>
      <c r="D1" s="550"/>
      <c r="E1" s="550"/>
      <c r="F1" s="550"/>
      <c r="G1" s="550"/>
      <c r="H1" s="550"/>
      <c r="I1" s="550"/>
      <c r="J1" s="550"/>
      <c r="K1" s="550"/>
      <c r="L1" s="550"/>
      <c r="M1" s="550"/>
      <c r="N1" s="550"/>
      <c r="O1" s="550"/>
      <c r="P1" s="550"/>
      <c r="Q1" s="550"/>
      <c r="R1" s="550"/>
      <c r="S1" s="550"/>
      <c r="T1" s="550"/>
      <c r="U1" s="550"/>
      <c r="V1" s="550"/>
      <c r="W1" s="550"/>
      <c r="X1" s="550"/>
      <c r="Y1" s="550"/>
      <c r="Z1" s="550"/>
      <c r="AA1" s="550"/>
      <c r="AB1" s="550"/>
      <c r="AC1" s="550"/>
      <c r="AD1" s="550"/>
      <c r="AE1" s="550"/>
      <c r="AF1" s="550"/>
      <c r="AG1" s="550"/>
      <c r="AH1" s="550"/>
      <c r="AI1" s="550"/>
      <c r="AJ1" s="550"/>
    </row>
    <row r="2" spans="1:36" s="7" customFormat="1" ht="20.25" customHeight="1" x14ac:dyDescent="0.25">
      <c r="A2" s="554" t="s">
        <v>2987</v>
      </c>
      <c r="B2" s="554"/>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row>
    <row r="3" spans="1:36" s="7" customFormat="1" ht="20.25" customHeight="1" x14ac:dyDescent="0.25">
      <c r="A3" s="54"/>
      <c r="B3" s="54" t="s">
        <v>796</v>
      </c>
      <c r="C3" s="74" t="s">
        <v>2988</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row>
    <row r="4" spans="1:36" s="7" customFormat="1" ht="20.25" customHeight="1" x14ac:dyDescent="0.25">
      <c r="A4" s="554" t="s">
        <v>1457</v>
      </c>
      <c r="B4" s="554"/>
      <c r="C4" s="74" t="s">
        <v>728</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row>
    <row r="5" spans="1:36" s="7" customFormat="1" ht="20.25" customHeight="1" x14ac:dyDescent="0.25">
      <c r="A5" s="554" t="s">
        <v>1458</v>
      </c>
      <c r="B5" s="554"/>
      <c r="C5" s="74">
        <v>123</v>
      </c>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row>
    <row r="6" spans="1:36" s="63" customFormat="1" ht="20.25" customHeight="1" x14ac:dyDescent="0.25">
      <c r="A6" s="534" t="s">
        <v>2989</v>
      </c>
      <c r="B6" s="534"/>
      <c r="C6" s="75">
        <f>SUM(C7:C15)/14</f>
        <v>0.8214285714285714</v>
      </c>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6" s="72" customFormat="1" ht="20.25" customHeight="1" x14ac:dyDescent="0.2">
      <c r="A7" s="59">
        <v>1</v>
      </c>
      <c r="B7" s="60" t="s">
        <v>37</v>
      </c>
      <c r="C7" s="76">
        <v>0.5</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row>
    <row r="8" spans="1:36" s="72" customFormat="1" ht="20.25" customHeight="1" x14ac:dyDescent="0.2">
      <c r="A8" s="55">
        <v>2</v>
      </c>
      <c r="B8" s="56" t="s">
        <v>41</v>
      </c>
      <c r="C8" s="77">
        <v>2</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s="72" customFormat="1" ht="20.25" customHeight="1" x14ac:dyDescent="0.2">
      <c r="A9" s="59">
        <v>3</v>
      </c>
      <c r="B9" s="60" t="s">
        <v>1459</v>
      </c>
      <c r="C9" s="76">
        <v>1</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row>
    <row r="10" spans="1:36" s="72" customFormat="1" ht="20.25" customHeight="1" x14ac:dyDescent="0.2">
      <c r="A10" s="55">
        <v>4</v>
      </c>
      <c r="B10" s="56" t="s">
        <v>1460</v>
      </c>
      <c r="C10" s="77">
        <v>3</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s="72" customFormat="1" ht="20.25" customHeight="1" x14ac:dyDescent="0.2">
      <c r="A11" s="59">
        <v>5</v>
      </c>
      <c r="B11" s="60" t="s">
        <v>1461</v>
      </c>
      <c r="C11" s="76">
        <v>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row>
    <row r="12" spans="1:36" s="72" customFormat="1" ht="30" x14ac:dyDescent="0.2">
      <c r="A12" s="55">
        <v>6</v>
      </c>
      <c r="B12" s="56" t="s">
        <v>57</v>
      </c>
      <c r="C12" s="77">
        <v>1</v>
      </c>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s="72" customFormat="1" ht="20.25" customHeight="1" x14ac:dyDescent="0.2">
      <c r="A13" s="59">
        <v>7</v>
      </c>
      <c r="B13" s="60" t="s">
        <v>60</v>
      </c>
      <c r="C13" s="76">
        <v>1</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row>
    <row r="14" spans="1:36" s="72" customFormat="1" ht="20.25" customHeight="1" x14ac:dyDescent="0.2">
      <c r="A14" s="55">
        <v>8</v>
      </c>
      <c r="B14" s="56" t="s">
        <v>63</v>
      </c>
      <c r="C14" s="77">
        <v>1</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s="72" customFormat="1" ht="20.25" customHeight="1" x14ac:dyDescent="0.2">
      <c r="A15" s="59">
        <v>9</v>
      </c>
      <c r="B15" s="60" t="s">
        <v>66</v>
      </c>
      <c r="C15" s="76">
        <v>1</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row>
    <row r="16" spans="1:36" s="63" customFormat="1" ht="20.25" customHeight="1" x14ac:dyDescent="0.25">
      <c r="A16" s="534" t="s">
        <v>2990</v>
      </c>
      <c r="B16" s="534"/>
      <c r="C16" s="75">
        <f>SUM(C17:C26)/34</f>
        <v>0.61764705882352944</v>
      </c>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spans="1:3" s="72" customFormat="1" ht="20.25" customHeight="1" x14ac:dyDescent="0.2">
      <c r="A17" s="59">
        <v>1</v>
      </c>
      <c r="B17" s="60" t="s">
        <v>70</v>
      </c>
      <c r="C17" s="76">
        <v>1</v>
      </c>
    </row>
    <row r="18" spans="1:3" s="72" customFormat="1" ht="20.25" customHeight="1" x14ac:dyDescent="0.2">
      <c r="A18" s="55">
        <v>2</v>
      </c>
      <c r="B18" s="56" t="s">
        <v>1463</v>
      </c>
      <c r="C18" s="77">
        <v>1</v>
      </c>
    </row>
    <row r="19" spans="1:3" s="72" customFormat="1" ht="20.25" customHeight="1" x14ac:dyDescent="0.2">
      <c r="A19" s="59">
        <v>3</v>
      </c>
      <c r="B19" s="60" t="s">
        <v>1464</v>
      </c>
      <c r="C19" s="76">
        <v>2</v>
      </c>
    </row>
    <row r="20" spans="1:3" s="72" customFormat="1" ht="20.25" customHeight="1" x14ac:dyDescent="0.2">
      <c r="A20" s="55">
        <v>4</v>
      </c>
      <c r="B20" s="56" t="s">
        <v>1465</v>
      </c>
      <c r="C20" s="77">
        <v>1</v>
      </c>
    </row>
    <row r="21" spans="1:3" s="72" customFormat="1" ht="20.25" customHeight="1" x14ac:dyDescent="0.2">
      <c r="A21" s="59">
        <v>5</v>
      </c>
      <c r="B21" s="60" t="s">
        <v>1466</v>
      </c>
      <c r="C21" s="76">
        <v>8</v>
      </c>
    </row>
    <row r="22" spans="1:3" s="72" customFormat="1" ht="20.25" customHeight="1" x14ac:dyDescent="0.2">
      <c r="A22" s="55">
        <v>6</v>
      </c>
      <c r="B22" s="56" t="s">
        <v>94</v>
      </c>
      <c r="C22" s="77">
        <v>1</v>
      </c>
    </row>
    <row r="23" spans="1:3" s="72" customFormat="1" ht="20.25" customHeight="1" x14ac:dyDescent="0.2">
      <c r="A23" s="59">
        <v>7</v>
      </c>
      <c r="B23" s="60" t="s">
        <v>1467</v>
      </c>
      <c r="C23" s="76">
        <v>1</v>
      </c>
    </row>
    <row r="24" spans="1:3" s="72" customFormat="1" ht="30" x14ac:dyDescent="0.2">
      <c r="A24" s="55">
        <v>8</v>
      </c>
      <c r="B24" s="56" t="s">
        <v>1440</v>
      </c>
      <c r="C24" s="77">
        <v>1</v>
      </c>
    </row>
    <row r="25" spans="1:3" s="72" customFormat="1" ht="20.25" customHeight="1" x14ac:dyDescent="0.2">
      <c r="A25" s="59">
        <v>9</v>
      </c>
      <c r="B25" s="60" t="s">
        <v>106</v>
      </c>
      <c r="C25" s="76">
        <v>3</v>
      </c>
    </row>
    <row r="26" spans="1:3" s="72" customFormat="1" ht="20.25" customHeight="1" x14ac:dyDescent="0.2">
      <c r="A26" s="55">
        <v>10</v>
      </c>
      <c r="B26" s="56" t="s">
        <v>108</v>
      </c>
      <c r="C26" s="77">
        <v>2</v>
      </c>
    </row>
    <row r="27" spans="1:3" s="63" customFormat="1" ht="20.25" customHeight="1" x14ac:dyDescent="0.25">
      <c r="A27" s="534" t="s">
        <v>2991</v>
      </c>
      <c r="B27" s="534"/>
      <c r="C27" s="75">
        <f>SUM(C28:C51)/44</f>
        <v>0.77272727272727271</v>
      </c>
    </row>
    <row r="28" spans="1:3" s="72" customFormat="1" ht="20.25" customHeight="1" x14ac:dyDescent="0.2">
      <c r="A28" s="59">
        <v>1</v>
      </c>
      <c r="B28" s="60" t="s">
        <v>112</v>
      </c>
      <c r="C28" s="76">
        <v>1</v>
      </c>
    </row>
    <row r="29" spans="1:3" s="72" customFormat="1" ht="30" x14ac:dyDescent="0.2">
      <c r="A29" s="55">
        <v>2</v>
      </c>
      <c r="B29" s="56" t="s">
        <v>115</v>
      </c>
      <c r="C29" s="77">
        <v>1</v>
      </c>
    </row>
    <row r="30" spans="1:3" s="72" customFormat="1" ht="20.25" customHeight="1" x14ac:dyDescent="0.2">
      <c r="A30" s="59">
        <v>3</v>
      </c>
      <c r="B30" s="60" t="s">
        <v>118</v>
      </c>
      <c r="C30" s="76">
        <v>1</v>
      </c>
    </row>
    <row r="31" spans="1:3" s="72" customFormat="1" ht="20.25" customHeight="1" x14ac:dyDescent="0.2">
      <c r="A31" s="55">
        <v>4</v>
      </c>
      <c r="B31" s="56" t="s">
        <v>121</v>
      </c>
      <c r="C31" s="77">
        <v>4</v>
      </c>
    </row>
    <row r="32" spans="1:3" s="72" customFormat="1" ht="20.25" customHeight="1" x14ac:dyDescent="0.2">
      <c r="A32" s="59">
        <v>5</v>
      </c>
      <c r="B32" s="60" t="s">
        <v>1469</v>
      </c>
      <c r="C32" s="76">
        <v>1</v>
      </c>
    </row>
    <row r="33" spans="1:3" s="72" customFormat="1" ht="20.25" customHeight="1" x14ac:dyDescent="0.2">
      <c r="A33" s="55">
        <v>6</v>
      </c>
      <c r="B33" s="56" t="s">
        <v>129</v>
      </c>
      <c r="C33" s="77">
        <v>2</v>
      </c>
    </row>
    <row r="34" spans="1:3" s="72" customFormat="1" ht="20.25" customHeight="1" x14ac:dyDescent="0.2">
      <c r="A34" s="59">
        <v>7</v>
      </c>
      <c r="B34" s="60" t="s">
        <v>132</v>
      </c>
      <c r="C34" s="76">
        <v>1</v>
      </c>
    </row>
    <row r="35" spans="1:3" s="72" customFormat="1" ht="20.25" customHeight="1" x14ac:dyDescent="0.2">
      <c r="A35" s="55">
        <v>8</v>
      </c>
      <c r="B35" s="56" t="s">
        <v>136</v>
      </c>
      <c r="C35" s="77">
        <v>1</v>
      </c>
    </row>
    <row r="36" spans="1:3" s="72" customFormat="1" ht="20.25" customHeight="1" x14ac:dyDescent="0.2">
      <c r="A36" s="59">
        <v>9</v>
      </c>
      <c r="B36" s="60" t="s">
        <v>139</v>
      </c>
      <c r="C36" s="76">
        <v>1</v>
      </c>
    </row>
    <row r="37" spans="1:3" s="72" customFormat="1" ht="20.25" customHeight="1" x14ac:dyDescent="0.2">
      <c r="A37" s="55">
        <v>10</v>
      </c>
      <c r="B37" s="56" t="s">
        <v>142</v>
      </c>
      <c r="C37" s="77">
        <v>1</v>
      </c>
    </row>
    <row r="38" spans="1:3" s="72" customFormat="1" ht="20.25" customHeight="1" x14ac:dyDescent="0.2">
      <c r="A38" s="59">
        <v>11</v>
      </c>
      <c r="B38" s="60" t="s">
        <v>145</v>
      </c>
      <c r="C38" s="76">
        <v>2</v>
      </c>
    </row>
    <row r="39" spans="1:3" s="72" customFormat="1" ht="20.25" customHeight="1" x14ac:dyDescent="0.2">
      <c r="A39" s="55">
        <v>12</v>
      </c>
      <c r="B39" s="56" t="s">
        <v>148</v>
      </c>
      <c r="C39" s="77">
        <v>1</v>
      </c>
    </row>
    <row r="40" spans="1:3" s="72" customFormat="1" ht="20.25" customHeight="1" x14ac:dyDescent="0.2">
      <c r="A40" s="59">
        <v>13</v>
      </c>
      <c r="B40" s="60" t="s">
        <v>151</v>
      </c>
      <c r="C40" s="76">
        <v>2</v>
      </c>
    </row>
    <row r="41" spans="1:3" s="72" customFormat="1" ht="20.25" customHeight="1" x14ac:dyDescent="0.2">
      <c r="A41" s="55">
        <v>14</v>
      </c>
      <c r="B41" s="56" t="s">
        <v>154</v>
      </c>
      <c r="C41" s="77">
        <v>1</v>
      </c>
    </row>
    <row r="42" spans="1:3" s="72" customFormat="1" ht="20.25" customHeight="1" x14ac:dyDescent="0.2">
      <c r="A42" s="59">
        <v>15</v>
      </c>
      <c r="B42" s="60" t="s">
        <v>1441</v>
      </c>
      <c r="C42" s="76">
        <v>4</v>
      </c>
    </row>
    <row r="43" spans="1:3" s="72" customFormat="1" ht="30" x14ac:dyDescent="0.2">
      <c r="A43" s="55">
        <v>16</v>
      </c>
      <c r="B43" s="56" t="s">
        <v>160</v>
      </c>
      <c r="C43" s="77">
        <v>1</v>
      </c>
    </row>
    <row r="44" spans="1:3" s="72" customFormat="1" ht="20.25" customHeight="1" x14ac:dyDescent="0.2">
      <c r="A44" s="59">
        <v>17</v>
      </c>
      <c r="B44" s="60" t="s">
        <v>163</v>
      </c>
      <c r="C44" s="76">
        <v>2</v>
      </c>
    </row>
    <row r="45" spans="1:3" s="72" customFormat="1" ht="20.25" customHeight="1" x14ac:dyDescent="0.2">
      <c r="A45" s="55">
        <v>18</v>
      </c>
      <c r="B45" s="56" t="s">
        <v>166</v>
      </c>
      <c r="C45" s="77">
        <v>0.5</v>
      </c>
    </row>
    <row r="46" spans="1:3" s="72" customFormat="1" ht="20.25" customHeight="1" x14ac:dyDescent="0.2">
      <c r="A46" s="59">
        <v>19</v>
      </c>
      <c r="B46" s="60" t="s">
        <v>169</v>
      </c>
      <c r="C46" s="76">
        <v>0</v>
      </c>
    </row>
    <row r="47" spans="1:3" s="72" customFormat="1" ht="20.25" customHeight="1" x14ac:dyDescent="0.2">
      <c r="A47" s="55">
        <v>20</v>
      </c>
      <c r="B47" s="56" t="s">
        <v>172</v>
      </c>
      <c r="C47" s="77">
        <v>0</v>
      </c>
    </row>
    <row r="48" spans="1:3" s="72" customFormat="1" ht="20.25" customHeight="1" x14ac:dyDescent="0.2">
      <c r="A48" s="59">
        <v>21</v>
      </c>
      <c r="B48" s="60" t="s">
        <v>175</v>
      </c>
      <c r="C48" s="76">
        <v>1</v>
      </c>
    </row>
    <row r="49" spans="1:3" s="72" customFormat="1" ht="20.25" customHeight="1" x14ac:dyDescent="0.2">
      <c r="A49" s="55">
        <v>22</v>
      </c>
      <c r="B49" s="56" t="s">
        <v>178</v>
      </c>
      <c r="C49" s="77">
        <v>0.5</v>
      </c>
    </row>
    <row r="50" spans="1:3" s="72" customFormat="1" ht="30" x14ac:dyDescent="0.2">
      <c r="A50" s="59">
        <v>23</v>
      </c>
      <c r="B50" s="60" t="s">
        <v>181</v>
      </c>
      <c r="C50" s="76">
        <v>1</v>
      </c>
    </row>
    <row r="51" spans="1:3" s="72" customFormat="1" ht="30" x14ac:dyDescent="0.2">
      <c r="A51" s="55">
        <v>24</v>
      </c>
      <c r="B51" s="56" t="s">
        <v>184</v>
      </c>
      <c r="C51" s="77">
        <v>4</v>
      </c>
    </row>
    <row r="52" spans="1:3" s="63" customFormat="1" ht="20.25" customHeight="1" x14ac:dyDescent="0.25">
      <c r="A52" s="534" t="s">
        <v>2974</v>
      </c>
      <c r="B52" s="534"/>
      <c r="C52" s="75">
        <f>SUM(C53:C59)/23</f>
        <v>0.73913043478260865</v>
      </c>
    </row>
    <row r="53" spans="1:3" ht="20.25" customHeight="1" x14ac:dyDescent="0.25">
      <c r="A53" s="59">
        <v>1</v>
      </c>
      <c r="B53" s="60" t="s">
        <v>190</v>
      </c>
      <c r="C53" s="76">
        <v>1</v>
      </c>
    </row>
    <row r="54" spans="1:3" ht="20.25" customHeight="1" x14ac:dyDescent="0.25">
      <c r="A54" s="55">
        <v>2</v>
      </c>
      <c r="B54" s="56" t="s">
        <v>193</v>
      </c>
      <c r="C54" s="77">
        <v>3</v>
      </c>
    </row>
    <row r="55" spans="1:3" ht="20.25" customHeight="1" x14ac:dyDescent="0.25">
      <c r="A55" s="59">
        <v>3</v>
      </c>
      <c r="B55" s="60" t="s">
        <v>196</v>
      </c>
      <c r="C55" s="76">
        <v>4</v>
      </c>
    </row>
    <row r="56" spans="1:3" ht="20.25" customHeight="1" x14ac:dyDescent="0.25">
      <c r="A56" s="55">
        <v>4</v>
      </c>
      <c r="B56" s="56" t="s">
        <v>199</v>
      </c>
      <c r="C56" s="77">
        <v>3</v>
      </c>
    </row>
    <row r="57" spans="1:3" ht="20.25" customHeight="1" x14ac:dyDescent="0.25">
      <c r="A57" s="59">
        <v>5</v>
      </c>
      <c r="B57" s="60" t="s">
        <v>202</v>
      </c>
      <c r="C57" s="76">
        <v>3</v>
      </c>
    </row>
    <row r="58" spans="1:3" ht="30.75" x14ac:dyDescent="0.25">
      <c r="A58" s="55">
        <v>6</v>
      </c>
      <c r="B58" s="56" t="s">
        <v>205</v>
      </c>
      <c r="C58" s="77">
        <v>3</v>
      </c>
    </row>
    <row r="59" spans="1:3" ht="20.25" customHeight="1" x14ac:dyDescent="0.25">
      <c r="A59" s="59">
        <v>7</v>
      </c>
      <c r="B59" s="60" t="s">
        <v>208</v>
      </c>
      <c r="C59" s="76">
        <v>0</v>
      </c>
    </row>
    <row r="60" spans="1:3" s="63" customFormat="1" ht="20.25" customHeight="1" x14ac:dyDescent="0.25">
      <c r="A60" s="534" t="s">
        <v>2992</v>
      </c>
      <c r="B60" s="534"/>
      <c r="C60" s="75" t="s">
        <v>2993</v>
      </c>
    </row>
    <row r="61" spans="1:3" ht="20.25" customHeight="1" x14ac:dyDescent="0.25">
      <c r="A61" s="59">
        <v>1</v>
      </c>
      <c r="B61" s="60" t="s">
        <v>212</v>
      </c>
      <c r="C61" s="76" t="s">
        <v>2993</v>
      </c>
    </row>
    <row r="62" spans="1:3" ht="20.25" customHeight="1" x14ac:dyDescent="0.25">
      <c r="A62" s="55">
        <v>2</v>
      </c>
      <c r="B62" s="56" t="s">
        <v>215</v>
      </c>
      <c r="C62" s="77" t="s">
        <v>2993</v>
      </c>
    </row>
    <row r="63" spans="1:3" ht="20.25" customHeight="1" x14ac:dyDescent="0.25">
      <c r="A63" s="59">
        <v>3</v>
      </c>
      <c r="B63" s="60" t="s">
        <v>218</v>
      </c>
      <c r="C63" s="76" t="s">
        <v>2993</v>
      </c>
    </row>
    <row r="64" spans="1:3" ht="45.75" x14ac:dyDescent="0.25">
      <c r="A64" s="55">
        <v>4</v>
      </c>
      <c r="B64" s="56" t="s">
        <v>221</v>
      </c>
      <c r="C64" s="77" t="s">
        <v>2993</v>
      </c>
    </row>
    <row r="65" spans="1:3" ht="20.25" customHeight="1" x14ac:dyDescent="0.25">
      <c r="A65" s="59">
        <v>5</v>
      </c>
      <c r="B65" s="60" t="s">
        <v>224</v>
      </c>
      <c r="C65" s="76" t="s">
        <v>2993</v>
      </c>
    </row>
    <row r="66" spans="1:3" ht="20.25" customHeight="1" x14ac:dyDescent="0.25">
      <c r="A66" s="55">
        <v>6</v>
      </c>
      <c r="B66" s="56" t="s">
        <v>227</v>
      </c>
      <c r="C66" s="77" t="s">
        <v>2993</v>
      </c>
    </row>
    <row r="67" spans="1:3" ht="20.25" customHeight="1" x14ac:dyDescent="0.25">
      <c r="A67" s="59">
        <v>7</v>
      </c>
      <c r="B67" s="60" t="s">
        <v>230</v>
      </c>
      <c r="C67" s="76" t="s">
        <v>2993</v>
      </c>
    </row>
    <row r="68" spans="1:3" ht="20.25" customHeight="1" x14ac:dyDescent="0.25">
      <c r="A68" s="55">
        <v>8</v>
      </c>
      <c r="B68" s="56" t="s">
        <v>233</v>
      </c>
      <c r="C68" s="77" t="s">
        <v>2993</v>
      </c>
    </row>
    <row r="69" spans="1:3" ht="30.75" x14ac:dyDescent="0.25">
      <c r="A69" s="59">
        <v>9</v>
      </c>
      <c r="B69" s="60" t="s">
        <v>236</v>
      </c>
      <c r="C69" s="76" t="s">
        <v>2993</v>
      </c>
    </row>
    <row r="70" spans="1:3" ht="20.25" customHeight="1" x14ac:dyDescent="0.25">
      <c r="A70" s="55">
        <v>10</v>
      </c>
      <c r="B70" s="56" t="s">
        <v>238</v>
      </c>
      <c r="C70" s="77" t="s">
        <v>2993</v>
      </c>
    </row>
    <row r="71" spans="1:3" s="63" customFormat="1" ht="20.25" customHeight="1" x14ac:dyDescent="0.25">
      <c r="A71" s="534" t="s">
        <v>2975</v>
      </c>
      <c r="B71" s="534"/>
      <c r="C71" s="75">
        <f>SUM(C72:C77)/52</f>
        <v>0.65384615384615385</v>
      </c>
    </row>
    <row r="72" spans="1:3" ht="30.75" x14ac:dyDescent="0.25">
      <c r="A72" s="59">
        <v>1</v>
      </c>
      <c r="B72" s="60" t="s">
        <v>242</v>
      </c>
      <c r="C72" s="76">
        <v>5</v>
      </c>
    </row>
    <row r="73" spans="1:3" ht="30.75" x14ac:dyDescent="0.25">
      <c r="A73" s="55">
        <v>2</v>
      </c>
      <c r="B73" s="56" t="s">
        <v>245</v>
      </c>
      <c r="C73" s="77">
        <v>3</v>
      </c>
    </row>
    <row r="74" spans="1:3" ht="20.25" customHeight="1" x14ac:dyDescent="0.25">
      <c r="A74" s="59">
        <v>3</v>
      </c>
      <c r="B74" s="60" t="s">
        <v>248</v>
      </c>
      <c r="C74" s="76">
        <v>16</v>
      </c>
    </row>
    <row r="75" spans="1:3" ht="20.25" customHeight="1" x14ac:dyDescent="0.25">
      <c r="A75" s="55">
        <v>4</v>
      </c>
      <c r="B75" s="56" t="s">
        <v>256</v>
      </c>
      <c r="C75" s="77">
        <v>4</v>
      </c>
    </row>
    <row r="76" spans="1:3" ht="30.75" x14ac:dyDescent="0.25">
      <c r="A76" s="59">
        <v>5</v>
      </c>
      <c r="B76" s="60" t="s">
        <v>258</v>
      </c>
      <c r="C76" s="76">
        <v>2</v>
      </c>
    </row>
    <row r="77" spans="1:3" ht="20.25" customHeight="1" x14ac:dyDescent="0.25">
      <c r="A77" s="55">
        <v>6</v>
      </c>
      <c r="B77" s="56" t="s">
        <v>260</v>
      </c>
      <c r="C77" s="77">
        <v>4</v>
      </c>
    </row>
    <row r="78" spans="1:3" s="63" customFormat="1" ht="20.25" customHeight="1" x14ac:dyDescent="0.25">
      <c r="A78" s="534" t="s">
        <v>2994</v>
      </c>
      <c r="B78" s="534"/>
      <c r="C78" s="75">
        <f>C79/92</f>
        <v>0.5</v>
      </c>
    </row>
    <row r="79" spans="1:3" ht="20.25" customHeight="1" x14ac:dyDescent="0.25">
      <c r="A79" s="61" t="s">
        <v>1442</v>
      </c>
      <c r="B79" s="60" t="s">
        <v>2981</v>
      </c>
      <c r="C79" s="76">
        <v>46</v>
      </c>
    </row>
    <row r="80" spans="1:3" s="63" customFormat="1" ht="20.25" customHeight="1" x14ac:dyDescent="0.25">
      <c r="A80" s="534" t="s">
        <v>2977</v>
      </c>
      <c r="B80" s="534"/>
      <c r="C80" s="75">
        <f>SUM(C81:C91)/29</f>
        <v>0.55172413793103448</v>
      </c>
    </row>
    <row r="81" spans="1:3" ht="30.75" x14ac:dyDescent="0.25">
      <c r="A81" s="59">
        <v>1</v>
      </c>
      <c r="B81" s="60" t="s">
        <v>272</v>
      </c>
      <c r="C81" s="76">
        <v>2</v>
      </c>
    </row>
    <row r="82" spans="1:3" ht="20.25" customHeight="1" x14ac:dyDescent="0.25">
      <c r="A82" s="55">
        <v>2</v>
      </c>
      <c r="B82" s="56" t="s">
        <v>275</v>
      </c>
      <c r="C82" s="77">
        <v>1</v>
      </c>
    </row>
    <row r="83" spans="1:3" ht="20.25" customHeight="1" x14ac:dyDescent="0.25">
      <c r="A83" s="59">
        <v>3</v>
      </c>
      <c r="B83" s="60" t="s">
        <v>278</v>
      </c>
      <c r="C83" s="76">
        <v>0</v>
      </c>
    </row>
    <row r="84" spans="1:3" ht="20.25" customHeight="1" x14ac:dyDescent="0.25">
      <c r="A84" s="55">
        <v>4</v>
      </c>
      <c r="B84" s="56" t="s">
        <v>281</v>
      </c>
      <c r="C84" s="77">
        <v>5</v>
      </c>
    </row>
    <row r="85" spans="1:3" ht="20.25" customHeight="1" x14ac:dyDescent="0.25">
      <c r="A85" s="59">
        <v>5</v>
      </c>
      <c r="B85" s="60" t="s">
        <v>289</v>
      </c>
      <c r="C85" s="76">
        <v>2</v>
      </c>
    </row>
    <row r="86" spans="1:3" ht="20.25" customHeight="1" x14ac:dyDescent="0.25">
      <c r="A86" s="55">
        <v>6</v>
      </c>
      <c r="B86" s="56" t="s">
        <v>291</v>
      </c>
      <c r="C86" s="77">
        <v>1</v>
      </c>
    </row>
    <row r="87" spans="1:3" ht="30.75" x14ac:dyDescent="0.25">
      <c r="A87" s="59">
        <v>7</v>
      </c>
      <c r="B87" s="60" t="s">
        <v>295</v>
      </c>
      <c r="C87" s="76">
        <v>3</v>
      </c>
    </row>
    <row r="88" spans="1:3" ht="20.25" customHeight="1" x14ac:dyDescent="0.25">
      <c r="A88" s="55">
        <v>8</v>
      </c>
      <c r="B88" s="56" t="s">
        <v>304</v>
      </c>
      <c r="C88" s="77">
        <v>1</v>
      </c>
    </row>
    <row r="89" spans="1:3" ht="20.25" customHeight="1" x14ac:dyDescent="0.25">
      <c r="A89" s="59">
        <v>9</v>
      </c>
      <c r="B89" s="60" t="s">
        <v>307</v>
      </c>
      <c r="C89" s="76">
        <v>0</v>
      </c>
    </row>
    <row r="90" spans="1:3" ht="20.25" customHeight="1" x14ac:dyDescent="0.25">
      <c r="A90" s="55">
        <v>10</v>
      </c>
      <c r="B90" s="56" t="s">
        <v>310</v>
      </c>
      <c r="C90" s="77">
        <v>0</v>
      </c>
    </row>
    <row r="91" spans="1:3" ht="20.25" customHeight="1" x14ac:dyDescent="0.25">
      <c r="A91" s="59">
        <v>11</v>
      </c>
      <c r="B91" s="60" t="s">
        <v>313</v>
      </c>
      <c r="C91" s="76">
        <v>1</v>
      </c>
    </row>
    <row r="92" spans="1:3" s="63" customFormat="1" ht="20.25" customHeight="1" x14ac:dyDescent="0.25">
      <c r="A92" s="534" t="s">
        <v>2995</v>
      </c>
      <c r="B92" s="534"/>
      <c r="C92" s="75">
        <f>SUM(C93:C107)/27</f>
        <v>0.70370370370370372</v>
      </c>
    </row>
    <row r="93" spans="1:3" ht="30.75" x14ac:dyDescent="0.25">
      <c r="A93" s="59">
        <v>1</v>
      </c>
      <c r="B93" s="60" t="s">
        <v>317</v>
      </c>
      <c r="C93" s="76">
        <v>1</v>
      </c>
    </row>
    <row r="94" spans="1:3" ht="20.25" customHeight="1" x14ac:dyDescent="0.25">
      <c r="A94" s="55">
        <v>2</v>
      </c>
      <c r="B94" s="56" t="s">
        <v>320</v>
      </c>
      <c r="C94" s="77">
        <v>6</v>
      </c>
    </row>
    <row r="95" spans="1:3" ht="20.25" customHeight="1" x14ac:dyDescent="0.25">
      <c r="A95" s="59">
        <v>3</v>
      </c>
      <c r="B95" s="60" t="s">
        <v>326</v>
      </c>
      <c r="C95" s="76">
        <v>3</v>
      </c>
    </row>
    <row r="96" spans="1:3" ht="20.25" customHeight="1" x14ac:dyDescent="0.25">
      <c r="A96" s="55">
        <v>4</v>
      </c>
      <c r="B96" s="56" t="s">
        <v>329</v>
      </c>
      <c r="C96" s="77">
        <v>1</v>
      </c>
    </row>
    <row r="97" spans="1:3" ht="20.25" customHeight="1" x14ac:dyDescent="0.25">
      <c r="A97" s="59">
        <v>5</v>
      </c>
      <c r="B97" s="60" t="s">
        <v>332</v>
      </c>
      <c r="C97" s="76">
        <v>1</v>
      </c>
    </row>
    <row r="98" spans="1:3" ht="20.25" customHeight="1" x14ac:dyDescent="0.25">
      <c r="A98" s="55">
        <v>6</v>
      </c>
      <c r="B98" s="56" t="s">
        <v>335</v>
      </c>
      <c r="C98" s="77">
        <v>1</v>
      </c>
    </row>
    <row r="99" spans="1:3" ht="20.25" customHeight="1" x14ac:dyDescent="0.25">
      <c r="A99" s="59">
        <v>7</v>
      </c>
      <c r="B99" s="60" t="s">
        <v>338</v>
      </c>
      <c r="C99" s="76">
        <v>1</v>
      </c>
    </row>
    <row r="100" spans="1:3" ht="20.25" customHeight="1" x14ac:dyDescent="0.25">
      <c r="A100" s="55">
        <v>8</v>
      </c>
      <c r="B100" s="56" t="s">
        <v>339</v>
      </c>
      <c r="C100" s="77">
        <v>0</v>
      </c>
    </row>
    <row r="101" spans="1:3" ht="20.25" customHeight="1" x14ac:dyDescent="0.25">
      <c r="A101" s="59">
        <v>9</v>
      </c>
      <c r="B101" s="60" t="s">
        <v>343</v>
      </c>
      <c r="C101" s="76">
        <v>0</v>
      </c>
    </row>
    <row r="102" spans="1:3" ht="30.75" x14ac:dyDescent="0.25">
      <c r="A102" s="55">
        <v>10</v>
      </c>
      <c r="B102" s="56" t="s">
        <v>346</v>
      </c>
      <c r="C102" s="77">
        <v>0</v>
      </c>
    </row>
    <row r="103" spans="1:3" x14ac:dyDescent="0.25">
      <c r="A103" s="59">
        <v>11</v>
      </c>
      <c r="B103" s="60" t="s">
        <v>2982</v>
      </c>
      <c r="C103" s="76">
        <v>1</v>
      </c>
    </row>
    <row r="104" spans="1:3" ht="30.75" x14ac:dyDescent="0.25">
      <c r="A104" s="55">
        <v>12</v>
      </c>
      <c r="B104" s="56" t="s">
        <v>350</v>
      </c>
      <c r="C104" s="77">
        <v>1</v>
      </c>
    </row>
    <row r="105" spans="1:3" x14ac:dyDescent="0.25">
      <c r="A105" s="59">
        <v>13</v>
      </c>
      <c r="B105" s="60" t="s">
        <v>2983</v>
      </c>
      <c r="C105" s="76">
        <v>0</v>
      </c>
    </row>
    <row r="106" spans="1:3" x14ac:dyDescent="0.25">
      <c r="A106" s="55">
        <v>14</v>
      </c>
      <c r="B106" s="56" t="s">
        <v>352</v>
      </c>
      <c r="C106" s="77">
        <v>1</v>
      </c>
    </row>
    <row r="107" spans="1:3" ht="20.25" customHeight="1" x14ac:dyDescent="0.25">
      <c r="A107" s="59">
        <v>15</v>
      </c>
      <c r="B107" s="60" t="s">
        <v>2984</v>
      </c>
      <c r="C107" s="76">
        <v>2</v>
      </c>
    </row>
    <row r="108" spans="1:3" s="63" customFormat="1" ht="20.25" customHeight="1" x14ac:dyDescent="0.25">
      <c r="A108" s="534" t="s">
        <v>2996</v>
      </c>
      <c r="B108" s="534"/>
      <c r="C108" s="75">
        <f>SUM(C109:C116)/13</f>
        <v>0.5</v>
      </c>
    </row>
    <row r="109" spans="1:3" ht="45.75" x14ac:dyDescent="0.25">
      <c r="A109" s="59">
        <v>1</v>
      </c>
      <c r="B109" s="60" t="s">
        <v>356</v>
      </c>
      <c r="C109" s="76">
        <v>0</v>
      </c>
    </row>
    <row r="110" spans="1:3" ht="20.25" customHeight="1" x14ac:dyDescent="0.25">
      <c r="A110" s="55">
        <v>2</v>
      </c>
      <c r="B110" s="56" t="s">
        <v>359</v>
      </c>
      <c r="C110" s="77">
        <v>1</v>
      </c>
    </row>
    <row r="111" spans="1:3" ht="20.25" customHeight="1" x14ac:dyDescent="0.25">
      <c r="A111" s="59">
        <v>3</v>
      </c>
      <c r="B111" s="60" t="s">
        <v>362</v>
      </c>
      <c r="C111" s="76">
        <v>2</v>
      </c>
    </row>
    <row r="112" spans="1:3" ht="60.75" x14ac:dyDescent="0.25">
      <c r="A112" s="55">
        <v>4</v>
      </c>
      <c r="B112" s="56" t="s">
        <v>365</v>
      </c>
      <c r="C112" s="77">
        <v>1</v>
      </c>
    </row>
    <row r="113" spans="1:3" ht="20.25" customHeight="1" x14ac:dyDescent="0.25">
      <c r="A113" s="59">
        <v>5</v>
      </c>
      <c r="B113" s="60" t="s">
        <v>367</v>
      </c>
      <c r="C113" s="76">
        <v>0.5</v>
      </c>
    </row>
    <row r="114" spans="1:3" ht="20.25" customHeight="1" x14ac:dyDescent="0.25">
      <c r="A114" s="55">
        <v>6</v>
      </c>
      <c r="B114" s="56" t="s">
        <v>370</v>
      </c>
      <c r="C114" s="77">
        <v>1</v>
      </c>
    </row>
    <row r="115" spans="1:3" ht="20.25" customHeight="1" x14ac:dyDescent="0.25">
      <c r="A115" s="59">
        <v>7</v>
      </c>
      <c r="B115" s="60" t="s">
        <v>373</v>
      </c>
      <c r="C115" s="76">
        <v>0</v>
      </c>
    </row>
    <row r="116" spans="1:3" ht="20.25" customHeight="1" x14ac:dyDescent="0.25">
      <c r="A116" s="55">
        <v>8</v>
      </c>
      <c r="B116" s="56" t="s">
        <v>376</v>
      </c>
      <c r="C116" s="77">
        <v>1</v>
      </c>
    </row>
    <row r="117" spans="1:3" s="63" customFormat="1" ht="20.25" customHeight="1" x14ac:dyDescent="0.25">
      <c r="A117" s="552" t="s">
        <v>1444</v>
      </c>
      <c r="B117" s="552"/>
      <c r="C117" s="75">
        <f>SUM(C109:C116,C93:C107,C81:C91,C79,C72:C77,C53:C59,C61:C69,C28:C51,C17:C25,C26,C7:C15)/(343-15)</f>
        <v>0.625</v>
      </c>
    </row>
  </sheetData>
  <mergeCells count="49">
    <mergeCell ref="D1:D2"/>
    <mergeCell ref="A16:B16"/>
    <mergeCell ref="A27:B27"/>
    <mergeCell ref="A52:B52"/>
    <mergeCell ref="A60:B60"/>
    <mergeCell ref="A1:B1"/>
    <mergeCell ref="A2:B2"/>
    <mergeCell ref="A4:B4"/>
    <mergeCell ref="A5:B5"/>
    <mergeCell ref="A6:B6"/>
    <mergeCell ref="A80:B80"/>
    <mergeCell ref="A92:B92"/>
    <mergeCell ref="A108:B108"/>
    <mergeCell ref="A117:B117"/>
    <mergeCell ref="C1:C2"/>
    <mergeCell ref="A71:B71"/>
    <mergeCell ref="A78:B78"/>
    <mergeCell ref="P1:P2"/>
    <mergeCell ref="E1:E2"/>
    <mergeCell ref="F1:F2"/>
    <mergeCell ref="G1:G2"/>
    <mergeCell ref="H1:H2"/>
    <mergeCell ref="I1:I2"/>
    <mergeCell ref="J1:J2"/>
    <mergeCell ref="K1:K2"/>
    <mergeCell ref="L1:L2"/>
    <mergeCell ref="M1:M2"/>
    <mergeCell ref="N1:N2"/>
    <mergeCell ref="O1:O2"/>
    <mergeCell ref="AB1:AB2"/>
    <mergeCell ref="Q1:Q2"/>
    <mergeCell ref="R1:R2"/>
    <mergeCell ref="S1:S2"/>
    <mergeCell ref="T1:T2"/>
    <mergeCell ref="U1:U2"/>
    <mergeCell ref="V1:V2"/>
    <mergeCell ref="W1:W2"/>
    <mergeCell ref="X1:X2"/>
    <mergeCell ref="Y1:Y2"/>
    <mergeCell ref="Z1:Z2"/>
    <mergeCell ref="AA1:AA2"/>
    <mergeCell ref="AI1:AI2"/>
    <mergeCell ref="AJ1:AJ2"/>
    <mergeCell ref="AC1:AC2"/>
    <mergeCell ref="AD1:AD2"/>
    <mergeCell ref="AE1:AE2"/>
    <mergeCell ref="AF1:AF2"/>
    <mergeCell ref="AG1:AG2"/>
    <mergeCell ref="AH1:AH2"/>
  </mergeCell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2"/>
  <sheetViews>
    <sheetView workbookViewId="0">
      <selection sqref="A1:B1"/>
    </sheetView>
  </sheetViews>
  <sheetFormatPr defaultColWidth="11" defaultRowHeight="15.75" x14ac:dyDescent="0.25"/>
  <cols>
    <col min="1" max="1" width="7.25" customWidth="1"/>
    <col min="2" max="3" width="75.5" style="21" customWidth="1"/>
    <col min="4" max="37" width="20.875" customWidth="1"/>
  </cols>
  <sheetData>
    <row r="1" spans="1:37" s="7" customFormat="1" ht="31.5" thickBot="1" x14ac:dyDescent="0.3">
      <c r="A1" s="560" t="s">
        <v>2997</v>
      </c>
      <c r="B1" s="560"/>
      <c r="C1" s="47" t="s">
        <v>2998</v>
      </c>
      <c r="D1" s="2" t="s">
        <v>2999</v>
      </c>
      <c r="E1" s="26" t="s">
        <v>885</v>
      </c>
      <c r="F1" s="2" t="s">
        <v>759</v>
      </c>
      <c r="G1" s="2" t="s">
        <v>760</v>
      </c>
      <c r="H1" s="2" t="s">
        <v>762</v>
      </c>
      <c r="I1" s="2" t="s">
        <v>948</v>
      </c>
      <c r="J1" s="2" t="s">
        <v>963</v>
      </c>
      <c r="K1" s="2" t="s">
        <v>763</v>
      </c>
      <c r="L1" s="2" t="s">
        <v>765</v>
      </c>
      <c r="M1" s="2" t="s">
        <v>767</v>
      </c>
      <c r="N1" s="2" t="s">
        <v>769</v>
      </c>
      <c r="O1" s="2" t="s">
        <v>771</v>
      </c>
      <c r="P1" s="2" t="s">
        <v>773</v>
      </c>
      <c r="Q1" s="2" t="s">
        <v>774</v>
      </c>
      <c r="R1" s="2" t="s">
        <v>775</v>
      </c>
      <c r="S1" s="2" t="s">
        <v>1101</v>
      </c>
      <c r="T1" s="2" t="s">
        <v>1116</v>
      </c>
      <c r="U1" s="2" t="s">
        <v>776</v>
      </c>
      <c r="V1" s="2" t="s">
        <v>778</v>
      </c>
      <c r="W1" s="2" t="s">
        <v>1162</v>
      </c>
      <c r="X1" s="2" t="s">
        <v>779</v>
      </c>
      <c r="Y1" s="2" t="s">
        <v>3000</v>
      </c>
      <c r="Z1" s="2" t="s">
        <v>781</v>
      </c>
      <c r="AA1" s="2" t="s">
        <v>783</v>
      </c>
      <c r="AB1" s="2" t="s">
        <v>784</v>
      </c>
      <c r="AC1" s="2" t="s">
        <v>785</v>
      </c>
      <c r="AD1" s="2" t="s">
        <v>786</v>
      </c>
      <c r="AE1" s="2" t="s">
        <v>788</v>
      </c>
      <c r="AF1" s="2" t="s">
        <v>789</v>
      </c>
      <c r="AG1" s="2" t="s">
        <v>3001</v>
      </c>
      <c r="AH1" s="2" t="s">
        <v>792</v>
      </c>
      <c r="AI1" s="2" t="s">
        <v>793</v>
      </c>
      <c r="AJ1" s="2" t="s">
        <v>795</v>
      </c>
      <c r="AK1" s="2" t="s">
        <v>1386</v>
      </c>
    </row>
    <row r="2" spans="1:37" s="7" customFormat="1" ht="24.95" customHeight="1" thickBot="1" x14ac:dyDescent="0.3">
      <c r="A2" s="42"/>
      <c r="B2" s="41" t="s">
        <v>1433</v>
      </c>
      <c r="C2" s="41"/>
      <c r="D2" s="34"/>
      <c r="E2" s="35"/>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row>
    <row r="3" spans="1:37" s="7" customFormat="1" ht="24.95" customHeight="1" thickBot="1" x14ac:dyDescent="0.3">
      <c r="A3" s="39"/>
      <c r="B3" s="40" t="s">
        <v>1434</v>
      </c>
      <c r="C3" s="41"/>
      <c r="D3" s="34"/>
      <c r="E3" s="35"/>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row>
    <row r="4" spans="1:37" s="7" customFormat="1" ht="24.95" customHeight="1" thickBot="1" x14ac:dyDescent="0.3">
      <c r="A4" s="42"/>
      <c r="B4" s="41" t="s">
        <v>1435</v>
      </c>
      <c r="C4" s="41"/>
      <c r="D4" s="34"/>
      <c r="E4" s="35"/>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row>
    <row r="5" spans="1:37" ht="24.95" customHeight="1" thickBot="1" x14ac:dyDescent="0.3">
      <c r="A5" s="557" t="s">
        <v>801</v>
      </c>
      <c r="B5" s="557"/>
      <c r="C5" s="11"/>
      <c r="D5" s="29"/>
      <c r="E5" s="29"/>
      <c r="F5" s="16"/>
      <c r="G5" s="13"/>
      <c r="H5" s="16"/>
      <c r="I5" s="16"/>
      <c r="J5" s="16"/>
      <c r="K5" s="16"/>
      <c r="L5" s="13"/>
      <c r="M5" s="13"/>
      <c r="N5" s="13"/>
      <c r="O5" s="13"/>
      <c r="P5" s="13"/>
      <c r="Q5" s="13"/>
      <c r="R5" s="13"/>
      <c r="S5" s="13"/>
      <c r="T5" s="13"/>
      <c r="U5" s="13"/>
      <c r="V5" s="13"/>
      <c r="W5" s="13"/>
      <c r="X5" s="13"/>
      <c r="Y5" s="13"/>
      <c r="Z5" s="13"/>
      <c r="AA5" s="13"/>
      <c r="AB5" s="13"/>
      <c r="AC5" s="13"/>
      <c r="AD5" s="13"/>
      <c r="AE5" s="13"/>
      <c r="AF5" s="13"/>
      <c r="AG5" s="13"/>
      <c r="AH5" s="13"/>
      <c r="AI5" s="13"/>
      <c r="AJ5" s="13"/>
      <c r="AK5" s="13"/>
    </row>
    <row r="6" spans="1:37" ht="24.95" customHeight="1" thickBot="1" x14ac:dyDescent="0.3">
      <c r="A6" s="562" t="s">
        <v>3002</v>
      </c>
      <c r="B6" s="562"/>
      <c r="C6" s="44"/>
      <c r="D6" s="12"/>
      <c r="E6" s="30"/>
      <c r="F6" s="17"/>
      <c r="G6" s="18"/>
      <c r="H6" s="17"/>
      <c r="I6" s="17"/>
      <c r="J6" s="17"/>
      <c r="K6" s="17"/>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24.95" customHeight="1" thickBot="1" x14ac:dyDescent="0.3">
      <c r="A7" s="5">
        <v>1</v>
      </c>
      <c r="B7" s="20" t="s">
        <v>37</v>
      </c>
      <c r="C7" s="20"/>
      <c r="D7" s="5"/>
      <c r="E7" s="27"/>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24.95" customHeight="1" thickBot="1" x14ac:dyDescent="0.3">
      <c r="A8" s="5">
        <v>2</v>
      </c>
      <c r="B8" s="20" t="s">
        <v>41</v>
      </c>
      <c r="C8" s="20"/>
      <c r="D8" s="4"/>
      <c r="E8" s="27"/>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ht="24.95" customHeight="1" thickBot="1" x14ac:dyDescent="0.3">
      <c r="A9" s="24">
        <v>3</v>
      </c>
      <c r="B9" s="25" t="s">
        <v>48</v>
      </c>
      <c r="C9" s="25"/>
      <c r="D9" s="28"/>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ht="84.95" customHeight="1" thickBot="1" x14ac:dyDescent="0.3">
      <c r="A10" s="5">
        <v>4</v>
      </c>
      <c r="B10" s="20" t="s">
        <v>3003</v>
      </c>
      <c r="C10" s="20" t="s">
        <v>3004</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ht="24.95" customHeight="1" thickBot="1" x14ac:dyDescent="0.3">
      <c r="A11" s="5">
        <v>5</v>
      </c>
      <c r="B11" s="20" t="s">
        <v>54</v>
      </c>
      <c r="C11" s="20"/>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ht="24.95" customHeight="1" thickBot="1" x14ac:dyDescent="0.3">
      <c r="A12" s="5">
        <v>6</v>
      </c>
      <c r="B12" s="20" t="s">
        <v>3005</v>
      </c>
      <c r="C12" s="20"/>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ht="61.5" thickBot="1" x14ac:dyDescent="0.3">
      <c r="A13" s="5">
        <v>7</v>
      </c>
      <c r="B13" s="20" t="s">
        <v>3006</v>
      </c>
      <c r="C13" s="20" t="s">
        <v>3007</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ht="24.95" customHeight="1" thickBot="1" x14ac:dyDescent="0.3">
      <c r="A14" s="561" t="s">
        <v>802</v>
      </c>
      <c r="B14" s="561"/>
      <c r="C14" s="2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ht="24.95" customHeight="1" thickBot="1" x14ac:dyDescent="0.3">
      <c r="A15" s="563" t="s">
        <v>3008</v>
      </c>
      <c r="B15" s="564"/>
      <c r="C15" s="22"/>
      <c r="D15" s="12"/>
      <c r="E15" s="12"/>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row>
    <row r="16" spans="1:37" ht="24.95" customHeight="1" thickBot="1" x14ac:dyDescent="0.3">
      <c r="A16" s="5">
        <v>1</v>
      </c>
      <c r="B16" s="20" t="s">
        <v>70</v>
      </c>
      <c r="C16" s="20"/>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ht="68.25" customHeight="1" thickBot="1" x14ac:dyDescent="0.3">
      <c r="A17" s="5">
        <v>2</v>
      </c>
      <c r="B17" s="20" t="s">
        <v>3009</v>
      </c>
      <c r="C17" s="20" t="s">
        <v>3010</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ht="50.25" customHeight="1" thickBot="1" x14ac:dyDescent="0.3">
      <c r="A18" s="5">
        <v>3</v>
      </c>
      <c r="B18" s="20" t="s">
        <v>3011</v>
      </c>
      <c r="C18" s="48" t="s">
        <v>3012</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ht="24.95" customHeight="1" thickBot="1" x14ac:dyDescent="0.3">
      <c r="A19" s="5">
        <v>4</v>
      </c>
      <c r="B19" s="20" t="s">
        <v>94</v>
      </c>
      <c r="C19" s="20"/>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ht="24.95" customHeight="1" thickBot="1" x14ac:dyDescent="0.3">
      <c r="A20" s="5">
        <v>5</v>
      </c>
      <c r="B20" s="20" t="s">
        <v>96</v>
      </c>
      <c r="C20" s="20"/>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ht="24.95" customHeight="1" thickBot="1" x14ac:dyDescent="0.3">
      <c r="A21" s="5">
        <v>6</v>
      </c>
      <c r="B21" s="20" t="s">
        <v>108</v>
      </c>
      <c r="C21" s="20"/>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ht="24.95" customHeight="1" thickBot="1" x14ac:dyDescent="0.3">
      <c r="A22" s="557" t="s">
        <v>803</v>
      </c>
      <c r="B22" s="557"/>
      <c r="C22" s="11"/>
      <c r="D22" s="13"/>
      <c r="E22" s="16"/>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row>
    <row r="23" spans="1:37" ht="24.95" customHeight="1" thickBot="1" x14ac:dyDescent="0.3">
      <c r="A23" s="565" t="s">
        <v>3008</v>
      </c>
      <c r="B23" s="566"/>
      <c r="C23" s="22"/>
      <c r="D23" s="12"/>
      <c r="E23" s="31"/>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76.5" thickBot="1" x14ac:dyDescent="0.3">
      <c r="A24" s="5">
        <v>1</v>
      </c>
      <c r="B24" s="20" t="s">
        <v>3013</v>
      </c>
      <c r="C24" s="20" t="s">
        <v>3014</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ht="24.95" customHeight="1" thickBot="1" x14ac:dyDescent="0.3">
      <c r="A25" s="5">
        <v>2</v>
      </c>
      <c r="B25" s="20" t="s">
        <v>115</v>
      </c>
      <c r="C25" s="20"/>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ht="31.5" thickBot="1" x14ac:dyDescent="0.3">
      <c r="A26" s="5">
        <v>3</v>
      </c>
      <c r="B26" s="20" t="s">
        <v>3015</v>
      </c>
      <c r="C26" s="20" t="s">
        <v>3016</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ht="16.5" thickBot="1" x14ac:dyDescent="0.3">
      <c r="A27" s="5">
        <v>4</v>
      </c>
      <c r="B27" s="20" t="s">
        <v>136</v>
      </c>
      <c r="C27" s="20"/>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ht="24.95" customHeight="1" thickBot="1" x14ac:dyDescent="0.3">
      <c r="A28" s="5">
        <v>5</v>
      </c>
      <c r="B28" s="20" t="s">
        <v>139</v>
      </c>
      <c r="C28" s="20"/>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ht="61.5" thickBot="1" x14ac:dyDescent="0.3">
      <c r="A29" s="5">
        <v>6</v>
      </c>
      <c r="B29" s="20" t="s">
        <v>3017</v>
      </c>
      <c r="C29" s="20" t="s">
        <v>3018</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ht="24.95" customHeight="1" thickBot="1" x14ac:dyDescent="0.3">
      <c r="A30" s="5">
        <v>7</v>
      </c>
      <c r="B30" s="20" t="s">
        <v>1441</v>
      </c>
      <c r="C30" s="20"/>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ht="31.5" thickBot="1" x14ac:dyDescent="0.3">
      <c r="A31" s="5">
        <v>8</v>
      </c>
      <c r="B31" s="20" t="s">
        <v>160</v>
      </c>
      <c r="C31" s="20"/>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ht="24.95" customHeight="1" thickBot="1" x14ac:dyDescent="0.3">
      <c r="A32" s="5">
        <v>9</v>
      </c>
      <c r="B32" s="20" t="s">
        <v>163</v>
      </c>
      <c r="C32" s="20"/>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ht="61.5" thickBot="1" x14ac:dyDescent="0.3">
      <c r="A33" s="5">
        <v>10</v>
      </c>
      <c r="B33" s="20" t="s">
        <v>3019</v>
      </c>
      <c r="C33" s="20" t="s">
        <v>3020</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ht="24.95" customHeight="1" thickBot="1" x14ac:dyDescent="0.3">
      <c r="A34" s="5">
        <v>11</v>
      </c>
      <c r="B34" s="20" t="s">
        <v>181</v>
      </c>
      <c r="C34" s="20"/>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ht="31.5" thickBot="1" x14ac:dyDescent="0.3">
      <c r="A35" s="5">
        <v>12</v>
      </c>
      <c r="B35" s="20" t="s">
        <v>184</v>
      </c>
      <c r="C35" s="20"/>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ht="24.95" customHeight="1" thickBot="1" x14ac:dyDescent="0.3">
      <c r="A36" s="557" t="s">
        <v>804</v>
      </c>
      <c r="B36" s="557"/>
      <c r="C36" s="11"/>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row>
    <row r="37" spans="1:37" ht="24.95" customHeight="1" thickBot="1" x14ac:dyDescent="0.3">
      <c r="A37" s="565" t="s">
        <v>3008</v>
      </c>
      <c r="B37" s="566"/>
      <c r="C37" s="22"/>
      <c r="D37" s="12"/>
      <c r="E37" s="12"/>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ht="24.95" customHeight="1" thickBot="1" x14ac:dyDescent="0.3">
      <c r="A38" s="5">
        <v>1</v>
      </c>
      <c r="B38" s="20" t="s">
        <v>190</v>
      </c>
      <c r="C38" s="20"/>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ht="24.95" customHeight="1" thickBot="1" x14ac:dyDescent="0.3">
      <c r="A39" s="5">
        <v>2</v>
      </c>
      <c r="B39" s="20" t="s">
        <v>193</v>
      </c>
      <c r="C39" s="20"/>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ht="61.5" thickBot="1" x14ac:dyDescent="0.3">
      <c r="A40" s="5">
        <v>3</v>
      </c>
      <c r="B40" s="20" t="s">
        <v>3021</v>
      </c>
      <c r="C40" s="20" t="s">
        <v>3022</v>
      </c>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ht="24.95" customHeight="1" thickBot="1" x14ac:dyDescent="0.3">
      <c r="A41" s="5">
        <v>4</v>
      </c>
      <c r="B41" s="20" t="s">
        <v>205</v>
      </c>
      <c r="C41" s="20"/>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ht="24.95" customHeight="1" thickBot="1" x14ac:dyDescent="0.3">
      <c r="A42" s="5">
        <v>5</v>
      </c>
      <c r="B42" s="20" t="s">
        <v>208</v>
      </c>
      <c r="C42" s="20"/>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ht="24.95" customHeight="1" thickBot="1" x14ac:dyDescent="0.3">
      <c r="A43" s="557" t="s">
        <v>805</v>
      </c>
      <c r="B43" s="557"/>
      <c r="C43" s="45"/>
      <c r="D43" s="14"/>
      <c r="E43" s="14"/>
      <c r="F43" s="13"/>
      <c r="G43" s="16"/>
      <c r="H43" s="13"/>
      <c r="I43" s="13"/>
      <c r="J43" s="16"/>
      <c r="K43" s="13"/>
      <c r="L43" s="16"/>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ht="24.95" customHeight="1" thickBot="1" x14ac:dyDescent="0.3">
      <c r="A44" s="565" t="s">
        <v>3008</v>
      </c>
      <c r="B44" s="566"/>
      <c r="C44" s="46"/>
      <c r="D44" s="15"/>
      <c r="E44" s="19"/>
      <c r="F44" s="17"/>
      <c r="G44" s="17"/>
      <c r="H44" s="18"/>
      <c r="I44" s="18"/>
      <c r="J44" s="17"/>
      <c r="K44" s="18"/>
      <c r="L44" s="17"/>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ht="31.5" thickBot="1" x14ac:dyDescent="0.3">
      <c r="A45" s="5">
        <v>1</v>
      </c>
      <c r="B45" s="20" t="s">
        <v>3023</v>
      </c>
      <c r="C45" s="20" t="s">
        <v>3024</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ht="24.95" customHeight="1" thickBot="1" x14ac:dyDescent="0.3">
      <c r="A46" s="5">
        <v>2</v>
      </c>
      <c r="B46" s="20" t="s">
        <v>218</v>
      </c>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ht="31.5" thickBot="1" x14ac:dyDescent="0.3">
      <c r="A47" s="5">
        <v>3</v>
      </c>
      <c r="B47" s="20" t="s">
        <v>221</v>
      </c>
      <c r="C47" s="20"/>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ht="24.95" customHeight="1" thickBot="1" x14ac:dyDescent="0.3">
      <c r="A48" s="5">
        <v>4</v>
      </c>
      <c r="B48" s="20" t="s">
        <v>224</v>
      </c>
      <c r="C48" s="20"/>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ht="31.5" thickBot="1" x14ac:dyDescent="0.3">
      <c r="A49" s="5">
        <v>5</v>
      </c>
      <c r="B49" s="20" t="s">
        <v>3025</v>
      </c>
      <c r="C49" s="20" t="s">
        <v>3026</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ht="39" customHeight="1" thickBot="1" x14ac:dyDescent="0.3">
      <c r="A50" s="5">
        <v>6</v>
      </c>
      <c r="B50" s="20" t="s">
        <v>3027</v>
      </c>
      <c r="C50" s="20" t="s">
        <v>3028</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ht="24.95" customHeight="1" thickBot="1" x14ac:dyDescent="0.3">
      <c r="A51" s="5">
        <v>7</v>
      </c>
      <c r="B51" s="20" t="s">
        <v>238</v>
      </c>
      <c r="C51" s="20"/>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ht="24.95" customHeight="1" thickBot="1" x14ac:dyDescent="0.3">
      <c r="A52" s="561" t="s">
        <v>806</v>
      </c>
      <c r="B52" s="561"/>
      <c r="C52" s="11"/>
      <c r="D52" s="16"/>
      <c r="E52" s="13"/>
      <c r="F52" s="16"/>
      <c r="G52" s="16"/>
      <c r="H52" s="16"/>
      <c r="I52" s="16"/>
      <c r="J52" s="16"/>
      <c r="K52" s="13"/>
      <c r="L52" s="16"/>
      <c r="M52" s="13"/>
      <c r="N52" s="16"/>
      <c r="O52" s="16"/>
      <c r="P52" s="13"/>
      <c r="Q52" s="13"/>
      <c r="R52" s="16"/>
      <c r="S52" s="16"/>
      <c r="T52" s="13"/>
      <c r="U52" s="16"/>
      <c r="V52" s="16"/>
      <c r="W52" s="16"/>
      <c r="X52" s="16"/>
      <c r="Y52" s="13"/>
      <c r="Z52" s="16"/>
      <c r="AA52" s="13"/>
      <c r="AB52" s="16"/>
      <c r="AC52" s="16"/>
      <c r="AD52" s="13"/>
      <c r="AE52" s="16"/>
      <c r="AF52" s="16"/>
      <c r="AG52" s="16"/>
      <c r="AH52" s="16"/>
      <c r="AI52" s="13"/>
      <c r="AJ52" s="13"/>
      <c r="AK52" s="16"/>
    </row>
    <row r="53" spans="1:37" ht="24.95" customHeight="1" thickBot="1" x14ac:dyDescent="0.3">
      <c r="A53" s="558" t="s">
        <v>3008</v>
      </c>
      <c r="B53" s="559"/>
      <c r="C53" s="32"/>
      <c r="D53" s="31"/>
      <c r="E53" s="12"/>
      <c r="F53" s="17"/>
      <c r="G53" s="17"/>
      <c r="H53" s="17"/>
      <c r="I53" s="17"/>
      <c r="J53" s="17"/>
      <c r="K53" s="18"/>
      <c r="L53" s="17"/>
      <c r="M53" s="18"/>
      <c r="N53" s="17"/>
      <c r="O53" s="17"/>
      <c r="P53" s="18"/>
      <c r="Q53" s="18"/>
      <c r="R53" s="17"/>
      <c r="S53" s="17"/>
      <c r="T53" s="18"/>
      <c r="U53" s="17"/>
      <c r="V53" s="17"/>
      <c r="W53" s="17"/>
      <c r="X53" s="17"/>
      <c r="Y53" s="18"/>
      <c r="Z53" s="17"/>
      <c r="AA53" s="18"/>
      <c r="AB53" s="17"/>
      <c r="AC53" s="17"/>
      <c r="AD53" s="18"/>
      <c r="AE53" s="17"/>
      <c r="AF53" s="17"/>
      <c r="AG53" s="17"/>
      <c r="AH53" s="17"/>
      <c r="AI53" s="18"/>
      <c r="AJ53" s="18"/>
      <c r="AK53" s="17"/>
    </row>
    <row r="54" spans="1:37" ht="33.950000000000003" customHeight="1" thickBot="1" x14ac:dyDescent="0.3">
      <c r="A54" s="5">
        <v>1</v>
      </c>
      <c r="B54" s="20" t="s">
        <v>3029</v>
      </c>
      <c r="C54" s="20" t="s">
        <v>3030</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ht="31.5" thickBot="1" x14ac:dyDescent="0.3">
      <c r="A55" s="5">
        <v>2</v>
      </c>
      <c r="B55" s="20" t="s">
        <v>245</v>
      </c>
      <c r="C55" s="20"/>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ht="24.95" customHeight="1" thickBot="1" x14ac:dyDescent="0.3">
      <c r="A56" s="5">
        <v>3</v>
      </c>
      <c r="B56" s="20" t="s">
        <v>248</v>
      </c>
      <c r="C56" s="20"/>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ht="24.95" customHeight="1" thickBot="1" x14ac:dyDescent="0.3">
      <c r="A57" s="5">
        <v>4</v>
      </c>
      <c r="B57" s="20" t="s">
        <v>258</v>
      </c>
      <c r="C57" s="20"/>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ht="24.95" customHeight="1" thickBot="1" x14ac:dyDescent="0.3">
      <c r="A58" s="5">
        <v>5</v>
      </c>
      <c r="B58" s="20" t="s">
        <v>260</v>
      </c>
      <c r="C58" s="20"/>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4.95" customHeight="1" thickBot="1" x14ac:dyDescent="0.3">
      <c r="A59" s="561" t="s">
        <v>807</v>
      </c>
      <c r="B59" s="561"/>
      <c r="C59" s="2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row>
    <row r="60" spans="1:37" ht="24.95" customHeight="1" thickBot="1" x14ac:dyDescent="0.3">
      <c r="A60" s="555" t="s">
        <v>3008</v>
      </c>
      <c r="B60" s="556"/>
      <c r="C60" s="33"/>
      <c r="D60" s="12"/>
      <c r="E60" s="12"/>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ht="24.95" customHeight="1" thickBot="1" x14ac:dyDescent="0.3">
      <c r="A61" s="6" t="s">
        <v>1442</v>
      </c>
      <c r="B61" s="20"/>
      <c r="C61" s="20"/>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ht="24.95" customHeight="1" thickBot="1" x14ac:dyDescent="0.3">
      <c r="A62" s="557" t="s">
        <v>808</v>
      </c>
      <c r="B62" s="557"/>
      <c r="C62" s="11"/>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row>
    <row r="63" spans="1:37" ht="24.95" customHeight="1" thickBot="1" x14ac:dyDescent="0.3">
      <c r="A63" s="558" t="s">
        <v>3008</v>
      </c>
      <c r="B63" s="559"/>
      <c r="C63" s="33"/>
      <c r="D63" s="12"/>
      <c r="E63" s="12"/>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ht="24.95" customHeight="1" thickBot="1" x14ac:dyDescent="0.3">
      <c r="A64" s="5">
        <v>1</v>
      </c>
      <c r="B64" s="20" t="s">
        <v>272</v>
      </c>
      <c r="C64" s="20"/>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ht="24.95" customHeight="1" thickBot="1" x14ac:dyDescent="0.3">
      <c r="A65" s="5">
        <v>2</v>
      </c>
      <c r="B65" s="20" t="s">
        <v>275</v>
      </c>
      <c r="C65" s="20"/>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ht="24.95" customHeight="1" thickBot="1" x14ac:dyDescent="0.3">
      <c r="A66" s="5">
        <v>3</v>
      </c>
      <c r="B66" s="20" t="s">
        <v>278</v>
      </c>
      <c r="C66" s="20"/>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ht="24.95" customHeight="1" thickBot="1" x14ac:dyDescent="0.3">
      <c r="A67" s="5">
        <v>4</v>
      </c>
      <c r="B67" s="20" t="s">
        <v>291</v>
      </c>
      <c r="C67" s="20"/>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ht="91.5" thickBot="1" x14ac:dyDescent="0.3">
      <c r="A68" s="5">
        <v>5</v>
      </c>
      <c r="B68" s="20" t="s">
        <v>3031</v>
      </c>
      <c r="C68" s="20" t="s">
        <v>3032</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ht="24.95" customHeight="1" thickBot="1" x14ac:dyDescent="0.3">
      <c r="A69" s="561" t="s">
        <v>809</v>
      </c>
      <c r="B69" s="561"/>
      <c r="C69" s="2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row>
    <row r="70" spans="1:37" ht="24.95" customHeight="1" thickBot="1" x14ac:dyDescent="0.3">
      <c r="A70" s="555" t="s">
        <v>3008</v>
      </c>
      <c r="B70" s="556"/>
      <c r="C70" s="33"/>
      <c r="D70" s="12"/>
      <c r="E70" s="12"/>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ht="24.95" customHeight="1" thickBot="1" x14ac:dyDescent="0.3">
      <c r="A71" s="5">
        <v>1</v>
      </c>
      <c r="B71" s="20" t="s">
        <v>317</v>
      </c>
      <c r="C71" s="20"/>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ht="24.95" customHeight="1" thickBot="1" x14ac:dyDescent="0.3">
      <c r="A72" s="5">
        <v>2</v>
      </c>
      <c r="B72" s="20" t="s">
        <v>320</v>
      </c>
      <c r="C72" s="20"/>
      <c r="D72" s="5"/>
      <c r="E72" s="5"/>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ht="24.95" customHeight="1" thickBot="1" x14ac:dyDescent="0.3">
      <c r="A73" s="5">
        <v>3</v>
      </c>
      <c r="B73" s="20" t="s">
        <v>326</v>
      </c>
      <c r="C73" s="20"/>
      <c r="D73" s="5"/>
      <c r="E73" s="5"/>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ht="24.95" customHeight="1" thickBot="1" x14ac:dyDescent="0.3">
      <c r="A74" s="5">
        <v>4</v>
      </c>
      <c r="B74" s="20" t="s">
        <v>329</v>
      </c>
      <c r="C74" s="20"/>
      <c r="D74" s="5"/>
      <c r="E74" s="5"/>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ht="24.95" customHeight="1" thickBot="1" x14ac:dyDescent="0.3">
      <c r="A75" s="5">
        <v>5</v>
      </c>
      <c r="B75" s="20" t="s">
        <v>332</v>
      </c>
      <c r="C75" s="20"/>
      <c r="D75" s="5"/>
      <c r="E75" s="5"/>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61.5" thickBot="1" x14ac:dyDescent="0.3">
      <c r="A76" s="5">
        <v>6</v>
      </c>
      <c r="B76" s="20" t="s">
        <v>3033</v>
      </c>
      <c r="C76" s="20" t="s">
        <v>3034</v>
      </c>
      <c r="D76" s="5"/>
      <c r="E76" s="5"/>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ht="31.5" thickBot="1" x14ac:dyDescent="0.3">
      <c r="A77" s="5">
        <v>7</v>
      </c>
      <c r="B77" s="20" t="s">
        <v>346</v>
      </c>
      <c r="C77" s="20"/>
      <c r="D77" s="5"/>
      <c r="E77" s="5"/>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ht="24.95" customHeight="1" thickBot="1" x14ac:dyDescent="0.3">
      <c r="A78" s="5">
        <v>8</v>
      </c>
      <c r="B78" s="20" t="s">
        <v>2982</v>
      </c>
      <c r="C78" s="20"/>
      <c r="D78" s="5"/>
      <c r="E78" s="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ht="24.95" customHeight="1" thickBot="1" x14ac:dyDescent="0.3">
      <c r="A79" s="5">
        <v>9</v>
      </c>
      <c r="B79" s="20" t="s">
        <v>350</v>
      </c>
      <c r="C79" s="20"/>
      <c r="D79" s="5"/>
      <c r="E79" s="5"/>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ht="24.95" customHeight="1" thickBot="1" x14ac:dyDescent="0.3">
      <c r="A80" s="5">
        <v>10</v>
      </c>
      <c r="B80" s="20" t="s">
        <v>352</v>
      </c>
      <c r="C80" s="20"/>
      <c r="D80" s="5"/>
      <c r="E80" s="5"/>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ht="24.95" customHeight="1" thickBot="1" x14ac:dyDescent="0.3">
      <c r="A81" s="5">
        <v>11</v>
      </c>
      <c r="B81" s="20" t="s">
        <v>2984</v>
      </c>
      <c r="C81" s="20"/>
      <c r="D81" s="5"/>
      <c r="E81" s="5"/>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ht="24.95" customHeight="1" thickBot="1" x14ac:dyDescent="0.3">
      <c r="A82" s="557" t="s">
        <v>810</v>
      </c>
      <c r="B82" s="557"/>
      <c r="C82" s="11"/>
      <c r="D82" s="29"/>
      <c r="E82" s="29"/>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row>
    <row r="83" spans="1:37" ht="24.95" customHeight="1" thickBot="1" x14ac:dyDescent="0.3">
      <c r="A83" s="558" t="s">
        <v>3008</v>
      </c>
      <c r="B83" s="559"/>
      <c r="C83" s="33"/>
      <c r="D83" s="12"/>
      <c r="E83" s="12"/>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row>
    <row r="84" spans="1:37" ht="31.5" thickBot="1" x14ac:dyDescent="0.3">
      <c r="A84" s="5">
        <v>1</v>
      </c>
      <c r="B84" s="20" t="s">
        <v>356</v>
      </c>
      <c r="C84" s="20"/>
      <c r="D84" s="5"/>
      <c r="E84" s="5"/>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ht="24.95" customHeight="1" thickBot="1" x14ac:dyDescent="0.3">
      <c r="A85" s="5">
        <v>2</v>
      </c>
      <c r="B85" s="20" t="s">
        <v>359</v>
      </c>
      <c r="C85" s="20"/>
      <c r="D85" s="5"/>
      <c r="E85" s="5"/>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ht="29.25" customHeight="1" thickBot="1" x14ac:dyDescent="0.3">
      <c r="A86" s="5">
        <v>3</v>
      </c>
      <c r="B86" s="20" t="s">
        <v>362</v>
      </c>
      <c r="C86" s="20"/>
      <c r="D86" s="5"/>
      <c r="E86" s="5"/>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ht="46.5" thickBot="1" x14ac:dyDescent="0.3">
      <c r="A87" s="5">
        <v>4</v>
      </c>
      <c r="B87" s="20" t="s">
        <v>365</v>
      </c>
      <c r="C87" s="20"/>
      <c r="D87" s="5"/>
      <c r="E87" s="5"/>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ht="24.95" customHeight="1" thickBot="1" x14ac:dyDescent="0.3">
      <c r="A88" s="5">
        <v>5</v>
      </c>
      <c r="B88" s="20" t="s">
        <v>367</v>
      </c>
      <c r="C88" s="20"/>
      <c r="D88" s="5"/>
      <c r="E88" s="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ht="24.95" customHeight="1" thickBot="1" x14ac:dyDescent="0.3">
      <c r="A89" s="5">
        <v>6</v>
      </c>
      <c r="B89" s="20" t="s">
        <v>370</v>
      </c>
      <c r="C89" s="20"/>
      <c r="D89" s="5"/>
      <c r="E89" s="5"/>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ht="24.95" customHeight="1" thickBot="1" x14ac:dyDescent="0.3">
      <c r="A90" s="5">
        <v>7</v>
      </c>
      <c r="B90" s="20" t="s">
        <v>373</v>
      </c>
      <c r="C90" s="20"/>
      <c r="D90" s="5"/>
      <c r="E90" s="5"/>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ht="24.95" customHeight="1" thickBot="1" x14ac:dyDescent="0.3">
      <c r="A91" s="5">
        <v>8</v>
      </c>
      <c r="B91" s="20" t="s">
        <v>376</v>
      </c>
      <c r="C91" s="20"/>
      <c r="D91" s="5"/>
      <c r="E91" s="5"/>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4.95" customHeight="1" thickBot="1" x14ac:dyDescent="0.3">
      <c r="A92" s="560" t="s">
        <v>1444</v>
      </c>
      <c r="B92" s="560"/>
      <c r="C92" s="8"/>
      <c r="D92" s="9"/>
      <c r="E92" s="9"/>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row>
  </sheetData>
  <mergeCells count="22">
    <mergeCell ref="A52:B52"/>
    <mergeCell ref="A1:B1"/>
    <mergeCell ref="A5:B5"/>
    <mergeCell ref="A6:B6"/>
    <mergeCell ref="A14:B14"/>
    <mergeCell ref="A15:B15"/>
    <mergeCell ref="A22:B22"/>
    <mergeCell ref="A23:B23"/>
    <mergeCell ref="A36:B36"/>
    <mergeCell ref="A37:B37"/>
    <mergeCell ref="A43:B43"/>
    <mergeCell ref="A44:B44"/>
    <mergeCell ref="A70:B70"/>
    <mergeCell ref="A82:B82"/>
    <mergeCell ref="A83:B83"/>
    <mergeCell ref="A92:B92"/>
    <mergeCell ref="A53:B53"/>
    <mergeCell ref="A59:B59"/>
    <mergeCell ref="A60:B60"/>
    <mergeCell ref="A62:B62"/>
    <mergeCell ref="A63:B63"/>
    <mergeCell ref="A69:B6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22"/>
  <sheetViews>
    <sheetView workbookViewId="0">
      <selection sqref="A1:B1"/>
    </sheetView>
  </sheetViews>
  <sheetFormatPr defaultColWidth="11" defaultRowHeight="15.75" x14ac:dyDescent="0.25"/>
  <cols>
    <col min="1" max="1" width="7.25" customWidth="1"/>
    <col min="2" max="2" width="75.5" style="21" customWidth="1"/>
    <col min="3" max="122" width="20.875" customWidth="1"/>
  </cols>
  <sheetData>
    <row r="1" spans="1:2" s="7" customFormat="1" ht="24.95" customHeight="1" thickBot="1" x14ac:dyDescent="0.3">
      <c r="A1" s="567" t="s">
        <v>3035</v>
      </c>
      <c r="B1" s="568"/>
    </row>
    <row r="2" spans="1:2" s="7" customFormat="1" ht="24.95" customHeight="1" thickBot="1" x14ac:dyDescent="0.3">
      <c r="A2" s="42"/>
      <c r="B2" s="41" t="s">
        <v>3036</v>
      </c>
    </row>
    <row r="3" spans="1:2" s="7" customFormat="1" ht="24.95" customHeight="1" thickBot="1" x14ac:dyDescent="0.3">
      <c r="A3" s="42"/>
      <c r="B3" s="41" t="s">
        <v>3037</v>
      </c>
    </row>
    <row r="4" spans="1:2" s="7" customFormat="1" ht="24.95" customHeight="1" thickBot="1" x14ac:dyDescent="0.3">
      <c r="A4" s="42"/>
      <c r="B4" s="41" t="s">
        <v>1458</v>
      </c>
    </row>
    <row r="5" spans="1:2" s="7" customFormat="1" ht="24.95" customHeight="1" thickBot="1" x14ac:dyDescent="0.3">
      <c r="A5" s="39"/>
      <c r="B5" s="40" t="s">
        <v>3038</v>
      </c>
    </row>
    <row r="6" spans="1:2" s="7" customFormat="1" ht="24.95" customHeight="1" thickBot="1" x14ac:dyDescent="0.3">
      <c r="A6" s="42"/>
      <c r="B6" s="41" t="s">
        <v>3039</v>
      </c>
    </row>
    <row r="7" spans="1:2" ht="24.95" customHeight="1" thickBot="1" x14ac:dyDescent="0.3">
      <c r="A7" s="557" t="s">
        <v>3040</v>
      </c>
      <c r="B7" s="557"/>
    </row>
    <row r="8" spans="1:2" ht="24.95" customHeight="1" thickBot="1" x14ac:dyDescent="0.3">
      <c r="A8" s="562" t="s">
        <v>3008</v>
      </c>
      <c r="B8" s="562"/>
    </row>
    <row r="9" spans="1:2" ht="24.95" customHeight="1" thickBot="1" x14ac:dyDescent="0.3">
      <c r="A9" s="36">
        <v>1</v>
      </c>
      <c r="B9" s="1" t="s">
        <v>3041</v>
      </c>
    </row>
    <row r="10" spans="1:2" ht="24.95" customHeight="1" thickBot="1" x14ac:dyDescent="0.3">
      <c r="A10" s="561" t="s">
        <v>813</v>
      </c>
      <c r="B10" s="561"/>
    </row>
    <row r="11" spans="1:2" ht="24.95" customHeight="1" thickBot="1" x14ac:dyDescent="0.3">
      <c r="A11" s="563" t="s">
        <v>3008</v>
      </c>
      <c r="B11" s="564"/>
    </row>
    <row r="12" spans="1:2" ht="24.95" customHeight="1" thickBot="1" x14ac:dyDescent="0.3">
      <c r="A12" s="5">
        <v>1</v>
      </c>
      <c r="B12" s="20" t="s">
        <v>3041</v>
      </c>
    </row>
    <row r="13" spans="1:2" ht="24.95" customHeight="1" thickBot="1" x14ac:dyDescent="0.3">
      <c r="A13" s="5">
        <v>2</v>
      </c>
      <c r="B13" s="20" t="s">
        <v>3042</v>
      </c>
    </row>
    <row r="14" spans="1:2" ht="24.95" customHeight="1" thickBot="1" x14ac:dyDescent="0.3">
      <c r="A14" s="569" t="s">
        <v>3043</v>
      </c>
      <c r="B14" s="570"/>
    </row>
    <row r="15" spans="1:2" ht="24.95" customHeight="1" thickBot="1" x14ac:dyDescent="0.3">
      <c r="A15" s="565" t="s">
        <v>3008</v>
      </c>
      <c r="B15" s="566"/>
    </row>
    <row r="16" spans="1:2" ht="24.95" customHeight="1" thickBot="1" x14ac:dyDescent="0.3">
      <c r="A16" s="37" t="s">
        <v>3044</v>
      </c>
      <c r="B16" s="20" t="s">
        <v>3045</v>
      </c>
    </row>
    <row r="17" spans="1:2" ht="24.95" customHeight="1" thickBot="1" x14ac:dyDescent="0.3">
      <c r="A17" s="37" t="s">
        <v>3046</v>
      </c>
      <c r="B17" s="20" t="s">
        <v>3047</v>
      </c>
    </row>
    <row r="18" spans="1:2" ht="24.95" customHeight="1" thickBot="1" x14ac:dyDescent="0.3">
      <c r="A18" s="37" t="s">
        <v>3048</v>
      </c>
      <c r="B18" s="20" t="s">
        <v>3049</v>
      </c>
    </row>
    <row r="19" spans="1:2" ht="26.25" customHeight="1" thickBot="1" x14ac:dyDescent="0.3">
      <c r="A19" s="37" t="s">
        <v>3050</v>
      </c>
      <c r="B19" s="20" t="s">
        <v>3051</v>
      </c>
    </row>
    <row r="20" spans="1:2" ht="24.95" customHeight="1" thickBot="1" x14ac:dyDescent="0.3">
      <c r="A20" s="37" t="s">
        <v>3052</v>
      </c>
      <c r="B20" s="20" t="s">
        <v>3053</v>
      </c>
    </row>
    <row r="21" spans="1:2" ht="31.5" thickBot="1" x14ac:dyDescent="0.3">
      <c r="A21" s="37" t="s">
        <v>3054</v>
      </c>
      <c r="B21" s="20" t="s">
        <v>3055</v>
      </c>
    </row>
    <row r="22" spans="1:2" ht="24.95" customHeight="1" thickBot="1" x14ac:dyDescent="0.3">
      <c r="A22" s="560" t="s">
        <v>1444</v>
      </c>
      <c r="B22" s="560"/>
    </row>
  </sheetData>
  <mergeCells count="8">
    <mergeCell ref="A15:B15"/>
    <mergeCell ref="A22:B22"/>
    <mergeCell ref="A1:B1"/>
    <mergeCell ref="A7:B7"/>
    <mergeCell ref="A8:B8"/>
    <mergeCell ref="A10:B10"/>
    <mergeCell ref="A11:B11"/>
    <mergeCell ref="A14:B1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AA2"/>
  <sheetViews>
    <sheetView workbookViewId="0">
      <selection sqref="A1:B1"/>
    </sheetView>
  </sheetViews>
  <sheetFormatPr defaultColWidth="20.5" defaultRowHeight="15.75" x14ac:dyDescent="0.25"/>
  <cols>
    <col min="1" max="4" width="20.5" style="111"/>
    <col min="6" max="6" width="5.125" style="115" customWidth="1"/>
    <col min="7" max="10" width="20.5" style="111"/>
    <col min="14" max="14" width="5.125" style="115" customWidth="1"/>
    <col min="15" max="18" width="20.5" style="111"/>
    <col min="26" max="26" width="3.375" customWidth="1"/>
  </cols>
  <sheetData>
    <row r="1" spans="1:27" s="106" customFormat="1" ht="48.95" customHeight="1" x14ac:dyDescent="0.25">
      <c r="A1" s="105"/>
      <c r="B1" s="105"/>
      <c r="C1" s="105"/>
      <c r="D1" s="547" t="s">
        <v>3056</v>
      </c>
      <c r="E1" s="547"/>
      <c r="F1" s="113"/>
      <c r="G1" s="105"/>
      <c r="H1" s="105"/>
      <c r="I1" s="105"/>
      <c r="J1" s="547" t="s">
        <v>3057</v>
      </c>
      <c r="K1" s="547"/>
      <c r="L1" s="547"/>
      <c r="M1" s="547"/>
      <c r="N1" s="113"/>
      <c r="O1" s="105"/>
      <c r="P1" s="105"/>
      <c r="Q1" s="105"/>
      <c r="R1" s="105"/>
      <c r="S1" s="547" t="s">
        <v>3043</v>
      </c>
      <c r="T1" s="547"/>
      <c r="U1" s="547"/>
      <c r="V1" s="547"/>
      <c r="W1" s="547"/>
      <c r="X1" s="547"/>
      <c r="Y1" s="547"/>
      <c r="AA1" s="548" t="s">
        <v>3058</v>
      </c>
    </row>
    <row r="2" spans="1:27" s="110" customFormat="1" ht="154.5" customHeight="1" x14ac:dyDescent="0.25">
      <c r="A2" s="74" t="s">
        <v>721</v>
      </c>
      <c r="B2" s="74" t="s">
        <v>1456</v>
      </c>
      <c r="C2" s="112" t="s">
        <v>3059</v>
      </c>
      <c r="D2" s="112" t="s">
        <v>3060</v>
      </c>
      <c r="E2" s="52" t="s">
        <v>3061</v>
      </c>
      <c r="F2" s="114"/>
      <c r="G2" s="74" t="s">
        <v>721</v>
      </c>
      <c r="H2" s="74" t="s">
        <v>1456</v>
      </c>
      <c r="I2" s="112" t="s">
        <v>3059</v>
      </c>
      <c r="J2" s="112" t="s">
        <v>3062</v>
      </c>
      <c r="K2" s="52" t="s">
        <v>3061</v>
      </c>
      <c r="L2" s="52" t="s">
        <v>3063</v>
      </c>
      <c r="M2" s="52" t="s">
        <v>3064</v>
      </c>
      <c r="N2" s="114"/>
      <c r="O2" s="74" t="s">
        <v>721</v>
      </c>
      <c r="P2" s="74" t="s">
        <v>1456</v>
      </c>
      <c r="Q2" s="112" t="s">
        <v>3059</v>
      </c>
      <c r="R2" s="112" t="s">
        <v>3065</v>
      </c>
      <c r="S2" s="98" t="s">
        <v>3045</v>
      </c>
      <c r="T2" s="98" t="s">
        <v>3047</v>
      </c>
      <c r="U2" s="98" t="s">
        <v>3049</v>
      </c>
      <c r="V2" s="98" t="s">
        <v>3051</v>
      </c>
      <c r="W2" s="98" t="s">
        <v>3053</v>
      </c>
      <c r="X2" s="98" t="s">
        <v>3055</v>
      </c>
      <c r="Y2" s="74" t="s">
        <v>3066</v>
      </c>
      <c r="Z2" s="107"/>
      <c r="AA2" s="548"/>
    </row>
  </sheetData>
  <mergeCells count="4">
    <mergeCell ref="D1:E1"/>
    <mergeCell ref="J1:M1"/>
    <mergeCell ref="S1:Y1"/>
    <mergeCell ref="AA1:AA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J25"/>
  <sheetViews>
    <sheetView workbookViewId="0">
      <selection sqref="A1:B1"/>
    </sheetView>
  </sheetViews>
  <sheetFormatPr defaultColWidth="11" defaultRowHeight="15.75" x14ac:dyDescent="0.25"/>
  <cols>
    <col min="1" max="1" width="7.25" customWidth="1"/>
    <col min="2" max="2" width="75.5" style="21" customWidth="1"/>
    <col min="3" max="36" width="20.875" style="70" customWidth="1"/>
  </cols>
  <sheetData>
    <row r="1" spans="1:36" s="62" customFormat="1" ht="37.5" customHeight="1" x14ac:dyDescent="0.25">
      <c r="A1" s="553" t="s">
        <v>3067</v>
      </c>
      <c r="B1" s="534"/>
      <c r="C1" s="53" t="s">
        <v>2999</v>
      </c>
      <c r="D1" s="53" t="s">
        <v>885</v>
      </c>
      <c r="E1" s="53" t="s">
        <v>759</v>
      </c>
      <c r="F1" s="53" t="s">
        <v>760</v>
      </c>
      <c r="G1" s="53" t="s">
        <v>762</v>
      </c>
      <c r="H1" s="53" t="s">
        <v>948</v>
      </c>
      <c r="I1" s="53" t="s">
        <v>963</v>
      </c>
      <c r="J1" s="53" t="s">
        <v>763</v>
      </c>
      <c r="K1" s="53" t="s">
        <v>765</v>
      </c>
      <c r="L1" s="53" t="s">
        <v>767</v>
      </c>
      <c r="M1" s="53" t="s">
        <v>769</v>
      </c>
      <c r="N1" s="53" t="s">
        <v>771</v>
      </c>
      <c r="O1" s="53" t="s">
        <v>773</v>
      </c>
      <c r="P1" s="53" t="s">
        <v>774</v>
      </c>
      <c r="Q1" s="53" t="s">
        <v>775</v>
      </c>
      <c r="R1" s="53" t="s">
        <v>1101</v>
      </c>
      <c r="S1" s="53" t="s">
        <v>1116</v>
      </c>
      <c r="T1" s="53" t="s">
        <v>776</v>
      </c>
      <c r="U1" s="53" t="s">
        <v>778</v>
      </c>
      <c r="V1" s="53" t="s">
        <v>1162</v>
      </c>
      <c r="W1" s="53" t="s">
        <v>779</v>
      </c>
      <c r="X1" s="53" t="s">
        <v>3000</v>
      </c>
      <c r="Y1" s="53" t="s">
        <v>781</v>
      </c>
      <c r="Z1" s="53" t="s">
        <v>783</v>
      </c>
      <c r="AA1" s="53" t="s">
        <v>784</v>
      </c>
      <c r="AB1" s="53" t="s">
        <v>785</v>
      </c>
      <c r="AC1" s="53" t="s">
        <v>786</v>
      </c>
      <c r="AD1" s="53" t="s">
        <v>788</v>
      </c>
      <c r="AE1" s="53" t="s">
        <v>789</v>
      </c>
      <c r="AF1" s="53" t="s">
        <v>3001</v>
      </c>
      <c r="AG1" s="53" t="s">
        <v>792</v>
      </c>
      <c r="AH1" s="53" t="s">
        <v>793</v>
      </c>
      <c r="AI1" s="53" t="s">
        <v>795</v>
      </c>
      <c r="AJ1" s="53" t="s">
        <v>1386</v>
      </c>
    </row>
    <row r="2" spans="1:36" s="62" customFormat="1" ht="22.5" customHeight="1" x14ac:dyDescent="0.25">
      <c r="A2" s="52"/>
      <c r="B2" s="116" t="s">
        <v>796</v>
      </c>
      <c r="C2" s="53" t="s">
        <v>2988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7" customFormat="1" ht="24.95" customHeight="1" x14ac:dyDescent="0.25">
      <c r="A3" s="65"/>
      <c r="B3" s="66" t="s">
        <v>1432</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row>
    <row r="4" spans="1:36" s="82" customFormat="1" ht="24.95" customHeight="1" x14ac:dyDescent="0.25">
      <c r="A4" s="83"/>
      <c r="B4" s="84" t="s">
        <v>3068</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row>
    <row r="5" spans="1:36" s="82" customFormat="1" ht="24.95" customHeight="1" x14ac:dyDescent="0.25">
      <c r="A5" s="79"/>
      <c r="B5" s="80" t="s">
        <v>3069</v>
      </c>
      <c r="C5" s="81">
        <v>4</v>
      </c>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s="82" customFormat="1" ht="24.95" customHeight="1" x14ac:dyDescent="0.25">
      <c r="A6" s="83"/>
      <c r="B6" s="84" t="s">
        <v>3070</v>
      </c>
      <c r="C6" s="85">
        <v>2</v>
      </c>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s="82" customFormat="1" ht="24.95" customHeight="1" x14ac:dyDescent="0.25">
      <c r="A7" s="79"/>
      <c r="B7" s="80" t="s">
        <v>3071</v>
      </c>
      <c r="C7" s="81">
        <v>1</v>
      </c>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row>
    <row r="8" spans="1:36" s="82" customFormat="1" ht="24.95" customHeight="1" x14ac:dyDescent="0.25">
      <c r="A8" s="83"/>
      <c r="B8" s="84" t="s">
        <v>3072</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row>
    <row r="9" spans="1:36" s="82" customFormat="1" ht="24.95" customHeight="1" x14ac:dyDescent="0.25">
      <c r="A9" s="79"/>
      <c r="B9" s="80" t="s">
        <v>3068</v>
      </c>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row>
    <row r="10" spans="1:36" s="82" customFormat="1" ht="24.95" customHeight="1" x14ac:dyDescent="0.25">
      <c r="A10" s="83"/>
      <c r="B10" s="84" t="s">
        <v>3073</v>
      </c>
      <c r="C10" s="85">
        <v>14</v>
      </c>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row>
    <row r="11" spans="1:36" s="82" customFormat="1" ht="24.75" customHeight="1" x14ac:dyDescent="0.25">
      <c r="A11" s="83"/>
      <c r="B11" s="84" t="s">
        <v>3074</v>
      </c>
      <c r="C11" s="85">
        <v>14</v>
      </c>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row>
    <row r="12" spans="1:36" s="82" customFormat="1" ht="24.75" customHeight="1" x14ac:dyDescent="0.25">
      <c r="A12" s="79"/>
      <c r="B12" s="80" t="s">
        <v>3075</v>
      </c>
      <c r="C12" s="81">
        <v>14</v>
      </c>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row>
    <row r="13" spans="1:36" s="63" customFormat="1" ht="24.95" customHeight="1" x14ac:dyDescent="0.25">
      <c r="A13" s="552" t="s">
        <v>3040</v>
      </c>
      <c r="B13" s="552"/>
      <c r="C13" s="71">
        <v>0.65</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row>
    <row r="14" spans="1:36" ht="24.95" customHeight="1" x14ac:dyDescent="0.25">
      <c r="A14" s="58">
        <v>1</v>
      </c>
      <c r="B14" s="67" t="s">
        <v>3041</v>
      </c>
      <c r="C14" s="69">
        <v>0.65</v>
      </c>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row>
    <row r="15" spans="1:36" s="63" customFormat="1" ht="24.95" customHeight="1" x14ac:dyDescent="0.25">
      <c r="A15" s="552" t="s">
        <v>813</v>
      </c>
      <c r="B15" s="552"/>
      <c r="C15" s="71">
        <v>0.65</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row>
    <row r="16" spans="1:36" ht="24.95" customHeight="1" x14ac:dyDescent="0.25">
      <c r="A16" s="59">
        <v>1</v>
      </c>
      <c r="B16" s="60" t="s">
        <v>3041</v>
      </c>
      <c r="C16" s="69">
        <v>0.65</v>
      </c>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row>
    <row r="17" spans="1:36" s="72" customFormat="1" ht="24.95" customHeight="1" x14ac:dyDescent="0.2">
      <c r="A17" s="55">
        <v>2</v>
      </c>
      <c r="B17" s="56" t="s">
        <v>3042</v>
      </c>
      <c r="C17" s="73">
        <v>0.65</v>
      </c>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row>
    <row r="18" spans="1:36" s="63" customFormat="1" ht="24.95" customHeight="1" x14ac:dyDescent="0.25">
      <c r="A18" s="552" t="s">
        <v>3043</v>
      </c>
      <c r="B18" s="552"/>
      <c r="C18" s="71">
        <v>0.65</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row>
    <row r="19" spans="1:36" s="72" customFormat="1" ht="24.95" customHeight="1" x14ac:dyDescent="0.2">
      <c r="A19" s="58" t="s">
        <v>3044</v>
      </c>
      <c r="B19" s="60" t="s">
        <v>3045</v>
      </c>
      <c r="C19" s="69">
        <v>0.65</v>
      </c>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row>
    <row r="20" spans="1:36" s="72" customFormat="1" ht="24.95" customHeight="1" x14ac:dyDescent="0.2">
      <c r="A20" s="64" t="s">
        <v>3046</v>
      </c>
      <c r="B20" s="56" t="s">
        <v>3047</v>
      </c>
      <c r="C20" s="73">
        <v>0.65</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row>
    <row r="21" spans="1:36" s="72" customFormat="1" ht="24.95" customHeight="1" x14ac:dyDescent="0.2">
      <c r="A21" s="58" t="s">
        <v>3048</v>
      </c>
      <c r="B21" s="60" t="s">
        <v>3049</v>
      </c>
      <c r="C21" s="69">
        <v>0.65</v>
      </c>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row>
    <row r="22" spans="1:36" s="72" customFormat="1" ht="30" x14ac:dyDescent="0.2">
      <c r="A22" s="64" t="s">
        <v>3050</v>
      </c>
      <c r="B22" s="56" t="s">
        <v>3051</v>
      </c>
      <c r="C22" s="73">
        <v>0.65</v>
      </c>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row>
    <row r="23" spans="1:36" s="72" customFormat="1" ht="24.95" customHeight="1" x14ac:dyDescent="0.2">
      <c r="A23" s="58" t="s">
        <v>3052</v>
      </c>
      <c r="B23" s="60" t="s">
        <v>3053</v>
      </c>
      <c r="C23" s="69">
        <v>0.65</v>
      </c>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row>
    <row r="24" spans="1:36" s="72" customFormat="1" ht="30" x14ac:dyDescent="0.2">
      <c r="A24" s="64" t="s">
        <v>3054</v>
      </c>
      <c r="B24" s="56" t="s">
        <v>3055</v>
      </c>
      <c r="C24" s="73">
        <v>0.65</v>
      </c>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row>
    <row r="25" spans="1:36" s="63" customFormat="1" ht="24.95" customHeight="1" x14ac:dyDescent="0.25">
      <c r="A25" s="552" t="s">
        <v>1444</v>
      </c>
      <c r="B25" s="552"/>
      <c r="C25" s="71">
        <v>0.65</v>
      </c>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row>
  </sheetData>
  <mergeCells count="5">
    <mergeCell ref="A1:B1"/>
    <mergeCell ref="A13:B13"/>
    <mergeCell ref="A15:B15"/>
    <mergeCell ref="A18:B18"/>
    <mergeCell ref="A25:B25"/>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AJ16"/>
  <sheetViews>
    <sheetView workbookViewId="0">
      <selection sqref="A1:B1"/>
    </sheetView>
  </sheetViews>
  <sheetFormatPr defaultColWidth="15.75" defaultRowHeight="15.75" x14ac:dyDescent="0.25"/>
  <cols>
    <col min="1" max="1" width="6.5" style="57" customWidth="1"/>
    <col min="2" max="2" width="49.875" style="57" customWidth="1"/>
    <col min="3" max="16384" width="15.75" style="57"/>
  </cols>
  <sheetData>
    <row r="1" spans="1:36" s="86" customFormat="1" ht="34.5" customHeight="1" x14ac:dyDescent="0.25">
      <c r="A1" s="553" t="s">
        <v>3076</v>
      </c>
      <c r="B1" s="534"/>
      <c r="C1" s="53" t="s">
        <v>2999</v>
      </c>
      <c r="D1" s="53" t="s">
        <v>885</v>
      </c>
      <c r="E1" s="53" t="s">
        <v>759</v>
      </c>
      <c r="F1" s="53" t="s">
        <v>760</v>
      </c>
      <c r="G1" s="53" t="s">
        <v>762</v>
      </c>
      <c r="H1" s="53" t="s">
        <v>948</v>
      </c>
      <c r="I1" s="53" t="s">
        <v>963</v>
      </c>
      <c r="J1" s="53" t="s">
        <v>763</v>
      </c>
      <c r="K1" s="53" t="s">
        <v>765</v>
      </c>
      <c r="L1" s="53" t="s">
        <v>767</v>
      </c>
      <c r="M1" s="53" t="s">
        <v>769</v>
      </c>
      <c r="N1" s="53" t="s">
        <v>771</v>
      </c>
      <c r="O1" s="53" t="s">
        <v>773</v>
      </c>
      <c r="P1" s="53" t="s">
        <v>774</v>
      </c>
      <c r="Q1" s="53" t="s">
        <v>775</v>
      </c>
      <c r="R1" s="53" t="s">
        <v>1101</v>
      </c>
      <c r="S1" s="53" t="s">
        <v>1116</v>
      </c>
      <c r="T1" s="53" t="s">
        <v>776</v>
      </c>
      <c r="U1" s="53" t="s">
        <v>778</v>
      </c>
      <c r="V1" s="53" t="s">
        <v>1162</v>
      </c>
      <c r="W1" s="53" t="s">
        <v>779</v>
      </c>
      <c r="X1" s="53" t="s">
        <v>3000</v>
      </c>
      <c r="Y1" s="53" t="s">
        <v>781</v>
      </c>
      <c r="Z1" s="53" t="s">
        <v>783</v>
      </c>
      <c r="AA1" s="53" t="s">
        <v>784</v>
      </c>
      <c r="AB1" s="53" t="s">
        <v>785</v>
      </c>
      <c r="AC1" s="53" t="s">
        <v>786</v>
      </c>
      <c r="AD1" s="53" t="s">
        <v>788</v>
      </c>
      <c r="AE1" s="53" t="s">
        <v>789</v>
      </c>
      <c r="AF1" s="53" t="s">
        <v>3001</v>
      </c>
      <c r="AG1" s="53" t="s">
        <v>792</v>
      </c>
      <c r="AH1" s="53" t="s">
        <v>793</v>
      </c>
      <c r="AI1" s="53" t="s">
        <v>795</v>
      </c>
      <c r="AJ1" s="53" t="s">
        <v>1386</v>
      </c>
    </row>
    <row r="2" spans="1:36" s="86" customFormat="1" ht="24.95" customHeight="1" x14ac:dyDescent="0.25">
      <c r="A2" s="87" t="s">
        <v>3077</v>
      </c>
      <c r="B2" s="88"/>
      <c r="C2" s="89">
        <v>0.8</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row>
    <row r="3" spans="1:36" s="92" customFormat="1" ht="24.95" customHeight="1" x14ac:dyDescent="0.25">
      <c r="A3" s="90"/>
      <c r="B3" s="90" t="s">
        <v>801</v>
      </c>
      <c r="C3" s="91">
        <v>0.8</v>
      </c>
    </row>
    <row r="4" spans="1:36" s="94" customFormat="1" ht="24.95" customHeight="1" x14ac:dyDescent="0.25">
      <c r="A4" s="93"/>
      <c r="B4" s="93" t="s">
        <v>802</v>
      </c>
      <c r="C4" s="97">
        <v>0.8</v>
      </c>
    </row>
    <row r="5" spans="1:36" s="92" customFormat="1" ht="24.95" customHeight="1" x14ac:dyDescent="0.25">
      <c r="A5" s="90"/>
      <c r="B5" s="90" t="s">
        <v>803</v>
      </c>
      <c r="C5" s="91">
        <v>0.8</v>
      </c>
    </row>
    <row r="6" spans="1:36" s="94" customFormat="1" ht="24.95" customHeight="1" x14ac:dyDescent="0.25">
      <c r="A6" s="93"/>
      <c r="B6" s="93" t="s">
        <v>804</v>
      </c>
      <c r="C6" s="97">
        <v>0.8</v>
      </c>
    </row>
    <row r="7" spans="1:36" s="92" customFormat="1" ht="24.95" customHeight="1" x14ac:dyDescent="0.25">
      <c r="A7" s="90"/>
      <c r="B7" s="90" t="s">
        <v>805</v>
      </c>
      <c r="C7" s="91">
        <v>0.8</v>
      </c>
    </row>
    <row r="8" spans="1:36" s="94" customFormat="1" ht="24.95" customHeight="1" x14ac:dyDescent="0.25">
      <c r="A8" s="93"/>
      <c r="B8" s="93" t="s">
        <v>806</v>
      </c>
      <c r="C8" s="97">
        <v>0.8</v>
      </c>
    </row>
    <row r="9" spans="1:36" s="92" customFormat="1" ht="24.95" customHeight="1" x14ac:dyDescent="0.25">
      <c r="A9" s="90"/>
      <c r="B9" s="90" t="s">
        <v>807</v>
      </c>
      <c r="C9" s="91">
        <v>0.8</v>
      </c>
    </row>
    <row r="10" spans="1:36" s="94" customFormat="1" ht="26.25" customHeight="1" x14ac:dyDescent="0.25">
      <c r="A10" s="93"/>
      <c r="B10" s="93" t="s">
        <v>808</v>
      </c>
      <c r="C10" s="97">
        <v>0.8</v>
      </c>
    </row>
    <row r="11" spans="1:36" s="92" customFormat="1" ht="24.95" customHeight="1" x14ac:dyDescent="0.25">
      <c r="A11" s="90"/>
      <c r="B11" s="90" t="s">
        <v>809</v>
      </c>
      <c r="C11" s="91">
        <v>0.8</v>
      </c>
    </row>
    <row r="12" spans="1:36" s="94" customFormat="1" ht="24.95" customHeight="1" x14ac:dyDescent="0.25">
      <c r="A12" s="93"/>
      <c r="B12" s="93" t="s">
        <v>810</v>
      </c>
      <c r="C12" s="97">
        <v>0.8</v>
      </c>
    </row>
    <row r="13" spans="1:36" s="53" customFormat="1" ht="24" customHeight="1" x14ac:dyDescent="0.25">
      <c r="A13" s="87" t="s">
        <v>3078</v>
      </c>
      <c r="B13" s="88"/>
      <c r="C13" s="89">
        <v>0.8</v>
      </c>
    </row>
    <row r="14" spans="1:36" s="92" customFormat="1" ht="24.95" customHeight="1" x14ac:dyDescent="0.25">
      <c r="A14" s="90"/>
      <c r="B14" s="95" t="s">
        <v>3040</v>
      </c>
      <c r="C14" s="91">
        <v>0.8</v>
      </c>
    </row>
    <row r="15" spans="1:36" s="94" customFormat="1" ht="24.95" customHeight="1" x14ac:dyDescent="0.25">
      <c r="A15" s="93"/>
      <c r="B15" s="96" t="s">
        <v>813</v>
      </c>
      <c r="C15" s="97">
        <v>0.8</v>
      </c>
    </row>
    <row r="16" spans="1:36" s="53" customFormat="1" ht="24" customHeight="1" x14ac:dyDescent="0.25">
      <c r="A16" s="87" t="s">
        <v>3079</v>
      </c>
      <c r="B16" s="88"/>
      <c r="C16" s="89">
        <v>0.8</v>
      </c>
    </row>
  </sheetData>
  <mergeCells count="1">
    <mergeCell ref="A1:B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AG82"/>
  <sheetViews>
    <sheetView zoomScale="70" zoomScaleNormal="51" workbookViewId="0">
      <pane xSplit="6" ySplit="3" topLeftCell="G4" activePane="bottomRight" state="frozen"/>
      <selection pane="topRight" activeCell="G1" sqref="G1"/>
      <selection pane="bottomLeft" activeCell="A5" sqref="A5"/>
      <selection pane="bottomRight" activeCell="A15" sqref="A15:XFD15"/>
    </sheetView>
  </sheetViews>
  <sheetFormatPr defaultColWidth="11" defaultRowHeight="18.75" x14ac:dyDescent="0.3"/>
  <cols>
    <col min="1" max="1" width="7.25" customWidth="1"/>
    <col min="2" max="2" width="75.5" style="21" customWidth="1"/>
    <col min="3" max="6" width="21" style="185" customWidth="1"/>
    <col min="7" max="7" width="21" style="168" customWidth="1"/>
    <col min="8" max="32" width="20.875" style="168" customWidth="1"/>
  </cols>
  <sheetData>
    <row r="1" spans="1:33" s="315" customFormat="1" ht="37.5" customHeight="1" x14ac:dyDescent="0.25">
      <c r="A1" s="529" t="s">
        <v>3080</v>
      </c>
      <c r="B1" s="532"/>
      <c r="C1" s="573" t="s">
        <v>832</v>
      </c>
      <c r="D1" s="573"/>
      <c r="E1" s="573"/>
      <c r="F1" s="573"/>
      <c r="G1" s="322" t="s">
        <v>757</v>
      </c>
      <c r="H1" s="322" t="s">
        <v>759</v>
      </c>
      <c r="I1" s="322" t="s">
        <v>760</v>
      </c>
      <c r="J1" s="322" t="s">
        <v>762</v>
      </c>
      <c r="K1" s="322" t="s">
        <v>763</v>
      </c>
      <c r="L1" s="322" t="s">
        <v>765</v>
      </c>
      <c r="M1" s="322" t="s">
        <v>767</v>
      </c>
      <c r="N1" s="322" t="s">
        <v>769</v>
      </c>
      <c r="O1" s="322" t="s">
        <v>771</v>
      </c>
      <c r="P1" s="322" t="s">
        <v>773</v>
      </c>
      <c r="Q1" s="322" t="s">
        <v>774</v>
      </c>
      <c r="R1" s="322" t="s">
        <v>775</v>
      </c>
      <c r="S1" s="322" t="s">
        <v>776</v>
      </c>
      <c r="T1" s="322" t="s">
        <v>778</v>
      </c>
      <c r="U1" s="322" t="s">
        <v>779</v>
      </c>
      <c r="V1" s="322" t="s">
        <v>781</v>
      </c>
      <c r="W1" s="322" t="s">
        <v>783</v>
      </c>
      <c r="X1" s="322" t="s">
        <v>784</v>
      </c>
      <c r="Y1" s="322" t="s">
        <v>785</v>
      </c>
      <c r="Z1" s="322" t="s">
        <v>786</v>
      </c>
      <c r="AA1" s="322" t="s">
        <v>788</v>
      </c>
      <c r="AB1" s="322" t="s">
        <v>789</v>
      </c>
      <c r="AC1" s="322" t="s">
        <v>1427</v>
      </c>
      <c r="AD1" s="322" t="s">
        <v>792</v>
      </c>
      <c r="AE1" s="322" t="s">
        <v>793</v>
      </c>
      <c r="AF1" s="322" t="s">
        <v>795</v>
      </c>
    </row>
    <row r="2" spans="1:33" s="315" customFormat="1" ht="24.95" customHeight="1" x14ac:dyDescent="0.25">
      <c r="A2" s="323"/>
      <c r="B2" s="316" t="s">
        <v>796</v>
      </c>
      <c r="C2" s="533" t="s">
        <v>1428</v>
      </c>
      <c r="D2" s="533" t="s">
        <v>1429</v>
      </c>
      <c r="E2" s="533" t="s">
        <v>1430</v>
      </c>
      <c r="F2" s="533" t="s">
        <v>1431</v>
      </c>
      <c r="G2" s="322" t="s">
        <v>758</v>
      </c>
      <c r="H2" s="322" t="s">
        <v>758</v>
      </c>
      <c r="I2" s="322" t="s">
        <v>761</v>
      </c>
      <c r="J2" s="322" t="s">
        <v>758</v>
      </c>
      <c r="K2" s="322" t="s">
        <v>764</v>
      </c>
      <c r="L2" s="322" t="s">
        <v>766</v>
      </c>
      <c r="M2" s="322" t="s">
        <v>768</v>
      </c>
      <c r="N2" s="322" t="s">
        <v>770</v>
      </c>
      <c r="O2" s="322" t="s">
        <v>772</v>
      </c>
      <c r="P2" s="322" t="s">
        <v>764</v>
      </c>
      <c r="Q2" s="322" t="s">
        <v>758</v>
      </c>
      <c r="R2" s="322" t="s">
        <v>766</v>
      </c>
      <c r="S2" s="322" t="s">
        <v>777</v>
      </c>
      <c r="T2" s="322" t="s">
        <v>766</v>
      </c>
      <c r="U2" s="322" t="s">
        <v>780</v>
      </c>
      <c r="V2" s="322" t="s">
        <v>782</v>
      </c>
      <c r="W2" s="322" t="s">
        <v>772</v>
      </c>
      <c r="X2" s="322" t="s">
        <v>768</v>
      </c>
      <c r="Y2" s="322" t="s">
        <v>772</v>
      </c>
      <c r="Z2" s="322" t="s">
        <v>787</v>
      </c>
      <c r="AA2" s="322" t="s">
        <v>766</v>
      </c>
      <c r="AB2" s="322" t="s">
        <v>790</v>
      </c>
      <c r="AC2" s="322" t="s">
        <v>790</v>
      </c>
      <c r="AD2" s="322" t="s">
        <v>758</v>
      </c>
      <c r="AE2" s="322" t="s">
        <v>794</v>
      </c>
      <c r="AF2" s="322" t="s">
        <v>761</v>
      </c>
    </row>
    <row r="3" spans="1:33" s="315" customFormat="1" ht="24.95" customHeight="1" x14ac:dyDescent="0.25">
      <c r="A3" s="323"/>
      <c r="B3" s="316" t="s">
        <v>1432</v>
      </c>
      <c r="C3" s="533"/>
      <c r="D3" s="533"/>
      <c r="E3" s="533"/>
      <c r="F3" s="533"/>
      <c r="G3" s="322"/>
      <c r="H3" s="322"/>
      <c r="I3" s="322"/>
      <c r="J3" s="322"/>
      <c r="K3" s="322"/>
      <c r="L3" s="322"/>
      <c r="M3" s="322"/>
      <c r="N3" s="322"/>
      <c r="O3" s="322"/>
      <c r="P3" s="322"/>
      <c r="Q3" s="322"/>
      <c r="R3" s="322"/>
      <c r="S3" s="322"/>
      <c r="T3" s="322"/>
      <c r="U3" s="322"/>
      <c r="V3" s="322"/>
      <c r="W3" s="322"/>
      <c r="X3" s="322"/>
      <c r="Y3" s="322"/>
      <c r="Z3" s="322"/>
      <c r="AA3" s="322"/>
      <c r="AB3" s="322"/>
      <c r="AC3" s="322"/>
      <c r="AD3" s="322"/>
      <c r="AE3" s="322"/>
      <c r="AF3" s="322"/>
    </row>
    <row r="4" spans="1:33" s="146" customFormat="1" ht="31.5" customHeight="1" x14ac:dyDescent="0.25">
      <c r="A4" s="319"/>
      <c r="B4" s="320" t="s">
        <v>3068</v>
      </c>
      <c r="C4" s="321"/>
      <c r="D4" s="321"/>
      <c r="E4" s="321"/>
      <c r="F4" s="321"/>
      <c r="G4" s="321">
        <v>9</v>
      </c>
      <c r="H4" s="321">
        <v>5</v>
      </c>
      <c r="I4" s="321">
        <v>7</v>
      </c>
      <c r="J4" s="321">
        <v>6</v>
      </c>
      <c r="K4" s="321">
        <v>4</v>
      </c>
      <c r="L4" s="321">
        <v>6</v>
      </c>
      <c r="M4" s="321">
        <v>6</v>
      </c>
      <c r="N4" s="321">
        <v>7</v>
      </c>
      <c r="O4" s="321">
        <v>6</v>
      </c>
      <c r="P4" s="321">
        <v>5</v>
      </c>
      <c r="Q4" s="321">
        <v>2</v>
      </c>
      <c r="R4" s="321">
        <v>8</v>
      </c>
      <c r="S4" s="321">
        <v>6</v>
      </c>
      <c r="T4" s="321">
        <v>4</v>
      </c>
      <c r="U4" s="321">
        <v>3</v>
      </c>
      <c r="V4" s="321">
        <v>4</v>
      </c>
      <c r="W4" s="321">
        <v>7</v>
      </c>
      <c r="X4" s="321">
        <v>5</v>
      </c>
      <c r="Y4" s="321">
        <v>4</v>
      </c>
      <c r="Z4" s="321">
        <v>6</v>
      </c>
      <c r="AA4" s="321">
        <v>5</v>
      </c>
      <c r="AB4" s="321">
        <v>5</v>
      </c>
      <c r="AC4" s="321">
        <v>6</v>
      </c>
      <c r="AD4" s="321">
        <v>4</v>
      </c>
      <c r="AE4" s="321">
        <v>6</v>
      </c>
      <c r="AF4" s="321">
        <v>5</v>
      </c>
      <c r="AG4" s="264"/>
    </row>
    <row r="5" spans="1:33" s="146" customFormat="1" ht="31.5" customHeight="1" x14ac:dyDescent="0.25">
      <c r="A5" s="147"/>
      <c r="B5" s="148" t="s">
        <v>3069</v>
      </c>
      <c r="C5" s="181"/>
      <c r="D5" s="181"/>
      <c r="E5" s="181"/>
      <c r="F5" s="181"/>
      <c r="G5" s="160">
        <v>4</v>
      </c>
      <c r="H5" s="160">
        <v>3</v>
      </c>
      <c r="I5" s="160">
        <v>6</v>
      </c>
      <c r="J5" s="160">
        <v>3</v>
      </c>
      <c r="K5" s="160">
        <v>3</v>
      </c>
      <c r="L5" s="160">
        <v>5</v>
      </c>
      <c r="M5" s="160">
        <v>3</v>
      </c>
      <c r="N5" s="160">
        <v>6</v>
      </c>
      <c r="O5" s="160">
        <v>5</v>
      </c>
      <c r="P5" s="160">
        <v>4</v>
      </c>
      <c r="Q5" s="160">
        <v>6</v>
      </c>
      <c r="R5" s="160">
        <v>4</v>
      </c>
      <c r="S5" s="160">
        <v>3</v>
      </c>
      <c r="T5" s="160">
        <v>4</v>
      </c>
      <c r="U5" s="160">
        <v>5</v>
      </c>
      <c r="V5" s="160">
        <v>4</v>
      </c>
      <c r="W5" s="160">
        <v>2</v>
      </c>
      <c r="X5" s="160">
        <v>3</v>
      </c>
      <c r="Y5" s="160">
        <v>4</v>
      </c>
      <c r="Z5" s="160">
        <v>3</v>
      </c>
      <c r="AA5" s="160">
        <v>4</v>
      </c>
      <c r="AB5" s="160">
        <v>4</v>
      </c>
      <c r="AC5" s="160">
        <v>3</v>
      </c>
      <c r="AD5" s="160">
        <v>4</v>
      </c>
      <c r="AE5" s="160">
        <v>3</v>
      </c>
      <c r="AF5" s="160">
        <v>4</v>
      </c>
      <c r="AG5" s="264"/>
    </row>
    <row r="6" spans="1:33" s="146" customFormat="1" ht="31.5" customHeight="1" x14ac:dyDescent="0.25">
      <c r="A6" s="144"/>
      <c r="B6" s="145" t="s">
        <v>3070</v>
      </c>
      <c r="C6" s="159"/>
      <c r="D6" s="159"/>
      <c r="E6" s="159"/>
      <c r="F6" s="159"/>
      <c r="G6" s="159">
        <v>2</v>
      </c>
      <c r="H6" s="159">
        <v>2</v>
      </c>
      <c r="I6" s="159">
        <v>2</v>
      </c>
      <c r="J6" s="159">
        <v>1</v>
      </c>
      <c r="K6" s="159">
        <v>3</v>
      </c>
      <c r="L6" s="159">
        <v>4</v>
      </c>
      <c r="M6" s="159">
        <v>1</v>
      </c>
      <c r="N6" s="159">
        <v>2</v>
      </c>
      <c r="O6" s="159">
        <v>4</v>
      </c>
      <c r="P6" s="159">
        <v>1</v>
      </c>
      <c r="Q6" s="159">
        <v>2</v>
      </c>
      <c r="R6" s="159">
        <v>3</v>
      </c>
      <c r="S6" s="159">
        <v>1</v>
      </c>
      <c r="T6" s="159">
        <v>2</v>
      </c>
      <c r="U6" s="159">
        <v>2</v>
      </c>
      <c r="V6" s="159">
        <v>2</v>
      </c>
      <c r="W6" s="159">
        <v>1</v>
      </c>
      <c r="X6" s="159">
        <v>2</v>
      </c>
      <c r="Y6" s="159">
        <v>2</v>
      </c>
      <c r="Z6" s="159">
        <v>1</v>
      </c>
      <c r="AA6" s="159">
        <v>1</v>
      </c>
      <c r="AB6" s="159">
        <v>1</v>
      </c>
      <c r="AC6" s="159">
        <v>1</v>
      </c>
      <c r="AD6" s="159">
        <v>2</v>
      </c>
      <c r="AE6" s="159">
        <v>1</v>
      </c>
      <c r="AF6" s="159">
        <v>1</v>
      </c>
      <c r="AG6" s="264"/>
    </row>
    <row r="7" spans="1:33" s="146" customFormat="1" ht="31.5" customHeight="1" x14ac:dyDescent="0.25">
      <c r="A7" s="147"/>
      <c r="B7" s="148" t="s">
        <v>3071</v>
      </c>
      <c r="C7" s="181"/>
      <c r="D7" s="181"/>
      <c r="E7" s="181"/>
      <c r="F7" s="181"/>
      <c r="G7" s="160">
        <v>0</v>
      </c>
      <c r="H7" s="160">
        <v>1</v>
      </c>
      <c r="I7" s="160">
        <v>1</v>
      </c>
      <c r="J7" s="160">
        <v>1</v>
      </c>
      <c r="K7" s="160">
        <v>1</v>
      </c>
      <c r="L7" s="160">
        <v>1</v>
      </c>
      <c r="M7" s="160">
        <v>1</v>
      </c>
      <c r="N7" s="160">
        <v>1</v>
      </c>
      <c r="O7" s="160">
        <v>1</v>
      </c>
      <c r="P7" s="160">
        <v>1</v>
      </c>
      <c r="Q7" s="160">
        <v>1</v>
      </c>
      <c r="R7" s="160">
        <v>1</v>
      </c>
      <c r="S7" s="160">
        <v>1</v>
      </c>
      <c r="T7" s="160">
        <v>1</v>
      </c>
      <c r="U7" s="160">
        <v>1</v>
      </c>
      <c r="V7" s="160">
        <v>0</v>
      </c>
      <c r="W7" s="160">
        <v>1</v>
      </c>
      <c r="X7" s="160">
        <v>1</v>
      </c>
      <c r="Y7" s="160">
        <v>1</v>
      </c>
      <c r="Z7" s="160">
        <v>1</v>
      </c>
      <c r="AA7" s="160">
        <v>0</v>
      </c>
      <c r="AB7" s="160">
        <v>1</v>
      </c>
      <c r="AC7" s="160">
        <v>1</v>
      </c>
      <c r="AD7" s="160">
        <v>1</v>
      </c>
      <c r="AE7" s="160">
        <v>1</v>
      </c>
      <c r="AF7" s="160">
        <v>1</v>
      </c>
      <c r="AG7" s="264"/>
    </row>
    <row r="8" spans="1:33" s="146" customFormat="1" ht="31.5" customHeight="1" x14ac:dyDescent="0.25">
      <c r="A8" s="144"/>
      <c r="B8" s="145" t="s">
        <v>3081</v>
      </c>
      <c r="C8" s="159"/>
      <c r="D8" s="159"/>
      <c r="E8" s="159"/>
      <c r="F8" s="159"/>
      <c r="G8" s="159">
        <v>1</v>
      </c>
      <c r="H8" s="159">
        <v>0</v>
      </c>
      <c r="I8" s="159">
        <v>0</v>
      </c>
      <c r="J8" s="159">
        <v>0</v>
      </c>
      <c r="K8" s="159">
        <v>0</v>
      </c>
      <c r="L8" s="159">
        <v>0</v>
      </c>
      <c r="M8" s="159">
        <v>0</v>
      </c>
      <c r="N8" s="159">
        <v>0</v>
      </c>
      <c r="O8" s="159">
        <v>0</v>
      </c>
      <c r="P8" s="159">
        <v>0</v>
      </c>
      <c r="Q8" s="159">
        <v>0</v>
      </c>
      <c r="R8" s="159">
        <v>0</v>
      </c>
      <c r="S8" s="159">
        <v>0</v>
      </c>
      <c r="T8" s="159">
        <v>0</v>
      </c>
      <c r="U8" s="159">
        <v>0</v>
      </c>
      <c r="V8" s="159">
        <v>1</v>
      </c>
      <c r="W8" s="159">
        <v>0</v>
      </c>
      <c r="X8" s="159">
        <v>0</v>
      </c>
      <c r="Y8" s="159">
        <v>0</v>
      </c>
      <c r="Z8" s="159">
        <v>0</v>
      </c>
      <c r="AA8" s="159">
        <v>1</v>
      </c>
      <c r="AB8" s="159">
        <v>0</v>
      </c>
      <c r="AC8" s="159">
        <v>0</v>
      </c>
      <c r="AD8" s="159">
        <v>0</v>
      </c>
      <c r="AE8" s="159">
        <v>0</v>
      </c>
      <c r="AF8" s="159">
        <v>0</v>
      </c>
      <c r="AG8" s="264"/>
    </row>
    <row r="9" spans="1:33" s="146" customFormat="1" ht="31.5" customHeight="1" x14ac:dyDescent="0.25">
      <c r="A9" s="147"/>
      <c r="B9" s="148" t="s">
        <v>3072</v>
      </c>
      <c r="C9" s="181"/>
      <c r="D9" s="181"/>
      <c r="E9" s="181"/>
      <c r="F9" s="181"/>
      <c r="G9" s="160">
        <v>0</v>
      </c>
      <c r="H9" s="160">
        <v>0</v>
      </c>
      <c r="I9" s="160">
        <v>0</v>
      </c>
      <c r="J9" s="160">
        <v>0</v>
      </c>
      <c r="K9" s="160">
        <v>0</v>
      </c>
      <c r="L9" s="160">
        <v>0</v>
      </c>
      <c r="M9" s="160">
        <v>0</v>
      </c>
      <c r="N9" s="160">
        <v>0</v>
      </c>
      <c r="O9" s="160">
        <v>0</v>
      </c>
      <c r="P9" s="160">
        <v>0</v>
      </c>
      <c r="Q9" s="160">
        <v>0</v>
      </c>
      <c r="R9" s="160">
        <v>0</v>
      </c>
      <c r="S9" s="160">
        <v>0</v>
      </c>
      <c r="T9" s="160">
        <v>0</v>
      </c>
      <c r="U9" s="160">
        <v>0</v>
      </c>
      <c r="V9" s="160">
        <v>0</v>
      </c>
      <c r="W9" s="160">
        <v>0</v>
      </c>
      <c r="X9" s="160">
        <v>0</v>
      </c>
      <c r="Y9" s="160">
        <v>0</v>
      </c>
      <c r="Z9" s="160">
        <v>0</v>
      </c>
      <c r="AA9" s="160">
        <v>0</v>
      </c>
      <c r="AB9" s="160">
        <v>0</v>
      </c>
      <c r="AC9" s="160">
        <v>0</v>
      </c>
      <c r="AD9" s="160">
        <v>0</v>
      </c>
      <c r="AE9" s="160">
        <v>0</v>
      </c>
      <c r="AF9" s="160">
        <v>0</v>
      </c>
      <c r="AG9" s="264"/>
    </row>
    <row r="10" spans="1:33" s="146" customFormat="1" ht="31.5" customHeight="1" x14ac:dyDescent="0.25">
      <c r="A10" s="144"/>
      <c r="B10" s="145" t="s">
        <v>3073</v>
      </c>
      <c r="C10" s="159"/>
      <c r="D10" s="159"/>
      <c r="E10" s="159"/>
      <c r="F10" s="159"/>
      <c r="G10" s="159">
        <v>16</v>
      </c>
      <c r="H10" s="159">
        <v>11</v>
      </c>
      <c r="I10" s="159">
        <v>16</v>
      </c>
      <c r="J10" s="159">
        <v>12</v>
      </c>
      <c r="K10" s="159">
        <v>10</v>
      </c>
      <c r="L10" s="159">
        <v>17</v>
      </c>
      <c r="M10" s="159">
        <v>11</v>
      </c>
      <c r="N10" s="159">
        <v>18</v>
      </c>
      <c r="O10" s="159">
        <v>16</v>
      </c>
      <c r="P10" s="159">
        <v>13</v>
      </c>
      <c r="Q10" s="159">
        <v>11</v>
      </c>
      <c r="R10" s="159">
        <v>16</v>
      </c>
      <c r="S10" s="159">
        <v>11</v>
      </c>
      <c r="T10" s="159">
        <v>11</v>
      </c>
      <c r="U10" s="159">
        <v>11</v>
      </c>
      <c r="V10" s="159">
        <v>12</v>
      </c>
      <c r="W10" s="159">
        <v>11</v>
      </c>
      <c r="X10" s="159">
        <v>13</v>
      </c>
      <c r="Y10" s="159">
        <v>11</v>
      </c>
      <c r="Z10" s="159">
        <v>13</v>
      </c>
      <c r="AA10" s="159">
        <v>11</v>
      </c>
      <c r="AB10" s="159">
        <v>13</v>
      </c>
      <c r="AC10" s="159">
        <v>11</v>
      </c>
      <c r="AD10" s="159">
        <v>12</v>
      </c>
      <c r="AE10" s="159">
        <v>11</v>
      </c>
      <c r="AF10" s="159">
        <v>13</v>
      </c>
    </row>
    <row r="11" spans="1:33" s="146" customFormat="1" ht="31.5" customHeight="1" x14ac:dyDescent="0.25">
      <c r="A11" s="147"/>
      <c r="B11" s="148" t="s">
        <v>3074</v>
      </c>
      <c r="C11" s="181"/>
      <c r="D11" s="181"/>
      <c r="E11" s="181"/>
      <c r="F11" s="181"/>
      <c r="G11" s="160">
        <v>16</v>
      </c>
      <c r="H11" s="160">
        <v>11</v>
      </c>
      <c r="I11" s="160">
        <v>16</v>
      </c>
      <c r="J11" s="160">
        <v>9</v>
      </c>
      <c r="K11" s="160">
        <v>11</v>
      </c>
      <c r="L11" s="160">
        <v>15</v>
      </c>
      <c r="M11" s="160">
        <v>11</v>
      </c>
      <c r="N11" s="160">
        <v>14</v>
      </c>
      <c r="O11" s="160">
        <v>16</v>
      </c>
      <c r="P11" s="160">
        <v>9</v>
      </c>
      <c r="Q11" s="160">
        <v>11</v>
      </c>
      <c r="R11" s="160">
        <v>16</v>
      </c>
      <c r="S11" s="160">
        <v>11</v>
      </c>
      <c r="T11" s="160">
        <v>11</v>
      </c>
      <c r="U11" s="160">
        <v>11</v>
      </c>
      <c r="V11" s="160">
        <v>10</v>
      </c>
      <c r="W11" s="160">
        <v>11</v>
      </c>
      <c r="X11" s="160">
        <v>9</v>
      </c>
      <c r="Y11" s="160">
        <v>11</v>
      </c>
      <c r="Z11" s="160">
        <v>9</v>
      </c>
      <c r="AA11" s="160">
        <v>11</v>
      </c>
      <c r="AB11" s="160">
        <v>9</v>
      </c>
      <c r="AC11" s="160">
        <v>11</v>
      </c>
      <c r="AD11" s="160">
        <v>10</v>
      </c>
      <c r="AE11" s="160">
        <v>11</v>
      </c>
      <c r="AF11" s="160">
        <v>9</v>
      </c>
    </row>
    <row r="12" spans="1:33" s="146" customFormat="1" ht="31.5" customHeight="1" x14ac:dyDescent="0.25">
      <c r="A12" s="272"/>
      <c r="B12" s="273" t="s">
        <v>3075</v>
      </c>
      <c r="C12" s="274"/>
      <c r="D12" s="274"/>
      <c r="E12" s="274"/>
      <c r="F12" s="274"/>
      <c r="G12" s="274">
        <v>64</v>
      </c>
      <c r="H12" s="274">
        <v>44</v>
      </c>
      <c r="I12" s="274">
        <v>64</v>
      </c>
      <c r="J12" s="274">
        <v>44</v>
      </c>
      <c r="K12" s="274">
        <v>44</v>
      </c>
      <c r="L12" s="274">
        <v>62</v>
      </c>
      <c r="M12" s="274">
        <v>44</v>
      </c>
      <c r="N12" s="274">
        <v>60</v>
      </c>
      <c r="O12" s="274">
        <v>64</v>
      </c>
      <c r="P12" s="274">
        <v>42</v>
      </c>
      <c r="Q12" s="274">
        <v>44</v>
      </c>
      <c r="R12" s="274">
        <v>64</v>
      </c>
      <c r="S12" s="274">
        <v>44</v>
      </c>
      <c r="T12" s="274">
        <v>44</v>
      </c>
      <c r="U12" s="274">
        <v>44</v>
      </c>
      <c r="V12" s="274">
        <v>44</v>
      </c>
      <c r="W12" s="274">
        <v>44</v>
      </c>
      <c r="X12" s="274">
        <v>44</v>
      </c>
      <c r="Y12" s="274">
        <v>44</v>
      </c>
      <c r="Z12" s="274">
        <v>44</v>
      </c>
      <c r="AA12" s="274">
        <v>42</v>
      </c>
      <c r="AB12" s="274">
        <v>44</v>
      </c>
      <c r="AC12" s="274">
        <v>44</v>
      </c>
      <c r="AD12" s="274">
        <v>44</v>
      </c>
      <c r="AE12" s="274">
        <v>44</v>
      </c>
      <c r="AF12" s="274">
        <v>42</v>
      </c>
    </row>
    <row r="13" spans="1:33" s="278" customFormat="1" ht="31.5" customHeight="1" x14ac:dyDescent="0.25">
      <c r="A13" s="275"/>
      <c r="B13" s="276"/>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row>
    <row r="14" spans="1:33" s="315" customFormat="1" ht="18" x14ac:dyDescent="0.25">
      <c r="A14" s="529" t="s">
        <v>3080</v>
      </c>
      <c r="B14" s="532"/>
      <c r="C14" s="573" t="s">
        <v>3082</v>
      </c>
      <c r="D14" s="573"/>
      <c r="E14" s="573"/>
      <c r="F14" s="573"/>
      <c r="G14" s="322" t="s">
        <v>757</v>
      </c>
      <c r="H14" s="322" t="s">
        <v>759</v>
      </c>
      <c r="I14" s="322" t="s">
        <v>760</v>
      </c>
      <c r="J14" s="322" t="s">
        <v>762</v>
      </c>
      <c r="K14" s="322" t="s">
        <v>763</v>
      </c>
      <c r="L14" s="322" t="s">
        <v>765</v>
      </c>
      <c r="M14" s="322" t="s">
        <v>767</v>
      </c>
      <c r="N14" s="322" t="s">
        <v>769</v>
      </c>
      <c r="O14" s="322" t="s">
        <v>771</v>
      </c>
      <c r="P14" s="322" t="s">
        <v>773</v>
      </c>
      <c r="Q14" s="322" t="s">
        <v>774</v>
      </c>
      <c r="R14" s="322" t="s">
        <v>775</v>
      </c>
      <c r="S14" s="322" t="s">
        <v>776</v>
      </c>
      <c r="T14" s="322" t="s">
        <v>778</v>
      </c>
      <c r="U14" s="322" t="s">
        <v>779</v>
      </c>
      <c r="V14" s="322" t="s">
        <v>781</v>
      </c>
      <c r="W14" s="322" t="s">
        <v>783</v>
      </c>
      <c r="X14" s="322" t="s">
        <v>784</v>
      </c>
      <c r="Y14" s="322" t="s">
        <v>785</v>
      </c>
      <c r="Z14" s="322" t="s">
        <v>786</v>
      </c>
      <c r="AA14" s="322" t="s">
        <v>788</v>
      </c>
      <c r="AB14" s="322" t="s">
        <v>789</v>
      </c>
      <c r="AC14" s="322" t="s">
        <v>1427</v>
      </c>
      <c r="AD14" s="322" t="s">
        <v>792</v>
      </c>
      <c r="AE14" s="322" t="s">
        <v>793</v>
      </c>
      <c r="AF14" s="322" t="s">
        <v>795</v>
      </c>
    </row>
    <row r="15" spans="1:33" s="315" customFormat="1" ht="18" hidden="1" x14ac:dyDescent="0.25">
      <c r="A15" s="280"/>
      <c r="B15" s="281"/>
      <c r="C15" s="451" t="s">
        <v>1436</v>
      </c>
      <c r="D15" s="451" t="s">
        <v>1437</v>
      </c>
      <c r="E15" s="451" t="s">
        <v>1438</v>
      </c>
      <c r="F15" s="451" t="s">
        <v>1439</v>
      </c>
      <c r="G15" s="322" t="s">
        <v>757</v>
      </c>
      <c r="H15" s="322" t="s">
        <v>759</v>
      </c>
      <c r="I15" s="322" t="s">
        <v>760</v>
      </c>
      <c r="J15" s="322" t="s">
        <v>762</v>
      </c>
      <c r="K15" s="322" t="s">
        <v>763</v>
      </c>
      <c r="L15" s="322" t="s">
        <v>765</v>
      </c>
      <c r="M15" s="322" t="s">
        <v>767</v>
      </c>
      <c r="N15" s="322" t="s">
        <v>769</v>
      </c>
      <c r="O15" s="322" t="s">
        <v>771</v>
      </c>
      <c r="P15" s="322" t="s">
        <v>773</v>
      </c>
      <c r="Q15" s="322" t="s">
        <v>774</v>
      </c>
      <c r="R15" s="322" t="s">
        <v>775</v>
      </c>
      <c r="S15" s="322" t="s">
        <v>776</v>
      </c>
      <c r="T15" s="322" t="s">
        <v>778</v>
      </c>
      <c r="U15" s="322" t="s">
        <v>779</v>
      </c>
      <c r="V15" s="322" t="s">
        <v>781</v>
      </c>
      <c r="W15" s="322" t="s">
        <v>783</v>
      </c>
      <c r="X15" s="322" t="s">
        <v>784</v>
      </c>
      <c r="Y15" s="322" t="s">
        <v>785</v>
      </c>
      <c r="Z15" s="322" t="s">
        <v>786</v>
      </c>
      <c r="AA15" s="322" t="s">
        <v>788</v>
      </c>
      <c r="AB15" s="322" t="s">
        <v>789</v>
      </c>
      <c r="AC15" s="322" t="s">
        <v>1427</v>
      </c>
      <c r="AD15" s="322" t="s">
        <v>792</v>
      </c>
      <c r="AE15" s="322" t="s">
        <v>793</v>
      </c>
      <c r="AF15" s="322" t="s">
        <v>795</v>
      </c>
    </row>
    <row r="16" spans="1:33" s="331" customFormat="1" ht="31.5" customHeight="1" x14ac:dyDescent="0.25">
      <c r="A16" s="572" t="s">
        <v>3083</v>
      </c>
      <c r="B16" s="572"/>
      <c r="C16" s="328">
        <v>0.57759119999999997</v>
      </c>
      <c r="D16" s="328">
        <v>0.57985929999999997</v>
      </c>
      <c r="E16" s="328">
        <v>0.4636364</v>
      </c>
      <c r="F16" s="328">
        <v>0.69590909999999995</v>
      </c>
      <c r="G16" s="329">
        <v>0.6221875</v>
      </c>
      <c r="H16" s="330">
        <v>0.64045452999999997</v>
      </c>
      <c r="I16" s="330">
        <v>0.55874997000000004</v>
      </c>
      <c r="J16" s="330">
        <v>0.58380949999999998</v>
      </c>
      <c r="K16" s="330">
        <v>0.55023807000000002</v>
      </c>
      <c r="L16" s="330">
        <v>0.56843752000000003</v>
      </c>
      <c r="M16" s="330">
        <v>0.53909092999999997</v>
      </c>
      <c r="N16" s="330">
        <v>0.47999998999999999</v>
      </c>
      <c r="O16" s="330">
        <v>0.52812499000000002</v>
      </c>
      <c r="P16" s="330">
        <v>0.57590907999999996</v>
      </c>
      <c r="Q16" s="330">
        <v>0.505</v>
      </c>
      <c r="R16" s="330">
        <v>0.53218752000000003</v>
      </c>
      <c r="S16" s="330">
        <v>0.67863636999999999</v>
      </c>
      <c r="T16" s="330">
        <v>0.58613634000000003</v>
      </c>
      <c r="U16" s="330">
        <v>0.65681820999999996</v>
      </c>
      <c r="V16" s="330">
        <v>0.59227269999999999</v>
      </c>
      <c r="W16" s="330">
        <v>0.62272727000000005</v>
      </c>
      <c r="X16" s="330">
        <v>0.46363637000000002</v>
      </c>
      <c r="Y16" s="330">
        <v>0.50818180999999996</v>
      </c>
      <c r="Z16" s="330">
        <v>0.59431820999999996</v>
      </c>
      <c r="AA16" s="330">
        <v>0.53613639000000002</v>
      </c>
      <c r="AB16" s="330">
        <v>0.60863637999999998</v>
      </c>
      <c r="AC16" s="330">
        <v>0.60204548000000002</v>
      </c>
      <c r="AD16" s="330">
        <v>0.64818180000000003</v>
      </c>
      <c r="AE16" s="330">
        <v>0.69590907999999996</v>
      </c>
      <c r="AF16" s="330">
        <v>0.53954548000000002</v>
      </c>
    </row>
    <row r="17" spans="1:33" s="146" customFormat="1" ht="31.5" customHeight="1" x14ac:dyDescent="0.25">
      <c r="A17" s="324" t="s">
        <v>3084</v>
      </c>
      <c r="B17" s="325"/>
      <c r="C17" s="326">
        <v>0.48127330000000001</v>
      </c>
      <c r="D17" s="326">
        <v>0.47930070000000002</v>
      </c>
      <c r="E17" s="326">
        <v>0.37</v>
      </c>
      <c r="F17" s="326">
        <v>0.60181819999999997</v>
      </c>
      <c r="G17" s="327">
        <v>0.53687501000000004</v>
      </c>
      <c r="H17" s="327">
        <v>0.54545456000000003</v>
      </c>
      <c r="I17" s="327">
        <v>0.46750000000000003</v>
      </c>
      <c r="J17" s="327">
        <v>0.48416664999999998</v>
      </c>
      <c r="K17" s="327">
        <v>0.442</v>
      </c>
      <c r="L17" s="327">
        <v>0.40470588000000002</v>
      </c>
      <c r="M17" s="327">
        <v>0.46000001000000001</v>
      </c>
      <c r="N17" s="327">
        <v>0.37</v>
      </c>
      <c r="O17" s="327">
        <v>0.37687501000000001</v>
      </c>
      <c r="P17" s="327">
        <v>0.50846153999999999</v>
      </c>
      <c r="Q17" s="327">
        <v>0.42090907999999999</v>
      </c>
      <c r="R17" s="327">
        <v>0.43187499000000001</v>
      </c>
      <c r="S17" s="327">
        <v>0.59090905999999999</v>
      </c>
      <c r="T17" s="327">
        <v>0.52363634000000003</v>
      </c>
      <c r="U17" s="327">
        <v>0.48090907999999999</v>
      </c>
      <c r="V17" s="327">
        <v>0.51499998999999996</v>
      </c>
      <c r="W17" s="327">
        <v>0.54454546999999998</v>
      </c>
      <c r="X17" s="327">
        <v>0.44615385000000002</v>
      </c>
      <c r="Y17" s="327">
        <v>0.39909092000000002</v>
      </c>
      <c r="Z17" s="327">
        <v>0.49615383000000002</v>
      </c>
      <c r="AA17" s="327">
        <v>0.43909091</v>
      </c>
      <c r="AB17" s="327">
        <v>0.47769231000000001</v>
      </c>
      <c r="AC17" s="327">
        <v>0.52909088000000004</v>
      </c>
      <c r="AD17" s="327">
        <v>0.57249998999999996</v>
      </c>
      <c r="AE17" s="327">
        <v>0.60181819999999997</v>
      </c>
      <c r="AF17" s="327">
        <v>0.44769229999999999</v>
      </c>
    </row>
    <row r="18" spans="1:33" s="150" customFormat="1" ht="31.5" customHeight="1" x14ac:dyDescent="0.25">
      <c r="A18" s="149">
        <v>1</v>
      </c>
      <c r="B18" s="90" t="s">
        <v>3085</v>
      </c>
      <c r="C18" s="183">
        <v>0.48127330000000001</v>
      </c>
      <c r="D18" s="183">
        <v>0.47930070000000002</v>
      </c>
      <c r="E18" s="183">
        <v>0.37</v>
      </c>
      <c r="F18" s="183">
        <v>0.60181819999999997</v>
      </c>
      <c r="G18" s="164">
        <v>0.53687501000000004</v>
      </c>
      <c r="H18" s="164">
        <v>0.54545456000000003</v>
      </c>
      <c r="I18" s="164">
        <v>0.46750000000000003</v>
      </c>
      <c r="J18" s="164">
        <v>0.48416664999999998</v>
      </c>
      <c r="K18" s="164">
        <v>0.442</v>
      </c>
      <c r="L18" s="164">
        <v>0.40470588000000002</v>
      </c>
      <c r="M18" s="164">
        <v>0.46000001000000001</v>
      </c>
      <c r="N18" s="164">
        <v>0.37</v>
      </c>
      <c r="O18" s="164">
        <v>0.37687501000000001</v>
      </c>
      <c r="P18" s="164">
        <v>0.50846153999999999</v>
      </c>
      <c r="Q18" s="164">
        <v>0.42090907999999999</v>
      </c>
      <c r="R18" s="164">
        <v>0.43187499000000001</v>
      </c>
      <c r="S18" s="164">
        <v>0.59090905999999999</v>
      </c>
      <c r="T18" s="164">
        <v>0.52363634000000003</v>
      </c>
      <c r="U18" s="164">
        <v>0.48090907999999999</v>
      </c>
      <c r="V18" s="164">
        <v>0.51499998999999996</v>
      </c>
      <c r="W18" s="164">
        <v>0.54454546999999998</v>
      </c>
      <c r="X18" s="164">
        <v>0.44615385000000002</v>
      </c>
      <c r="Y18" s="164">
        <v>0.39909092000000002</v>
      </c>
      <c r="Z18" s="164">
        <v>0.49615383000000002</v>
      </c>
      <c r="AA18" s="164">
        <v>0.43909091</v>
      </c>
      <c r="AB18" s="164">
        <v>0.47769231000000001</v>
      </c>
      <c r="AC18" s="164">
        <v>0.52909088000000004</v>
      </c>
      <c r="AD18" s="164">
        <v>0.57249998999999996</v>
      </c>
      <c r="AE18" s="164">
        <v>0.60181819999999997</v>
      </c>
      <c r="AF18" s="164">
        <v>0.44769229999999999</v>
      </c>
    </row>
    <row r="19" spans="1:33" s="146" customFormat="1" ht="31.5" customHeight="1" x14ac:dyDescent="0.25">
      <c r="A19" s="147" t="s">
        <v>3086</v>
      </c>
      <c r="B19" s="148"/>
      <c r="C19" s="182">
        <v>0.68497149999999996</v>
      </c>
      <c r="D19" s="182">
        <v>0.67718750000000005</v>
      </c>
      <c r="E19" s="182">
        <v>0.48888890000000002</v>
      </c>
      <c r="F19" s="182">
        <v>0.83272729999999995</v>
      </c>
      <c r="G19" s="163">
        <v>0.70749998000000003</v>
      </c>
      <c r="H19" s="163">
        <v>0.73545455999999998</v>
      </c>
      <c r="I19" s="163">
        <v>0.64999998000000003</v>
      </c>
      <c r="J19" s="163">
        <v>0.71666664000000002</v>
      </c>
      <c r="K19" s="163">
        <v>0.64863634000000003</v>
      </c>
      <c r="L19" s="163">
        <v>0.75400001000000005</v>
      </c>
      <c r="M19" s="163">
        <v>0.61818181999999999</v>
      </c>
      <c r="N19" s="163">
        <v>0.62142854999999997</v>
      </c>
      <c r="O19" s="163">
        <v>0.67937499000000001</v>
      </c>
      <c r="P19" s="163">
        <v>0.67333335000000005</v>
      </c>
      <c r="Q19" s="163">
        <v>0.58909087999999998</v>
      </c>
      <c r="R19" s="163">
        <v>0.63249999000000001</v>
      </c>
      <c r="S19" s="163">
        <v>0.76636362000000002</v>
      </c>
      <c r="T19" s="163">
        <v>0.64863634000000003</v>
      </c>
      <c r="U19" s="163">
        <v>0.83272725000000003</v>
      </c>
      <c r="V19" s="163">
        <v>0.68500000000000005</v>
      </c>
      <c r="W19" s="163">
        <v>0.70090907999999996</v>
      </c>
      <c r="X19" s="163">
        <v>0.48888889000000002</v>
      </c>
      <c r="Y19" s="163">
        <v>0.61727273000000005</v>
      </c>
      <c r="Z19" s="163">
        <v>0.73611110000000002</v>
      </c>
      <c r="AA19" s="163">
        <v>0.63318180999999996</v>
      </c>
      <c r="AB19" s="163">
        <v>0.79777777000000005</v>
      </c>
      <c r="AC19" s="163">
        <v>0.67500000999999998</v>
      </c>
      <c r="AD19" s="163">
        <v>0.73900001999999998</v>
      </c>
      <c r="AE19" s="163">
        <v>0.79000002000000003</v>
      </c>
      <c r="AF19" s="163">
        <v>0.67222219999999999</v>
      </c>
    </row>
    <row r="20" spans="1:33" s="150" customFormat="1" ht="31.5" customHeight="1" x14ac:dyDescent="0.25">
      <c r="A20" s="95">
        <v>1</v>
      </c>
      <c r="B20" s="151" t="s">
        <v>3085</v>
      </c>
      <c r="C20" s="183">
        <v>0.74991010000000002</v>
      </c>
      <c r="D20" s="183">
        <v>0.74605429999999995</v>
      </c>
      <c r="E20" s="183">
        <v>0.45679009999999998</v>
      </c>
      <c r="F20" s="183">
        <v>0.92424240000000002</v>
      </c>
      <c r="G20" s="164">
        <v>0.84375</v>
      </c>
      <c r="H20" s="164">
        <v>0.80808078999999999</v>
      </c>
      <c r="I20" s="164">
        <v>0.73958330999999999</v>
      </c>
      <c r="J20" s="164">
        <v>0.82098764000000002</v>
      </c>
      <c r="K20" s="164">
        <v>0.68686866999999996</v>
      </c>
      <c r="L20" s="164">
        <v>0.85185188000000001</v>
      </c>
      <c r="M20" s="164">
        <v>0.63636362999999996</v>
      </c>
      <c r="N20" s="164">
        <v>0.71031743000000003</v>
      </c>
      <c r="O20" s="164">
        <v>0.67361110000000002</v>
      </c>
      <c r="P20" s="164">
        <v>0.67283952000000002</v>
      </c>
      <c r="Q20" s="164">
        <v>0.65656566999999999</v>
      </c>
      <c r="R20" s="164">
        <v>0.61805558000000005</v>
      </c>
      <c r="S20" s="164">
        <v>0.92424244</v>
      </c>
      <c r="T20" s="164">
        <v>0.69191921000000001</v>
      </c>
      <c r="U20" s="164">
        <v>0.87878787999999997</v>
      </c>
      <c r="V20" s="164">
        <v>0.80555558000000005</v>
      </c>
      <c r="W20" s="164">
        <v>0.75252527000000002</v>
      </c>
      <c r="X20" s="164">
        <v>0.45679012000000002</v>
      </c>
      <c r="Y20" s="164">
        <v>0.72222220999999998</v>
      </c>
      <c r="Z20" s="164">
        <v>0.84567899000000002</v>
      </c>
      <c r="AA20" s="164">
        <v>0.68181818999999999</v>
      </c>
      <c r="AB20" s="164">
        <v>0.79629629999999996</v>
      </c>
      <c r="AC20" s="164">
        <v>0.79292929000000001</v>
      </c>
      <c r="AD20" s="164">
        <v>0.87222224000000004</v>
      </c>
      <c r="AE20" s="164">
        <v>0.82323234999999995</v>
      </c>
      <c r="AF20" s="164">
        <v>0.73456787999999995</v>
      </c>
    </row>
    <row r="21" spans="1:33" s="153" customFormat="1" ht="31.5" customHeight="1" x14ac:dyDescent="0.25">
      <c r="A21" s="96">
        <v>2</v>
      </c>
      <c r="B21" s="152" t="s">
        <v>3042</v>
      </c>
      <c r="C21" s="184">
        <v>0.60873909999999998</v>
      </c>
      <c r="D21" s="184">
        <v>0.59733199999999997</v>
      </c>
      <c r="E21" s="184">
        <v>0.49407119999999999</v>
      </c>
      <c r="F21" s="184">
        <v>0.79951689999999997</v>
      </c>
      <c r="G21" s="165">
        <v>0.54755436999999996</v>
      </c>
      <c r="H21" s="165">
        <v>0.65019762999999997</v>
      </c>
      <c r="I21" s="165">
        <v>0.54483694000000005</v>
      </c>
      <c r="J21" s="165">
        <v>0.59420287999999999</v>
      </c>
      <c r="K21" s="165">
        <v>0.60375493999999996</v>
      </c>
      <c r="L21" s="165">
        <v>0.63913041000000004</v>
      </c>
      <c r="M21" s="165">
        <v>0.59683794000000001</v>
      </c>
      <c r="N21" s="165">
        <v>0.51708072000000005</v>
      </c>
      <c r="O21" s="165">
        <v>0.68614131</v>
      </c>
      <c r="P21" s="165">
        <v>0.67391305999999995</v>
      </c>
      <c r="Q21" s="165">
        <v>0.50988144000000002</v>
      </c>
      <c r="R21" s="165">
        <v>0.64945649999999999</v>
      </c>
      <c r="S21" s="165">
        <v>0.58102768999999999</v>
      </c>
      <c r="T21" s="165">
        <v>0.59782606000000005</v>
      </c>
      <c r="U21" s="165">
        <v>0.77865613</v>
      </c>
      <c r="V21" s="165">
        <v>0.54347825000000005</v>
      </c>
      <c r="W21" s="165">
        <v>0.64031618999999995</v>
      </c>
      <c r="X21" s="165">
        <v>0.52657001999999997</v>
      </c>
      <c r="Y21" s="165">
        <v>0.49407116000000001</v>
      </c>
      <c r="Z21" s="165">
        <v>0.60748791999999996</v>
      </c>
      <c r="AA21" s="165">
        <v>0.57608694000000005</v>
      </c>
      <c r="AB21" s="165">
        <v>0.79951691999999996</v>
      </c>
      <c r="AC21" s="165">
        <v>0.53656124999999999</v>
      </c>
      <c r="AD21" s="165">
        <v>0.58260869999999998</v>
      </c>
      <c r="AE21" s="165">
        <v>0.75098812999999998</v>
      </c>
      <c r="AF21" s="165">
        <v>0.59903382999999999</v>
      </c>
    </row>
    <row r="22" spans="1:33" s="119" customFormat="1" ht="31.5" customHeight="1" x14ac:dyDescent="0.25">
      <c r="A22" s="571" t="s">
        <v>3087</v>
      </c>
      <c r="B22" s="571"/>
      <c r="C22" s="180">
        <v>0.49913560000000001</v>
      </c>
      <c r="D22" s="180">
        <v>0.50013260000000004</v>
      </c>
      <c r="E22" s="180">
        <v>0.2405833</v>
      </c>
      <c r="F22" s="180">
        <v>0.7246591</v>
      </c>
      <c r="G22" s="161">
        <v>0.63484377000000003</v>
      </c>
      <c r="H22" s="162">
        <v>0.68659091000000005</v>
      </c>
      <c r="I22" s="162">
        <v>0.46187498999999999</v>
      </c>
      <c r="J22" s="162">
        <v>0.58852272999999999</v>
      </c>
      <c r="K22" s="162">
        <v>0.52420454999999999</v>
      </c>
      <c r="L22" s="162">
        <v>0.44064515999999998</v>
      </c>
      <c r="M22" s="162">
        <v>0.62238634000000004</v>
      </c>
      <c r="N22" s="162">
        <v>0.24058333000000001</v>
      </c>
      <c r="O22" s="162">
        <v>0.45937498999999998</v>
      </c>
      <c r="P22" s="162">
        <v>0.56035714999999997</v>
      </c>
      <c r="Q22" s="162">
        <v>0.46477273000000002</v>
      </c>
      <c r="R22" s="162">
        <v>0.38312500999999999</v>
      </c>
      <c r="S22" s="162">
        <v>0.72465908999999995</v>
      </c>
      <c r="T22" s="162">
        <v>0.53625</v>
      </c>
      <c r="U22" s="162">
        <v>0.52170455000000004</v>
      </c>
      <c r="V22" s="162">
        <v>0.62136363999999999</v>
      </c>
      <c r="W22" s="162">
        <v>0.54238635000000002</v>
      </c>
      <c r="X22" s="162">
        <v>0.34340908999999997</v>
      </c>
      <c r="Y22" s="162">
        <v>0.41874999000000002</v>
      </c>
      <c r="Z22" s="162">
        <v>0.49443182000000002</v>
      </c>
      <c r="AA22" s="162">
        <v>0.33202379999999998</v>
      </c>
      <c r="AB22" s="162">
        <v>0.48056817000000002</v>
      </c>
      <c r="AC22" s="162">
        <v>0.33909091000000002</v>
      </c>
      <c r="AD22" s="162">
        <v>0.67295455999999998</v>
      </c>
      <c r="AE22" s="162">
        <v>0.37681818</v>
      </c>
      <c r="AF22" s="162">
        <v>0.50583332999999997</v>
      </c>
    </row>
    <row r="23" spans="1:33" s="153" customFormat="1" ht="31.5" customHeight="1" x14ac:dyDescent="0.25">
      <c r="A23" s="149" t="s">
        <v>3044</v>
      </c>
      <c r="B23" s="151" t="s">
        <v>3045</v>
      </c>
      <c r="C23" s="183">
        <v>0.57680370000000003</v>
      </c>
      <c r="D23" s="183">
        <v>0.57287350000000004</v>
      </c>
      <c r="E23" s="183">
        <v>0.34465370000000001</v>
      </c>
      <c r="F23" s="183">
        <v>0.81368819999999997</v>
      </c>
      <c r="G23" s="166">
        <v>0.73574686</v>
      </c>
      <c r="H23" s="166">
        <v>0.76243097000000004</v>
      </c>
      <c r="I23" s="166">
        <v>0.58164448000000002</v>
      </c>
      <c r="J23" s="166">
        <v>0.66955334</v>
      </c>
      <c r="K23" s="166">
        <v>0.55728239000000002</v>
      </c>
      <c r="L23" s="166">
        <v>0.47429304999999999</v>
      </c>
      <c r="M23" s="166">
        <v>0.70377933999999998</v>
      </c>
      <c r="N23" s="166">
        <v>0.34465367000000002</v>
      </c>
      <c r="O23" s="166">
        <v>0.54081630999999997</v>
      </c>
      <c r="P23" s="166">
        <v>0.68001884000000001</v>
      </c>
      <c r="Q23" s="166">
        <v>0.53737908999999995</v>
      </c>
      <c r="R23" s="166">
        <v>0.49019607999999998</v>
      </c>
      <c r="S23" s="166">
        <v>0.81368821999999996</v>
      </c>
      <c r="T23" s="166">
        <v>0.64201450000000004</v>
      </c>
      <c r="U23" s="166">
        <v>0.64737308000000005</v>
      </c>
      <c r="V23" s="166">
        <v>0.69002693999999998</v>
      </c>
      <c r="W23" s="166">
        <v>0.60453736999999996</v>
      </c>
      <c r="X23" s="166">
        <v>0.37835418999999998</v>
      </c>
      <c r="Y23" s="166">
        <v>0.45644283000000002</v>
      </c>
      <c r="Z23" s="166">
        <v>0.55628847999999997</v>
      </c>
      <c r="AA23" s="166">
        <v>0.42119276999999999</v>
      </c>
      <c r="AB23" s="166">
        <v>0.61070108000000001</v>
      </c>
      <c r="AC23" s="166">
        <v>0.43558850999999998</v>
      </c>
      <c r="AD23" s="166">
        <v>0.74911189</v>
      </c>
      <c r="AE23" s="166">
        <v>0.34967846000000002</v>
      </c>
      <c r="AF23" s="166">
        <v>0.56410258999999996</v>
      </c>
    </row>
    <row r="24" spans="1:33" s="153" customFormat="1" ht="31.5" customHeight="1" x14ac:dyDescent="0.25">
      <c r="A24" s="154" t="s">
        <v>3046</v>
      </c>
      <c r="B24" s="152" t="s">
        <v>3088</v>
      </c>
      <c r="C24" s="184">
        <v>0.50007400000000002</v>
      </c>
      <c r="D24" s="184">
        <v>0.50467980000000001</v>
      </c>
      <c r="E24" s="184">
        <v>0.25891579999999997</v>
      </c>
      <c r="F24" s="184">
        <v>0.72033899999999995</v>
      </c>
      <c r="G24" s="249">
        <v>0.61458330999999999</v>
      </c>
      <c r="H24" s="249">
        <v>0.69253439000000006</v>
      </c>
      <c r="I24" s="249">
        <v>0.53002696999999999</v>
      </c>
      <c r="J24" s="249">
        <v>0.62190478999999999</v>
      </c>
      <c r="K24" s="249">
        <v>0.54835491999999997</v>
      </c>
      <c r="L24" s="249">
        <v>0.41568914000000001</v>
      </c>
      <c r="M24" s="249">
        <v>0.64965987000000003</v>
      </c>
      <c r="N24" s="249">
        <v>0.25891584000000001</v>
      </c>
      <c r="O24" s="249">
        <v>0.47126817999999998</v>
      </c>
      <c r="P24" s="249">
        <v>0.60141270999999996</v>
      </c>
      <c r="Q24" s="249">
        <v>0.50292397</v>
      </c>
      <c r="R24" s="249">
        <v>0.36007827999999997</v>
      </c>
      <c r="S24" s="249">
        <v>0.72033899999999995</v>
      </c>
      <c r="T24" s="249">
        <v>0.51690822999999997</v>
      </c>
      <c r="U24" s="249">
        <v>0.50643563000000003</v>
      </c>
      <c r="V24" s="249">
        <v>0.58755981999999995</v>
      </c>
      <c r="W24" s="249">
        <v>0.52116936000000003</v>
      </c>
      <c r="X24" s="249">
        <v>0.31411531999999998</v>
      </c>
      <c r="Y24" s="249">
        <v>0.44351669999999999</v>
      </c>
      <c r="Z24" s="249">
        <v>0.45551258</v>
      </c>
      <c r="AA24" s="249">
        <v>0.31419939000000002</v>
      </c>
      <c r="AB24" s="249">
        <v>0.47737983</v>
      </c>
      <c r="AC24" s="249">
        <v>0.40953307999999999</v>
      </c>
      <c r="AD24" s="249">
        <v>0.71354656999999999</v>
      </c>
      <c r="AE24" s="249">
        <v>0.34437751999999999</v>
      </c>
      <c r="AF24" s="249">
        <v>0.40997942999999998</v>
      </c>
      <c r="AG24" s="250"/>
    </row>
    <row r="25" spans="1:33" s="153" customFormat="1" ht="31.5" customHeight="1" x14ac:dyDescent="0.25">
      <c r="A25" s="149" t="s">
        <v>3050</v>
      </c>
      <c r="B25" s="151" t="s">
        <v>3089</v>
      </c>
      <c r="C25" s="183">
        <v>0.64144710000000005</v>
      </c>
      <c r="D25" s="183">
        <v>0.66054619999999997</v>
      </c>
      <c r="E25" s="183">
        <v>0.3333333</v>
      </c>
      <c r="F25" s="183">
        <v>0.8661972</v>
      </c>
      <c r="G25" s="251">
        <v>0.70799177999999996</v>
      </c>
      <c r="H25" s="251">
        <v>0.80272107999999998</v>
      </c>
      <c r="I25" s="251">
        <v>0.54535520000000004</v>
      </c>
      <c r="J25" s="251">
        <v>0.72238374000000005</v>
      </c>
      <c r="K25" s="251">
        <v>0.68902439000000004</v>
      </c>
      <c r="L25" s="251">
        <v>0.7252208</v>
      </c>
      <c r="M25" s="251">
        <v>0.70454543999999997</v>
      </c>
      <c r="N25" s="251">
        <v>0.34291579999999999</v>
      </c>
      <c r="O25" s="251">
        <v>0.63330125999999998</v>
      </c>
      <c r="P25" s="251">
        <v>0.52757078000000002</v>
      </c>
      <c r="Q25" s="251">
        <v>0.58936482999999995</v>
      </c>
      <c r="R25" s="251">
        <v>0.49353448</v>
      </c>
      <c r="S25" s="251">
        <v>0.86619716999999996</v>
      </c>
      <c r="T25" s="251">
        <v>0.79029959000000005</v>
      </c>
      <c r="U25" s="251">
        <v>0.63978493000000003</v>
      </c>
      <c r="V25" s="251">
        <v>0.75173372000000005</v>
      </c>
      <c r="W25" s="251">
        <v>0.72150068999999994</v>
      </c>
      <c r="X25" s="251">
        <v>0.42198100999999999</v>
      </c>
      <c r="Y25" s="251">
        <v>0.61006289999999996</v>
      </c>
      <c r="Z25" s="251">
        <v>0.6621418</v>
      </c>
      <c r="AA25" s="251">
        <v>0.50341064000000002</v>
      </c>
      <c r="AB25" s="251">
        <v>0.59558820999999995</v>
      </c>
      <c r="AC25" s="251">
        <v>0.33333333999999998</v>
      </c>
      <c r="AD25" s="251">
        <v>0.81679391999999995</v>
      </c>
      <c r="AE25" s="251">
        <v>0.65895062999999998</v>
      </c>
      <c r="AF25" s="251">
        <v>0.82191782999999996</v>
      </c>
      <c r="AG25" s="250"/>
    </row>
    <row r="26" spans="1:33" s="153" customFormat="1" ht="31.5" customHeight="1" x14ac:dyDescent="0.25">
      <c r="A26" s="154" t="s">
        <v>3052</v>
      </c>
      <c r="B26" s="152" t="s">
        <v>3053</v>
      </c>
      <c r="C26" s="184">
        <v>0.39070700000000003</v>
      </c>
      <c r="D26" s="184">
        <v>0.39674369999999998</v>
      </c>
      <c r="E26" s="184">
        <v>0.1049383</v>
      </c>
      <c r="F26" s="184">
        <v>0.61889249999999996</v>
      </c>
      <c r="G26" s="249">
        <v>0.47003156000000001</v>
      </c>
      <c r="H26" s="249">
        <v>0.59876543000000004</v>
      </c>
      <c r="I26" s="249">
        <v>0.27972972000000002</v>
      </c>
      <c r="J26" s="249">
        <v>0.34318182000000003</v>
      </c>
      <c r="K26" s="249">
        <v>0.42950821</v>
      </c>
      <c r="L26" s="249">
        <v>0.39211136000000002</v>
      </c>
      <c r="M26" s="249">
        <v>0.60971224000000002</v>
      </c>
      <c r="N26" s="249">
        <v>0.10493827</v>
      </c>
      <c r="O26" s="249">
        <v>0.31605350999999998</v>
      </c>
      <c r="P26" s="249">
        <v>0.45933014</v>
      </c>
      <c r="Q26" s="249">
        <v>0.35040983999999997</v>
      </c>
      <c r="R26" s="249">
        <v>0.27314814999999998</v>
      </c>
      <c r="S26" s="249">
        <v>0.61889249000000002</v>
      </c>
      <c r="T26" s="249">
        <v>0.40137615999999998</v>
      </c>
      <c r="U26" s="249">
        <v>0.43617022</v>
      </c>
      <c r="V26" s="249">
        <v>0.55392158000000002</v>
      </c>
      <c r="W26" s="249">
        <v>0.51999998000000003</v>
      </c>
      <c r="X26" s="249">
        <v>0.31497797</v>
      </c>
      <c r="Y26" s="249">
        <v>0.38833331999999998</v>
      </c>
      <c r="Z26" s="249">
        <v>0.40811965</v>
      </c>
      <c r="AA26" s="249">
        <v>0.24576271</v>
      </c>
      <c r="AB26" s="249">
        <v>0.27625569999999999</v>
      </c>
      <c r="AC26" s="249">
        <v>0.21031746000000001</v>
      </c>
      <c r="AD26" s="249">
        <v>0.48394494999999998</v>
      </c>
      <c r="AE26" s="249">
        <v>0.21338913000000001</v>
      </c>
      <c r="AF26" s="249">
        <v>0.46000001000000001</v>
      </c>
      <c r="AG26" s="250"/>
    </row>
    <row r="27" spans="1:33" s="153" customFormat="1" ht="31.5" customHeight="1" x14ac:dyDescent="0.25">
      <c r="A27" s="149" t="s">
        <v>3054</v>
      </c>
      <c r="B27" s="151" t="s">
        <v>3055</v>
      </c>
      <c r="C27" s="183">
        <v>0.37476199999999998</v>
      </c>
      <c r="D27" s="183">
        <v>0.35492240000000003</v>
      </c>
      <c r="E27" s="183">
        <v>0.11148420000000001</v>
      </c>
      <c r="F27" s="183">
        <v>0.60235070000000002</v>
      </c>
      <c r="G27" s="251">
        <v>0.56136953999999994</v>
      </c>
      <c r="H27" s="251">
        <v>0.56465118999999997</v>
      </c>
      <c r="I27" s="251">
        <v>0.29947916000000002</v>
      </c>
      <c r="J27" s="251">
        <v>0.49244445999999997</v>
      </c>
      <c r="K27" s="251">
        <v>0.41293531999999999</v>
      </c>
      <c r="L27" s="251">
        <v>0.25017868999999998</v>
      </c>
      <c r="M27" s="251">
        <v>0.47334557999999999</v>
      </c>
      <c r="N27" s="251">
        <v>0.11148421</v>
      </c>
      <c r="O27" s="251">
        <v>0.30943626000000002</v>
      </c>
      <c r="P27" s="251">
        <v>0.46270066999999998</v>
      </c>
      <c r="Q27" s="251">
        <v>0.32462686000000002</v>
      </c>
      <c r="R27" s="251">
        <v>0.27363184000000002</v>
      </c>
      <c r="S27" s="251">
        <v>0.60235064999999999</v>
      </c>
      <c r="T27" s="251">
        <v>0.34458259000000002</v>
      </c>
      <c r="U27" s="251">
        <v>0.35707504000000001</v>
      </c>
      <c r="V27" s="251">
        <v>0.52470797000000002</v>
      </c>
      <c r="W27" s="251">
        <v>0.38808838000000001</v>
      </c>
      <c r="X27" s="251">
        <v>0.29308757000000002</v>
      </c>
      <c r="Y27" s="251">
        <v>0.25574713999999998</v>
      </c>
      <c r="Z27" s="251">
        <v>0.40255010000000002</v>
      </c>
      <c r="AA27" s="251">
        <v>0.19002822</v>
      </c>
      <c r="AB27" s="251">
        <v>0.36939314000000001</v>
      </c>
      <c r="AC27" s="251">
        <v>0.24036697000000001</v>
      </c>
      <c r="AD27" s="251">
        <v>0.54732144000000005</v>
      </c>
      <c r="AE27" s="251">
        <v>0.33945840999999999</v>
      </c>
      <c r="AF27" s="251">
        <v>0.35276966999999998</v>
      </c>
      <c r="AG27" s="250"/>
    </row>
    <row r="28" spans="1:33" s="146" customFormat="1" ht="31.5" customHeight="1" x14ac:dyDescent="0.25">
      <c r="A28" s="147" t="s">
        <v>3090</v>
      </c>
      <c r="B28" s="148"/>
      <c r="C28" s="182">
        <v>0.54696829999999996</v>
      </c>
      <c r="D28" s="182">
        <v>0.51724999999999999</v>
      </c>
      <c r="E28" s="182">
        <v>0.24</v>
      </c>
      <c r="F28" s="182">
        <v>0.80500000000000005</v>
      </c>
      <c r="G28" s="163">
        <v>0.52777779000000002</v>
      </c>
      <c r="H28" s="163">
        <v>0.80500000999999999</v>
      </c>
      <c r="I28" s="163">
        <v>0.59454547999999996</v>
      </c>
      <c r="J28" s="163">
        <v>0.61714285999999996</v>
      </c>
      <c r="K28" s="163">
        <v>0.72874998999999996</v>
      </c>
      <c r="L28" s="163">
        <v>0.48909091999999998</v>
      </c>
      <c r="M28" s="163">
        <v>0.71428572999999995</v>
      </c>
      <c r="N28" s="163">
        <v>0.24166666000000001</v>
      </c>
      <c r="O28" s="163">
        <v>0.49375001000000002</v>
      </c>
      <c r="P28" s="163">
        <v>0.74199998</v>
      </c>
      <c r="Q28" s="163">
        <v>0.42857142999999998</v>
      </c>
      <c r="R28" s="163">
        <v>0.33666667</v>
      </c>
      <c r="S28" s="163">
        <v>0.80000000999999998</v>
      </c>
      <c r="T28" s="163">
        <v>0.75</v>
      </c>
      <c r="U28" s="163">
        <v>0.50199996999999996</v>
      </c>
      <c r="V28" s="163">
        <v>0.71249998000000003</v>
      </c>
      <c r="W28" s="163">
        <v>0.60250002000000003</v>
      </c>
      <c r="X28" s="163">
        <v>0.40400001000000002</v>
      </c>
      <c r="Y28" s="163">
        <v>0.51249999000000002</v>
      </c>
      <c r="Z28" s="163">
        <v>0.49833333000000002</v>
      </c>
      <c r="AA28" s="163">
        <v>0.39166667999999999</v>
      </c>
      <c r="AB28" s="163">
        <v>0.47166666000000002</v>
      </c>
      <c r="AC28" s="163">
        <v>0.23999999</v>
      </c>
      <c r="AD28" s="163">
        <v>0.69142853999999998</v>
      </c>
      <c r="AE28" s="163">
        <v>0.40333333999999998</v>
      </c>
      <c r="AF28" s="163">
        <v>0.52200000999999996</v>
      </c>
    </row>
    <row r="29" spans="1:33" s="153" customFormat="1" ht="31.5" customHeight="1" x14ac:dyDescent="0.25">
      <c r="A29" s="149" t="s">
        <v>3044</v>
      </c>
      <c r="B29" s="151" t="s">
        <v>3045</v>
      </c>
      <c r="C29" s="183">
        <v>0.69114200000000003</v>
      </c>
      <c r="D29" s="183">
        <v>0.70740740000000002</v>
      </c>
      <c r="E29" s="183">
        <v>0.22222220000000001</v>
      </c>
      <c r="F29" s="183">
        <v>0.95555559999999995</v>
      </c>
      <c r="G29" s="166">
        <v>0.65432100999999998</v>
      </c>
      <c r="H29" s="164">
        <v>0.94444441999999995</v>
      </c>
      <c r="I29" s="164">
        <v>0.82828283000000003</v>
      </c>
      <c r="J29" s="164">
        <v>0.77777779000000002</v>
      </c>
      <c r="K29" s="164">
        <v>0.84722220999999998</v>
      </c>
      <c r="L29" s="164">
        <v>0.57575756</v>
      </c>
      <c r="M29" s="164">
        <v>0.76190477999999995</v>
      </c>
      <c r="N29" s="164">
        <v>0.35185185000000002</v>
      </c>
      <c r="O29" s="164">
        <v>0.68055558000000005</v>
      </c>
      <c r="P29" s="164">
        <v>0.95555555999999997</v>
      </c>
      <c r="Q29" s="164">
        <v>0.61904764000000001</v>
      </c>
      <c r="R29" s="164">
        <v>0.58024693000000005</v>
      </c>
      <c r="S29" s="164">
        <v>0.875</v>
      </c>
      <c r="T29" s="164">
        <v>0.94444441999999995</v>
      </c>
      <c r="U29" s="164">
        <v>0.71111113000000004</v>
      </c>
      <c r="V29" s="164">
        <v>0.91666669000000001</v>
      </c>
      <c r="W29" s="164">
        <v>0.75</v>
      </c>
      <c r="X29" s="164">
        <v>0.40000001000000002</v>
      </c>
      <c r="Y29" s="164">
        <v>0.58333330999999999</v>
      </c>
      <c r="Z29" s="164">
        <v>0.64814811999999999</v>
      </c>
      <c r="AA29" s="164">
        <v>0.51851851000000004</v>
      </c>
      <c r="AB29" s="164">
        <v>0.70370370000000004</v>
      </c>
      <c r="AC29" s="164">
        <v>0.22222222</v>
      </c>
      <c r="AD29" s="164">
        <v>0.90476190999999995</v>
      </c>
      <c r="AE29" s="164">
        <v>0.37037036000000001</v>
      </c>
      <c r="AF29" s="164">
        <v>0.84444445000000001</v>
      </c>
    </row>
    <row r="30" spans="1:33" s="153" customFormat="1" ht="31.5" customHeight="1" x14ac:dyDescent="0.25">
      <c r="A30" s="154" t="s">
        <v>3046</v>
      </c>
      <c r="B30" s="152" t="s">
        <v>3088</v>
      </c>
      <c r="C30" s="184">
        <v>0.60286919999999999</v>
      </c>
      <c r="D30" s="184">
        <v>0.60578509999999997</v>
      </c>
      <c r="E30" s="184">
        <v>0.27272730000000001</v>
      </c>
      <c r="F30" s="184">
        <v>0.875</v>
      </c>
      <c r="G30" s="167">
        <v>0.61616163999999995</v>
      </c>
      <c r="H30" s="165">
        <v>0.84090905999999999</v>
      </c>
      <c r="I30" s="165">
        <v>0.74380164999999998</v>
      </c>
      <c r="J30" s="165">
        <v>0.68831169999999997</v>
      </c>
      <c r="K30" s="165">
        <v>0.76136362999999996</v>
      </c>
      <c r="L30" s="165">
        <v>0.61157024000000004</v>
      </c>
      <c r="M30" s="165">
        <v>0.74025976999999998</v>
      </c>
      <c r="N30" s="165">
        <v>0.30303031000000002</v>
      </c>
      <c r="O30" s="165">
        <v>0.56818181000000001</v>
      </c>
      <c r="P30" s="165">
        <v>0.74545455000000005</v>
      </c>
      <c r="Q30" s="165">
        <v>0.48051947</v>
      </c>
      <c r="R30" s="165">
        <v>0.34343433000000001</v>
      </c>
      <c r="S30" s="165">
        <v>0.875</v>
      </c>
      <c r="T30" s="165">
        <v>0.81818181000000001</v>
      </c>
      <c r="U30" s="165">
        <v>0.52727270000000004</v>
      </c>
      <c r="V30" s="165">
        <v>0.75</v>
      </c>
      <c r="W30" s="165">
        <v>0.69318181000000001</v>
      </c>
      <c r="X30" s="165">
        <v>0.50909090000000001</v>
      </c>
      <c r="Y30" s="165">
        <v>0.5</v>
      </c>
      <c r="Z30" s="165">
        <v>0.56060606000000002</v>
      </c>
      <c r="AA30" s="165">
        <v>0.46969696999999999</v>
      </c>
      <c r="AB30" s="165">
        <v>0.51515149999999998</v>
      </c>
      <c r="AC30" s="165">
        <v>0.27272728000000002</v>
      </c>
      <c r="AD30" s="165">
        <v>0.70129870999999999</v>
      </c>
      <c r="AE30" s="165">
        <v>0.43939393999999998</v>
      </c>
      <c r="AF30" s="165">
        <v>0.60000001999999997</v>
      </c>
    </row>
    <row r="31" spans="1:33" s="153" customFormat="1" ht="31.5" customHeight="1" x14ac:dyDescent="0.25">
      <c r="A31" s="149" t="s">
        <v>3050</v>
      </c>
      <c r="B31" s="151" t="s">
        <v>3089</v>
      </c>
      <c r="C31" s="183">
        <v>0.74017860000000002</v>
      </c>
      <c r="D31" s="183">
        <v>0.72727269999999999</v>
      </c>
      <c r="E31" s="183">
        <v>0.4166667</v>
      </c>
      <c r="F31" s="183">
        <v>1</v>
      </c>
      <c r="G31" s="166">
        <v>0.5</v>
      </c>
      <c r="H31" s="164">
        <v>0.9375</v>
      </c>
      <c r="I31" s="164">
        <v>0.70454543999999997</v>
      </c>
      <c r="J31" s="164">
        <v>0.78571427000000005</v>
      </c>
      <c r="K31" s="164">
        <v>0.96875</v>
      </c>
      <c r="L31" s="164">
        <v>0.79545456000000003</v>
      </c>
      <c r="M31" s="164">
        <v>0.89285713</v>
      </c>
      <c r="N31" s="164">
        <v>0.5</v>
      </c>
      <c r="O31" s="164">
        <v>0.6875</v>
      </c>
      <c r="P31" s="164">
        <v>1</v>
      </c>
      <c r="Q31" s="164">
        <v>0.53571427000000005</v>
      </c>
      <c r="R31" s="164">
        <v>0.41666666000000002</v>
      </c>
      <c r="S31" s="164">
        <v>0.96875</v>
      </c>
      <c r="T31" s="164">
        <v>1</v>
      </c>
      <c r="U31" s="164">
        <v>0.64999998000000003</v>
      </c>
      <c r="V31" s="164">
        <v>0.9375</v>
      </c>
      <c r="W31" s="164">
        <v>0.75</v>
      </c>
      <c r="X31" s="164">
        <v>0.60000001999999997</v>
      </c>
      <c r="Y31" s="164">
        <v>0.6875</v>
      </c>
      <c r="Z31" s="164">
        <v>0.625</v>
      </c>
      <c r="AA31" s="164">
        <v>0.45833333999999998</v>
      </c>
      <c r="AB31" s="164">
        <v>0.83333330999999999</v>
      </c>
      <c r="AC31" s="164">
        <v>0.625</v>
      </c>
      <c r="AD31" s="164">
        <v>0.89285713</v>
      </c>
      <c r="AE31" s="164">
        <v>0.79166669000000001</v>
      </c>
      <c r="AF31" s="164">
        <v>0.69999999000000002</v>
      </c>
    </row>
    <row r="32" spans="1:33" s="153" customFormat="1" ht="31.5" customHeight="1" x14ac:dyDescent="0.25">
      <c r="A32" s="154" t="s">
        <v>3052</v>
      </c>
      <c r="B32" s="152" t="s">
        <v>3053</v>
      </c>
      <c r="C32" s="184">
        <v>0.37060080000000001</v>
      </c>
      <c r="D32" s="184">
        <v>0.36</v>
      </c>
      <c r="E32" s="184">
        <v>0</v>
      </c>
      <c r="F32" s="184">
        <v>0.8</v>
      </c>
      <c r="G32" s="167">
        <v>0.36666666999999997</v>
      </c>
      <c r="H32" s="165">
        <v>0.67500000999999998</v>
      </c>
      <c r="I32" s="165">
        <v>0.29090907999999999</v>
      </c>
      <c r="J32" s="165">
        <v>0.37142858000000001</v>
      </c>
      <c r="K32" s="165">
        <v>0.5625</v>
      </c>
      <c r="L32" s="165">
        <v>0.27272728000000002</v>
      </c>
      <c r="M32" s="165">
        <v>0.61428570999999998</v>
      </c>
      <c r="N32" s="165">
        <v>0</v>
      </c>
      <c r="O32" s="165">
        <v>0.26249999000000002</v>
      </c>
      <c r="P32" s="165">
        <v>0.46000001000000001</v>
      </c>
      <c r="Q32" s="165">
        <v>0.24285714</v>
      </c>
      <c r="R32" s="165">
        <v>0.22222222</v>
      </c>
      <c r="S32" s="165">
        <v>0.80000000999999998</v>
      </c>
      <c r="T32" s="165">
        <v>0.64999998000000003</v>
      </c>
      <c r="U32" s="165">
        <v>0.36000000999999998</v>
      </c>
      <c r="V32" s="165">
        <v>0.52499998000000003</v>
      </c>
      <c r="W32" s="165">
        <v>0.44999999000000002</v>
      </c>
      <c r="X32" s="165">
        <v>0.34</v>
      </c>
      <c r="Y32" s="165">
        <v>0.47499998999999998</v>
      </c>
      <c r="Z32" s="165">
        <v>0.26666667999999999</v>
      </c>
      <c r="AA32" s="165">
        <v>0.33333333999999998</v>
      </c>
      <c r="AB32" s="165">
        <v>8.3333340000000006E-2</v>
      </c>
      <c r="AC32" s="165">
        <v>2.5000000000000001E-2</v>
      </c>
      <c r="AD32" s="165">
        <v>0.44285714999999998</v>
      </c>
      <c r="AE32" s="165">
        <v>0.18333334000000001</v>
      </c>
      <c r="AF32" s="165">
        <v>0.36000000999999998</v>
      </c>
    </row>
    <row r="33" spans="1:32" s="153" customFormat="1" ht="31.5" customHeight="1" x14ac:dyDescent="0.25">
      <c r="A33" s="149" t="s">
        <v>3054</v>
      </c>
      <c r="B33" s="151" t="s">
        <v>3055</v>
      </c>
      <c r="C33" s="183">
        <v>0.33887820000000002</v>
      </c>
      <c r="D33" s="183">
        <v>0.33750000000000002</v>
      </c>
      <c r="E33" s="183">
        <v>0.05</v>
      </c>
      <c r="F33" s="183">
        <v>0.63749999999999996</v>
      </c>
      <c r="G33" s="166">
        <v>0.50555556999999995</v>
      </c>
      <c r="H33" s="164">
        <v>0.63749999000000002</v>
      </c>
      <c r="I33" s="164">
        <v>0.41363635999999998</v>
      </c>
      <c r="J33" s="164">
        <v>0.47142856999999999</v>
      </c>
      <c r="K33" s="164">
        <v>0.51249999000000002</v>
      </c>
      <c r="L33" s="164">
        <v>0.18636364</v>
      </c>
      <c r="M33" s="164">
        <v>0.5642857</v>
      </c>
      <c r="N33" s="164">
        <v>5.8333330000000003E-2</v>
      </c>
      <c r="O33" s="164">
        <v>0.28125</v>
      </c>
      <c r="P33" s="164">
        <v>0.56999999000000001</v>
      </c>
      <c r="Q33" s="164">
        <v>0.27857143000000001</v>
      </c>
      <c r="R33" s="164">
        <v>0.14444445</v>
      </c>
      <c r="S33" s="164">
        <v>0.48124999000000002</v>
      </c>
      <c r="T33" s="164">
        <v>0.34999998999999998</v>
      </c>
      <c r="U33" s="164">
        <v>0.28000000000000003</v>
      </c>
      <c r="V33" s="164">
        <v>0.44999999000000002</v>
      </c>
      <c r="W33" s="164">
        <v>0.375</v>
      </c>
      <c r="X33" s="164">
        <v>0.16</v>
      </c>
      <c r="Y33" s="164">
        <v>0.32499999000000002</v>
      </c>
      <c r="Z33" s="164">
        <v>0.40000001000000002</v>
      </c>
      <c r="AA33" s="164">
        <v>0.18333334000000001</v>
      </c>
      <c r="AB33" s="164">
        <v>0.24166666000000001</v>
      </c>
      <c r="AC33" s="164">
        <v>0.05</v>
      </c>
      <c r="AD33" s="164">
        <v>0.53571427000000005</v>
      </c>
      <c r="AE33" s="164">
        <v>0.22499999000000001</v>
      </c>
      <c r="AF33" s="164">
        <v>0.13</v>
      </c>
    </row>
    <row r="34" spans="1:32" s="146" customFormat="1" ht="31.5" customHeight="1" x14ac:dyDescent="0.25">
      <c r="A34" s="147" t="s">
        <v>3091</v>
      </c>
      <c r="B34" s="148"/>
      <c r="C34" s="182">
        <v>0.49821929999999998</v>
      </c>
      <c r="D34" s="182">
        <v>0.505</v>
      </c>
      <c r="E34" s="182">
        <v>0.18545449999999999</v>
      </c>
      <c r="F34" s="182">
        <v>0.69874999999999998</v>
      </c>
      <c r="G34" s="163">
        <v>0.54624998999999996</v>
      </c>
      <c r="H34" s="163">
        <v>0.57999997999999997</v>
      </c>
      <c r="I34" s="163">
        <v>0.52399998999999997</v>
      </c>
      <c r="J34" s="163">
        <v>0.5</v>
      </c>
      <c r="K34" s="163">
        <v>0.60500001999999997</v>
      </c>
      <c r="L34" s="163">
        <v>0.47666666000000002</v>
      </c>
      <c r="M34" s="163">
        <v>0.67000002000000003</v>
      </c>
      <c r="N34" s="163">
        <v>0.18545455</v>
      </c>
      <c r="O34" s="163">
        <v>0.44999999000000002</v>
      </c>
      <c r="P34" s="163">
        <v>0.60000001999999997</v>
      </c>
      <c r="Q34" s="163">
        <v>0.50166666999999998</v>
      </c>
      <c r="R34" s="163">
        <v>0.41181817999999998</v>
      </c>
      <c r="S34" s="163">
        <v>0.69875001999999997</v>
      </c>
      <c r="T34" s="163">
        <v>0.54000002000000003</v>
      </c>
      <c r="U34" s="163">
        <v>0.52999996999999999</v>
      </c>
      <c r="V34" s="163">
        <v>0.63499998999999996</v>
      </c>
      <c r="W34" s="163">
        <v>0.58399999000000002</v>
      </c>
      <c r="X34" s="163">
        <v>0.38666666</v>
      </c>
      <c r="Y34" s="163">
        <v>0.44800001</v>
      </c>
      <c r="Z34" s="163">
        <v>0.50833333000000003</v>
      </c>
      <c r="AA34" s="163">
        <v>0.3075</v>
      </c>
      <c r="AB34" s="163">
        <v>0.30333334000000001</v>
      </c>
      <c r="AC34" s="163">
        <v>0.39250001000000001</v>
      </c>
      <c r="AD34" s="163">
        <v>0.67142855999999995</v>
      </c>
      <c r="AE34" s="163">
        <v>0.41333333</v>
      </c>
      <c r="AF34" s="163">
        <v>0.48399999999999999</v>
      </c>
    </row>
    <row r="35" spans="1:32" s="153" customFormat="1" ht="31.5" customHeight="1" x14ac:dyDescent="0.25">
      <c r="A35" s="149" t="s">
        <v>3044</v>
      </c>
      <c r="B35" s="151" t="s">
        <v>3045</v>
      </c>
      <c r="C35" s="183">
        <v>0.63624899999999995</v>
      </c>
      <c r="D35" s="183">
        <v>0.63768119999999995</v>
      </c>
      <c r="E35" s="183">
        <v>0.31620549999999997</v>
      </c>
      <c r="F35" s="183">
        <v>0.86335399999999995</v>
      </c>
      <c r="G35" s="166">
        <v>0.66304350000000001</v>
      </c>
      <c r="H35" s="164">
        <v>0.75776398</v>
      </c>
      <c r="I35" s="164">
        <v>0.70434785</v>
      </c>
      <c r="J35" s="164">
        <v>0.76521735999999996</v>
      </c>
      <c r="K35" s="164">
        <v>0.65652173999999996</v>
      </c>
      <c r="L35" s="164">
        <v>0.61352658000000004</v>
      </c>
      <c r="M35" s="164">
        <v>0.75155282000000001</v>
      </c>
      <c r="N35" s="164">
        <v>0.31620553000000001</v>
      </c>
      <c r="O35" s="164">
        <v>0.55797099999999999</v>
      </c>
      <c r="P35" s="164">
        <v>0.76811594000000005</v>
      </c>
      <c r="Q35" s="164">
        <v>0.62318837999999999</v>
      </c>
      <c r="R35" s="164">
        <v>0.58893280999999997</v>
      </c>
      <c r="S35" s="164">
        <v>0.82608694000000005</v>
      </c>
      <c r="T35" s="164">
        <v>0.70186335</v>
      </c>
      <c r="U35" s="164">
        <v>0.69565219</v>
      </c>
      <c r="V35" s="164">
        <v>0.74637681</v>
      </c>
      <c r="W35" s="164">
        <v>0.65217393999999995</v>
      </c>
      <c r="X35" s="164">
        <v>0.47826087</v>
      </c>
      <c r="Y35" s="164">
        <v>0.47391304000000001</v>
      </c>
      <c r="Z35" s="164">
        <v>0.62318837999999999</v>
      </c>
      <c r="AA35" s="164">
        <v>0.52173913000000005</v>
      </c>
      <c r="AB35" s="164">
        <v>0.51449275000000005</v>
      </c>
      <c r="AC35" s="164">
        <v>0.59782606000000005</v>
      </c>
      <c r="AD35" s="164">
        <v>0.86335402999999999</v>
      </c>
      <c r="AE35" s="164">
        <v>0.50724638</v>
      </c>
      <c r="AF35" s="164">
        <v>0.57391303999999999</v>
      </c>
    </row>
    <row r="36" spans="1:32" s="153" customFormat="1" ht="31.5" customHeight="1" x14ac:dyDescent="0.25">
      <c r="A36" s="154" t="s">
        <v>3046</v>
      </c>
      <c r="B36" s="152" t="s">
        <v>3088</v>
      </c>
      <c r="C36" s="184">
        <v>0.53043879999999999</v>
      </c>
      <c r="D36" s="184">
        <v>0.55381939999999996</v>
      </c>
      <c r="E36" s="184">
        <v>0.25</v>
      </c>
      <c r="F36" s="184">
        <v>0.73958330000000005</v>
      </c>
      <c r="G36" s="167">
        <v>0.55208330999999999</v>
      </c>
      <c r="H36" s="165">
        <v>0.63095235999999999</v>
      </c>
      <c r="I36" s="165">
        <v>0.65833335999999998</v>
      </c>
      <c r="J36" s="165">
        <v>0.66666669000000001</v>
      </c>
      <c r="K36" s="165">
        <v>0.625</v>
      </c>
      <c r="L36" s="165">
        <v>0.46296295999999998</v>
      </c>
      <c r="M36" s="165">
        <v>0.69047617999999999</v>
      </c>
      <c r="N36" s="165">
        <v>0.28787878</v>
      </c>
      <c r="O36" s="165">
        <v>0.44444444999999999</v>
      </c>
      <c r="P36" s="165">
        <v>0.68055558000000005</v>
      </c>
      <c r="Q36" s="165">
        <v>0.55555558000000005</v>
      </c>
      <c r="R36" s="165">
        <v>0.47727271999999998</v>
      </c>
      <c r="S36" s="165">
        <v>0.73958330999999999</v>
      </c>
      <c r="T36" s="165">
        <v>0.61904764000000001</v>
      </c>
      <c r="U36" s="165">
        <v>0.63333333000000003</v>
      </c>
      <c r="V36" s="165">
        <v>0.59722220999999998</v>
      </c>
      <c r="W36" s="165">
        <v>0.60000001999999997</v>
      </c>
      <c r="X36" s="165">
        <v>0.25</v>
      </c>
      <c r="Y36" s="165">
        <v>0.48333332000000001</v>
      </c>
      <c r="Z36" s="165">
        <v>0.48611110000000002</v>
      </c>
      <c r="AA36" s="165">
        <v>0.33333333999999998</v>
      </c>
      <c r="AB36" s="165">
        <v>0.375</v>
      </c>
      <c r="AC36" s="165">
        <v>0.39583333999999998</v>
      </c>
      <c r="AD36" s="165">
        <v>0.73809522000000005</v>
      </c>
      <c r="AE36" s="165">
        <v>0.45833333999999998</v>
      </c>
      <c r="AF36" s="165">
        <v>0.34999998999999998</v>
      </c>
    </row>
    <row r="37" spans="1:32" s="153" customFormat="1" ht="31.5" customHeight="1" x14ac:dyDescent="0.25">
      <c r="A37" s="149" t="s">
        <v>3050</v>
      </c>
      <c r="B37" s="151" t="s">
        <v>3089</v>
      </c>
      <c r="C37" s="183">
        <v>0.67706200000000005</v>
      </c>
      <c r="D37" s="183">
        <v>0.67500000000000004</v>
      </c>
      <c r="E37" s="183">
        <v>0.15151519999999999</v>
      </c>
      <c r="F37" s="183">
        <v>0.97916669999999995</v>
      </c>
      <c r="G37" s="166">
        <v>0.58333330999999999</v>
      </c>
      <c r="H37" s="164">
        <v>0.64285713</v>
      </c>
      <c r="I37" s="164">
        <v>0.58333330999999999</v>
      </c>
      <c r="J37" s="164">
        <v>0.56666665999999999</v>
      </c>
      <c r="K37" s="164">
        <v>0.88333333000000003</v>
      </c>
      <c r="L37" s="164">
        <v>0.81481481</v>
      </c>
      <c r="M37" s="164">
        <v>0.92857140000000005</v>
      </c>
      <c r="N37" s="164">
        <v>0.15151516000000001</v>
      </c>
      <c r="O37" s="164">
        <v>0.61111110000000002</v>
      </c>
      <c r="P37" s="164">
        <v>0.69444441999999995</v>
      </c>
      <c r="Q37" s="164">
        <v>0.75</v>
      </c>
      <c r="R37" s="164">
        <v>0.62121212000000003</v>
      </c>
      <c r="S37" s="164">
        <v>0.97916669000000001</v>
      </c>
      <c r="T37" s="164">
        <v>0.83333330999999999</v>
      </c>
      <c r="U37" s="164">
        <v>0.66666669000000001</v>
      </c>
      <c r="V37" s="164">
        <v>0.77777779000000002</v>
      </c>
      <c r="W37" s="164">
        <v>0.86666666999999997</v>
      </c>
      <c r="X37" s="164">
        <v>0.55555558000000005</v>
      </c>
      <c r="Y37" s="164">
        <v>0.68333334000000001</v>
      </c>
      <c r="Z37" s="164">
        <v>0.80555558000000005</v>
      </c>
      <c r="AA37" s="164">
        <v>0.45833333999999998</v>
      </c>
      <c r="AB37" s="164">
        <v>0.30555555000000001</v>
      </c>
      <c r="AC37" s="164">
        <v>0.58333330999999999</v>
      </c>
      <c r="AD37" s="164">
        <v>0.85714287</v>
      </c>
      <c r="AE37" s="164">
        <v>0.5</v>
      </c>
      <c r="AF37" s="164">
        <v>0.89999998000000003</v>
      </c>
    </row>
    <row r="38" spans="1:32" s="153" customFormat="1" ht="31.5" customHeight="1" x14ac:dyDescent="0.25">
      <c r="A38" s="154" t="s">
        <v>3052</v>
      </c>
      <c r="B38" s="152" t="s">
        <v>3053</v>
      </c>
      <c r="C38" s="184">
        <v>0.37564069999999999</v>
      </c>
      <c r="D38" s="184">
        <v>0.4037037</v>
      </c>
      <c r="E38" s="184">
        <v>3.0303E-2</v>
      </c>
      <c r="F38" s="184">
        <v>0.61111110000000002</v>
      </c>
      <c r="G38" s="167">
        <v>0.51388889999999998</v>
      </c>
      <c r="H38" s="165">
        <v>0.50793653999999999</v>
      </c>
      <c r="I38" s="165">
        <v>0.36666666999999997</v>
      </c>
      <c r="J38" s="165">
        <v>8.8888889999999998E-2</v>
      </c>
      <c r="K38" s="165">
        <v>0.48888889000000002</v>
      </c>
      <c r="L38" s="165">
        <v>0.43209878000000002</v>
      </c>
      <c r="M38" s="165">
        <v>0.60317463000000004</v>
      </c>
      <c r="N38" s="165">
        <v>3.0303030000000002E-2</v>
      </c>
      <c r="O38" s="165">
        <v>0.24074075</v>
      </c>
      <c r="P38" s="165">
        <v>0.5</v>
      </c>
      <c r="Q38" s="165">
        <v>0.37037036000000001</v>
      </c>
      <c r="R38" s="165">
        <v>0.28282826999999999</v>
      </c>
      <c r="S38" s="165">
        <v>0.54166669000000001</v>
      </c>
      <c r="T38" s="165">
        <v>0.38095238999999997</v>
      </c>
      <c r="U38" s="165">
        <v>0.2888889</v>
      </c>
      <c r="V38" s="165">
        <v>0.61111110000000002</v>
      </c>
      <c r="W38" s="165">
        <v>0.51111114000000002</v>
      </c>
      <c r="X38" s="165">
        <v>0.40740739999999998</v>
      </c>
      <c r="Y38" s="165">
        <v>0.44444444999999999</v>
      </c>
      <c r="Z38" s="165">
        <v>0.46296295999999998</v>
      </c>
      <c r="AA38" s="165">
        <v>0.13888890000000001</v>
      </c>
      <c r="AB38" s="165">
        <v>0.11111111</v>
      </c>
      <c r="AC38" s="165">
        <v>0.22222222</v>
      </c>
      <c r="AD38" s="165">
        <v>0.52380954999999996</v>
      </c>
      <c r="AE38" s="165">
        <v>0.29629630000000001</v>
      </c>
      <c r="AF38" s="165">
        <v>0.40000001000000002</v>
      </c>
    </row>
    <row r="39" spans="1:32" s="153" customFormat="1" ht="31.5" customHeight="1" x14ac:dyDescent="0.25">
      <c r="A39" s="149" t="s">
        <v>3054</v>
      </c>
      <c r="B39" s="151" t="s">
        <v>3055</v>
      </c>
      <c r="C39" s="183">
        <v>0.32919100000000001</v>
      </c>
      <c r="D39" s="183">
        <v>0.34057969999999999</v>
      </c>
      <c r="E39" s="183">
        <v>8.6956500000000006E-2</v>
      </c>
      <c r="F39" s="183">
        <v>0.50724639999999999</v>
      </c>
      <c r="G39" s="166">
        <v>0.42934781</v>
      </c>
      <c r="H39" s="164">
        <v>0.37267080000000002</v>
      </c>
      <c r="I39" s="164">
        <v>0.29565217999999999</v>
      </c>
      <c r="J39" s="164">
        <v>0.34782608999999998</v>
      </c>
      <c r="K39" s="164">
        <v>0.47826087</v>
      </c>
      <c r="L39" s="164">
        <v>0.21256038999999999</v>
      </c>
      <c r="M39" s="164">
        <v>0.48447203999999999</v>
      </c>
      <c r="N39" s="164">
        <v>8.6956519999999995E-2</v>
      </c>
      <c r="O39" s="164">
        <v>0.42753622000000002</v>
      </c>
      <c r="P39" s="164">
        <v>0.37681158999999997</v>
      </c>
      <c r="Q39" s="164">
        <v>0.29710143999999999</v>
      </c>
      <c r="R39" s="164">
        <v>0.15810277</v>
      </c>
      <c r="S39" s="164">
        <v>0.50543481000000001</v>
      </c>
      <c r="T39" s="164">
        <v>0.26708074999999998</v>
      </c>
      <c r="U39" s="164">
        <v>0.37391305000000002</v>
      </c>
      <c r="V39" s="164">
        <v>0.50724638</v>
      </c>
      <c r="W39" s="164">
        <v>0.40869564000000003</v>
      </c>
      <c r="X39" s="164">
        <v>0.33333333999999998</v>
      </c>
      <c r="Y39" s="164">
        <v>0.26521739</v>
      </c>
      <c r="Z39" s="164">
        <v>0.29710143999999999</v>
      </c>
      <c r="AA39" s="164">
        <v>0.11956522</v>
      </c>
      <c r="AB39" s="164">
        <v>0.16666666999999999</v>
      </c>
      <c r="AC39" s="164">
        <v>0.21739130000000001</v>
      </c>
      <c r="AD39" s="164">
        <v>0.42857142999999998</v>
      </c>
      <c r="AE39" s="164">
        <v>0.31884058999999998</v>
      </c>
      <c r="AF39" s="164">
        <v>0.38260867999999998</v>
      </c>
    </row>
    <row r="40" spans="1:32" s="146" customFormat="1" ht="31.5" customHeight="1" x14ac:dyDescent="0.25">
      <c r="A40" s="147" t="s">
        <v>3092</v>
      </c>
      <c r="B40" s="148"/>
      <c r="C40" s="182">
        <v>0.50036380000000003</v>
      </c>
      <c r="D40" s="182">
        <v>0.52571429999999997</v>
      </c>
      <c r="E40" s="182">
        <v>0.1888889</v>
      </c>
      <c r="F40" s="182">
        <v>0.95</v>
      </c>
      <c r="G40" s="163">
        <v>0.66200000000000003</v>
      </c>
      <c r="H40" s="163">
        <v>0.86666666999999997</v>
      </c>
      <c r="I40" s="163">
        <v>0.52142858999999997</v>
      </c>
      <c r="J40" s="163">
        <v>0.64285713</v>
      </c>
      <c r="K40" s="163">
        <v>0.52999996999999999</v>
      </c>
      <c r="L40" s="163">
        <v>0.23428571000000001</v>
      </c>
      <c r="M40" s="163">
        <v>0.47428572000000002</v>
      </c>
      <c r="N40" s="163">
        <v>0.18888889</v>
      </c>
      <c r="O40" s="163">
        <v>0.53666669</v>
      </c>
      <c r="P40" s="163">
        <v>0.57428568999999996</v>
      </c>
      <c r="Q40" s="163">
        <v>0.53200000999999997</v>
      </c>
      <c r="R40" s="163">
        <v>0.34857142000000002</v>
      </c>
      <c r="S40" s="163">
        <v>0.67750001000000004</v>
      </c>
      <c r="T40" s="163">
        <v>0.62199998000000001</v>
      </c>
      <c r="U40" s="163">
        <v>0.55000000999999998</v>
      </c>
      <c r="V40" s="163">
        <v>0.37666666999999998</v>
      </c>
      <c r="W40" s="163">
        <v>0.31857141999999999</v>
      </c>
      <c r="X40" s="163">
        <v>0.31099999</v>
      </c>
      <c r="Y40" s="163">
        <v>0.70499997999999997</v>
      </c>
      <c r="Z40" s="163">
        <v>0.53857142000000002</v>
      </c>
      <c r="AA40" s="163">
        <v>0.32875000999999998</v>
      </c>
      <c r="AB40" s="163">
        <v>0.41624999000000001</v>
      </c>
      <c r="AC40" s="163">
        <v>0.32571429000000002</v>
      </c>
      <c r="AD40" s="163">
        <v>0.94999999000000002</v>
      </c>
      <c r="AE40" s="163">
        <v>0.42750000999999999</v>
      </c>
      <c r="AF40" s="163">
        <v>0.34999998999999998</v>
      </c>
    </row>
    <row r="41" spans="1:32" s="153" customFormat="1" ht="31.5" customHeight="1" x14ac:dyDescent="0.25">
      <c r="A41" s="149" t="s">
        <v>3044</v>
      </c>
      <c r="B41" s="151" t="s">
        <v>3045</v>
      </c>
      <c r="C41" s="183">
        <v>0.57921389999999995</v>
      </c>
      <c r="D41" s="183">
        <v>0.58181819999999995</v>
      </c>
      <c r="E41" s="183">
        <v>0.19191920000000001</v>
      </c>
      <c r="F41" s="183">
        <v>0.9636363</v>
      </c>
      <c r="G41" s="166">
        <v>0.96363633999999998</v>
      </c>
      <c r="H41" s="164">
        <v>0.84848486999999995</v>
      </c>
      <c r="I41" s="164">
        <v>0.74025976999999998</v>
      </c>
      <c r="J41" s="164">
        <v>0.80519479999999999</v>
      </c>
      <c r="K41" s="164">
        <v>0.81818181000000001</v>
      </c>
      <c r="L41" s="164">
        <v>0.28571429999999998</v>
      </c>
      <c r="M41" s="164">
        <v>0.66233766000000005</v>
      </c>
      <c r="N41" s="164">
        <v>0.19191918999999999</v>
      </c>
      <c r="O41" s="164">
        <v>0.41666666000000002</v>
      </c>
      <c r="P41" s="164">
        <v>0.61038959000000004</v>
      </c>
      <c r="Q41" s="164">
        <v>0.60000001999999997</v>
      </c>
      <c r="R41" s="164">
        <v>0.42857142999999998</v>
      </c>
      <c r="S41" s="164">
        <v>0.77272724999999998</v>
      </c>
      <c r="T41" s="164">
        <v>0.71818179000000004</v>
      </c>
      <c r="U41" s="164">
        <v>0.56363635999999995</v>
      </c>
      <c r="V41" s="164">
        <v>0.56060606000000002</v>
      </c>
      <c r="W41" s="164">
        <v>0.40259739999999999</v>
      </c>
      <c r="X41" s="164">
        <v>0.31818181000000001</v>
      </c>
      <c r="Y41" s="164">
        <v>0.70454543999999997</v>
      </c>
      <c r="Z41" s="164">
        <v>0.48051947</v>
      </c>
      <c r="AA41" s="164">
        <v>0.34090909000000003</v>
      </c>
      <c r="AB41" s="164">
        <v>0.60227275000000002</v>
      </c>
      <c r="AC41" s="164">
        <v>0.42857142999999998</v>
      </c>
      <c r="AD41" s="164">
        <v>0.95454543999999997</v>
      </c>
      <c r="AE41" s="164">
        <v>0.47727271999999998</v>
      </c>
      <c r="AF41" s="164">
        <v>0.36363636999999999</v>
      </c>
    </row>
    <row r="42" spans="1:32" s="153" customFormat="1" ht="31.5" customHeight="1" x14ac:dyDescent="0.25">
      <c r="A42" s="154" t="s">
        <v>3046</v>
      </c>
      <c r="B42" s="152" t="s">
        <v>3088</v>
      </c>
      <c r="C42" s="184">
        <v>0.52157940000000003</v>
      </c>
      <c r="D42" s="184">
        <v>0.51600000000000001</v>
      </c>
      <c r="E42" s="184">
        <v>0.16</v>
      </c>
      <c r="F42" s="184">
        <v>1</v>
      </c>
      <c r="G42" s="167">
        <v>0.52800000000000002</v>
      </c>
      <c r="H42" s="165">
        <v>0.94666665999999999</v>
      </c>
      <c r="I42" s="165">
        <v>0.62285714999999997</v>
      </c>
      <c r="J42" s="165">
        <v>0.65714287999999998</v>
      </c>
      <c r="K42" s="165">
        <v>0.83999997000000004</v>
      </c>
      <c r="L42" s="165">
        <v>0.18857141999999999</v>
      </c>
      <c r="M42" s="165">
        <v>0.63999998999999996</v>
      </c>
      <c r="N42" s="165">
        <v>0.24444444000000001</v>
      </c>
      <c r="O42" s="165">
        <v>0.67333335000000005</v>
      </c>
      <c r="P42" s="165">
        <v>0.63999998999999996</v>
      </c>
      <c r="Q42" s="165">
        <v>0.68800002000000005</v>
      </c>
      <c r="R42" s="165">
        <v>0.33142855999999998</v>
      </c>
      <c r="S42" s="165">
        <v>0.66000002999999996</v>
      </c>
      <c r="T42" s="165">
        <v>0.47999998999999999</v>
      </c>
      <c r="U42" s="165">
        <v>0.50400001000000005</v>
      </c>
      <c r="V42" s="165">
        <v>0.30666666999999997</v>
      </c>
      <c r="W42" s="165">
        <v>0.16</v>
      </c>
      <c r="X42" s="165">
        <v>0.40400001000000002</v>
      </c>
      <c r="Y42" s="165">
        <v>0.82999997999999997</v>
      </c>
      <c r="Z42" s="165">
        <v>0.62857145000000003</v>
      </c>
      <c r="AA42" s="165">
        <v>0.28999998999999999</v>
      </c>
      <c r="AB42" s="165">
        <v>0.29499998999999999</v>
      </c>
      <c r="AC42" s="165">
        <v>0.40571426999999999</v>
      </c>
      <c r="AD42" s="165">
        <v>1</v>
      </c>
      <c r="AE42" s="165">
        <v>0.27000001000000001</v>
      </c>
      <c r="AF42" s="165">
        <v>0.32666665</v>
      </c>
    </row>
    <row r="43" spans="1:32" s="153" customFormat="1" ht="31.5" customHeight="1" x14ac:dyDescent="0.25">
      <c r="A43" s="149" t="s">
        <v>3050</v>
      </c>
      <c r="B43" s="151" t="s">
        <v>3089</v>
      </c>
      <c r="C43" s="183">
        <v>0.52988400000000002</v>
      </c>
      <c r="D43" s="183">
        <v>0.5</v>
      </c>
      <c r="E43" s="183">
        <v>0</v>
      </c>
      <c r="F43" s="183">
        <v>1</v>
      </c>
      <c r="G43" s="166">
        <v>0.60000001999999997</v>
      </c>
      <c r="H43" s="164">
        <v>1</v>
      </c>
      <c r="I43" s="164">
        <v>0.42857142999999998</v>
      </c>
      <c r="J43" s="164">
        <v>0.57142859999999995</v>
      </c>
      <c r="K43" s="164">
        <v>0</v>
      </c>
      <c r="L43" s="164">
        <v>0.42857142999999998</v>
      </c>
      <c r="M43" s="164">
        <v>0.14285714999999999</v>
      </c>
      <c r="N43" s="164">
        <v>0.22222222</v>
      </c>
      <c r="O43" s="164">
        <v>0.83333330999999999</v>
      </c>
      <c r="P43" s="164">
        <v>0.42857142999999998</v>
      </c>
      <c r="Q43" s="164">
        <v>0.40000001000000002</v>
      </c>
      <c r="R43" s="164">
        <v>0.28571429999999998</v>
      </c>
      <c r="S43" s="164">
        <v>0.75</v>
      </c>
      <c r="T43" s="164">
        <v>0.89999998000000003</v>
      </c>
      <c r="U43" s="164">
        <v>0.80000000999999998</v>
      </c>
      <c r="V43" s="164">
        <v>0.33333333999999998</v>
      </c>
      <c r="W43" s="164">
        <v>0.42857142999999998</v>
      </c>
      <c r="X43" s="164">
        <v>0.2</v>
      </c>
      <c r="Y43" s="164">
        <v>0.75</v>
      </c>
      <c r="Z43" s="164">
        <v>0.71428572999999995</v>
      </c>
      <c r="AA43" s="164">
        <v>0.5</v>
      </c>
      <c r="AB43" s="164">
        <v>0.5</v>
      </c>
      <c r="AC43" s="164">
        <v>0.14285714999999999</v>
      </c>
      <c r="AD43" s="164">
        <v>1</v>
      </c>
      <c r="AE43" s="164">
        <v>0.75</v>
      </c>
      <c r="AF43" s="164">
        <v>0.66666669000000001</v>
      </c>
    </row>
    <row r="44" spans="1:32" s="153" customFormat="1" ht="31.5" customHeight="1" x14ac:dyDescent="0.25">
      <c r="A44" s="154" t="s">
        <v>3054</v>
      </c>
      <c r="B44" s="152" t="s">
        <v>3055</v>
      </c>
      <c r="C44" s="184">
        <v>0.41383389999999998</v>
      </c>
      <c r="D44" s="184">
        <v>0.37878790000000001</v>
      </c>
      <c r="E44" s="184">
        <v>0.1168831</v>
      </c>
      <c r="F44" s="184">
        <v>0.87878789999999996</v>
      </c>
      <c r="G44" s="167">
        <v>0.60000001999999997</v>
      </c>
      <c r="H44" s="165">
        <v>0.73737370999999996</v>
      </c>
      <c r="I44" s="165">
        <v>0.35497835</v>
      </c>
      <c r="J44" s="165">
        <v>0.56709957</v>
      </c>
      <c r="K44" s="165">
        <v>0.42424244</v>
      </c>
      <c r="L44" s="165">
        <v>0.11688311</v>
      </c>
      <c r="M44" s="165">
        <v>0.42424244</v>
      </c>
      <c r="N44" s="165">
        <v>0.12457912</v>
      </c>
      <c r="O44" s="165">
        <v>0.33333333999999998</v>
      </c>
      <c r="P44" s="165">
        <v>0.58874457999999996</v>
      </c>
      <c r="Q44" s="165">
        <v>0.44848484</v>
      </c>
      <c r="R44" s="165">
        <v>0.34632035999999999</v>
      </c>
      <c r="S44" s="165">
        <v>0.58333330999999999</v>
      </c>
      <c r="T44" s="165">
        <v>0.49696970000000001</v>
      </c>
      <c r="U44" s="165">
        <v>0.42424244</v>
      </c>
      <c r="V44" s="165">
        <v>0.33333333999999998</v>
      </c>
      <c r="W44" s="165">
        <v>0.31601732999999999</v>
      </c>
      <c r="X44" s="165">
        <v>0.30303031000000002</v>
      </c>
      <c r="Y44" s="165">
        <v>0.58333330999999999</v>
      </c>
      <c r="Z44" s="165">
        <v>0.40259739999999999</v>
      </c>
      <c r="AA44" s="165">
        <v>0.24621212000000001</v>
      </c>
      <c r="AB44" s="165">
        <v>0.33333333999999998</v>
      </c>
      <c r="AC44" s="165">
        <v>0.30735931</v>
      </c>
      <c r="AD44" s="165">
        <v>0.87878787999999997</v>
      </c>
      <c r="AE44" s="165">
        <v>0.31818181000000001</v>
      </c>
      <c r="AF44" s="165">
        <v>0.16666666999999999</v>
      </c>
    </row>
    <row r="45" spans="1:32" s="146" customFormat="1" ht="31.5" customHeight="1" x14ac:dyDescent="0.25">
      <c r="A45" s="147" t="s">
        <v>3093</v>
      </c>
      <c r="B45" s="148"/>
      <c r="C45" s="182">
        <v>0.65052469999999996</v>
      </c>
      <c r="D45" s="182">
        <v>0.65333330000000001</v>
      </c>
      <c r="E45" s="182">
        <v>0.34499999999999997</v>
      </c>
      <c r="F45" s="182">
        <v>0.96</v>
      </c>
      <c r="G45" s="163">
        <v>0.75300001999999999</v>
      </c>
      <c r="H45" s="163">
        <v>0.71799999000000003</v>
      </c>
      <c r="I45" s="163">
        <v>0.79000002000000003</v>
      </c>
      <c r="J45" s="163">
        <v>0.65333330999999994</v>
      </c>
      <c r="K45" s="163">
        <v>0.64666665000000001</v>
      </c>
      <c r="L45" s="163">
        <v>0.56599997999999996</v>
      </c>
      <c r="M45" s="163">
        <v>0.88</v>
      </c>
      <c r="N45" s="163">
        <v>0.34499999999999997</v>
      </c>
      <c r="O45" s="163">
        <v>0.42833334000000001</v>
      </c>
      <c r="P45" s="163">
        <v>0.65249997000000004</v>
      </c>
      <c r="Q45" s="163">
        <v>0.52999996999999999</v>
      </c>
      <c r="R45" s="163">
        <v>0.69599997999999996</v>
      </c>
      <c r="S45" s="163">
        <v>0.95999997999999997</v>
      </c>
      <c r="T45" s="163">
        <v>0.79666667999999996</v>
      </c>
      <c r="U45" s="163">
        <v>0.61428570999999998</v>
      </c>
      <c r="V45" s="163">
        <v>0.80166667999999996</v>
      </c>
      <c r="W45" s="163">
        <v>0.69</v>
      </c>
      <c r="X45" s="163">
        <v>0.75</v>
      </c>
      <c r="Y45" s="163"/>
      <c r="Z45" s="163">
        <v>0.75333333000000002</v>
      </c>
      <c r="AA45" s="163">
        <v>0.38999999000000002</v>
      </c>
      <c r="AB45" s="163">
        <v>0.57499999000000002</v>
      </c>
      <c r="AC45" s="163">
        <v>0.48333332000000001</v>
      </c>
      <c r="AD45" s="163">
        <v>0.73750000999999998</v>
      </c>
      <c r="AE45" s="163">
        <v>0.56499999999999995</v>
      </c>
      <c r="AF45" s="163">
        <v>0.48750000999999998</v>
      </c>
    </row>
    <row r="46" spans="1:32" s="153" customFormat="1" ht="31.5" customHeight="1" x14ac:dyDescent="0.25">
      <c r="A46" s="149" t="s">
        <v>3044</v>
      </c>
      <c r="B46" s="151" t="s">
        <v>3045</v>
      </c>
      <c r="C46" s="183">
        <v>0.79041669999999997</v>
      </c>
      <c r="D46" s="183">
        <v>0.8</v>
      </c>
      <c r="E46" s="183">
        <v>0.5</v>
      </c>
      <c r="F46" s="183">
        <v>1</v>
      </c>
      <c r="G46" s="166">
        <v>0.92500000999999998</v>
      </c>
      <c r="H46" s="164">
        <v>0.92500000999999998</v>
      </c>
      <c r="I46" s="164">
        <v>0.90625</v>
      </c>
      <c r="J46" s="164">
        <v>0.70833330999999999</v>
      </c>
      <c r="K46" s="164">
        <v>0.70833330999999999</v>
      </c>
      <c r="L46" s="164">
        <v>0.72500001999999997</v>
      </c>
      <c r="M46" s="164">
        <v>1</v>
      </c>
      <c r="N46" s="164">
        <v>0.60416669000000001</v>
      </c>
      <c r="O46" s="164">
        <v>0.5625</v>
      </c>
      <c r="P46" s="164">
        <v>0.90625</v>
      </c>
      <c r="Q46" s="164">
        <v>0.78125</v>
      </c>
      <c r="R46" s="164">
        <v>0.80000000999999998</v>
      </c>
      <c r="S46" s="164">
        <v>1</v>
      </c>
      <c r="T46" s="164">
        <v>0.95833330999999999</v>
      </c>
      <c r="U46" s="164">
        <v>0.75</v>
      </c>
      <c r="V46" s="164">
        <v>0.83333330999999999</v>
      </c>
      <c r="W46" s="164">
        <v>0.875</v>
      </c>
      <c r="X46" s="164">
        <v>0.84375</v>
      </c>
      <c r="Y46" s="164"/>
      <c r="Z46" s="164">
        <v>0.91666669000000001</v>
      </c>
      <c r="AA46" s="164">
        <v>0.6875</v>
      </c>
      <c r="AB46" s="164">
        <v>0.9375</v>
      </c>
      <c r="AC46" s="164">
        <v>0.54166669000000001</v>
      </c>
      <c r="AD46" s="164">
        <v>0.78125</v>
      </c>
      <c r="AE46" s="164">
        <v>0.58333330999999999</v>
      </c>
      <c r="AF46" s="164">
        <v>0.5</v>
      </c>
    </row>
    <row r="47" spans="1:32" s="153" customFormat="1" ht="31.5" customHeight="1" x14ac:dyDescent="0.25">
      <c r="A47" s="154" t="s">
        <v>3046</v>
      </c>
      <c r="B47" s="152" t="s">
        <v>3088</v>
      </c>
      <c r="C47" s="184">
        <v>0.43154290000000001</v>
      </c>
      <c r="D47" s="184">
        <v>0.5</v>
      </c>
      <c r="E47" s="184">
        <v>0</v>
      </c>
      <c r="F47" s="184">
        <v>0.9</v>
      </c>
      <c r="G47" s="167">
        <v>0.51999998000000003</v>
      </c>
      <c r="H47" s="165">
        <v>0.47999998999999999</v>
      </c>
      <c r="I47" s="165">
        <v>0.55000000999999998</v>
      </c>
      <c r="J47" s="165">
        <v>0.40000001000000002</v>
      </c>
      <c r="K47" s="165">
        <v>0.73333334999999999</v>
      </c>
      <c r="L47" s="165">
        <v>0.23999999</v>
      </c>
      <c r="M47" s="165">
        <v>0.60000001999999997</v>
      </c>
      <c r="N47" s="165">
        <v>0.13333333999999999</v>
      </c>
      <c r="O47" s="165">
        <v>6.6666669999999997E-2</v>
      </c>
      <c r="P47" s="165">
        <v>0.69999999000000002</v>
      </c>
      <c r="Q47" s="165">
        <v>0.5</v>
      </c>
      <c r="R47" s="165">
        <v>0.51999998000000003</v>
      </c>
      <c r="S47" s="165">
        <v>0.89999998000000003</v>
      </c>
      <c r="T47" s="165">
        <v>0.80000000999999998</v>
      </c>
      <c r="U47" s="165">
        <v>0.42857142999999998</v>
      </c>
      <c r="V47" s="165">
        <v>0.69999999000000002</v>
      </c>
      <c r="W47" s="165">
        <v>0.1</v>
      </c>
      <c r="X47" s="165">
        <v>0.5</v>
      </c>
      <c r="Y47" s="165"/>
      <c r="Z47" s="165">
        <v>0.26666667999999999</v>
      </c>
      <c r="AA47" s="165">
        <v>0</v>
      </c>
      <c r="AB47" s="165">
        <v>0.5</v>
      </c>
      <c r="AC47" s="165">
        <v>0.26666667999999999</v>
      </c>
      <c r="AD47" s="165">
        <v>0.60000001999999997</v>
      </c>
      <c r="AE47" s="165">
        <v>0.23333333000000001</v>
      </c>
      <c r="AF47" s="165">
        <v>0.05</v>
      </c>
    </row>
    <row r="48" spans="1:32" s="153" customFormat="1" ht="31.5" customHeight="1" x14ac:dyDescent="0.25">
      <c r="A48" s="149" t="s">
        <v>3050</v>
      </c>
      <c r="B48" s="151" t="s">
        <v>3089</v>
      </c>
      <c r="C48" s="183">
        <v>0.78523810000000005</v>
      </c>
      <c r="D48" s="183">
        <v>0.83333330000000005</v>
      </c>
      <c r="E48" s="183">
        <v>0.25</v>
      </c>
      <c r="F48" s="183">
        <v>1</v>
      </c>
      <c r="G48" s="166">
        <v>0.89999998000000003</v>
      </c>
      <c r="H48" s="164">
        <v>0.80000000999999998</v>
      </c>
      <c r="I48" s="164">
        <v>1</v>
      </c>
      <c r="J48" s="164">
        <v>1</v>
      </c>
      <c r="K48" s="164">
        <v>0.66666669000000001</v>
      </c>
      <c r="L48" s="164">
        <v>0.80000000999999998</v>
      </c>
      <c r="M48" s="164">
        <v>1</v>
      </c>
      <c r="N48" s="164">
        <v>0.33333333999999998</v>
      </c>
      <c r="O48" s="164">
        <v>0.5</v>
      </c>
      <c r="P48" s="164">
        <v>0.25</v>
      </c>
      <c r="Q48" s="164">
        <v>0.5</v>
      </c>
      <c r="R48" s="164">
        <v>1</v>
      </c>
      <c r="S48" s="164">
        <v>1</v>
      </c>
      <c r="T48" s="164">
        <v>0.66666669000000001</v>
      </c>
      <c r="U48" s="164">
        <v>0.71428572999999995</v>
      </c>
      <c r="V48" s="164">
        <v>1</v>
      </c>
      <c r="W48" s="164">
        <v>1</v>
      </c>
      <c r="X48" s="164">
        <v>1</v>
      </c>
      <c r="Y48" s="164"/>
      <c r="Z48" s="164">
        <v>1</v>
      </c>
      <c r="AA48" s="164">
        <v>0.5</v>
      </c>
      <c r="AB48" s="164">
        <v>0.5</v>
      </c>
      <c r="AC48" s="164">
        <v>0.66666669000000001</v>
      </c>
      <c r="AD48" s="164">
        <v>1</v>
      </c>
      <c r="AE48" s="164">
        <v>0.83333330999999999</v>
      </c>
      <c r="AF48" s="164">
        <v>1</v>
      </c>
    </row>
    <row r="49" spans="1:32" s="153" customFormat="1" ht="31.5" customHeight="1" x14ac:dyDescent="0.25">
      <c r="A49" s="154" t="s">
        <v>3054</v>
      </c>
      <c r="B49" s="152" t="s">
        <v>3055</v>
      </c>
      <c r="C49" s="184">
        <v>0.45500950000000001</v>
      </c>
      <c r="D49" s="184">
        <v>0.46</v>
      </c>
      <c r="E49" s="184">
        <v>0</v>
      </c>
      <c r="F49" s="184">
        <v>0.9</v>
      </c>
      <c r="G49" s="167">
        <v>0.495</v>
      </c>
      <c r="H49" s="165">
        <v>0.46000001000000001</v>
      </c>
      <c r="I49" s="165">
        <v>0.58749998000000003</v>
      </c>
      <c r="J49" s="165">
        <v>0.44999999000000002</v>
      </c>
      <c r="K49" s="165">
        <v>0.41666666000000002</v>
      </c>
      <c r="L49" s="165">
        <v>0.34</v>
      </c>
      <c r="M49" s="165">
        <v>0.80000000999999998</v>
      </c>
      <c r="N49" s="165">
        <v>0.05</v>
      </c>
      <c r="O49" s="165">
        <v>0.44999999000000002</v>
      </c>
      <c r="P49" s="165">
        <v>0.5</v>
      </c>
      <c r="Q49" s="165">
        <v>8.7499999999999994E-2</v>
      </c>
      <c r="R49" s="165">
        <v>0.36000000999999998</v>
      </c>
      <c r="S49" s="165">
        <v>0.89999998000000003</v>
      </c>
      <c r="T49" s="165">
        <v>0.60000001999999997</v>
      </c>
      <c r="U49" s="165">
        <v>0.42857142999999998</v>
      </c>
      <c r="V49" s="165">
        <v>0.64166665000000001</v>
      </c>
      <c r="W49" s="165">
        <v>0.60000001999999997</v>
      </c>
      <c r="X49" s="165">
        <v>0.5625</v>
      </c>
      <c r="Y49" s="165"/>
      <c r="Z49" s="165">
        <v>0.66666669000000001</v>
      </c>
      <c r="AA49" s="165">
        <v>7.4999999999999997E-2</v>
      </c>
      <c r="AB49" s="165">
        <v>0</v>
      </c>
      <c r="AC49" s="165">
        <v>0.40000001000000002</v>
      </c>
      <c r="AD49" s="165">
        <v>0.52499998000000003</v>
      </c>
      <c r="AE49" s="165">
        <v>0.59166664000000002</v>
      </c>
      <c r="AF49" s="165">
        <v>0.38749999000000002</v>
      </c>
    </row>
    <row r="50" spans="1:32" s="146" customFormat="1" ht="31.5" customHeight="1" x14ac:dyDescent="0.25">
      <c r="A50" s="147" t="s">
        <v>3094</v>
      </c>
      <c r="B50" s="148"/>
      <c r="C50" s="182">
        <v>0.52269869999999996</v>
      </c>
      <c r="D50" s="182">
        <v>0.54400000000000004</v>
      </c>
      <c r="E50" s="182">
        <v>0.14000000000000001</v>
      </c>
      <c r="F50" s="182">
        <v>0.77749999999999997</v>
      </c>
      <c r="G50" s="163">
        <v>0.57999997999999997</v>
      </c>
      <c r="H50" s="163">
        <v>0.75599998000000002</v>
      </c>
      <c r="I50" s="163">
        <v>0.3075</v>
      </c>
      <c r="J50" s="163">
        <v>0.62666666999999998</v>
      </c>
      <c r="K50" s="163">
        <v>0.45666667999999999</v>
      </c>
      <c r="L50" s="163">
        <v>0.53399998000000004</v>
      </c>
      <c r="M50" s="163">
        <v>0.67833334000000001</v>
      </c>
      <c r="N50" s="163">
        <v>0.27285713</v>
      </c>
      <c r="O50" s="163">
        <v>0.61250000999999998</v>
      </c>
      <c r="P50" s="163">
        <v>0.52399998999999997</v>
      </c>
      <c r="Q50" s="163">
        <v>0.57499999000000002</v>
      </c>
      <c r="R50" s="163">
        <v>0.14000000000000001</v>
      </c>
      <c r="S50" s="163">
        <v>0.69599997999999996</v>
      </c>
      <c r="T50" s="163">
        <v>0.57999997999999997</v>
      </c>
      <c r="U50" s="163">
        <v>0.70249998999999996</v>
      </c>
      <c r="V50" s="163">
        <v>0.77749997000000004</v>
      </c>
      <c r="W50" s="163">
        <v>0.76749997999999997</v>
      </c>
      <c r="X50" s="163">
        <v>0.31</v>
      </c>
      <c r="Y50" s="163">
        <v>0.55400002000000004</v>
      </c>
      <c r="Z50" s="163">
        <v>0.40333333999999998</v>
      </c>
      <c r="AA50" s="163">
        <v>0.33800000000000002</v>
      </c>
      <c r="AB50" s="163">
        <v>0.51999998000000003</v>
      </c>
      <c r="AC50" s="163">
        <v>0.31714283999999998</v>
      </c>
      <c r="AD50" s="163">
        <v>0.43399999</v>
      </c>
      <c r="AE50" s="163">
        <v>0.43666666999999998</v>
      </c>
      <c r="AF50" s="163">
        <v>0.69</v>
      </c>
    </row>
    <row r="51" spans="1:32" s="153" customFormat="1" ht="31.5" customHeight="1" x14ac:dyDescent="0.25">
      <c r="A51" s="149" t="s">
        <v>3044</v>
      </c>
      <c r="B51" s="151" t="s">
        <v>3045</v>
      </c>
      <c r="C51" s="183">
        <v>0.56827839999999996</v>
      </c>
      <c r="D51" s="183">
        <v>0.57625000000000004</v>
      </c>
      <c r="E51" s="183">
        <v>0.2</v>
      </c>
      <c r="F51" s="183">
        <v>0.88749999999999996</v>
      </c>
      <c r="G51" s="166">
        <v>0.68000000999999999</v>
      </c>
      <c r="H51" s="164">
        <v>0.86000001000000004</v>
      </c>
      <c r="I51" s="164">
        <v>0.3125</v>
      </c>
      <c r="J51" s="164">
        <v>0.60000001999999997</v>
      </c>
      <c r="K51" s="164">
        <v>0.46666667000000001</v>
      </c>
      <c r="L51" s="164">
        <v>0.435</v>
      </c>
      <c r="M51" s="164">
        <v>0.71666664000000002</v>
      </c>
      <c r="N51" s="164">
        <v>0.42142856000000001</v>
      </c>
      <c r="O51" s="164">
        <v>0.69999999000000002</v>
      </c>
      <c r="P51" s="164">
        <v>0.72000003000000001</v>
      </c>
      <c r="Q51" s="164">
        <v>0.5625</v>
      </c>
      <c r="R51" s="164">
        <v>0.2</v>
      </c>
      <c r="S51" s="164">
        <v>0.82999997999999997</v>
      </c>
      <c r="T51" s="164">
        <v>0.73000001999999997</v>
      </c>
      <c r="U51" s="164">
        <v>0.6875</v>
      </c>
      <c r="V51" s="164">
        <v>0.88749999000000002</v>
      </c>
      <c r="W51" s="164">
        <v>0.76249999000000002</v>
      </c>
      <c r="X51" s="164">
        <v>0.3125</v>
      </c>
      <c r="Y51" s="164">
        <v>0.58999997000000004</v>
      </c>
      <c r="Z51" s="164">
        <v>0.63333333000000003</v>
      </c>
      <c r="AA51" s="164">
        <v>0.30000000999999998</v>
      </c>
      <c r="AB51" s="164">
        <v>0.5</v>
      </c>
      <c r="AC51" s="164">
        <v>0.35714287</v>
      </c>
      <c r="AD51" s="164">
        <v>0.5</v>
      </c>
      <c r="AE51" s="164">
        <v>0.44999999000000002</v>
      </c>
      <c r="AF51" s="164">
        <v>0.56000000000000005</v>
      </c>
    </row>
    <row r="52" spans="1:32" s="153" customFormat="1" ht="31.5" customHeight="1" x14ac:dyDescent="0.25">
      <c r="A52" s="154" t="s">
        <v>3046</v>
      </c>
      <c r="B52" s="152" t="s">
        <v>3088</v>
      </c>
      <c r="C52" s="184">
        <v>0.6442949</v>
      </c>
      <c r="D52" s="184">
        <v>0.63749999999999996</v>
      </c>
      <c r="E52" s="184">
        <v>0.25</v>
      </c>
      <c r="F52" s="184">
        <v>0.9</v>
      </c>
      <c r="G52" s="167">
        <v>0.75999998999999996</v>
      </c>
      <c r="H52" s="165">
        <v>0.83999997000000004</v>
      </c>
      <c r="I52" s="165">
        <v>0.33750001000000002</v>
      </c>
      <c r="J52" s="165">
        <v>0.63333333000000003</v>
      </c>
      <c r="K52" s="165">
        <v>0.66666669000000001</v>
      </c>
      <c r="L52" s="165">
        <v>0.63499998999999996</v>
      </c>
      <c r="M52" s="165">
        <v>0.89999998000000003</v>
      </c>
      <c r="N52" s="165">
        <v>0.47857140999999997</v>
      </c>
      <c r="O52" s="165">
        <v>0.52499998000000003</v>
      </c>
      <c r="P52" s="165">
        <v>0.73000001999999997</v>
      </c>
      <c r="Q52" s="165">
        <v>0.85000001999999997</v>
      </c>
      <c r="R52" s="165">
        <v>0.5</v>
      </c>
      <c r="S52" s="165">
        <v>0.67000002000000003</v>
      </c>
      <c r="T52" s="165">
        <v>0.69999999000000002</v>
      </c>
      <c r="U52" s="165">
        <v>0.8125</v>
      </c>
      <c r="V52" s="165">
        <v>0.82499999000000002</v>
      </c>
      <c r="W52" s="165">
        <v>0.85000001999999997</v>
      </c>
      <c r="X52" s="165">
        <v>0.25</v>
      </c>
      <c r="Y52" s="165">
        <v>0.60000001999999997</v>
      </c>
      <c r="Z52" s="165">
        <v>0.55000000999999998</v>
      </c>
      <c r="AA52" s="165">
        <v>0.44</v>
      </c>
      <c r="AB52" s="165">
        <v>0.60000001999999997</v>
      </c>
      <c r="AC52" s="165">
        <v>0.62142854999999997</v>
      </c>
      <c r="AD52" s="165">
        <v>0.63999998999999996</v>
      </c>
      <c r="AE52" s="165">
        <v>0.51666665000000001</v>
      </c>
      <c r="AF52" s="165">
        <v>0.81999999000000001</v>
      </c>
    </row>
    <row r="53" spans="1:32" s="153" customFormat="1" ht="31.5" customHeight="1" x14ac:dyDescent="0.25">
      <c r="A53" s="149" t="s">
        <v>3050</v>
      </c>
      <c r="B53" s="151" t="s">
        <v>3089</v>
      </c>
      <c r="C53" s="183">
        <v>0.67339740000000003</v>
      </c>
      <c r="D53" s="183">
        <v>0.81666669999999997</v>
      </c>
      <c r="E53" s="183">
        <v>0</v>
      </c>
      <c r="F53" s="183">
        <v>1</v>
      </c>
      <c r="G53" s="166">
        <v>0.5</v>
      </c>
      <c r="H53" s="164">
        <v>0.89999998000000003</v>
      </c>
      <c r="I53" s="164">
        <v>0.375</v>
      </c>
      <c r="J53" s="164">
        <v>1</v>
      </c>
      <c r="K53" s="164">
        <v>0.66666669000000001</v>
      </c>
      <c r="L53" s="164">
        <v>0.89999998000000003</v>
      </c>
      <c r="M53" s="164">
        <v>0.75</v>
      </c>
      <c r="N53" s="164">
        <v>0.28571429999999998</v>
      </c>
      <c r="O53" s="164">
        <v>0.875</v>
      </c>
      <c r="P53" s="164">
        <v>0.40000001000000002</v>
      </c>
      <c r="Q53" s="164">
        <v>0.875</v>
      </c>
      <c r="R53" s="164">
        <v>0</v>
      </c>
      <c r="S53" s="164">
        <v>0.89999998000000003</v>
      </c>
      <c r="T53" s="164">
        <v>0.89999998000000003</v>
      </c>
      <c r="U53" s="164">
        <v>0.875</v>
      </c>
      <c r="V53" s="164">
        <v>1</v>
      </c>
      <c r="W53" s="164">
        <v>0.875</v>
      </c>
      <c r="X53" s="164">
        <v>0.25</v>
      </c>
      <c r="Y53" s="164">
        <v>0.80000000999999998</v>
      </c>
      <c r="Z53" s="164">
        <v>0.33333333999999998</v>
      </c>
      <c r="AA53" s="164">
        <v>0.60000001999999997</v>
      </c>
      <c r="AB53" s="164">
        <v>1</v>
      </c>
      <c r="AC53" s="164">
        <v>0.21428572000000001</v>
      </c>
      <c r="AD53" s="164">
        <v>0.5</v>
      </c>
      <c r="AE53" s="164">
        <v>0.83333330999999999</v>
      </c>
      <c r="AF53" s="164">
        <v>0.89999998000000003</v>
      </c>
    </row>
    <row r="54" spans="1:32" s="153" customFormat="1" ht="31.5" customHeight="1" x14ac:dyDescent="0.25">
      <c r="A54" s="154" t="s">
        <v>3052</v>
      </c>
      <c r="B54" s="152" t="s">
        <v>3053</v>
      </c>
      <c r="C54" s="184">
        <v>0.4570284</v>
      </c>
      <c r="D54" s="184">
        <v>0.47499999999999998</v>
      </c>
      <c r="E54" s="184">
        <v>0</v>
      </c>
      <c r="F54" s="184">
        <v>0.75</v>
      </c>
      <c r="G54" s="167">
        <v>0.60000001999999997</v>
      </c>
      <c r="H54" s="165">
        <v>0.69999999000000002</v>
      </c>
      <c r="I54" s="165">
        <v>0.3125</v>
      </c>
      <c r="J54" s="165">
        <v>0.5</v>
      </c>
      <c r="K54" s="165">
        <v>0.41666666000000002</v>
      </c>
      <c r="L54" s="165">
        <v>0.5</v>
      </c>
      <c r="M54" s="165">
        <v>0.625</v>
      </c>
      <c r="N54" s="165">
        <v>0.17857143</v>
      </c>
      <c r="O54" s="165">
        <v>0.5625</v>
      </c>
      <c r="P54" s="165">
        <v>0.44999999000000002</v>
      </c>
      <c r="Q54" s="165">
        <v>0.4375</v>
      </c>
      <c r="R54" s="165">
        <v>0</v>
      </c>
      <c r="S54" s="165">
        <v>0.40000001000000002</v>
      </c>
      <c r="T54" s="165">
        <v>0.44999999000000002</v>
      </c>
      <c r="U54" s="165">
        <v>0.6875</v>
      </c>
      <c r="V54" s="165">
        <v>0.625</v>
      </c>
      <c r="W54" s="165">
        <v>0.75</v>
      </c>
      <c r="X54" s="165">
        <v>0.4375</v>
      </c>
      <c r="Y54" s="165">
        <v>0.5</v>
      </c>
      <c r="Z54" s="165">
        <v>0.5</v>
      </c>
      <c r="AA54" s="165">
        <v>0.15000000999999999</v>
      </c>
      <c r="AB54" s="165">
        <v>0.5</v>
      </c>
      <c r="AC54" s="165">
        <v>0.25</v>
      </c>
      <c r="AD54" s="165">
        <v>0.44999999000000002</v>
      </c>
      <c r="AE54" s="165">
        <v>0.25</v>
      </c>
      <c r="AF54" s="165">
        <v>0.64999998000000003</v>
      </c>
    </row>
    <row r="55" spans="1:32" s="153" customFormat="1" ht="31.5" customHeight="1" x14ac:dyDescent="0.25">
      <c r="A55" s="149" t="s">
        <v>3054</v>
      </c>
      <c r="B55" s="151" t="s">
        <v>3055</v>
      </c>
      <c r="C55" s="183">
        <v>0.27049450000000003</v>
      </c>
      <c r="D55" s="183">
        <v>0.24</v>
      </c>
      <c r="E55" s="183">
        <v>0</v>
      </c>
      <c r="F55" s="183">
        <v>0.68</v>
      </c>
      <c r="G55" s="166">
        <v>0.36000000999999998</v>
      </c>
      <c r="H55" s="164">
        <v>0.47999998999999999</v>
      </c>
      <c r="I55" s="164">
        <v>0.2</v>
      </c>
      <c r="J55" s="164">
        <v>0.40000001000000002</v>
      </c>
      <c r="K55" s="164">
        <v>6.6666669999999997E-2</v>
      </c>
      <c r="L55" s="164">
        <v>0.2</v>
      </c>
      <c r="M55" s="164">
        <v>0.40000001000000002</v>
      </c>
      <c r="N55" s="164">
        <v>0</v>
      </c>
      <c r="O55" s="164">
        <v>0.40000001000000002</v>
      </c>
      <c r="P55" s="164">
        <v>0.31999999000000001</v>
      </c>
      <c r="Q55" s="164">
        <v>0.15000000999999999</v>
      </c>
      <c r="R55" s="164">
        <v>0</v>
      </c>
      <c r="S55" s="164">
        <v>0.68000000999999999</v>
      </c>
      <c r="T55" s="164">
        <v>0.12</v>
      </c>
      <c r="U55" s="164">
        <v>0.44999999000000002</v>
      </c>
      <c r="V55" s="164">
        <v>0.55000000999999998</v>
      </c>
      <c r="W55" s="164">
        <v>0.60000001999999997</v>
      </c>
      <c r="X55" s="164">
        <v>0.30000000999999998</v>
      </c>
      <c r="Y55" s="164">
        <v>0.28000000000000003</v>
      </c>
      <c r="Z55" s="164">
        <v>0</v>
      </c>
      <c r="AA55" s="164">
        <v>0.2</v>
      </c>
      <c r="AB55" s="164">
        <v>0</v>
      </c>
      <c r="AC55" s="164">
        <v>0.14285714999999999</v>
      </c>
      <c r="AD55" s="164">
        <v>0.08</v>
      </c>
      <c r="AE55" s="164">
        <v>0.13333333999999999</v>
      </c>
      <c r="AF55" s="164">
        <v>0.51999998000000003</v>
      </c>
    </row>
    <row r="56" spans="1:32" s="146" customFormat="1" ht="31.5" customHeight="1" x14ac:dyDescent="0.25">
      <c r="A56" s="147" t="s">
        <v>3095</v>
      </c>
      <c r="B56" s="148"/>
      <c r="C56" s="182">
        <v>0.4281877</v>
      </c>
      <c r="D56" s="182">
        <v>0.43974999999999997</v>
      </c>
      <c r="E56" s="182">
        <v>0.15666669999999999</v>
      </c>
      <c r="F56" s="182">
        <v>0.67666669999999995</v>
      </c>
      <c r="G56" s="163">
        <v>0.67374997999999997</v>
      </c>
      <c r="H56" s="163">
        <v>0.55333334000000001</v>
      </c>
      <c r="I56" s="163">
        <v>0.315</v>
      </c>
      <c r="J56" s="163">
        <v>0.59299999000000003</v>
      </c>
      <c r="K56" s="163">
        <v>0.32416666</v>
      </c>
      <c r="L56" s="163">
        <v>0.43700000999999999</v>
      </c>
      <c r="M56" s="163">
        <v>0.67666667999999996</v>
      </c>
      <c r="N56" s="163">
        <v>0.24071428</v>
      </c>
      <c r="O56" s="163">
        <v>0.31916665999999999</v>
      </c>
      <c r="P56" s="163">
        <v>0.48750000999999998</v>
      </c>
      <c r="Q56" s="163">
        <v>0.45166665</v>
      </c>
      <c r="R56" s="163">
        <v>0.15666667000000001</v>
      </c>
      <c r="S56" s="163">
        <v>0.63875002000000003</v>
      </c>
      <c r="T56" s="163">
        <v>0.45249999000000002</v>
      </c>
      <c r="U56" s="163">
        <v>0.4425</v>
      </c>
      <c r="V56" s="163">
        <v>0.57666664999999995</v>
      </c>
      <c r="W56" s="163">
        <v>0.67500000999999998</v>
      </c>
      <c r="X56" s="163">
        <v>0.16800000000000001</v>
      </c>
      <c r="Y56" s="163">
        <v>0.25333333000000002</v>
      </c>
      <c r="Z56" s="163">
        <v>0.42250000999999998</v>
      </c>
      <c r="AA56" s="163">
        <v>0.31374999999999997</v>
      </c>
      <c r="AB56" s="163">
        <v>0.44833331999999998</v>
      </c>
      <c r="AC56" s="163">
        <v>0.36666666999999997</v>
      </c>
      <c r="AD56" s="163">
        <v>0.33500001000000001</v>
      </c>
      <c r="AE56" s="163">
        <v>0.28000000000000003</v>
      </c>
      <c r="AF56" s="163">
        <v>0.53125</v>
      </c>
    </row>
    <row r="57" spans="1:32" s="153" customFormat="1" ht="31.5" customHeight="1" x14ac:dyDescent="0.25">
      <c r="A57" s="149" t="s">
        <v>3044</v>
      </c>
      <c r="B57" s="151" t="s">
        <v>3045</v>
      </c>
      <c r="C57" s="183">
        <v>0.43475730000000001</v>
      </c>
      <c r="D57" s="183">
        <v>0.40625</v>
      </c>
      <c r="E57" s="183">
        <v>0.09</v>
      </c>
      <c r="F57" s="183">
        <v>0.75</v>
      </c>
      <c r="G57" s="166">
        <v>0.70625000999999998</v>
      </c>
      <c r="H57" s="164">
        <v>0.56666665999999999</v>
      </c>
      <c r="I57" s="164">
        <v>0.35833332000000001</v>
      </c>
      <c r="J57" s="164">
        <v>0.71499997000000004</v>
      </c>
      <c r="K57" s="164">
        <v>0.32916667999999999</v>
      </c>
      <c r="L57" s="164">
        <v>0.38499999000000001</v>
      </c>
      <c r="M57" s="164">
        <v>0.75</v>
      </c>
      <c r="N57" s="164">
        <v>0.18214285</v>
      </c>
      <c r="O57" s="164">
        <v>0.39583333999999998</v>
      </c>
      <c r="P57" s="164">
        <v>0.46250001000000002</v>
      </c>
      <c r="Q57" s="164">
        <v>0.27500001000000002</v>
      </c>
      <c r="R57" s="164">
        <v>0.1</v>
      </c>
      <c r="S57" s="164">
        <v>0.64375000999999998</v>
      </c>
      <c r="T57" s="164">
        <v>0.51249999000000002</v>
      </c>
      <c r="U57" s="164">
        <v>0.64999998000000003</v>
      </c>
      <c r="V57" s="164">
        <v>0.60000001999999997</v>
      </c>
      <c r="W57" s="164">
        <v>0.66071427000000005</v>
      </c>
      <c r="X57" s="164">
        <v>0.09</v>
      </c>
      <c r="Y57" s="164">
        <v>0.36666666999999997</v>
      </c>
      <c r="Z57" s="164">
        <v>0.33750001000000002</v>
      </c>
      <c r="AA57" s="164">
        <v>0.24375000999999999</v>
      </c>
      <c r="AB57" s="164">
        <v>0.42500000999999998</v>
      </c>
      <c r="AC57" s="164">
        <v>0.41666666000000002</v>
      </c>
      <c r="AD57" s="164">
        <v>0.57499999000000002</v>
      </c>
      <c r="AE57" s="164">
        <v>0.2</v>
      </c>
      <c r="AF57" s="164">
        <v>0.35624999000000002</v>
      </c>
    </row>
    <row r="58" spans="1:32" s="153" customFormat="1" ht="31.5" customHeight="1" x14ac:dyDescent="0.25">
      <c r="A58" s="154" t="s">
        <v>3046</v>
      </c>
      <c r="B58" s="152" t="s">
        <v>3088</v>
      </c>
      <c r="C58" s="184">
        <v>0.3915247</v>
      </c>
      <c r="D58" s="184">
        <v>0.38333339999999999</v>
      </c>
      <c r="E58" s="184">
        <v>6.6666699999999995E-2</v>
      </c>
      <c r="F58" s="184">
        <v>0.7</v>
      </c>
      <c r="G58" s="167">
        <v>0.66250001999999997</v>
      </c>
      <c r="H58" s="165">
        <v>0.5</v>
      </c>
      <c r="I58" s="165">
        <v>0.30000000999999998</v>
      </c>
      <c r="J58" s="165">
        <v>0.60000001999999997</v>
      </c>
      <c r="K58" s="165">
        <v>0.25833333000000003</v>
      </c>
      <c r="L58" s="165">
        <v>0.28999998999999999</v>
      </c>
      <c r="M58" s="165">
        <v>0.69999999000000002</v>
      </c>
      <c r="N58" s="165">
        <v>0.24285714</v>
      </c>
      <c r="O58" s="165">
        <v>0.36666666999999997</v>
      </c>
      <c r="P58" s="165">
        <v>0.52499998000000003</v>
      </c>
      <c r="Q58" s="165">
        <v>0.5</v>
      </c>
      <c r="R58" s="165">
        <v>6.6666669999999997E-2</v>
      </c>
      <c r="S58" s="165">
        <v>0.52499998000000003</v>
      </c>
      <c r="T58" s="165">
        <v>0.42500000999999998</v>
      </c>
      <c r="U58" s="165">
        <v>0.40000001000000002</v>
      </c>
      <c r="V58" s="165">
        <v>0.41666666000000002</v>
      </c>
      <c r="W58" s="165">
        <v>0.66428571999999997</v>
      </c>
      <c r="X58" s="165">
        <v>0.12</v>
      </c>
      <c r="Y58" s="165">
        <v>0.30000000999999998</v>
      </c>
      <c r="Z58" s="165">
        <v>0.36250000999999998</v>
      </c>
      <c r="AA58" s="165">
        <v>0.26249999000000002</v>
      </c>
      <c r="AB58" s="165">
        <v>0.5</v>
      </c>
      <c r="AC58" s="165">
        <v>0.28333332999999999</v>
      </c>
      <c r="AD58" s="165">
        <v>0.34999998999999998</v>
      </c>
      <c r="AE58" s="165">
        <v>0.15833332999999999</v>
      </c>
      <c r="AF58" s="165">
        <v>0.40000001000000002</v>
      </c>
    </row>
    <row r="59" spans="1:32" s="153" customFormat="1" ht="31.5" customHeight="1" x14ac:dyDescent="0.25">
      <c r="A59" s="149" t="s">
        <v>3050</v>
      </c>
      <c r="B59" s="151" t="s">
        <v>3089</v>
      </c>
      <c r="C59" s="183">
        <v>0.52106229999999998</v>
      </c>
      <c r="D59" s="183">
        <v>0.5</v>
      </c>
      <c r="E59" s="183">
        <v>0.1666667</v>
      </c>
      <c r="F59" s="183">
        <v>1</v>
      </c>
      <c r="G59" s="166">
        <v>0.75</v>
      </c>
      <c r="H59" s="164">
        <v>0.5</v>
      </c>
      <c r="I59" s="164">
        <v>0.5</v>
      </c>
      <c r="J59" s="164">
        <v>0.60000001999999997</v>
      </c>
      <c r="K59" s="164">
        <v>0.33333333999999998</v>
      </c>
      <c r="L59" s="164">
        <v>0.60000001999999997</v>
      </c>
      <c r="M59" s="164">
        <v>0.75</v>
      </c>
      <c r="N59" s="164">
        <v>0.5</v>
      </c>
      <c r="O59" s="164">
        <v>0.5</v>
      </c>
      <c r="P59" s="164">
        <v>0.75</v>
      </c>
      <c r="Q59" s="164">
        <v>0.5</v>
      </c>
      <c r="R59" s="164">
        <v>0.33333333999999998</v>
      </c>
      <c r="S59" s="164">
        <v>0.625</v>
      </c>
      <c r="T59" s="164">
        <v>0.625</v>
      </c>
      <c r="U59" s="164">
        <v>0.5</v>
      </c>
      <c r="V59" s="164">
        <v>0.66666669000000001</v>
      </c>
      <c r="W59" s="164">
        <v>0.71428572999999995</v>
      </c>
      <c r="X59" s="164">
        <v>0.30000000999999998</v>
      </c>
      <c r="Y59" s="164">
        <v>0.16666666999999999</v>
      </c>
      <c r="Z59" s="164">
        <v>0.5</v>
      </c>
      <c r="AA59" s="164">
        <v>0.5</v>
      </c>
      <c r="AB59" s="164">
        <v>0.33333333999999998</v>
      </c>
      <c r="AC59" s="164">
        <v>0.16666666999999999</v>
      </c>
      <c r="AD59" s="164">
        <v>0.5</v>
      </c>
      <c r="AE59" s="164">
        <v>0.33333333999999998</v>
      </c>
      <c r="AF59" s="164">
        <v>1</v>
      </c>
    </row>
    <row r="60" spans="1:32" s="153" customFormat="1" ht="31.5" customHeight="1" x14ac:dyDescent="0.25">
      <c r="A60" s="154" t="s">
        <v>3052</v>
      </c>
      <c r="B60" s="152" t="s">
        <v>3053</v>
      </c>
      <c r="C60" s="184">
        <v>0.40080589999999999</v>
      </c>
      <c r="D60" s="184">
        <v>0.42375000000000002</v>
      </c>
      <c r="E60" s="184">
        <v>0.1166667</v>
      </c>
      <c r="F60" s="184">
        <v>0.71250000000000002</v>
      </c>
      <c r="G60" s="167">
        <v>0.5625</v>
      </c>
      <c r="H60" s="165">
        <v>0.57499999000000002</v>
      </c>
      <c r="I60" s="165">
        <v>0.33333333999999998</v>
      </c>
      <c r="J60" s="165">
        <v>0.44999999000000002</v>
      </c>
      <c r="K60" s="165">
        <v>0.28333332999999999</v>
      </c>
      <c r="L60" s="165">
        <v>0.435</v>
      </c>
      <c r="M60" s="165">
        <v>0.60000001999999997</v>
      </c>
      <c r="N60" s="165">
        <v>0.20714286000000001</v>
      </c>
      <c r="O60" s="165">
        <v>0.25</v>
      </c>
      <c r="P60" s="165">
        <v>0.44999999000000002</v>
      </c>
      <c r="Q60" s="165">
        <v>0.40000001000000002</v>
      </c>
      <c r="R60" s="165">
        <v>0.11666667</v>
      </c>
      <c r="S60" s="165">
        <v>0.71249998000000003</v>
      </c>
      <c r="T60" s="165">
        <v>0.44999999000000002</v>
      </c>
      <c r="U60" s="165">
        <v>0.41249998999999998</v>
      </c>
      <c r="V60" s="165">
        <v>0.44999999000000002</v>
      </c>
      <c r="W60" s="165">
        <v>0.65714287999999998</v>
      </c>
      <c r="X60" s="165">
        <v>0.13</v>
      </c>
      <c r="Y60" s="165">
        <v>0.26666667999999999</v>
      </c>
      <c r="Z60" s="165">
        <v>0.47499998999999998</v>
      </c>
      <c r="AA60" s="165">
        <v>0.3125</v>
      </c>
      <c r="AB60" s="165">
        <v>0.40000001000000002</v>
      </c>
      <c r="AC60" s="165">
        <v>0.46666667000000001</v>
      </c>
      <c r="AD60" s="165">
        <v>0.25</v>
      </c>
      <c r="AE60" s="165">
        <v>0.25</v>
      </c>
      <c r="AF60" s="165">
        <v>0.52499998000000003</v>
      </c>
    </row>
    <row r="61" spans="1:32" s="153" customFormat="1" ht="31.5" customHeight="1" x14ac:dyDescent="0.25">
      <c r="A61" s="149" t="s">
        <v>3054</v>
      </c>
      <c r="B61" s="151" t="s">
        <v>3055</v>
      </c>
      <c r="C61" s="183">
        <v>0.39278849999999998</v>
      </c>
      <c r="D61" s="183">
        <v>0.4270833</v>
      </c>
      <c r="E61" s="183">
        <v>0</v>
      </c>
      <c r="F61" s="183">
        <v>0.75</v>
      </c>
      <c r="G61" s="166">
        <v>0.6875</v>
      </c>
      <c r="H61" s="164">
        <v>0.625</v>
      </c>
      <c r="I61" s="164">
        <v>8.3333340000000006E-2</v>
      </c>
      <c r="J61" s="164">
        <v>0.60000001999999997</v>
      </c>
      <c r="K61" s="164">
        <v>0.41666666000000002</v>
      </c>
      <c r="L61" s="164">
        <v>0.47499998999999998</v>
      </c>
      <c r="M61" s="164">
        <v>0.58333330999999999</v>
      </c>
      <c r="N61" s="164">
        <v>7.1428569999999997E-2</v>
      </c>
      <c r="O61" s="164">
        <v>8.3333340000000006E-2</v>
      </c>
      <c r="P61" s="164">
        <v>0.25</v>
      </c>
      <c r="Q61" s="164">
        <v>0.58333330999999999</v>
      </c>
      <c r="R61" s="164">
        <v>0.16666666999999999</v>
      </c>
      <c r="S61" s="164">
        <v>0.6875</v>
      </c>
      <c r="T61" s="164">
        <v>0.25</v>
      </c>
      <c r="U61" s="164">
        <v>0.25</v>
      </c>
      <c r="V61" s="164">
        <v>0.75</v>
      </c>
      <c r="W61" s="164">
        <v>0.67857140000000005</v>
      </c>
      <c r="X61" s="164">
        <v>0.2</v>
      </c>
      <c r="Y61" s="164">
        <v>0.16666666999999999</v>
      </c>
      <c r="Z61" s="164">
        <v>0.4375</v>
      </c>
      <c r="AA61" s="164">
        <v>0.25</v>
      </c>
      <c r="AB61" s="164">
        <v>0.58333330999999999</v>
      </c>
      <c r="AC61" s="164">
        <v>0.5</v>
      </c>
      <c r="AD61" s="164">
        <v>0</v>
      </c>
      <c r="AE61" s="164">
        <v>0.45833333999999998</v>
      </c>
      <c r="AF61" s="164">
        <v>0.375</v>
      </c>
    </row>
    <row r="62" spans="1:32" s="146" customFormat="1" ht="31.5" customHeight="1" x14ac:dyDescent="0.25">
      <c r="A62" s="147" t="s">
        <v>3096</v>
      </c>
      <c r="B62" s="148"/>
      <c r="C62" s="182">
        <v>0.41778379999999998</v>
      </c>
      <c r="D62" s="182">
        <v>0.433</v>
      </c>
      <c r="E62" s="182">
        <v>0.19428570000000001</v>
      </c>
      <c r="F62" s="182">
        <v>0.74</v>
      </c>
      <c r="G62" s="163">
        <v>0.55357140000000005</v>
      </c>
      <c r="H62" s="163">
        <v>0.59500003000000001</v>
      </c>
      <c r="I62" s="163">
        <v>0.36250000999999998</v>
      </c>
      <c r="J62" s="163">
        <v>0.55333334000000001</v>
      </c>
      <c r="K62" s="163">
        <v>0.26600000000000001</v>
      </c>
      <c r="L62" s="163">
        <v>0.34666666000000002</v>
      </c>
      <c r="M62" s="163">
        <v>0.61500001000000004</v>
      </c>
      <c r="N62" s="163">
        <v>0.21333334000000001</v>
      </c>
      <c r="O62" s="163">
        <v>0.433</v>
      </c>
      <c r="P62" s="163">
        <v>0.31666665999999999</v>
      </c>
      <c r="Q62" s="163">
        <v>0.32875000999999998</v>
      </c>
      <c r="R62" s="163">
        <v>0.19428572</v>
      </c>
      <c r="S62" s="163">
        <v>0.74000001000000004</v>
      </c>
      <c r="T62" s="163">
        <v>0.30500000999999999</v>
      </c>
      <c r="U62" s="163">
        <v>0.50749999000000001</v>
      </c>
      <c r="V62" s="163">
        <v>0.44999999000000002</v>
      </c>
      <c r="W62" s="163">
        <v>0.47666666000000002</v>
      </c>
      <c r="X62" s="163">
        <v>0.29249998999999999</v>
      </c>
      <c r="Y62" s="163">
        <v>0.28083332999999999</v>
      </c>
      <c r="Z62" s="163">
        <v>0.43625000000000003</v>
      </c>
      <c r="AA62" s="163"/>
      <c r="AB62" s="163">
        <v>0.44999999000000002</v>
      </c>
      <c r="AC62" s="163">
        <v>0.31</v>
      </c>
      <c r="AD62" s="163">
        <v>0.63166666000000005</v>
      </c>
      <c r="AE62" s="163">
        <v>0.19857142999999999</v>
      </c>
      <c r="AF62" s="163">
        <v>0.58749998000000003</v>
      </c>
    </row>
    <row r="63" spans="1:32" s="153" customFormat="1" ht="31.5" customHeight="1" x14ac:dyDescent="0.25">
      <c r="A63" s="149" t="s">
        <v>3044</v>
      </c>
      <c r="B63" s="151" t="s">
        <v>3045</v>
      </c>
      <c r="C63" s="183">
        <v>0.46773429999999999</v>
      </c>
      <c r="D63" s="183">
        <v>0.438</v>
      </c>
      <c r="E63" s="183">
        <v>0.1257143</v>
      </c>
      <c r="F63" s="183">
        <v>0.89</v>
      </c>
      <c r="G63" s="166">
        <v>0.62571429999999995</v>
      </c>
      <c r="H63" s="164">
        <v>0.57999997999999997</v>
      </c>
      <c r="I63" s="164">
        <v>0.43799999000000001</v>
      </c>
      <c r="J63" s="164">
        <v>0.64666665000000001</v>
      </c>
      <c r="K63" s="164">
        <v>0.28000000000000003</v>
      </c>
      <c r="L63" s="164">
        <v>0.31999999000000001</v>
      </c>
      <c r="M63" s="164">
        <v>0.75999998999999996</v>
      </c>
      <c r="N63" s="164">
        <v>0.21333334000000001</v>
      </c>
      <c r="O63" s="164">
        <v>0.51999998000000003</v>
      </c>
      <c r="P63" s="164">
        <v>0.37333333000000002</v>
      </c>
      <c r="Q63" s="164">
        <v>0.29750000999999998</v>
      </c>
      <c r="R63" s="164">
        <v>0.19142856999999999</v>
      </c>
      <c r="S63" s="164">
        <v>0.88999998999999996</v>
      </c>
      <c r="T63" s="164">
        <v>0.38999999000000002</v>
      </c>
      <c r="U63" s="164">
        <v>0.63</v>
      </c>
      <c r="V63" s="164">
        <v>0.43000000999999999</v>
      </c>
      <c r="W63" s="164">
        <v>0.52666663999999996</v>
      </c>
      <c r="X63" s="164">
        <v>0.30000000999999998</v>
      </c>
      <c r="Y63" s="164">
        <v>0.36666666999999997</v>
      </c>
      <c r="Z63" s="164">
        <v>0.45249999000000002</v>
      </c>
      <c r="AA63" s="164"/>
      <c r="AB63" s="164">
        <v>0.57666664999999995</v>
      </c>
      <c r="AC63" s="164">
        <v>0.38</v>
      </c>
      <c r="AD63" s="164">
        <v>0.66666669000000001</v>
      </c>
      <c r="AE63" s="164">
        <v>0.12571429000000001</v>
      </c>
      <c r="AF63" s="164">
        <v>0.71249998000000003</v>
      </c>
    </row>
    <row r="64" spans="1:32" s="153" customFormat="1" ht="31.5" customHeight="1" x14ac:dyDescent="0.25">
      <c r="A64" s="154" t="s">
        <v>3046</v>
      </c>
      <c r="B64" s="152" t="s">
        <v>3088</v>
      </c>
      <c r="C64" s="184">
        <v>0.56195949999999995</v>
      </c>
      <c r="D64" s="184">
        <v>0.53749999999999998</v>
      </c>
      <c r="E64" s="184">
        <v>0.32142860000000001</v>
      </c>
      <c r="F64" s="184">
        <v>0.8</v>
      </c>
      <c r="G64" s="167">
        <v>0.61785716000000002</v>
      </c>
      <c r="H64" s="165">
        <v>0.77499998000000003</v>
      </c>
      <c r="I64" s="165">
        <v>0.46250001000000002</v>
      </c>
      <c r="J64" s="165">
        <v>0.69999999000000002</v>
      </c>
      <c r="K64" s="165">
        <v>0.41999998999999999</v>
      </c>
      <c r="L64" s="165">
        <v>0.46666667000000001</v>
      </c>
      <c r="M64" s="165">
        <v>0.77499998000000003</v>
      </c>
      <c r="N64" s="165">
        <v>0.43333334000000001</v>
      </c>
      <c r="O64" s="165">
        <v>0.61500001000000004</v>
      </c>
      <c r="P64" s="165">
        <v>0.46666667000000001</v>
      </c>
      <c r="Q64" s="165">
        <v>0.55000000999999998</v>
      </c>
      <c r="R64" s="165">
        <v>0.32142857000000002</v>
      </c>
      <c r="S64" s="165">
        <v>0.77499998000000003</v>
      </c>
      <c r="T64" s="165">
        <v>0.36666666999999997</v>
      </c>
      <c r="U64" s="165">
        <v>0.6875</v>
      </c>
      <c r="V64" s="165">
        <v>0.80000000999999998</v>
      </c>
      <c r="W64" s="165">
        <v>0.75</v>
      </c>
      <c r="X64" s="165">
        <v>0.53750001999999997</v>
      </c>
      <c r="Y64" s="165">
        <v>0.38749999000000002</v>
      </c>
      <c r="Z64" s="165">
        <v>0.60000001999999997</v>
      </c>
      <c r="AA64" s="165"/>
      <c r="AB64" s="165">
        <v>0.39166667999999999</v>
      </c>
      <c r="AC64" s="165">
        <v>0.40000001000000002</v>
      </c>
      <c r="AD64" s="165">
        <v>0.74166666999999997</v>
      </c>
      <c r="AE64" s="165">
        <v>0.51428574000000005</v>
      </c>
      <c r="AF64" s="165">
        <v>0.49375001000000002</v>
      </c>
    </row>
    <row r="65" spans="1:32" s="153" customFormat="1" ht="31.5" customHeight="1" x14ac:dyDescent="0.25">
      <c r="A65" s="149" t="s">
        <v>3052</v>
      </c>
      <c r="B65" s="151" t="s">
        <v>3053</v>
      </c>
      <c r="C65" s="183">
        <v>0.1515048</v>
      </c>
      <c r="D65" s="183">
        <v>0.15</v>
      </c>
      <c r="E65" s="183">
        <v>0</v>
      </c>
      <c r="F65" s="183">
        <v>0.5</v>
      </c>
      <c r="G65" s="166">
        <v>0.12857144000000001</v>
      </c>
      <c r="H65" s="164">
        <v>0.5</v>
      </c>
      <c r="I65" s="164">
        <v>0.06</v>
      </c>
      <c r="J65" s="164">
        <v>0.2</v>
      </c>
      <c r="K65" s="164">
        <v>0.06</v>
      </c>
      <c r="L65" s="164">
        <v>0.25</v>
      </c>
      <c r="M65" s="164">
        <v>0</v>
      </c>
      <c r="N65" s="164">
        <v>0</v>
      </c>
      <c r="O65" s="164">
        <v>0.12</v>
      </c>
      <c r="P65" s="164">
        <v>0.1</v>
      </c>
      <c r="Q65" s="164">
        <v>0.22499999000000001</v>
      </c>
      <c r="R65" s="164">
        <v>4.2857140000000002E-2</v>
      </c>
      <c r="S65" s="164">
        <v>0.30000000999999998</v>
      </c>
      <c r="T65" s="164">
        <v>0.1</v>
      </c>
      <c r="U65" s="164">
        <v>0.15000000999999999</v>
      </c>
      <c r="V65" s="164">
        <v>0.15000000999999999</v>
      </c>
      <c r="W65" s="164">
        <v>0.2</v>
      </c>
      <c r="X65" s="164">
        <v>0</v>
      </c>
      <c r="Y65" s="164">
        <v>0</v>
      </c>
      <c r="Z65" s="164">
        <v>0.15000000999999999</v>
      </c>
      <c r="AA65" s="164"/>
      <c r="AB65" s="164">
        <v>0.2</v>
      </c>
      <c r="AC65" s="164">
        <v>0.15000000999999999</v>
      </c>
      <c r="AD65" s="164">
        <v>0.43333334000000001</v>
      </c>
      <c r="AE65" s="164">
        <v>4.2857140000000002E-2</v>
      </c>
      <c r="AF65" s="164">
        <v>0.22499999000000001</v>
      </c>
    </row>
    <row r="66" spans="1:32" s="153" customFormat="1" ht="31.5" customHeight="1" x14ac:dyDescent="0.25">
      <c r="A66" s="154" t="s">
        <v>3054</v>
      </c>
      <c r="B66" s="152" t="s">
        <v>3055</v>
      </c>
      <c r="C66" s="184">
        <v>0.28187139999999999</v>
      </c>
      <c r="D66" s="184">
        <v>0.22500000000000001</v>
      </c>
      <c r="E66" s="184">
        <v>0.1</v>
      </c>
      <c r="F66" s="184">
        <v>0.55000000000000004</v>
      </c>
      <c r="G66" s="167">
        <v>0.52142858999999997</v>
      </c>
      <c r="H66" s="165">
        <v>0.5</v>
      </c>
      <c r="I66" s="165">
        <v>0.22499999000000001</v>
      </c>
      <c r="J66" s="165">
        <v>0.34999998999999998</v>
      </c>
      <c r="K66" s="165">
        <v>0.18000000999999999</v>
      </c>
      <c r="L66" s="165">
        <v>0.34166667000000001</v>
      </c>
      <c r="M66" s="165">
        <v>0.40000001000000002</v>
      </c>
      <c r="N66" s="165">
        <v>0.1</v>
      </c>
      <c r="O66" s="165">
        <v>0.19</v>
      </c>
      <c r="P66" s="165">
        <v>0.13333333999999999</v>
      </c>
      <c r="Q66" s="165">
        <v>0.23749999999999999</v>
      </c>
      <c r="R66" s="165">
        <v>0.15000000999999999</v>
      </c>
      <c r="S66" s="165">
        <v>0.55000000999999998</v>
      </c>
      <c r="T66" s="165">
        <v>0.13333333999999999</v>
      </c>
      <c r="U66" s="165">
        <v>0.2</v>
      </c>
      <c r="V66" s="165">
        <v>0.30000000999999998</v>
      </c>
      <c r="W66" s="165">
        <v>0.21666667000000001</v>
      </c>
      <c r="X66" s="165">
        <v>0.17499999999999999</v>
      </c>
      <c r="Y66" s="165">
        <v>0.1</v>
      </c>
      <c r="Z66" s="165">
        <v>0.375</v>
      </c>
      <c r="AA66" s="165"/>
      <c r="AB66" s="165">
        <v>0.31666665999999999</v>
      </c>
      <c r="AC66" s="165">
        <v>0.125</v>
      </c>
      <c r="AD66" s="165">
        <v>0.53333335999999998</v>
      </c>
      <c r="AE66" s="165">
        <v>0.14285714999999999</v>
      </c>
      <c r="AF66" s="165">
        <v>0.55000000999999998</v>
      </c>
    </row>
    <row r="67" spans="1:32" s="146" customFormat="1" ht="31.5" customHeight="1" x14ac:dyDescent="0.25">
      <c r="A67" s="147" t="s">
        <v>3097</v>
      </c>
      <c r="B67" s="148"/>
      <c r="C67" s="182">
        <v>0.43419550000000001</v>
      </c>
      <c r="D67" s="182">
        <v>0.42566670000000001</v>
      </c>
      <c r="E67" s="182">
        <v>0.16333329999999999</v>
      </c>
      <c r="F67" s="182">
        <v>0.76</v>
      </c>
      <c r="G67" s="163">
        <v>0.75999998999999996</v>
      </c>
      <c r="H67" s="163">
        <v>0.72199999999999998</v>
      </c>
      <c r="I67" s="163">
        <v>0.32600000000000001</v>
      </c>
      <c r="J67" s="163">
        <v>0.54000002000000003</v>
      </c>
      <c r="K67" s="163">
        <v>0.47499998999999998</v>
      </c>
      <c r="L67" s="163">
        <v>0.38</v>
      </c>
      <c r="M67" s="163">
        <v>0.46000001000000001</v>
      </c>
      <c r="N67" s="163">
        <v>0.18000000999999999</v>
      </c>
      <c r="O67" s="163">
        <v>0.34333332999999999</v>
      </c>
      <c r="P67" s="163">
        <v>0.43799999000000001</v>
      </c>
      <c r="Q67" s="163">
        <v>0.41333333</v>
      </c>
      <c r="R67" s="163">
        <v>0.30125001000000001</v>
      </c>
      <c r="S67" s="163">
        <v>0.625</v>
      </c>
      <c r="T67" s="163">
        <v>0.46666667000000001</v>
      </c>
      <c r="U67" s="163">
        <v>0.34999998999999998</v>
      </c>
      <c r="V67" s="163">
        <v>0.63999998999999996</v>
      </c>
      <c r="W67" s="163">
        <v>0.35666664999999997</v>
      </c>
      <c r="X67" s="163">
        <v>0.20333333000000001</v>
      </c>
      <c r="Y67" s="163">
        <v>0.1825</v>
      </c>
      <c r="Z67" s="163">
        <v>0.47</v>
      </c>
      <c r="AA67" s="163">
        <v>0.16333333</v>
      </c>
      <c r="AB67" s="163">
        <v>0.6825</v>
      </c>
      <c r="AC67" s="163">
        <v>0.22</v>
      </c>
      <c r="AD67" s="163">
        <v>0.62599998999999995</v>
      </c>
      <c r="AE67" s="163">
        <v>0.34749999999999998</v>
      </c>
      <c r="AF67" s="163">
        <v>0.61666666999999997</v>
      </c>
    </row>
    <row r="68" spans="1:32" s="153" customFormat="1" ht="31.5" customHeight="1" x14ac:dyDescent="0.25">
      <c r="A68" s="149" t="s">
        <v>3044</v>
      </c>
      <c r="B68" s="151" t="s">
        <v>3045</v>
      </c>
      <c r="C68" s="183">
        <v>0.54472940000000003</v>
      </c>
      <c r="D68" s="183">
        <v>0.52380959999999999</v>
      </c>
      <c r="E68" s="183">
        <v>0.25</v>
      </c>
      <c r="F68" s="183">
        <v>0.95238100000000003</v>
      </c>
      <c r="G68" s="166">
        <v>0.75595235999999999</v>
      </c>
      <c r="H68" s="164">
        <v>0.62857145000000003</v>
      </c>
      <c r="I68" s="164">
        <v>0.46666667000000001</v>
      </c>
      <c r="J68" s="164">
        <v>0.58333330999999999</v>
      </c>
      <c r="K68" s="164">
        <v>0.64285713</v>
      </c>
      <c r="L68" s="164">
        <v>0.52380954999999996</v>
      </c>
      <c r="M68" s="164">
        <v>0.55952382000000001</v>
      </c>
      <c r="N68" s="164">
        <v>0.26190478</v>
      </c>
      <c r="O68" s="164">
        <v>0.59788357999999997</v>
      </c>
      <c r="P68" s="164">
        <v>0.45714285999999998</v>
      </c>
      <c r="Q68" s="164">
        <v>0.49206348999999999</v>
      </c>
      <c r="R68" s="164">
        <v>0.50595235999999999</v>
      </c>
      <c r="S68" s="164">
        <v>0.52380954999999996</v>
      </c>
      <c r="T68" s="164">
        <v>0.49206348999999999</v>
      </c>
      <c r="U68" s="164">
        <v>0.53571427000000005</v>
      </c>
      <c r="V68" s="164">
        <v>0.66666669000000001</v>
      </c>
      <c r="W68" s="164">
        <v>0.46031746000000001</v>
      </c>
      <c r="X68" s="164">
        <v>0.26984128000000002</v>
      </c>
      <c r="Y68" s="164">
        <v>0.25</v>
      </c>
      <c r="Z68" s="164">
        <v>0.95238096000000005</v>
      </c>
      <c r="AA68" s="164">
        <v>0.41269842000000001</v>
      </c>
      <c r="AB68" s="164">
        <v>0.73809522000000005</v>
      </c>
      <c r="AC68" s="164">
        <v>0.47619048000000003</v>
      </c>
      <c r="AD68" s="164">
        <v>0.64761906999999996</v>
      </c>
      <c r="AE68" s="164">
        <v>0.35714287</v>
      </c>
      <c r="AF68" s="164">
        <v>0.90476190999999995</v>
      </c>
    </row>
    <row r="69" spans="1:32" s="153" customFormat="1" ht="31.5" customHeight="1" x14ac:dyDescent="0.25">
      <c r="A69" s="154" t="s">
        <v>3046</v>
      </c>
      <c r="B69" s="152" t="s">
        <v>3088</v>
      </c>
      <c r="C69" s="184">
        <v>0.36507119999999998</v>
      </c>
      <c r="D69" s="184">
        <v>0.3333333</v>
      </c>
      <c r="E69" s="184">
        <v>5.5555599999999997E-2</v>
      </c>
      <c r="F69" s="184">
        <v>0.76</v>
      </c>
      <c r="G69" s="167">
        <v>0.63333333000000003</v>
      </c>
      <c r="H69" s="165">
        <v>0.75999998999999996</v>
      </c>
      <c r="I69" s="165">
        <v>0.45333335000000002</v>
      </c>
      <c r="J69" s="165">
        <v>0.67500000999999998</v>
      </c>
      <c r="K69" s="165">
        <v>0.34999998999999998</v>
      </c>
      <c r="L69" s="165">
        <v>0.33333333999999998</v>
      </c>
      <c r="M69" s="165">
        <v>0.36666666999999997</v>
      </c>
      <c r="N69" s="165">
        <v>8.8888889999999998E-2</v>
      </c>
      <c r="O69" s="165">
        <v>0.31851852000000003</v>
      </c>
      <c r="P69" s="165">
        <v>0.36000000999999998</v>
      </c>
      <c r="Q69" s="165">
        <v>0.30000000999999998</v>
      </c>
      <c r="R69" s="165">
        <v>0.21666667000000001</v>
      </c>
      <c r="S69" s="165">
        <v>0.56666665999999999</v>
      </c>
      <c r="T69" s="165">
        <v>0.38888889999999998</v>
      </c>
      <c r="U69" s="165">
        <v>0.33333333999999998</v>
      </c>
      <c r="V69" s="165">
        <v>0.60000001999999997</v>
      </c>
      <c r="W69" s="165">
        <v>0.2888889</v>
      </c>
      <c r="X69" s="165">
        <v>5.5555559999999997E-2</v>
      </c>
      <c r="Y69" s="165">
        <v>0.13333333999999999</v>
      </c>
      <c r="Z69" s="165">
        <v>0.23333333000000001</v>
      </c>
      <c r="AA69" s="165">
        <v>0.11111111</v>
      </c>
      <c r="AB69" s="165">
        <v>0.53333335999999998</v>
      </c>
      <c r="AC69" s="165">
        <v>0.23333333000000001</v>
      </c>
      <c r="AD69" s="165">
        <v>0.60000001999999997</v>
      </c>
      <c r="AE69" s="165">
        <v>0.25833333000000003</v>
      </c>
      <c r="AF69" s="165">
        <v>0.30000000999999998</v>
      </c>
    </row>
    <row r="70" spans="1:32" s="153" customFormat="1" ht="31.5" customHeight="1" x14ac:dyDescent="0.25">
      <c r="A70" s="149" t="s">
        <v>3050</v>
      </c>
      <c r="B70" s="151" t="s">
        <v>3089</v>
      </c>
      <c r="C70" s="183">
        <v>0.5629731</v>
      </c>
      <c r="D70" s="183">
        <v>0.58333330000000005</v>
      </c>
      <c r="E70" s="183">
        <v>0</v>
      </c>
      <c r="F70" s="183">
        <v>1</v>
      </c>
      <c r="G70" s="166">
        <v>0.875</v>
      </c>
      <c r="H70" s="164">
        <v>1</v>
      </c>
      <c r="I70" s="164">
        <v>0</v>
      </c>
      <c r="J70" s="164">
        <v>0.58333330999999999</v>
      </c>
      <c r="K70" s="164">
        <v>0.58333330999999999</v>
      </c>
      <c r="L70" s="164">
        <v>1</v>
      </c>
      <c r="M70" s="164">
        <v>0.75</v>
      </c>
      <c r="N70" s="164">
        <v>0.44444444999999999</v>
      </c>
      <c r="O70" s="164">
        <v>0.22222222</v>
      </c>
      <c r="P70" s="164">
        <v>0.40000001000000002</v>
      </c>
      <c r="Q70" s="164">
        <v>0.44444444999999999</v>
      </c>
      <c r="R70" s="164">
        <v>0.375</v>
      </c>
      <c r="S70" s="164">
        <v>0.83333330999999999</v>
      </c>
      <c r="T70" s="164">
        <v>0.77777779000000002</v>
      </c>
      <c r="U70" s="164">
        <v>0.41666666000000002</v>
      </c>
      <c r="V70" s="164">
        <v>0.80952382000000001</v>
      </c>
      <c r="W70" s="164">
        <v>0.66666669000000001</v>
      </c>
      <c r="X70" s="164">
        <v>0.33333333999999998</v>
      </c>
      <c r="Y70" s="164">
        <v>0.33333333999999998</v>
      </c>
      <c r="Z70" s="164">
        <v>0.66666669000000001</v>
      </c>
      <c r="AA70" s="164">
        <v>0.11111111</v>
      </c>
      <c r="AB70" s="164">
        <v>0.66666669000000001</v>
      </c>
      <c r="AC70" s="164">
        <v>0.33333333999999998</v>
      </c>
      <c r="AD70" s="164">
        <v>0.73333334999999999</v>
      </c>
      <c r="AE70" s="164">
        <v>0.5</v>
      </c>
      <c r="AF70" s="164">
        <v>0.77777779000000002</v>
      </c>
    </row>
    <row r="71" spans="1:32" s="153" customFormat="1" ht="31.5" customHeight="1" x14ac:dyDescent="0.25">
      <c r="A71" s="154" t="s">
        <v>3054</v>
      </c>
      <c r="B71" s="152" t="s">
        <v>3055</v>
      </c>
      <c r="C71" s="184">
        <v>0.37010300000000002</v>
      </c>
      <c r="D71" s="184">
        <v>0.35294120000000001</v>
      </c>
      <c r="E71" s="184">
        <v>0</v>
      </c>
      <c r="F71" s="184">
        <v>0.82352939999999997</v>
      </c>
      <c r="G71" s="167">
        <v>0.82352941999999996</v>
      </c>
      <c r="H71" s="165">
        <v>0.62352943000000005</v>
      </c>
      <c r="I71" s="165">
        <v>0.27058824999999997</v>
      </c>
      <c r="J71" s="165">
        <v>0.375</v>
      </c>
      <c r="K71" s="165">
        <v>0.43382353000000001</v>
      </c>
      <c r="L71" s="165">
        <v>5.8823529999999999E-2</v>
      </c>
      <c r="M71" s="165">
        <v>0.35294119000000002</v>
      </c>
      <c r="N71" s="165">
        <v>9.3137259999999999E-2</v>
      </c>
      <c r="O71" s="165">
        <v>0.26143791999999999</v>
      </c>
      <c r="P71" s="165">
        <v>0.51176471000000001</v>
      </c>
      <c r="Q71" s="165">
        <v>0.4509804</v>
      </c>
      <c r="R71" s="165">
        <v>0.21691176000000001</v>
      </c>
      <c r="S71" s="165">
        <v>0.64705884000000002</v>
      </c>
      <c r="T71" s="165">
        <v>0.38235295000000002</v>
      </c>
      <c r="U71" s="165">
        <v>0.22058823999999999</v>
      </c>
      <c r="V71" s="165">
        <v>0.58403360999999998</v>
      </c>
      <c r="W71" s="165">
        <v>0.21568628000000001</v>
      </c>
      <c r="X71" s="165">
        <v>0.23529412</v>
      </c>
      <c r="Y71" s="165">
        <v>0.11764706</v>
      </c>
      <c r="Z71" s="165">
        <v>0.29411766</v>
      </c>
      <c r="AA71" s="165">
        <v>7.8431379999999995E-2</v>
      </c>
      <c r="AB71" s="165">
        <v>0.78676467999999999</v>
      </c>
      <c r="AC71" s="165">
        <v>0</v>
      </c>
      <c r="AD71" s="165">
        <v>0.58823532000000001</v>
      </c>
      <c r="AE71" s="165">
        <v>0.35294119000000002</v>
      </c>
      <c r="AF71" s="165">
        <v>0.64705884000000002</v>
      </c>
    </row>
    <row r="72" spans="1:32" s="146" customFormat="1" ht="31.5" customHeight="1" x14ac:dyDescent="0.25">
      <c r="A72" s="147" t="s">
        <v>3098</v>
      </c>
      <c r="B72" s="148"/>
      <c r="C72" s="182">
        <v>0.46327200000000002</v>
      </c>
      <c r="D72" s="182">
        <v>0.4130952</v>
      </c>
      <c r="E72" s="182">
        <v>0.185</v>
      </c>
      <c r="F72" s="182">
        <v>0.71</v>
      </c>
      <c r="G72" s="163">
        <v>0.55000000999999998</v>
      </c>
      <c r="H72" s="163">
        <v>0.66000002999999996</v>
      </c>
      <c r="I72" s="163">
        <v>0.31600001</v>
      </c>
      <c r="J72" s="163">
        <v>0.58333330999999999</v>
      </c>
      <c r="K72" s="163">
        <v>0.55000000999999998</v>
      </c>
      <c r="L72" s="163">
        <v>0.35499998999999999</v>
      </c>
      <c r="M72" s="163">
        <v>0.41333333</v>
      </c>
      <c r="N72" s="163">
        <v>0.33750001000000002</v>
      </c>
      <c r="O72" s="163">
        <v>0.52499998000000003</v>
      </c>
      <c r="P72" s="163">
        <v>0.69333332999999997</v>
      </c>
      <c r="Q72" s="163">
        <v>0.32600000000000001</v>
      </c>
      <c r="R72" s="163">
        <v>0.49142858</v>
      </c>
      <c r="S72" s="163">
        <v>0.66666669000000001</v>
      </c>
      <c r="T72" s="163">
        <v>0.39750001000000001</v>
      </c>
      <c r="U72" s="163">
        <v>0.43333334000000001</v>
      </c>
      <c r="V72" s="163">
        <v>0.70999997999999997</v>
      </c>
      <c r="W72" s="163">
        <v>0.36000000999999998</v>
      </c>
      <c r="X72" s="163">
        <v>0.30500000999999999</v>
      </c>
      <c r="Y72" s="163">
        <v>0.185</v>
      </c>
      <c r="Z72" s="163">
        <v>0.41285715000000001</v>
      </c>
      <c r="AA72" s="163">
        <v>0.32200000000000001</v>
      </c>
      <c r="AB72" s="163">
        <v>0.57666664999999995</v>
      </c>
      <c r="AC72" s="163">
        <v>0.39333335000000003</v>
      </c>
      <c r="AD72" s="163">
        <v>0.6842857</v>
      </c>
      <c r="AE72" s="163">
        <v>0.40500000000000003</v>
      </c>
      <c r="AF72" s="163">
        <v>0.39250001000000001</v>
      </c>
    </row>
    <row r="73" spans="1:32" s="153" customFormat="1" ht="31.5" customHeight="1" x14ac:dyDescent="0.25">
      <c r="A73" s="149" t="s">
        <v>3044</v>
      </c>
      <c r="B73" s="151" t="s">
        <v>3045</v>
      </c>
      <c r="C73" s="183">
        <v>0.50304159999999998</v>
      </c>
      <c r="D73" s="183">
        <v>0.46726190000000001</v>
      </c>
      <c r="E73" s="183">
        <v>0.32142860000000001</v>
      </c>
      <c r="F73" s="183">
        <v>0.86904760000000003</v>
      </c>
      <c r="G73" s="166">
        <v>0.47857140999999997</v>
      </c>
      <c r="H73" s="164">
        <v>0.64285713</v>
      </c>
      <c r="I73" s="164">
        <v>0.44999999000000002</v>
      </c>
      <c r="J73" s="164">
        <v>0.47619048000000003</v>
      </c>
      <c r="K73" s="164">
        <v>0.58928572999999995</v>
      </c>
      <c r="L73" s="164">
        <v>0.5</v>
      </c>
      <c r="M73" s="164">
        <v>0.39285713</v>
      </c>
      <c r="N73" s="164">
        <v>0.41964287</v>
      </c>
      <c r="O73" s="164">
        <v>0.59821427000000005</v>
      </c>
      <c r="P73" s="164">
        <v>0.86904764000000001</v>
      </c>
      <c r="Q73" s="164">
        <v>0.42857142999999998</v>
      </c>
      <c r="R73" s="164">
        <v>0.57142859999999995</v>
      </c>
      <c r="S73" s="164">
        <v>0.73809522000000005</v>
      </c>
      <c r="T73" s="164">
        <v>0.53571427000000005</v>
      </c>
      <c r="U73" s="164">
        <v>0.42857142999999998</v>
      </c>
      <c r="V73" s="164">
        <v>0.72619045000000004</v>
      </c>
      <c r="W73" s="164">
        <v>0.39285713</v>
      </c>
      <c r="X73" s="164">
        <v>0.32142857000000002</v>
      </c>
      <c r="Y73" s="164">
        <v>0.32142857000000002</v>
      </c>
      <c r="Z73" s="164">
        <v>0.42346939</v>
      </c>
      <c r="AA73" s="164">
        <v>0.39285713</v>
      </c>
      <c r="AB73" s="164">
        <v>0.5</v>
      </c>
      <c r="AC73" s="164">
        <v>0.45833333999999998</v>
      </c>
      <c r="AD73" s="164">
        <v>0.67346936000000002</v>
      </c>
      <c r="AE73" s="164">
        <v>0.32142857000000002</v>
      </c>
      <c r="AF73" s="164">
        <v>0.42857142999999998</v>
      </c>
    </row>
    <row r="74" spans="1:32" s="153" customFormat="1" ht="31.5" customHeight="1" x14ac:dyDescent="0.25">
      <c r="A74" s="154" t="s">
        <v>3046</v>
      </c>
      <c r="B74" s="152" t="s">
        <v>3088</v>
      </c>
      <c r="C74" s="184">
        <v>0.3671123</v>
      </c>
      <c r="D74" s="184">
        <v>0.34444449999999999</v>
      </c>
      <c r="E74" s="184">
        <v>3.3333300000000003E-2</v>
      </c>
      <c r="F74" s="184">
        <v>0.72380949999999999</v>
      </c>
      <c r="G74" s="167">
        <v>0.62</v>
      </c>
      <c r="H74" s="165">
        <v>0.55000000999999998</v>
      </c>
      <c r="I74" s="165">
        <v>0.23333333000000001</v>
      </c>
      <c r="J74" s="165">
        <v>0.56111109000000003</v>
      </c>
      <c r="K74" s="165">
        <v>0.31666665999999999</v>
      </c>
      <c r="L74" s="165">
        <v>0.1</v>
      </c>
      <c r="M74" s="165">
        <v>0.36666666999999997</v>
      </c>
      <c r="N74" s="165">
        <v>0.19166665999999999</v>
      </c>
      <c r="O74" s="165">
        <v>0.44166665999999999</v>
      </c>
      <c r="P74" s="165">
        <v>0.63333333000000003</v>
      </c>
      <c r="Q74" s="165">
        <v>0.27333333999999998</v>
      </c>
      <c r="R74" s="165">
        <v>0.25238096999999998</v>
      </c>
      <c r="S74" s="165">
        <v>0.57777780000000001</v>
      </c>
      <c r="T74" s="165">
        <v>0.33333333999999998</v>
      </c>
      <c r="U74" s="165">
        <v>0.35555555999999999</v>
      </c>
      <c r="V74" s="165">
        <v>0.5</v>
      </c>
      <c r="W74" s="165">
        <v>0.26666667999999999</v>
      </c>
      <c r="X74" s="165">
        <v>0.05</v>
      </c>
      <c r="Y74" s="165">
        <v>3.3333340000000003E-2</v>
      </c>
      <c r="Z74" s="165">
        <v>0.24761905000000001</v>
      </c>
      <c r="AA74" s="165">
        <v>0.26666667999999999</v>
      </c>
      <c r="AB74" s="165">
        <v>0.63888889999999998</v>
      </c>
      <c r="AC74" s="165">
        <v>0.42777777</v>
      </c>
      <c r="AD74" s="165">
        <v>0.72380953999999997</v>
      </c>
      <c r="AE74" s="165">
        <v>0.18333334000000001</v>
      </c>
      <c r="AF74" s="165">
        <v>0.40000001000000002</v>
      </c>
    </row>
    <row r="75" spans="1:32" s="153" customFormat="1" ht="31.5" customHeight="1" x14ac:dyDescent="0.25">
      <c r="A75" s="149" t="s">
        <v>3050</v>
      </c>
      <c r="B75" s="151" t="s">
        <v>3089</v>
      </c>
      <c r="C75" s="183">
        <v>0.68411169999999999</v>
      </c>
      <c r="D75" s="183">
        <v>0.67708330000000005</v>
      </c>
      <c r="E75" s="183">
        <v>0.25</v>
      </c>
      <c r="F75" s="183">
        <v>1</v>
      </c>
      <c r="G75" s="166">
        <v>1</v>
      </c>
      <c r="H75" s="164">
        <v>1</v>
      </c>
      <c r="I75" s="164">
        <v>0.34999998999999998</v>
      </c>
      <c r="J75" s="164">
        <v>0.79166669000000001</v>
      </c>
      <c r="K75" s="164">
        <v>1</v>
      </c>
      <c r="L75" s="164">
        <v>0.6875</v>
      </c>
      <c r="M75" s="164">
        <v>0.79166669000000001</v>
      </c>
      <c r="N75" s="164">
        <v>0.4375</v>
      </c>
      <c r="O75" s="164">
        <v>0.75</v>
      </c>
      <c r="P75" s="164">
        <v>1</v>
      </c>
      <c r="Q75" s="164">
        <v>0.25</v>
      </c>
      <c r="R75" s="164">
        <v>0.64285713</v>
      </c>
      <c r="S75" s="164">
        <v>0.875</v>
      </c>
      <c r="T75" s="164">
        <v>0.59375</v>
      </c>
      <c r="U75" s="164">
        <v>0.66666669000000001</v>
      </c>
      <c r="V75" s="164">
        <v>0.66666669000000001</v>
      </c>
      <c r="W75" s="164">
        <v>1</v>
      </c>
      <c r="X75" s="164">
        <v>0.375</v>
      </c>
      <c r="Y75" s="164">
        <v>0.375</v>
      </c>
      <c r="Z75" s="164">
        <v>0.64285713</v>
      </c>
      <c r="AA75" s="164">
        <v>0.42500000999999998</v>
      </c>
      <c r="AB75" s="164">
        <v>0.89583330999999999</v>
      </c>
      <c r="AC75" s="164">
        <v>0.45833333999999998</v>
      </c>
      <c r="AD75" s="164">
        <v>0.76785713</v>
      </c>
      <c r="AE75" s="164">
        <v>1</v>
      </c>
      <c r="AF75" s="164">
        <v>0.34375</v>
      </c>
    </row>
    <row r="76" spans="1:32" s="153" customFormat="1" ht="31.5" customHeight="1" x14ac:dyDescent="0.25">
      <c r="A76" s="154" t="s">
        <v>3054</v>
      </c>
      <c r="B76" s="152" t="s">
        <v>3055</v>
      </c>
      <c r="C76" s="184">
        <v>0.46340500000000001</v>
      </c>
      <c r="D76" s="184">
        <v>0.46813719999999998</v>
      </c>
      <c r="E76" s="184">
        <v>0.16176470000000001</v>
      </c>
      <c r="F76" s="184">
        <v>0.89215679999999997</v>
      </c>
      <c r="G76" s="167">
        <v>0.44117646999999999</v>
      </c>
      <c r="H76" s="165">
        <v>0.69117647000000004</v>
      </c>
      <c r="I76" s="165">
        <v>0.27058824999999997</v>
      </c>
      <c r="J76" s="165">
        <v>0.64215683999999995</v>
      </c>
      <c r="K76" s="165">
        <v>0.61764704999999998</v>
      </c>
      <c r="L76" s="165">
        <v>0.38235295000000002</v>
      </c>
      <c r="M76" s="165">
        <v>0.38235295000000002</v>
      </c>
      <c r="N76" s="165">
        <v>0.375</v>
      </c>
      <c r="O76" s="165">
        <v>0.48529410000000001</v>
      </c>
      <c r="P76" s="165">
        <v>0.52941179000000005</v>
      </c>
      <c r="Q76" s="165">
        <v>0.30588236000000002</v>
      </c>
      <c r="R76" s="165">
        <v>0.60084033000000003</v>
      </c>
      <c r="S76" s="165">
        <v>0.63725489000000002</v>
      </c>
      <c r="T76" s="165">
        <v>0.29411766</v>
      </c>
      <c r="U76" s="165">
        <v>0.4509804</v>
      </c>
      <c r="V76" s="165">
        <v>0.89215683999999995</v>
      </c>
      <c r="W76" s="165">
        <v>0.26470589999999999</v>
      </c>
      <c r="X76" s="165">
        <v>0.5</v>
      </c>
      <c r="Y76" s="165">
        <v>0.16176471000000001</v>
      </c>
      <c r="Z76" s="165">
        <v>0.49579832000000001</v>
      </c>
      <c r="AA76" s="165">
        <v>0.28823531000000002</v>
      </c>
      <c r="AB76" s="165">
        <v>0.50980395000000001</v>
      </c>
      <c r="AC76" s="165">
        <v>0.29411766</v>
      </c>
      <c r="AD76" s="165">
        <v>0.63865548000000005</v>
      </c>
      <c r="AE76" s="165">
        <v>0.52941179000000005</v>
      </c>
      <c r="AF76" s="165">
        <v>0.36764704999999998</v>
      </c>
    </row>
    <row r="77" spans="1:32" s="146" customFormat="1" ht="31.5" customHeight="1" x14ac:dyDescent="0.25">
      <c r="A77" s="147" t="s">
        <v>3099</v>
      </c>
      <c r="B77" s="148"/>
      <c r="C77" s="182">
        <v>0.50088670000000002</v>
      </c>
      <c r="D77" s="182">
        <v>0.46</v>
      </c>
      <c r="E77" s="182">
        <v>0.19</v>
      </c>
      <c r="F77" s="182">
        <v>1</v>
      </c>
      <c r="G77" s="163">
        <v>0.79000002000000003</v>
      </c>
      <c r="H77" s="163">
        <v>0.46000001000000001</v>
      </c>
      <c r="I77" s="163">
        <v>0.39199999000000002</v>
      </c>
      <c r="J77" s="163">
        <v>0.44999999000000002</v>
      </c>
      <c r="K77" s="163">
        <v>0.53500002999999996</v>
      </c>
      <c r="L77" s="163">
        <v>0.30000000999999998</v>
      </c>
      <c r="M77" s="163">
        <v>0.83499997999999997</v>
      </c>
      <c r="N77" s="163">
        <v>0.50999998999999996</v>
      </c>
      <c r="O77" s="163">
        <v>0.505</v>
      </c>
      <c r="P77" s="163">
        <v>0.38999999000000002</v>
      </c>
      <c r="Q77" s="163">
        <v>0.60666668000000001</v>
      </c>
      <c r="R77" s="163">
        <v>0.53666669</v>
      </c>
      <c r="S77" s="163">
        <v>0.75199996999999996</v>
      </c>
      <c r="T77" s="163">
        <v>0.36333334</v>
      </c>
      <c r="U77" s="163">
        <v>0.49000000999999999</v>
      </c>
      <c r="V77" s="163">
        <v>0.41999998999999999</v>
      </c>
      <c r="W77" s="163">
        <v>0.43000000999999999</v>
      </c>
      <c r="X77" s="163">
        <v>0.33750001000000002</v>
      </c>
      <c r="Y77" s="163">
        <v>0.35499998999999999</v>
      </c>
      <c r="Z77" s="163">
        <v>0.56000000000000005</v>
      </c>
      <c r="AA77" s="163">
        <v>0.38200000000000001</v>
      </c>
      <c r="AB77" s="163">
        <v>0.52200000999999996</v>
      </c>
      <c r="AC77" s="163">
        <v>0.19</v>
      </c>
      <c r="AD77" s="163">
        <v>1</v>
      </c>
      <c r="AE77" s="163"/>
      <c r="AF77" s="163">
        <v>0.41</v>
      </c>
    </row>
    <row r="78" spans="1:32" s="153" customFormat="1" ht="31.5" customHeight="1" x14ac:dyDescent="0.25">
      <c r="A78" s="149" t="s">
        <v>3044</v>
      </c>
      <c r="B78" s="151" t="s">
        <v>3045</v>
      </c>
      <c r="C78" s="183">
        <v>0.56563339999999995</v>
      </c>
      <c r="D78" s="183">
        <v>0.57499999999999996</v>
      </c>
      <c r="E78" s="183">
        <v>0.21666669999999999</v>
      </c>
      <c r="F78" s="183">
        <v>1</v>
      </c>
      <c r="G78" s="166">
        <v>0.81666665999999999</v>
      </c>
      <c r="H78" s="164">
        <v>0.67500000999999998</v>
      </c>
      <c r="I78" s="164">
        <v>0.41999998999999999</v>
      </c>
      <c r="J78" s="164">
        <v>0.30000000999999998</v>
      </c>
      <c r="K78" s="164">
        <v>0.67500000999999998</v>
      </c>
      <c r="L78" s="164">
        <v>0.44999999000000002</v>
      </c>
      <c r="M78" s="164">
        <v>0.89999998000000003</v>
      </c>
      <c r="N78" s="164">
        <v>0.75</v>
      </c>
      <c r="O78" s="164">
        <v>0.51249999000000002</v>
      </c>
      <c r="P78" s="164">
        <v>0.57499999000000002</v>
      </c>
      <c r="Q78" s="164">
        <v>0.73333334999999999</v>
      </c>
      <c r="R78" s="164">
        <v>0.68333334000000001</v>
      </c>
      <c r="S78" s="164">
        <v>0.77999996999999999</v>
      </c>
      <c r="T78" s="164">
        <v>0.40000001000000002</v>
      </c>
      <c r="U78" s="164">
        <v>0.60000001999999997</v>
      </c>
      <c r="V78" s="164">
        <v>0.26666667999999999</v>
      </c>
      <c r="W78" s="164">
        <v>0.64999998000000003</v>
      </c>
      <c r="X78" s="164">
        <v>0.25</v>
      </c>
      <c r="Y78" s="164">
        <v>0.44999999000000002</v>
      </c>
      <c r="Z78" s="164">
        <v>0.56666665999999999</v>
      </c>
      <c r="AA78" s="164">
        <v>0.46000001000000001</v>
      </c>
      <c r="AB78" s="164">
        <v>0.66000002999999996</v>
      </c>
      <c r="AC78" s="164">
        <v>0.21666667000000001</v>
      </c>
      <c r="AD78" s="164">
        <v>1</v>
      </c>
      <c r="AE78" s="164"/>
      <c r="AF78" s="164">
        <v>0.34999998999999998</v>
      </c>
    </row>
    <row r="79" spans="1:32" s="153" customFormat="1" ht="31.5" customHeight="1" x14ac:dyDescent="0.25">
      <c r="A79" s="154" t="s">
        <v>3046</v>
      </c>
      <c r="B79" s="152" t="s">
        <v>3088</v>
      </c>
      <c r="C79" s="184">
        <v>0.50911110000000004</v>
      </c>
      <c r="D79" s="184">
        <v>0.50793650000000001</v>
      </c>
      <c r="E79" s="184">
        <v>0.2142857</v>
      </c>
      <c r="F79" s="184">
        <v>1</v>
      </c>
      <c r="G79" s="167">
        <v>0.88888889999999998</v>
      </c>
      <c r="H79" s="165">
        <v>0.30952382000000001</v>
      </c>
      <c r="I79" s="165">
        <v>0.51428574000000005</v>
      </c>
      <c r="J79" s="165">
        <v>0.28571429999999998</v>
      </c>
      <c r="K79" s="165">
        <v>0.64285713</v>
      </c>
      <c r="L79" s="165">
        <v>0.23809524000000001</v>
      </c>
      <c r="M79" s="165">
        <v>0.71428572999999995</v>
      </c>
      <c r="N79" s="165">
        <v>0.47619048000000003</v>
      </c>
      <c r="O79" s="165">
        <v>0.63095235999999999</v>
      </c>
      <c r="P79" s="165">
        <v>0.35714287</v>
      </c>
      <c r="Q79" s="165">
        <v>0.41269842000000001</v>
      </c>
      <c r="R79" s="165">
        <v>0.66666669000000001</v>
      </c>
      <c r="S79" s="165">
        <v>0.79047619999999996</v>
      </c>
      <c r="T79" s="165">
        <v>0.41269842000000001</v>
      </c>
      <c r="U79" s="165">
        <v>0.55238098000000002</v>
      </c>
      <c r="V79" s="165">
        <v>0.60317463000000004</v>
      </c>
      <c r="W79" s="165">
        <v>0.28571429999999998</v>
      </c>
      <c r="X79" s="165">
        <v>0.21428572000000001</v>
      </c>
      <c r="Y79" s="165">
        <v>0.52380954999999996</v>
      </c>
      <c r="Z79" s="165">
        <v>0.50793653999999999</v>
      </c>
      <c r="AA79" s="165">
        <v>0.42857142999999998</v>
      </c>
      <c r="AB79" s="165">
        <v>0.58095240999999997</v>
      </c>
      <c r="AC79" s="165">
        <v>0.47619048000000003</v>
      </c>
      <c r="AD79" s="165">
        <v>1</v>
      </c>
      <c r="AE79" s="165"/>
      <c r="AF79" s="165">
        <v>0.21428572000000001</v>
      </c>
    </row>
    <row r="80" spans="1:32" s="153" customFormat="1" ht="31.5" customHeight="1" x14ac:dyDescent="0.25">
      <c r="A80" s="149" t="s">
        <v>3050</v>
      </c>
      <c r="B80" s="151" t="s">
        <v>3089</v>
      </c>
      <c r="C80" s="183">
        <v>0.63400000000000001</v>
      </c>
      <c r="D80" s="183">
        <v>0.6</v>
      </c>
      <c r="E80" s="183">
        <v>0</v>
      </c>
      <c r="F80" s="183">
        <v>1</v>
      </c>
      <c r="G80" s="166">
        <v>0.83333330999999999</v>
      </c>
      <c r="H80" s="164">
        <v>0.5</v>
      </c>
      <c r="I80" s="164">
        <v>0.60000001999999997</v>
      </c>
      <c r="J80" s="164">
        <v>1</v>
      </c>
      <c r="K80" s="164">
        <v>0.5</v>
      </c>
      <c r="L80" s="164">
        <v>0.5</v>
      </c>
      <c r="M80" s="164">
        <v>1</v>
      </c>
      <c r="N80" s="164">
        <v>0.5</v>
      </c>
      <c r="O80" s="164">
        <v>0.75</v>
      </c>
      <c r="P80" s="164">
        <v>0</v>
      </c>
      <c r="Q80" s="164">
        <v>1</v>
      </c>
      <c r="R80" s="164">
        <v>0.5</v>
      </c>
      <c r="S80" s="164">
        <v>0.80000000999999998</v>
      </c>
      <c r="T80" s="164">
        <v>0.5</v>
      </c>
      <c r="U80" s="164">
        <v>0.40000001000000002</v>
      </c>
      <c r="V80" s="164">
        <v>0.5</v>
      </c>
      <c r="W80" s="164">
        <v>1</v>
      </c>
      <c r="X80" s="164">
        <v>0.5</v>
      </c>
      <c r="Y80" s="164">
        <v>0.5</v>
      </c>
      <c r="Z80" s="164">
        <v>0.66666669000000001</v>
      </c>
      <c r="AA80" s="164">
        <v>0.69999999000000002</v>
      </c>
      <c r="AB80" s="164">
        <v>0.60000001999999997</v>
      </c>
      <c r="AC80" s="164">
        <v>0</v>
      </c>
      <c r="AD80" s="164">
        <v>1</v>
      </c>
      <c r="AE80" s="164"/>
      <c r="AF80" s="164">
        <v>1</v>
      </c>
    </row>
    <row r="81" spans="1:32" s="153" customFormat="1" ht="31.5" customHeight="1" x14ac:dyDescent="0.25">
      <c r="A81" s="154" t="s">
        <v>3052</v>
      </c>
      <c r="B81" s="152" t="s">
        <v>3053</v>
      </c>
      <c r="C81" s="184">
        <v>0.49623329999999999</v>
      </c>
      <c r="D81" s="184">
        <v>0.5</v>
      </c>
      <c r="E81" s="184">
        <v>0.1</v>
      </c>
      <c r="F81" s="184">
        <v>1</v>
      </c>
      <c r="G81" s="167">
        <v>0.73333334999999999</v>
      </c>
      <c r="H81" s="165">
        <v>0.60000001999999997</v>
      </c>
      <c r="I81" s="165">
        <v>0.25999999000000001</v>
      </c>
      <c r="J81" s="165">
        <v>0.5</v>
      </c>
      <c r="K81" s="165">
        <v>0.55000000999999998</v>
      </c>
      <c r="L81" s="165">
        <v>0.30000000999999998</v>
      </c>
      <c r="M81" s="165">
        <v>0.75</v>
      </c>
      <c r="N81" s="165">
        <v>0.40000001000000002</v>
      </c>
      <c r="O81" s="165">
        <v>0.5</v>
      </c>
      <c r="P81" s="165">
        <v>0.64999998000000003</v>
      </c>
      <c r="Q81" s="165">
        <v>0.48333332000000001</v>
      </c>
      <c r="R81" s="165">
        <v>0.59166664000000002</v>
      </c>
      <c r="S81" s="165">
        <v>0.68000000999999999</v>
      </c>
      <c r="T81" s="165">
        <v>0.28333332999999999</v>
      </c>
      <c r="U81" s="165">
        <v>0.51999998000000003</v>
      </c>
      <c r="V81" s="165">
        <v>0.63333333000000003</v>
      </c>
      <c r="W81" s="165">
        <v>0.2</v>
      </c>
      <c r="X81" s="165">
        <v>0.48750000999999998</v>
      </c>
      <c r="Y81" s="165">
        <v>0.27500001000000002</v>
      </c>
      <c r="Z81" s="165">
        <v>0.58333330999999999</v>
      </c>
      <c r="AA81" s="165">
        <v>0.25999999000000001</v>
      </c>
      <c r="AB81" s="165">
        <v>0.58999997000000004</v>
      </c>
      <c r="AC81" s="165">
        <v>0.1</v>
      </c>
      <c r="AD81" s="165">
        <v>1</v>
      </c>
      <c r="AE81" s="165"/>
      <c r="AF81" s="165">
        <v>0.47499998999999998</v>
      </c>
    </row>
    <row r="82" spans="1:32" s="153" customFormat="1" ht="31.5" customHeight="1" x14ac:dyDescent="0.25">
      <c r="A82" s="149" t="s">
        <v>3054</v>
      </c>
      <c r="B82" s="151" t="s">
        <v>3055</v>
      </c>
      <c r="C82" s="183">
        <v>0.28842109999999999</v>
      </c>
      <c r="D82" s="183">
        <v>0.2105263</v>
      </c>
      <c r="E82" s="183">
        <v>0</v>
      </c>
      <c r="F82" s="183">
        <v>1</v>
      </c>
      <c r="G82" s="166">
        <v>0.66666669000000001</v>
      </c>
      <c r="H82" s="164">
        <v>0.21052631999999999</v>
      </c>
      <c r="I82" s="164">
        <v>0.14736842</v>
      </c>
      <c r="J82" s="164">
        <v>0.15789473000000001</v>
      </c>
      <c r="K82" s="164">
        <v>0.28947368000000001</v>
      </c>
      <c r="L82" s="164">
        <v>0</v>
      </c>
      <c r="M82" s="164">
        <v>0.81578945999999997</v>
      </c>
      <c r="N82" s="164">
        <v>0.42105262999999998</v>
      </c>
      <c r="O82" s="164">
        <v>0.10526315999999999</v>
      </c>
      <c r="P82" s="164">
        <v>0.36842105000000003</v>
      </c>
      <c r="Q82" s="164">
        <v>0.40350878000000001</v>
      </c>
      <c r="R82" s="164">
        <v>0.21929824000000001</v>
      </c>
      <c r="S82" s="164">
        <v>0.70526314000000001</v>
      </c>
      <c r="T82" s="164">
        <v>0.21052631999999999</v>
      </c>
      <c r="U82" s="164">
        <v>0.36842105000000003</v>
      </c>
      <c r="V82" s="164">
        <v>7.0175440000000006E-2</v>
      </c>
      <c r="W82" s="164">
        <v>0</v>
      </c>
      <c r="X82" s="164">
        <v>0.23684210999999999</v>
      </c>
      <c r="Y82" s="164">
        <v>0</v>
      </c>
      <c r="Z82" s="164">
        <v>0.47368421999999999</v>
      </c>
      <c r="AA82" s="164">
        <v>4.210527E-2</v>
      </c>
      <c r="AB82" s="164">
        <v>0.15789473000000001</v>
      </c>
      <c r="AC82" s="164">
        <v>0.14035088000000001</v>
      </c>
      <c r="AD82" s="164">
        <v>1</v>
      </c>
      <c r="AE82" s="164"/>
      <c r="AF82" s="164">
        <v>0</v>
      </c>
    </row>
  </sheetData>
  <mergeCells count="10">
    <mergeCell ref="A1:B1"/>
    <mergeCell ref="A22:B22"/>
    <mergeCell ref="A16:B16"/>
    <mergeCell ref="C1:F1"/>
    <mergeCell ref="C2:C3"/>
    <mergeCell ref="D2:D3"/>
    <mergeCell ref="E2:E3"/>
    <mergeCell ref="F2:F3"/>
    <mergeCell ref="A14:B14"/>
    <mergeCell ref="C14:F14"/>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V414"/>
  <sheetViews>
    <sheetView tabSelected="1" zoomScale="70" zoomScaleNormal="70" workbookViewId="0">
      <selection activeCell="A4" sqref="A4:XFD4"/>
    </sheetView>
  </sheetViews>
  <sheetFormatPr defaultColWidth="20.5" defaultRowHeight="15.75" x14ac:dyDescent="0.25"/>
  <cols>
    <col min="1" max="5" width="20.5" style="111"/>
    <col min="7" max="7" width="20.5" style="111"/>
    <col min="11" max="11" width="5.125" style="115" customWidth="1"/>
    <col min="12" max="16" width="20.5" style="111"/>
    <col min="23" max="23" width="3.375" customWidth="1"/>
  </cols>
  <sheetData>
    <row r="1" spans="1:22" s="106" customFormat="1" ht="48.95" customHeight="1" x14ac:dyDescent="0.25">
      <c r="A1" s="285"/>
      <c r="B1" s="285"/>
      <c r="C1" s="285"/>
      <c r="D1" s="285"/>
      <c r="E1" s="574" t="s">
        <v>3100</v>
      </c>
      <c r="F1" s="575"/>
      <c r="G1" s="575"/>
      <c r="H1" s="575"/>
      <c r="I1" s="575"/>
      <c r="J1" s="575"/>
      <c r="K1" s="113"/>
      <c r="L1" s="285"/>
      <c r="M1" s="285"/>
      <c r="N1" s="285"/>
      <c r="O1" s="287"/>
      <c r="P1" s="285"/>
      <c r="Q1" s="575" t="s">
        <v>3101</v>
      </c>
      <c r="R1" s="575"/>
      <c r="S1" s="575"/>
      <c r="T1" s="575"/>
      <c r="U1" s="575"/>
      <c r="V1" s="575"/>
    </row>
    <row r="2" spans="1:22" s="106" customFormat="1" ht="48.95" customHeight="1" x14ac:dyDescent="0.25">
      <c r="A2" s="286"/>
      <c r="B2" s="286"/>
      <c r="C2" s="286"/>
      <c r="D2" s="286"/>
      <c r="E2" s="574" t="s">
        <v>3102</v>
      </c>
      <c r="F2" s="575"/>
      <c r="G2" s="575" t="s">
        <v>3086</v>
      </c>
      <c r="H2" s="575"/>
      <c r="I2" s="575"/>
      <c r="J2" s="529" t="s">
        <v>814</v>
      </c>
      <c r="K2" s="113"/>
      <c r="L2" s="286"/>
      <c r="M2" s="286"/>
      <c r="N2" s="286"/>
      <c r="O2" s="288"/>
      <c r="P2" s="286"/>
      <c r="Q2" s="575"/>
      <c r="R2" s="575"/>
      <c r="S2" s="575"/>
      <c r="T2" s="575"/>
      <c r="U2" s="575"/>
      <c r="V2" s="575"/>
    </row>
    <row r="3" spans="1:22" s="110" customFormat="1" ht="154.5" customHeight="1" x14ac:dyDescent="0.25">
      <c r="A3" s="282" t="s">
        <v>721</v>
      </c>
      <c r="B3" s="282" t="s">
        <v>1456</v>
      </c>
      <c r="C3" s="282" t="s">
        <v>1458</v>
      </c>
      <c r="D3" s="282" t="s">
        <v>1457</v>
      </c>
      <c r="E3" s="284" t="s">
        <v>3060</v>
      </c>
      <c r="F3" s="280" t="s">
        <v>3085</v>
      </c>
      <c r="G3" s="280" t="s">
        <v>3062</v>
      </c>
      <c r="H3" s="280" t="s">
        <v>3085</v>
      </c>
      <c r="I3" s="280" t="s">
        <v>3063</v>
      </c>
      <c r="J3" s="529"/>
      <c r="K3" s="279"/>
      <c r="L3" s="282" t="s">
        <v>721</v>
      </c>
      <c r="M3" s="282" t="s">
        <v>1456</v>
      </c>
      <c r="N3" s="282" t="s">
        <v>1458</v>
      </c>
      <c r="O3" s="283" t="s">
        <v>1457</v>
      </c>
      <c r="P3" s="289" t="s">
        <v>3065</v>
      </c>
      <c r="Q3" s="290" t="s">
        <v>3045</v>
      </c>
      <c r="R3" s="290" t="s">
        <v>3103</v>
      </c>
      <c r="S3" s="291" t="s">
        <v>3051</v>
      </c>
      <c r="T3" s="291" t="s">
        <v>3053</v>
      </c>
      <c r="U3" s="291" t="s">
        <v>3055</v>
      </c>
      <c r="V3" s="292" t="s">
        <v>3104</v>
      </c>
    </row>
    <row r="4" spans="1:22" s="110" customFormat="1" ht="30" hidden="1" x14ac:dyDescent="0.25">
      <c r="A4" s="406" t="s">
        <v>815</v>
      </c>
      <c r="B4" s="406" t="s">
        <v>816</v>
      </c>
      <c r="C4" s="406" t="s">
        <v>1485</v>
      </c>
      <c r="D4" s="406" t="s">
        <v>1484</v>
      </c>
      <c r="E4" s="400" t="s">
        <v>3105</v>
      </c>
      <c r="F4" s="400" t="s">
        <v>828</v>
      </c>
      <c r="G4" s="400" t="s">
        <v>3106</v>
      </c>
      <c r="H4" s="400" t="s">
        <v>3107</v>
      </c>
      <c r="I4" s="400" t="s">
        <v>3108</v>
      </c>
      <c r="J4" s="400" t="s">
        <v>830</v>
      </c>
      <c r="K4" s="200" t="s">
        <v>741</v>
      </c>
      <c r="L4" s="406" t="s">
        <v>1772</v>
      </c>
      <c r="M4" s="406" t="s">
        <v>1773</v>
      </c>
      <c r="N4" s="406" t="s">
        <v>3109</v>
      </c>
      <c r="O4" s="406" t="s">
        <v>3110</v>
      </c>
      <c r="P4" s="400" t="s">
        <v>3111</v>
      </c>
      <c r="Q4" s="401" t="s">
        <v>3112</v>
      </c>
      <c r="R4" s="401" t="s">
        <v>3113</v>
      </c>
      <c r="S4" s="402" t="s">
        <v>3114</v>
      </c>
      <c r="T4" s="402" t="s">
        <v>3115</v>
      </c>
      <c r="U4" s="402" t="s">
        <v>3116</v>
      </c>
      <c r="V4" s="403" t="s">
        <v>3117</v>
      </c>
    </row>
    <row r="5" spans="1:22" ht="18.75" x14ac:dyDescent="0.25">
      <c r="A5" s="141" t="s">
        <v>757</v>
      </c>
      <c r="B5" s="141" t="s">
        <v>758</v>
      </c>
      <c r="C5" s="141">
        <v>403</v>
      </c>
      <c r="D5" s="141" t="s">
        <v>731</v>
      </c>
      <c r="E5" s="141">
        <v>1</v>
      </c>
      <c r="F5" s="142">
        <v>0.43</v>
      </c>
      <c r="G5" s="141">
        <v>1</v>
      </c>
      <c r="H5" s="142">
        <v>0.72222220000000004</v>
      </c>
      <c r="I5" s="142">
        <v>0.52173910000000001</v>
      </c>
      <c r="J5" s="142">
        <v>0.53</v>
      </c>
      <c r="K5" s="155"/>
      <c r="L5" s="141" t="s">
        <v>757</v>
      </c>
      <c r="M5" s="141" t="s">
        <v>758</v>
      </c>
      <c r="N5" s="141">
        <v>403</v>
      </c>
      <c r="O5" s="141" t="s">
        <v>731</v>
      </c>
      <c r="P5" s="141">
        <v>4</v>
      </c>
      <c r="Q5" s="142">
        <v>0.5078125</v>
      </c>
      <c r="R5" s="142">
        <v>0.52439020000000003</v>
      </c>
      <c r="S5" s="142">
        <v>0.5</v>
      </c>
      <c r="T5" s="142">
        <v>0.2</v>
      </c>
      <c r="U5" s="142">
        <v>0.21249999999999999</v>
      </c>
      <c r="V5" s="142">
        <v>0.41249999999999998</v>
      </c>
    </row>
    <row r="6" spans="1:22" ht="18.75" x14ac:dyDescent="0.25">
      <c r="A6" s="141" t="s">
        <v>757</v>
      </c>
      <c r="B6" s="141" t="s">
        <v>758</v>
      </c>
      <c r="C6" s="141">
        <v>406</v>
      </c>
      <c r="D6" s="141" t="s">
        <v>727</v>
      </c>
      <c r="E6" s="141">
        <v>1</v>
      </c>
      <c r="F6" s="142">
        <v>0.26</v>
      </c>
      <c r="G6" s="141">
        <v>1</v>
      </c>
      <c r="H6" s="142">
        <v>1</v>
      </c>
      <c r="I6" s="142">
        <v>0.54347829999999997</v>
      </c>
      <c r="J6" s="142">
        <v>0.52500000000000002</v>
      </c>
      <c r="K6" s="155"/>
      <c r="L6" s="141" t="s">
        <v>757</v>
      </c>
      <c r="M6" s="141" t="s">
        <v>758</v>
      </c>
      <c r="N6" s="141">
        <v>406</v>
      </c>
      <c r="O6" s="141" t="s">
        <v>727</v>
      </c>
      <c r="P6" s="141">
        <v>4</v>
      </c>
      <c r="Q6" s="142">
        <v>0.79090910000000003</v>
      </c>
      <c r="R6" s="142">
        <v>0.3854167</v>
      </c>
      <c r="S6" s="142">
        <v>1</v>
      </c>
      <c r="T6" s="142">
        <v>0.45</v>
      </c>
      <c r="U6" s="142">
        <v>0.54716980000000004</v>
      </c>
      <c r="V6" s="142">
        <v>0.64749999999999996</v>
      </c>
    </row>
    <row r="7" spans="1:22" ht="18.75" x14ac:dyDescent="0.25">
      <c r="A7" s="141" t="s">
        <v>757</v>
      </c>
      <c r="B7" s="141" t="s">
        <v>758</v>
      </c>
      <c r="C7" s="141">
        <v>414</v>
      </c>
      <c r="D7" s="141" t="s">
        <v>728</v>
      </c>
      <c r="E7" s="141">
        <v>1</v>
      </c>
      <c r="F7" s="142">
        <v>0.66</v>
      </c>
      <c r="G7" s="141">
        <v>1</v>
      </c>
      <c r="H7" s="142">
        <v>0.72222220000000004</v>
      </c>
      <c r="I7" s="142">
        <v>0.58695649999999999</v>
      </c>
      <c r="J7" s="142">
        <v>0.66</v>
      </c>
      <c r="K7" s="155"/>
      <c r="L7" s="141" t="s">
        <v>757</v>
      </c>
      <c r="M7" s="141" t="s">
        <v>758</v>
      </c>
      <c r="N7" s="141">
        <v>414</v>
      </c>
      <c r="O7" s="141" t="s">
        <v>728</v>
      </c>
      <c r="P7" s="141">
        <v>4</v>
      </c>
      <c r="Q7" s="142">
        <v>0.91588780000000003</v>
      </c>
      <c r="R7" s="142">
        <v>0.76470590000000005</v>
      </c>
      <c r="S7" s="142">
        <v>0.3650794</v>
      </c>
      <c r="T7" s="142">
        <v>0.7</v>
      </c>
      <c r="U7" s="142">
        <v>0.59259260000000002</v>
      </c>
      <c r="V7" s="142">
        <v>0.6925</v>
      </c>
    </row>
    <row r="8" spans="1:22" ht="18.75" x14ac:dyDescent="0.25">
      <c r="A8" s="141" t="s">
        <v>757</v>
      </c>
      <c r="B8" s="141" t="s">
        <v>758</v>
      </c>
      <c r="C8" s="141">
        <v>416</v>
      </c>
      <c r="D8" s="141" t="s">
        <v>728</v>
      </c>
      <c r="E8" s="141">
        <v>1</v>
      </c>
      <c r="F8" s="142">
        <v>0.63</v>
      </c>
      <c r="G8" s="141">
        <v>1</v>
      </c>
      <c r="H8" s="142">
        <v>0.72222220000000004</v>
      </c>
      <c r="I8" s="142">
        <v>0.33695649999999999</v>
      </c>
      <c r="J8" s="142">
        <v>0.58750000000000002</v>
      </c>
      <c r="K8" s="155"/>
      <c r="L8" s="141" t="s">
        <v>757</v>
      </c>
      <c r="M8" s="141" t="s">
        <v>758</v>
      </c>
      <c r="N8" s="141">
        <v>416</v>
      </c>
      <c r="O8" s="141" t="s">
        <v>728</v>
      </c>
      <c r="P8" s="141">
        <v>4</v>
      </c>
      <c r="Q8" s="142">
        <v>0.76415089999999997</v>
      </c>
      <c r="R8" s="142">
        <v>0.65217389999999997</v>
      </c>
      <c r="S8" s="142">
        <v>0.92647060000000003</v>
      </c>
      <c r="T8" s="142">
        <v>0.4</v>
      </c>
      <c r="U8" s="142">
        <v>0.56382980000000005</v>
      </c>
      <c r="V8" s="142">
        <v>0.6825</v>
      </c>
    </row>
    <row r="9" spans="1:22" ht="18.75" x14ac:dyDescent="0.25">
      <c r="A9" s="141" t="s">
        <v>757</v>
      </c>
      <c r="B9" s="141" t="s">
        <v>758</v>
      </c>
      <c r="C9" s="141">
        <v>1560</v>
      </c>
      <c r="D9" s="141" t="s">
        <v>728</v>
      </c>
      <c r="E9" s="141">
        <v>1</v>
      </c>
      <c r="F9" s="142">
        <v>0.53</v>
      </c>
      <c r="G9" s="141">
        <v>1</v>
      </c>
      <c r="H9" s="142">
        <v>0.72222220000000004</v>
      </c>
      <c r="I9" s="142">
        <v>0.46739130000000001</v>
      </c>
      <c r="J9" s="142">
        <v>0.5675</v>
      </c>
      <c r="K9" s="155"/>
      <c r="L9" s="141" t="s">
        <v>757</v>
      </c>
      <c r="M9" s="141" t="s">
        <v>758</v>
      </c>
      <c r="N9" s="141">
        <v>1560</v>
      </c>
      <c r="O9" s="141" t="s">
        <v>728</v>
      </c>
      <c r="P9" s="141">
        <v>4</v>
      </c>
      <c r="Q9" s="142">
        <v>0.69642859999999995</v>
      </c>
      <c r="R9" s="142">
        <v>0.40625</v>
      </c>
      <c r="S9" s="142">
        <v>0.31914890000000001</v>
      </c>
      <c r="T9" s="142">
        <v>6.25E-2</v>
      </c>
      <c r="U9" s="142">
        <v>0.48453610000000003</v>
      </c>
      <c r="V9" s="142">
        <v>0.45500000000000002</v>
      </c>
    </row>
    <row r="10" spans="1:22" ht="18.75" x14ac:dyDescent="0.25">
      <c r="A10" s="141" t="s">
        <v>757</v>
      </c>
      <c r="B10" s="141" t="s">
        <v>758</v>
      </c>
      <c r="C10" s="141">
        <v>1564</v>
      </c>
      <c r="D10" s="141" t="s">
        <v>680</v>
      </c>
      <c r="E10" s="141">
        <v>1</v>
      </c>
      <c r="F10" s="142">
        <v>0.6</v>
      </c>
      <c r="G10" s="141">
        <v>1</v>
      </c>
      <c r="H10" s="142">
        <v>0.72222220000000004</v>
      </c>
      <c r="I10" s="142">
        <v>0.54347829999999997</v>
      </c>
      <c r="J10" s="142">
        <v>0.62</v>
      </c>
      <c r="K10" s="155"/>
      <c r="L10" s="141" t="s">
        <v>757</v>
      </c>
      <c r="M10" s="141" t="s">
        <v>758</v>
      </c>
      <c r="N10" s="141">
        <v>1564</v>
      </c>
      <c r="O10" s="141" t="s">
        <v>680</v>
      </c>
      <c r="P10" s="141">
        <v>4</v>
      </c>
      <c r="Q10" s="142">
        <v>0.75</v>
      </c>
      <c r="R10" s="142">
        <v>0.48235289999999997</v>
      </c>
      <c r="S10" s="142">
        <v>0.5</v>
      </c>
      <c r="T10" s="142">
        <v>0.53333339999999996</v>
      </c>
      <c r="U10" s="142">
        <v>0.5053763</v>
      </c>
      <c r="V10" s="142">
        <v>0.58250000000000002</v>
      </c>
    </row>
    <row r="11" spans="1:22" ht="18.75" x14ac:dyDescent="0.25">
      <c r="A11" s="141" t="s">
        <v>757</v>
      </c>
      <c r="B11" s="141" t="s">
        <v>758</v>
      </c>
      <c r="C11" s="141">
        <v>1567</v>
      </c>
      <c r="D11" s="141" t="s">
        <v>727</v>
      </c>
      <c r="E11" s="141">
        <v>1</v>
      </c>
      <c r="F11" s="142">
        <v>0.57999999999999996</v>
      </c>
      <c r="G11" s="141">
        <v>1</v>
      </c>
      <c r="H11" s="142">
        <v>1</v>
      </c>
      <c r="I11" s="142">
        <v>0.54347829999999997</v>
      </c>
      <c r="J11" s="142">
        <v>0.68500000000000005</v>
      </c>
      <c r="K11" s="155"/>
      <c r="L11" s="141" t="s">
        <v>757</v>
      </c>
      <c r="M11" s="141" t="s">
        <v>758</v>
      </c>
      <c r="N11" s="141">
        <v>1567</v>
      </c>
      <c r="O11" s="141" t="s">
        <v>727</v>
      </c>
      <c r="P11" s="141">
        <v>4</v>
      </c>
      <c r="Q11" s="142">
        <v>0.77884609999999999</v>
      </c>
      <c r="R11" s="142">
        <v>0.74468080000000003</v>
      </c>
      <c r="S11" s="142">
        <v>1</v>
      </c>
      <c r="T11" s="142">
        <v>1</v>
      </c>
      <c r="U11" s="142">
        <v>0.76288659999999997</v>
      </c>
      <c r="V11" s="142">
        <v>0.82499999999999996</v>
      </c>
    </row>
    <row r="12" spans="1:22" ht="18.75" x14ac:dyDescent="0.25">
      <c r="A12" s="141" t="s">
        <v>757</v>
      </c>
      <c r="B12" s="141" t="s">
        <v>758</v>
      </c>
      <c r="C12" s="141">
        <v>2063</v>
      </c>
      <c r="D12" s="141" t="s">
        <v>728</v>
      </c>
      <c r="E12" s="141">
        <v>1</v>
      </c>
      <c r="F12" s="142">
        <v>0.6</v>
      </c>
      <c r="G12" s="141">
        <v>1</v>
      </c>
      <c r="H12" s="142">
        <v>1</v>
      </c>
      <c r="I12" s="142">
        <v>0.54347829999999997</v>
      </c>
      <c r="J12" s="142">
        <v>0.69499999999999995</v>
      </c>
      <c r="K12" s="155"/>
      <c r="L12" s="141" t="s">
        <v>757</v>
      </c>
      <c r="M12" s="141" t="s">
        <v>758</v>
      </c>
      <c r="N12" s="141">
        <v>2063</v>
      </c>
      <c r="O12" s="141" t="s">
        <v>728</v>
      </c>
      <c r="P12" s="141">
        <v>4</v>
      </c>
      <c r="Q12" s="142">
        <v>0.78571429999999998</v>
      </c>
      <c r="R12" s="142">
        <v>0.61445780000000005</v>
      </c>
      <c r="S12" s="142">
        <v>0.875</v>
      </c>
      <c r="T12" s="142">
        <v>0.51666670000000003</v>
      </c>
      <c r="U12" s="142">
        <v>0.6202531</v>
      </c>
      <c r="V12" s="142">
        <v>0.69499999999999995</v>
      </c>
    </row>
    <row r="13" spans="1:22" ht="18.75" x14ac:dyDescent="0.25">
      <c r="A13" s="141" t="s">
        <v>757</v>
      </c>
      <c r="B13" s="141" t="s">
        <v>758</v>
      </c>
      <c r="C13" s="141">
        <v>2323</v>
      </c>
      <c r="D13" s="141" t="s">
        <v>680</v>
      </c>
      <c r="E13" s="141">
        <v>1</v>
      </c>
      <c r="F13" s="142">
        <v>0.64</v>
      </c>
      <c r="G13" s="141">
        <v>1</v>
      </c>
      <c r="H13" s="142">
        <v>0.88888889999999998</v>
      </c>
      <c r="I13" s="142">
        <v>0.53260870000000005</v>
      </c>
      <c r="J13" s="142">
        <v>0.6825</v>
      </c>
      <c r="K13" s="155"/>
      <c r="L13" s="141" t="s">
        <v>757</v>
      </c>
      <c r="M13" s="141" t="s">
        <v>758</v>
      </c>
      <c r="N13" s="141">
        <v>2323</v>
      </c>
      <c r="O13" s="141" t="s">
        <v>680</v>
      </c>
      <c r="P13" s="141">
        <v>4</v>
      </c>
      <c r="Q13" s="142">
        <v>0.68487390000000004</v>
      </c>
      <c r="R13" s="142">
        <v>0.79166669999999995</v>
      </c>
      <c r="S13" s="142">
        <v>0.95</v>
      </c>
      <c r="T13" s="142">
        <v>0.77083330000000005</v>
      </c>
      <c r="U13" s="142">
        <v>0.56701029999999997</v>
      </c>
      <c r="V13" s="142">
        <v>0.71875</v>
      </c>
    </row>
    <row r="14" spans="1:22" ht="18.75" x14ac:dyDescent="0.25">
      <c r="A14" s="141" t="s">
        <v>757</v>
      </c>
      <c r="B14" s="141" t="s">
        <v>758</v>
      </c>
      <c r="C14" s="141">
        <v>2327</v>
      </c>
      <c r="D14" s="141" t="s">
        <v>680</v>
      </c>
      <c r="E14" s="141">
        <v>1</v>
      </c>
      <c r="F14" s="142">
        <v>0.41</v>
      </c>
      <c r="G14" s="141">
        <v>1</v>
      </c>
      <c r="H14" s="142">
        <v>0.72222220000000004</v>
      </c>
      <c r="I14" s="142">
        <v>0.69565220000000005</v>
      </c>
      <c r="J14" s="142">
        <v>0.56000000000000005</v>
      </c>
      <c r="K14" s="155"/>
      <c r="L14" s="141" t="s">
        <v>757</v>
      </c>
      <c r="M14" s="141" t="s">
        <v>758</v>
      </c>
      <c r="N14" s="141">
        <v>2327</v>
      </c>
      <c r="O14" s="141" t="s">
        <v>680</v>
      </c>
      <c r="P14" s="141">
        <v>4</v>
      </c>
      <c r="Q14" s="142">
        <v>0.50450450000000002</v>
      </c>
      <c r="R14" s="142">
        <v>0.44767439999999997</v>
      </c>
      <c r="S14" s="142">
        <v>0.1923077</v>
      </c>
      <c r="T14" s="142">
        <v>0.1323529</v>
      </c>
      <c r="U14" s="142">
        <v>0.26506020000000002</v>
      </c>
      <c r="V14" s="142">
        <v>0.33875</v>
      </c>
    </row>
    <row r="15" spans="1:22" ht="18.75" x14ac:dyDescent="0.25">
      <c r="A15" s="141" t="s">
        <v>757</v>
      </c>
      <c r="B15" s="141" t="s">
        <v>758</v>
      </c>
      <c r="C15" s="141">
        <v>2568</v>
      </c>
      <c r="D15" s="141" t="s">
        <v>680</v>
      </c>
      <c r="E15" s="141">
        <v>1</v>
      </c>
      <c r="F15" s="142">
        <v>0.69</v>
      </c>
      <c r="G15" s="141">
        <v>1</v>
      </c>
      <c r="H15" s="142">
        <v>0.94444439999999996</v>
      </c>
      <c r="I15" s="142">
        <v>0.53260870000000005</v>
      </c>
      <c r="J15" s="142">
        <v>0.72250000000000003</v>
      </c>
      <c r="K15" s="155"/>
      <c r="L15" s="141" t="s">
        <v>757</v>
      </c>
      <c r="M15" s="141" t="s">
        <v>758</v>
      </c>
      <c r="N15" s="141">
        <v>2568</v>
      </c>
      <c r="O15" s="141" t="s">
        <v>680</v>
      </c>
      <c r="P15" s="141">
        <v>4</v>
      </c>
      <c r="Q15" s="142">
        <v>0.58426959999999994</v>
      </c>
      <c r="R15" s="142">
        <v>0.59813079999999996</v>
      </c>
      <c r="S15" s="142">
        <v>0.52380959999999999</v>
      </c>
      <c r="T15" s="142">
        <v>1</v>
      </c>
      <c r="U15" s="142">
        <v>0.34710740000000001</v>
      </c>
      <c r="V15" s="142">
        <v>0.52749999999999997</v>
      </c>
    </row>
    <row r="16" spans="1:22" ht="18.75" x14ac:dyDescent="0.25">
      <c r="A16" s="141" t="s">
        <v>757</v>
      </c>
      <c r="B16" s="141" t="s">
        <v>758</v>
      </c>
      <c r="C16" s="141">
        <v>2875</v>
      </c>
      <c r="D16" s="141" t="s">
        <v>680</v>
      </c>
      <c r="E16" s="141">
        <v>1</v>
      </c>
      <c r="F16" s="142">
        <v>0.31</v>
      </c>
      <c r="G16" s="141">
        <v>1</v>
      </c>
      <c r="H16" s="142">
        <v>1</v>
      </c>
      <c r="I16" s="142">
        <v>0.54347829999999997</v>
      </c>
      <c r="J16" s="142">
        <v>0.55000000000000004</v>
      </c>
      <c r="K16" s="155"/>
      <c r="L16" s="141" t="s">
        <v>757</v>
      </c>
      <c r="M16" s="141" t="s">
        <v>758</v>
      </c>
      <c r="N16" s="141">
        <v>2875</v>
      </c>
      <c r="O16" s="141" t="s">
        <v>680</v>
      </c>
      <c r="P16" s="141">
        <v>4</v>
      </c>
      <c r="Q16" s="142">
        <v>0.56976740000000003</v>
      </c>
      <c r="R16" s="142">
        <v>0.6262626</v>
      </c>
      <c r="S16" s="142">
        <v>0.44776120000000003</v>
      </c>
      <c r="T16" s="142">
        <v>0.3157895</v>
      </c>
      <c r="U16" s="142">
        <v>0.7</v>
      </c>
      <c r="V16" s="142">
        <v>0.57499999999999996</v>
      </c>
    </row>
    <row r="17" spans="1:22" ht="18.75" x14ac:dyDescent="0.25">
      <c r="A17" s="141" t="s">
        <v>757</v>
      </c>
      <c r="B17" s="141" t="s">
        <v>758</v>
      </c>
      <c r="C17" s="141">
        <v>2876</v>
      </c>
      <c r="D17" s="141" t="s">
        <v>680</v>
      </c>
      <c r="E17" s="141">
        <v>1</v>
      </c>
      <c r="F17" s="142">
        <v>0.63</v>
      </c>
      <c r="G17" s="141">
        <v>1</v>
      </c>
      <c r="H17" s="142">
        <v>1</v>
      </c>
      <c r="I17" s="142">
        <v>0.54347829999999997</v>
      </c>
      <c r="J17" s="142">
        <v>0.71</v>
      </c>
      <c r="K17" s="155"/>
      <c r="L17" s="141" t="s">
        <v>757</v>
      </c>
      <c r="M17" s="141" t="s">
        <v>758</v>
      </c>
      <c r="N17" s="141">
        <v>2876</v>
      </c>
      <c r="O17" s="141" t="s">
        <v>680</v>
      </c>
      <c r="P17" s="141">
        <v>4</v>
      </c>
      <c r="Q17" s="142">
        <v>0.83950610000000003</v>
      </c>
      <c r="R17" s="142">
        <v>0.74712650000000003</v>
      </c>
      <c r="S17" s="142">
        <v>0.72222220000000004</v>
      </c>
      <c r="T17" s="142">
        <v>0.61538459999999995</v>
      </c>
      <c r="U17" s="142">
        <v>0.63414630000000005</v>
      </c>
      <c r="V17" s="142">
        <v>0.71250000000000002</v>
      </c>
    </row>
    <row r="18" spans="1:22" ht="18.75" x14ac:dyDescent="0.25">
      <c r="A18" s="141" t="s">
        <v>757</v>
      </c>
      <c r="B18" s="141" t="s">
        <v>758</v>
      </c>
      <c r="C18" s="141">
        <v>4274</v>
      </c>
      <c r="D18" s="141" t="s">
        <v>680</v>
      </c>
      <c r="E18" s="141">
        <v>1</v>
      </c>
      <c r="F18" s="142">
        <v>0.64</v>
      </c>
      <c r="G18" s="141">
        <v>1</v>
      </c>
      <c r="H18" s="142">
        <v>0.83333330000000005</v>
      </c>
      <c r="I18" s="142">
        <v>0.63043479999999996</v>
      </c>
      <c r="J18" s="142">
        <v>0.69</v>
      </c>
      <c r="K18" s="155"/>
      <c r="L18" s="141" t="s">
        <v>757</v>
      </c>
      <c r="M18" s="141" t="s">
        <v>758</v>
      </c>
      <c r="N18" s="141">
        <v>4274</v>
      </c>
      <c r="O18" s="141" t="s">
        <v>680</v>
      </c>
      <c r="P18" s="141">
        <v>4</v>
      </c>
      <c r="Q18" s="142">
        <v>0.98058250000000002</v>
      </c>
      <c r="R18" s="142">
        <v>0.78947369999999994</v>
      </c>
      <c r="S18" s="142">
        <v>1</v>
      </c>
      <c r="T18" s="142">
        <v>0.65</v>
      </c>
      <c r="U18" s="142">
        <v>0.95327099999999998</v>
      </c>
      <c r="V18" s="142">
        <v>0.91500000000000004</v>
      </c>
    </row>
    <row r="19" spans="1:22" ht="18.75" x14ac:dyDescent="0.25">
      <c r="A19" s="141" t="s">
        <v>757</v>
      </c>
      <c r="B19" s="141" t="s">
        <v>758</v>
      </c>
      <c r="C19" s="141">
        <v>4287</v>
      </c>
      <c r="D19" s="141" t="s">
        <v>680</v>
      </c>
      <c r="E19" s="141">
        <v>1</v>
      </c>
      <c r="F19" s="142">
        <v>0.43</v>
      </c>
      <c r="G19" s="141">
        <v>1</v>
      </c>
      <c r="H19" s="142">
        <v>0.72222220000000004</v>
      </c>
      <c r="I19" s="142">
        <v>0.59782610000000003</v>
      </c>
      <c r="J19" s="142">
        <v>0.54749999999999999</v>
      </c>
      <c r="K19" s="155"/>
      <c r="L19" s="141" t="s">
        <v>757</v>
      </c>
      <c r="M19" s="141" t="s">
        <v>758</v>
      </c>
      <c r="N19" s="141">
        <v>4287</v>
      </c>
      <c r="O19" s="141" t="s">
        <v>680</v>
      </c>
      <c r="P19" s="141">
        <v>4</v>
      </c>
      <c r="Q19" s="142">
        <v>0.84328360000000002</v>
      </c>
      <c r="R19" s="142">
        <v>0.57978730000000001</v>
      </c>
      <c r="S19" s="142">
        <v>0.95744680000000004</v>
      </c>
      <c r="T19" s="142">
        <v>0.14285709999999999</v>
      </c>
      <c r="U19" s="142">
        <v>0.53608239999999996</v>
      </c>
      <c r="V19" s="142">
        <v>0.67125000000000001</v>
      </c>
    </row>
    <row r="20" spans="1:22" ht="18.75" x14ac:dyDescent="0.25">
      <c r="A20" s="141" t="s">
        <v>757</v>
      </c>
      <c r="B20" s="141" t="s">
        <v>758</v>
      </c>
      <c r="C20" s="141">
        <v>4291</v>
      </c>
      <c r="D20" s="141" t="s">
        <v>680</v>
      </c>
      <c r="E20" s="141">
        <v>1</v>
      </c>
      <c r="F20" s="142">
        <v>0.55000000000000004</v>
      </c>
      <c r="G20" s="141">
        <v>1</v>
      </c>
      <c r="H20" s="142">
        <v>0.77777779999999996</v>
      </c>
      <c r="I20" s="142">
        <v>0.59782610000000003</v>
      </c>
      <c r="J20" s="142">
        <v>0.62250000000000005</v>
      </c>
      <c r="K20" s="155"/>
      <c r="L20" s="141" t="s">
        <v>757</v>
      </c>
      <c r="M20" s="141" t="s">
        <v>758</v>
      </c>
      <c r="N20" s="141">
        <v>4291</v>
      </c>
      <c r="O20" s="141" t="s">
        <v>680</v>
      </c>
      <c r="P20" s="141">
        <v>4</v>
      </c>
      <c r="Q20" s="142">
        <v>0.77611940000000001</v>
      </c>
      <c r="R20" s="142">
        <v>0.64361699999999999</v>
      </c>
      <c r="S20" s="142">
        <v>0.89361699999999999</v>
      </c>
      <c r="T20" s="142">
        <v>0.64285709999999996</v>
      </c>
      <c r="U20" s="142">
        <v>0.59793810000000003</v>
      </c>
      <c r="V20" s="142">
        <v>0.70625000000000004</v>
      </c>
    </row>
    <row r="21" spans="1:22" ht="18.75" x14ac:dyDescent="0.25">
      <c r="A21" s="141" t="s">
        <v>759</v>
      </c>
      <c r="B21" s="141" t="s">
        <v>758</v>
      </c>
      <c r="C21" s="141">
        <v>459</v>
      </c>
      <c r="D21" s="141" t="s">
        <v>729</v>
      </c>
      <c r="E21" s="141">
        <v>1</v>
      </c>
      <c r="F21" s="142">
        <v>0.74</v>
      </c>
      <c r="G21" s="141">
        <v>1</v>
      </c>
      <c r="H21" s="142">
        <v>1</v>
      </c>
      <c r="I21" s="142">
        <v>0.54347829999999997</v>
      </c>
      <c r="J21" s="142">
        <v>0.76500000000000001</v>
      </c>
      <c r="K21" s="155"/>
      <c r="L21" s="141" t="s">
        <v>759</v>
      </c>
      <c r="M21" s="141" t="s">
        <v>758</v>
      </c>
      <c r="N21" s="141">
        <v>459</v>
      </c>
      <c r="O21" s="141" t="s">
        <v>729</v>
      </c>
      <c r="P21" s="141">
        <v>4</v>
      </c>
      <c r="Q21" s="142">
        <v>0.94705879999999998</v>
      </c>
      <c r="R21" s="142">
        <v>0.71910110000000005</v>
      </c>
      <c r="S21" s="142">
        <v>0.83333330000000005</v>
      </c>
      <c r="T21" s="142">
        <v>0.79310349999999996</v>
      </c>
      <c r="U21" s="142">
        <v>0.80208330000000005</v>
      </c>
      <c r="V21" s="142">
        <v>0.81874999999999998</v>
      </c>
    </row>
    <row r="22" spans="1:22" ht="18.75" x14ac:dyDescent="0.25">
      <c r="A22" s="141" t="s">
        <v>759</v>
      </c>
      <c r="B22" s="141" t="s">
        <v>758</v>
      </c>
      <c r="C22" s="141">
        <v>483</v>
      </c>
      <c r="D22" s="141" t="s">
        <v>727</v>
      </c>
      <c r="E22" s="141">
        <v>1</v>
      </c>
      <c r="F22" s="142">
        <v>0.57999999999999996</v>
      </c>
      <c r="G22" s="141">
        <v>1</v>
      </c>
      <c r="H22" s="142">
        <v>0.94444439999999996</v>
      </c>
      <c r="I22" s="142">
        <v>0.54347829999999997</v>
      </c>
      <c r="J22" s="142">
        <v>0.67</v>
      </c>
      <c r="K22" s="155"/>
      <c r="L22" s="141" t="s">
        <v>759</v>
      </c>
      <c r="M22" s="141" t="s">
        <v>758</v>
      </c>
      <c r="N22" s="141">
        <v>483</v>
      </c>
      <c r="O22" s="141" t="s">
        <v>727</v>
      </c>
      <c r="P22" s="141">
        <v>4</v>
      </c>
      <c r="Q22" s="142">
        <v>0.84803919999999999</v>
      </c>
      <c r="R22" s="142">
        <v>0.77647060000000001</v>
      </c>
      <c r="S22" s="142">
        <v>0.75</v>
      </c>
      <c r="T22" s="142">
        <v>0.375</v>
      </c>
      <c r="U22" s="142">
        <v>0.69892469999999995</v>
      </c>
      <c r="V22" s="142">
        <v>0.73124999999999996</v>
      </c>
    </row>
    <row r="23" spans="1:22" ht="18.75" x14ac:dyDescent="0.25">
      <c r="A23" s="141" t="s">
        <v>759</v>
      </c>
      <c r="B23" s="141" t="s">
        <v>758</v>
      </c>
      <c r="C23" s="141">
        <v>489</v>
      </c>
      <c r="D23" s="141" t="s">
        <v>727</v>
      </c>
      <c r="E23" s="141">
        <v>1</v>
      </c>
      <c r="F23" s="142">
        <v>0.46</v>
      </c>
      <c r="G23" s="141">
        <v>1</v>
      </c>
      <c r="H23" s="142">
        <v>0.72222220000000004</v>
      </c>
      <c r="I23" s="142">
        <v>0.54347829999999997</v>
      </c>
      <c r="J23" s="142">
        <v>0.55000000000000004</v>
      </c>
      <c r="K23" s="155"/>
      <c r="L23" s="141" t="s">
        <v>759</v>
      </c>
      <c r="M23" s="141" t="s">
        <v>758</v>
      </c>
      <c r="N23" s="141">
        <v>489</v>
      </c>
      <c r="O23" s="141" t="s">
        <v>727</v>
      </c>
      <c r="P23" s="141">
        <v>4</v>
      </c>
      <c r="Q23" s="142">
        <v>0.75308640000000004</v>
      </c>
      <c r="R23" s="142">
        <v>0.88372090000000003</v>
      </c>
      <c r="S23" s="142">
        <v>1</v>
      </c>
      <c r="T23" s="142">
        <v>0.75641020000000003</v>
      </c>
      <c r="U23" s="142">
        <v>0.73493980000000003</v>
      </c>
      <c r="V23" s="142">
        <v>0.82250000000000001</v>
      </c>
    </row>
    <row r="24" spans="1:22" ht="18.75" x14ac:dyDescent="0.25">
      <c r="A24" s="141" t="s">
        <v>759</v>
      </c>
      <c r="B24" s="141" t="s">
        <v>758</v>
      </c>
      <c r="C24" s="141">
        <v>1805</v>
      </c>
      <c r="D24" s="141" t="s">
        <v>728</v>
      </c>
      <c r="E24" s="141">
        <v>1</v>
      </c>
      <c r="F24" s="142">
        <v>0.6</v>
      </c>
      <c r="G24" s="141">
        <v>1</v>
      </c>
      <c r="H24" s="142">
        <v>0.22222220000000001</v>
      </c>
      <c r="I24" s="142">
        <v>0.47826089999999999</v>
      </c>
      <c r="J24" s="142">
        <v>0.47</v>
      </c>
      <c r="K24" s="155"/>
      <c r="L24" s="141" t="s">
        <v>759</v>
      </c>
      <c r="M24" s="141" t="s">
        <v>758</v>
      </c>
      <c r="N24" s="141">
        <v>1805</v>
      </c>
      <c r="O24" s="141" t="s">
        <v>728</v>
      </c>
      <c r="P24" s="141">
        <v>4</v>
      </c>
      <c r="Q24" s="142">
        <v>0.47560970000000002</v>
      </c>
      <c r="R24" s="142">
        <v>0.3333333</v>
      </c>
      <c r="S24" s="142">
        <v>0.44776120000000003</v>
      </c>
      <c r="T24" s="142">
        <v>6.8965499999999999E-2</v>
      </c>
      <c r="U24" s="142">
        <v>0.2371134</v>
      </c>
      <c r="V24" s="142">
        <v>0.32</v>
      </c>
    </row>
    <row r="25" spans="1:22" ht="18.75" x14ac:dyDescent="0.25">
      <c r="A25" s="141" t="s">
        <v>759</v>
      </c>
      <c r="B25" s="141" t="s">
        <v>758</v>
      </c>
      <c r="C25" s="141">
        <v>2062</v>
      </c>
      <c r="D25" s="141" t="s">
        <v>728</v>
      </c>
      <c r="E25" s="141">
        <v>1</v>
      </c>
      <c r="F25" s="142">
        <v>0.45</v>
      </c>
      <c r="G25" s="141">
        <v>1</v>
      </c>
      <c r="H25" s="142">
        <v>0.94444439999999996</v>
      </c>
      <c r="I25" s="142">
        <v>0.82608689999999996</v>
      </c>
      <c r="J25" s="142">
        <v>0.67</v>
      </c>
      <c r="K25" s="155"/>
      <c r="L25" s="141" t="s">
        <v>759</v>
      </c>
      <c r="M25" s="141" t="s">
        <v>758</v>
      </c>
      <c r="N25" s="141">
        <v>2062</v>
      </c>
      <c r="O25" s="141" t="s">
        <v>728</v>
      </c>
      <c r="P25" s="141">
        <v>4</v>
      </c>
      <c r="Q25" s="142">
        <v>0.83823530000000002</v>
      </c>
      <c r="R25" s="142">
        <v>0.67058830000000003</v>
      </c>
      <c r="S25" s="142">
        <v>1</v>
      </c>
      <c r="T25" s="142">
        <v>1</v>
      </c>
      <c r="U25" s="142">
        <v>0.78494629999999999</v>
      </c>
      <c r="V25" s="142">
        <v>0.83875</v>
      </c>
    </row>
    <row r="26" spans="1:22" ht="18.75" x14ac:dyDescent="0.25">
      <c r="A26" s="141" t="s">
        <v>759</v>
      </c>
      <c r="B26" s="141" t="s">
        <v>758</v>
      </c>
      <c r="C26" s="141">
        <v>2152</v>
      </c>
      <c r="D26" s="141" t="s">
        <v>728</v>
      </c>
      <c r="E26" s="141">
        <v>1</v>
      </c>
      <c r="F26" s="142">
        <v>0.28999999999999998</v>
      </c>
      <c r="G26" s="141">
        <v>1</v>
      </c>
      <c r="H26" s="142">
        <v>1</v>
      </c>
      <c r="I26" s="142">
        <v>0.93478260000000002</v>
      </c>
      <c r="J26" s="142">
        <v>0.63</v>
      </c>
      <c r="K26" s="155"/>
      <c r="L26" s="141" t="s">
        <v>759</v>
      </c>
      <c r="M26" s="141" t="s">
        <v>758</v>
      </c>
      <c r="N26" s="141">
        <v>2152</v>
      </c>
      <c r="O26" s="141" t="s">
        <v>728</v>
      </c>
      <c r="P26" s="141">
        <v>4</v>
      </c>
      <c r="Q26" s="142">
        <v>0.95145630000000003</v>
      </c>
      <c r="R26" s="142">
        <v>1</v>
      </c>
      <c r="S26" s="142">
        <v>0.73333329999999997</v>
      </c>
      <c r="T26" s="142">
        <v>1</v>
      </c>
      <c r="U26" s="142">
        <v>0.60747669999999998</v>
      </c>
      <c r="V26" s="142">
        <v>0.83250000000000002</v>
      </c>
    </row>
    <row r="27" spans="1:22" ht="18.75" x14ac:dyDescent="0.25">
      <c r="A27" s="141" t="s">
        <v>759</v>
      </c>
      <c r="B27" s="141" t="s">
        <v>758</v>
      </c>
      <c r="C27" s="141">
        <v>2620</v>
      </c>
      <c r="D27" s="141" t="s">
        <v>680</v>
      </c>
      <c r="E27" s="141">
        <v>1</v>
      </c>
      <c r="F27" s="142">
        <v>0.46</v>
      </c>
      <c r="G27" s="141">
        <v>1</v>
      </c>
      <c r="H27" s="142">
        <v>0.38888889999999998</v>
      </c>
      <c r="I27" s="142">
        <v>0.52173910000000001</v>
      </c>
      <c r="J27" s="142">
        <v>0.45500000000000002</v>
      </c>
      <c r="K27" s="155"/>
      <c r="L27" s="141" t="s">
        <v>759</v>
      </c>
      <c r="M27" s="141" t="s">
        <v>758</v>
      </c>
      <c r="N27" s="141">
        <v>2620</v>
      </c>
      <c r="O27" s="141" t="s">
        <v>680</v>
      </c>
      <c r="P27" s="141">
        <v>4</v>
      </c>
      <c r="Q27" s="142">
        <v>0.72115390000000001</v>
      </c>
      <c r="R27" s="142">
        <v>0.53684209999999999</v>
      </c>
      <c r="S27" s="142">
        <v>0.8208955</v>
      </c>
      <c r="T27" s="142">
        <v>0.5</v>
      </c>
      <c r="U27" s="142">
        <v>0.2604167</v>
      </c>
      <c r="V27" s="142">
        <v>0.5625</v>
      </c>
    </row>
    <row r="28" spans="1:22" ht="18.75" x14ac:dyDescent="0.25">
      <c r="A28" s="141" t="s">
        <v>759</v>
      </c>
      <c r="B28" s="141" t="s">
        <v>758</v>
      </c>
      <c r="C28" s="141">
        <v>2712</v>
      </c>
      <c r="D28" s="141" t="s">
        <v>680</v>
      </c>
      <c r="E28" s="141">
        <v>1</v>
      </c>
      <c r="F28" s="142">
        <v>0.68</v>
      </c>
      <c r="G28" s="141">
        <v>1</v>
      </c>
      <c r="H28" s="142">
        <v>1</v>
      </c>
      <c r="I28" s="142">
        <v>0.8913044</v>
      </c>
      <c r="J28" s="142">
        <v>0.81499999999999995</v>
      </c>
      <c r="K28" s="155"/>
      <c r="L28" s="141" t="s">
        <v>759</v>
      </c>
      <c r="M28" s="141" t="s">
        <v>758</v>
      </c>
      <c r="N28" s="141">
        <v>2712</v>
      </c>
      <c r="O28" s="141" t="s">
        <v>680</v>
      </c>
      <c r="P28" s="141">
        <v>4</v>
      </c>
      <c r="Q28" s="142">
        <v>0.88888889999999998</v>
      </c>
      <c r="R28" s="142">
        <v>0.82075469999999995</v>
      </c>
      <c r="S28" s="142">
        <v>1</v>
      </c>
      <c r="T28" s="142">
        <v>0.84210529999999995</v>
      </c>
      <c r="U28" s="142">
        <v>0.80180180000000001</v>
      </c>
      <c r="V28" s="142">
        <v>0.85750000000000004</v>
      </c>
    </row>
    <row r="29" spans="1:22" ht="18.75" x14ac:dyDescent="0.25">
      <c r="A29" s="141" t="s">
        <v>759</v>
      </c>
      <c r="B29" s="141" t="s">
        <v>758</v>
      </c>
      <c r="C29" s="141">
        <v>2724</v>
      </c>
      <c r="D29" s="141" t="s">
        <v>680</v>
      </c>
      <c r="E29" s="141">
        <v>1</v>
      </c>
      <c r="F29" s="142">
        <v>0.53</v>
      </c>
      <c r="G29" s="141">
        <v>1</v>
      </c>
      <c r="H29" s="142">
        <v>1</v>
      </c>
      <c r="I29" s="142">
        <v>0.84782610000000003</v>
      </c>
      <c r="J29" s="142">
        <v>0.73</v>
      </c>
      <c r="K29" s="155"/>
      <c r="L29" s="141" t="s">
        <v>759</v>
      </c>
      <c r="M29" s="141" t="s">
        <v>758</v>
      </c>
      <c r="N29" s="141">
        <v>2724</v>
      </c>
      <c r="O29" s="141" t="s">
        <v>680</v>
      </c>
      <c r="P29" s="141">
        <v>4</v>
      </c>
      <c r="Q29" s="142">
        <v>0.86607140000000005</v>
      </c>
      <c r="R29" s="142">
        <v>0.83333330000000005</v>
      </c>
      <c r="S29" s="142">
        <v>0.95744680000000004</v>
      </c>
      <c r="T29" s="142">
        <v>0.875</v>
      </c>
      <c r="U29" s="142">
        <v>0.79381440000000003</v>
      </c>
      <c r="V29" s="142">
        <v>0.85250000000000004</v>
      </c>
    </row>
    <row r="30" spans="1:22" ht="18.75" x14ac:dyDescent="0.25">
      <c r="A30" s="141" t="s">
        <v>759</v>
      </c>
      <c r="B30" s="141" t="s">
        <v>758</v>
      </c>
      <c r="C30" s="141">
        <v>3176</v>
      </c>
      <c r="D30" s="141" t="s">
        <v>680</v>
      </c>
      <c r="E30" s="141">
        <v>1</v>
      </c>
      <c r="F30" s="142">
        <v>0.57999999999999996</v>
      </c>
      <c r="G30" s="141">
        <v>1</v>
      </c>
      <c r="H30" s="142">
        <v>0.72222220000000004</v>
      </c>
      <c r="I30" s="142">
        <v>0.47826089999999999</v>
      </c>
      <c r="J30" s="142">
        <v>0.59499999999999997</v>
      </c>
      <c r="K30" s="155"/>
      <c r="L30" s="141" t="s">
        <v>759</v>
      </c>
      <c r="M30" s="141" t="s">
        <v>758</v>
      </c>
      <c r="N30" s="141">
        <v>3176</v>
      </c>
      <c r="O30" s="141" t="s">
        <v>680</v>
      </c>
      <c r="P30" s="141">
        <v>4</v>
      </c>
      <c r="Q30" s="142">
        <v>0.62365590000000004</v>
      </c>
      <c r="R30" s="142">
        <v>0.47</v>
      </c>
      <c r="S30" s="142">
        <v>0.63333329999999999</v>
      </c>
      <c r="T30" s="142">
        <v>0.1842105</v>
      </c>
      <c r="U30" s="142">
        <v>0.3944954</v>
      </c>
      <c r="V30" s="142">
        <v>0.48249999999999998</v>
      </c>
    </row>
    <row r="31" spans="1:22" ht="18.75" x14ac:dyDescent="0.25">
      <c r="A31" s="141" t="s">
        <v>759</v>
      </c>
      <c r="B31" s="141" t="s">
        <v>758</v>
      </c>
      <c r="C31" s="141">
        <v>3252</v>
      </c>
      <c r="D31" s="141" t="s">
        <v>680</v>
      </c>
      <c r="E31" s="141">
        <v>1</v>
      </c>
      <c r="F31" s="142">
        <v>0.63</v>
      </c>
      <c r="G31" s="141">
        <v>1</v>
      </c>
      <c r="H31" s="142">
        <v>0.94444439999999996</v>
      </c>
      <c r="I31" s="142">
        <v>0.54347829999999997</v>
      </c>
      <c r="J31" s="142">
        <v>0.69499999999999995</v>
      </c>
      <c r="K31" s="155"/>
      <c r="L31" s="141" t="s">
        <v>759</v>
      </c>
      <c r="M31" s="141" t="s">
        <v>758</v>
      </c>
      <c r="N31" s="141">
        <v>3252</v>
      </c>
      <c r="O31" s="141" t="s">
        <v>680</v>
      </c>
      <c r="P31" s="141">
        <v>4</v>
      </c>
      <c r="Q31" s="142">
        <v>0.51136360000000003</v>
      </c>
      <c r="R31" s="142">
        <v>0.58823530000000002</v>
      </c>
      <c r="S31" s="142">
        <v>0.66666669999999995</v>
      </c>
      <c r="T31" s="142">
        <v>0.23333329999999999</v>
      </c>
      <c r="U31" s="142">
        <v>9.6774200000000005E-2</v>
      </c>
      <c r="V31" s="142">
        <v>0.43375000000000002</v>
      </c>
    </row>
    <row r="32" spans="1:22" ht="18.75" x14ac:dyDescent="0.25">
      <c r="A32" s="141" t="s">
        <v>760</v>
      </c>
      <c r="B32" s="141" t="s">
        <v>761</v>
      </c>
      <c r="C32" s="141">
        <v>554</v>
      </c>
      <c r="D32" s="141" t="s">
        <v>729</v>
      </c>
      <c r="E32" s="141">
        <v>1</v>
      </c>
      <c r="F32" s="142">
        <v>0.56999999999999995</v>
      </c>
      <c r="G32" s="141">
        <v>1</v>
      </c>
      <c r="H32" s="142">
        <v>0.88888889999999998</v>
      </c>
      <c r="I32" s="142">
        <v>0.54347829999999997</v>
      </c>
      <c r="J32" s="142">
        <v>0.65</v>
      </c>
      <c r="K32" s="155"/>
      <c r="L32" s="141" t="s">
        <v>760</v>
      </c>
      <c r="M32" s="141" t="s">
        <v>761</v>
      </c>
      <c r="N32" s="141">
        <v>554</v>
      </c>
      <c r="O32" s="141" t="s">
        <v>729</v>
      </c>
      <c r="P32" s="141">
        <v>4</v>
      </c>
      <c r="Q32" s="142">
        <v>0.641791</v>
      </c>
      <c r="R32" s="142">
        <v>0.39361699999999999</v>
      </c>
      <c r="S32" s="142">
        <v>0.63829789999999997</v>
      </c>
      <c r="T32" s="142">
        <v>0</v>
      </c>
      <c r="U32" s="142">
        <v>0.35051549999999998</v>
      </c>
      <c r="V32" s="142">
        <v>0.46750000000000003</v>
      </c>
    </row>
    <row r="33" spans="1:22" ht="18.75" x14ac:dyDescent="0.25">
      <c r="A33" s="141" t="s">
        <v>760</v>
      </c>
      <c r="B33" s="141" t="s">
        <v>761</v>
      </c>
      <c r="C33" s="141">
        <v>567</v>
      </c>
      <c r="D33" s="141" t="s">
        <v>727</v>
      </c>
      <c r="E33" s="141">
        <v>1</v>
      </c>
      <c r="F33" s="142">
        <v>0.42</v>
      </c>
      <c r="G33" s="141">
        <v>1</v>
      </c>
      <c r="H33" s="142">
        <v>0.72222220000000004</v>
      </c>
      <c r="I33" s="142">
        <v>0.51086960000000003</v>
      </c>
      <c r="J33" s="142">
        <v>0.52249999999999996</v>
      </c>
      <c r="K33" s="155"/>
      <c r="L33" s="141" t="s">
        <v>760</v>
      </c>
      <c r="M33" s="141" t="s">
        <v>761</v>
      </c>
      <c r="N33" s="141">
        <v>567</v>
      </c>
      <c r="O33" s="141" t="s">
        <v>727</v>
      </c>
      <c r="P33" s="141">
        <v>4</v>
      </c>
      <c r="Q33" s="142">
        <v>0.68468470000000003</v>
      </c>
      <c r="R33" s="142">
        <v>0.64367819999999998</v>
      </c>
      <c r="S33" s="142">
        <v>0.61538459999999995</v>
      </c>
      <c r="T33" s="142">
        <v>0.66176469999999998</v>
      </c>
      <c r="U33" s="142">
        <v>0.56097560000000002</v>
      </c>
      <c r="V33" s="142">
        <v>0.63749999999999996</v>
      </c>
    </row>
    <row r="34" spans="1:22" ht="18.75" x14ac:dyDescent="0.25">
      <c r="A34" s="141" t="s">
        <v>760</v>
      </c>
      <c r="B34" s="141" t="s">
        <v>761</v>
      </c>
      <c r="C34" s="141">
        <v>576</v>
      </c>
      <c r="D34" s="141" t="s">
        <v>728</v>
      </c>
      <c r="E34" s="141">
        <v>1</v>
      </c>
      <c r="F34" s="142">
        <v>0.64</v>
      </c>
      <c r="G34" s="141">
        <v>1</v>
      </c>
      <c r="H34" s="142">
        <v>0.72222220000000004</v>
      </c>
      <c r="I34" s="142">
        <v>0.77173910000000001</v>
      </c>
      <c r="J34" s="142">
        <v>0.6925</v>
      </c>
      <c r="K34" s="155"/>
      <c r="L34" s="141" t="s">
        <v>760</v>
      </c>
      <c r="M34" s="141" t="s">
        <v>761</v>
      </c>
      <c r="N34" s="141">
        <v>576</v>
      </c>
      <c r="O34" s="141" t="s">
        <v>728</v>
      </c>
      <c r="P34" s="141">
        <v>4</v>
      </c>
      <c r="Q34" s="142">
        <v>0.54411759999999998</v>
      </c>
      <c r="R34" s="142">
        <v>0.41176469999999998</v>
      </c>
      <c r="S34" s="142">
        <v>0.375</v>
      </c>
      <c r="T34" s="142">
        <v>0.52500000000000002</v>
      </c>
      <c r="U34" s="142">
        <v>0.172043</v>
      </c>
      <c r="V34" s="142">
        <v>0.39374999999999999</v>
      </c>
    </row>
    <row r="35" spans="1:22" ht="18.75" x14ac:dyDescent="0.25">
      <c r="A35" s="141" t="s">
        <v>760</v>
      </c>
      <c r="B35" s="141" t="s">
        <v>761</v>
      </c>
      <c r="C35" s="141">
        <v>1754</v>
      </c>
      <c r="D35" s="141" t="s">
        <v>727</v>
      </c>
      <c r="E35" s="141">
        <v>1</v>
      </c>
      <c r="F35" s="142">
        <v>0.24</v>
      </c>
      <c r="G35" s="141">
        <v>1</v>
      </c>
      <c r="H35" s="142">
        <v>0.3333333</v>
      </c>
      <c r="I35" s="142">
        <v>0.53260870000000005</v>
      </c>
      <c r="J35" s="142">
        <v>0.33250000000000002</v>
      </c>
      <c r="K35" s="155"/>
      <c r="L35" s="141" t="s">
        <v>760</v>
      </c>
      <c r="M35" s="141" t="s">
        <v>761</v>
      </c>
      <c r="N35" s="141">
        <v>1754</v>
      </c>
      <c r="O35" s="141" t="s">
        <v>727</v>
      </c>
      <c r="P35" s="141">
        <v>4</v>
      </c>
      <c r="Q35" s="142">
        <v>0.52608699999999997</v>
      </c>
      <c r="R35" s="142">
        <v>0.5</v>
      </c>
      <c r="S35" s="142">
        <v>0.3846154</v>
      </c>
      <c r="T35" s="142">
        <v>0.125</v>
      </c>
      <c r="U35" s="142">
        <v>0.1979167</v>
      </c>
      <c r="V35" s="142">
        <v>0.375</v>
      </c>
    </row>
    <row r="36" spans="1:22" ht="18.75" x14ac:dyDescent="0.25">
      <c r="A36" s="141" t="s">
        <v>760</v>
      </c>
      <c r="B36" s="141" t="s">
        <v>761</v>
      </c>
      <c r="C36" s="141">
        <v>1760</v>
      </c>
      <c r="D36" s="141" t="s">
        <v>728</v>
      </c>
      <c r="E36" s="141">
        <v>1</v>
      </c>
      <c r="F36" s="142">
        <v>0.68</v>
      </c>
      <c r="G36" s="141">
        <v>1</v>
      </c>
      <c r="H36" s="142">
        <v>5.5555599999999997E-2</v>
      </c>
      <c r="I36" s="142">
        <v>0.5</v>
      </c>
      <c r="J36" s="142">
        <v>0.47</v>
      </c>
      <c r="K36" s="155"/>
      <c r="L36" s="141" t="s">
        <v>760</v>
      </c>
      <c r="M36" s="141" t="s">
        <v>761</v>
      </c>
      <c r="N36" s="141">
        <v>1760</v>
      </c>
      <c r="O36" s="141" t="s">
        <v>728</v>
      </c>
      <c r="P36" s="141">
        <v>4</v>
      </c>
      <c r="Q36" s="142">
        <v>0.66666669999999995</v>
      </c>
      <c r="R36" s="142">
        <v>0.47126440000000003</v>
      </c>
      <c r="S36" s="142">
        <v>0.3846154</v>
      </c>
      <c r="T36" s="142">
        <v>0.1323529</v>
      </c>
      <c r="U36" s="142">
        <v>0.21951219999999999</v>
      </c>
      <c r="V36" s="142">
        <v>0.40500000000000003</v>
      </c>
    </row>
    <row r="37" spans="1:22" ht="18.75" x14ac:dyDescent="0.25">
      <c r="A37" s="141" t="s">
        <v>760</v>
      </c>
      <c r="B37" s="141" t="s">
        <v>761</v>
      </c>
      <c r="C37" s="141">
        <v>1824</v>
      </c>
      <c r="D37" s="141" t="s">
        <v>728</v>
      </c>
      <c r="E37" s="141">
        <v>1</v>
      </c>
      <c r="F37" s="142">
        <v>0.42</v>
      </c>
      <c r="G37" s="141">
        <v>1</v>
      </c>
      <c r="H37" s="142">
        <v>0.77777779999999996</v>
      </c>
      <c r="I37" s="142">
        <v>0.53260870000000005</v>
      </c>
      <c r="J37" s="142">
        <v>0.54249999999999998</v>
      </c>
      <c r="K37" s="155"/>
      <c r="L37" s="141" t="s">
        <v>760</v>
      </c>
      <c r="M37" s="141" t="s">
        <v>761</v>
      </c>
      <c r="N37" s="141">
        <v>1824</v>
      </c>
      <c r="O37" s="141" t="s">
        <v>728</v>
      </c>
      <c r="P37" s="141">
        <v>4</v>
      </c>
      <c r="Q37" s="142">
        <v>0.62053570000000002</v>
      </c>
      <c r="R37" s="142">
        <v>0.78125</v>
      </c>
      <c r="S37" s="142">
        <v>0.68085099999999998</v>
      </c>
      <c r="T37" s="142">
        <v>0.25</v>
      </c>
      <c r="U37" s="142">
        <v>0.4742268</v>
      </c>
      <c r="V37" s="142">
        <v>0.58625000000000005</v>
      </c>
    </row>
    <row r="38" spans="1:22" ht="18.75" x14ac:dyDescent="0.25">
      <c r="A38" s="141" t="s">
        <v>760</v>
      </c>
      <c r="B38" s="141" t="s">
        <v>761</v>
      </c>
      <c r="C38" s="141">
        <v>1825</v>
      </c>
      <c r="D38" s="141" t="s">
        <v>728</v>
      </c>
      <c r="E38" s="141">
        <v>1</v>
      </c>
      <c r="F38" s="142">
        <v>0.32</v>
      </c>
      <c r="G38" s="141">
        <v>1</v>
      </c>
      <c r="H38" s="142">
        <v>0.88888889999999998</v>
      </c>
      <c r="I38" s="142">
        <v>0.53260870000000005</v>
      </c>
      <c r="J38" s="142">
        <v>0.52249999999999996</v>
      </c>
      <c r="K38" s="155"/>
      <c r="L38" s="141" t="s">
        <v>760</v>
      </c>
      <c r="M38" s="141" t="s">
        <v>761</v>
      </c>
      <c r="N38" s="141">
        <v>1825</v>
      </c>
      <c r="O38" s="141" t="s">
        <v>728</v>
      </c>
      <c r="P38" s="141">
        <v>4</v>
      </c>
      <c r="Q38" s="142">
        <v>0.59302319999999997</v>
      </c>
      <c r="R38" s="142">
        <v>0.34782610000000003</v>
      </c>
      <c r="S38" s="142">
        <v>0.72727269999999999</v>
      </c>
      <c r="T38" s="142">
        <v>6.6666699999999995E-2</v>
      </c>
      <c r="U38" s="142">
        <v>0.26595740000000001</v>
      </c>
      <c r="V38" s="142">
        <v>0.43874999999999997</v>
      </c>
    </row>
    <row r="39" spans="1:22" ht="18.75" x14ac:dyDescent="0.25">
      <c r="A39" s="141" t="s">
        <v>760</v>
      </c>
      <c r="B39" s="141" t="s">
        <v>761</v>
      </c>
      <c r="C39" s="141">
        <v>2259</v>
      </c>
      <c r="D39" s="141" t="s">
        <v>728</v>
      </c>
      <c r="E39" s="141">
        <v>1</v>
      </c>
      <c r="F39" s="142">
        <v>0.56000000000000005</v>
      </c>
      <c r="G39" s="141">
        <v>1</v>
      </c>
      <c r="H39" s="142">
        <v>0.72222220000000004</v>
      </c>
      <c r="I39" s="142">
        <v>0.54347829999999997</v>
      </c>
      <c r="J39" s="142">
        <v>0.6</v>
      </c>
      <c r="K39" s="155"/>
      <c r="L39" s="141" t="s">
        <v>760</v>
      </c>
      <c r="M39" s="141" t="s">
        <v>761</v>
      </c>
      <c r="N39" s="141">
        <v>2259</v>
      </c>
      <c r="O39" s="141" t="s">
        <v>728</v>
      </c>
      <c r="P39" s="141">
        <v>4</v>
      </c>
      <c r="Q39" s="142">
        <v>0.5</v>
      </c>
      <c r="R39" s="142">
        <v>0.34831459999999997</v>
      </c>
      <c r="S39" s="142">
        <v>0.86111110000000002</v>
      </c>
      <c r="T39" s="142">
        <v>0.1896552</v>
      </c>
      <c r="U39" s="142">
        <v>0.4375</v>
      </c>
      <c r="V39" s="142">
        <v>0.47125</v>
      </c>
    </row>
    <row r="40" spans="1:22" ht="18.75" x14ac:dyDescent="0.25">
      <c r="A40" s="141" t="s">
        <v>760</v>
      </c>
      <c r="B40" s="141" t="s">
        <v>761</v>
      </c>
      <c r="C40" s="141">
        <v>2265</v>
      </c>
      <c r="D40" s="141" t="s">
        <v>680</v>
      </c>
      <c r="E40" s="141">
        <v>1</v>
      </c>
      <c r="F40" s="142">
        <v>0.56000000000000005</v>
      </c>
      <c r="G40" s="141">
        <v>1</v>
      </c>
      <c r="H40" s="142">
        <v>0.88888889999999998</v>
      </c>
      <c r="I40" s="142">
        <v>0.54347829999999997</v>
      </c>
      <c r="J40" s="142">
        <v>0.64500000000000002</v>
      </c>
      <c r="K40" s="155"/>
      <c r="L40" s="141" t="s">
        <v>760</v>
      </c>
      <c r="M40" s="141" t="s">
        <v>761</v>
      </c>
      <c r="N40" s="141">
        <v>2265</v>
      </c>
      <c r="O40" s="141" t="s">
        <v>680</v>
      </c>
      <c r="P40" s="141">
        <v>4</v>
      </c>
      <c r="Q40" s="142">
        <v>0.68539329999999998</v>
      </c>
      <c r="R40" s="142">
        <v>0.4895833</v>
      </c>
      <c r="S40" s="142">
        <v>0.83333330000000005</v>
      </c>
      <c r="T40" s="142">
        <v>0.79310349999999996</v>
      </c>
      <c r="U40" s="142">
        <v>0.443299</v>
      </c>
      <c r="V40" s="142">
        <v>0.61750000000000005</v>
      </c>
    </row>
    <row r="41" spans="1:22" ht="18.75" x14ac:dyDescent="0.25">
      <c r="A41" s="141" t="s">
        <v>760</v>
      </c>
      <c r="B41" s="141" t="s">
        <v>761</v>
      </c>
      <c r="C41" s="141">
        <v>2266</v>
      </c>
      <c r="D41" s="141" t="s">
        <v>680</v>
      </c>
      <c r="E41" s="141">
        <v>1</v>
      </c>
      <c r="F41" s="142">
        <v>0.28999999999999998</v>
      </c>
      <c r="G41" s="141">
        <v>1</v>
      </c>
      <c r="H41" s="142">
        <v>1</v>
      </c>
      <c r="I41" s="142">
        <v>0.54347829999999997</v>
      </c>
      <c r="J41" s="142">
        <v>0.54</v>
      </c>
      <c r="K41" s="155"/>
      <c r="L41" s="141" t="s">
        <v>760</v>
      </c>
      <c r="M41" s="141" t="s">
        <v>761</v>
      </c>
      <c r="N41" s="141">
        <v>2266</v>
      </c>
      <c r="O41" s="141" t="s">
        <v>680</v>
      </c>
      <c r="P41" s="141">
        <v>4</v>
      </c>
      <c r="Q41" s="142">
        <v>0.54237290000000005</v>
      </c>
      <c r="R41" s="142">
        <v>0.74226800000000004</v>
      </c>
      <c r="S41" s="142">
        <v>0.4791667</v>
      </c>
      <c r="T41" s="142">
        <v>6.6666699999999995E-2</v>
      </c>
      <c r="U41" s="142">
        <v>0.39252340000000002</v>
      </c>
      <c r="V41" s="142">
        <v>0.50749999999999995</v>
      </c>
    </row>
    <row r="42" spans="1:22" ht="18.75" x14ac:dyDescent="0.25">
      <c r="A42" s="141" t="s">
        <v>760</v>
      </c>
      <c r="B42" s="141" t="s">
        <v>761</v>
      </c>
      <c r="C42" s="141">
        <v>3109</v>
      </c>
      <c r="D42" s="141" t="s">
        <v>680</v>
      </c>
      <c r="E42" s="141">
        <v>1</v>
      </c>
      <c r="F42" s="142">
        <v>0.46</v>
      </c>
      <c r="G42" s="141">
        <v>1</v>
      </c>
      <c r="H42" s="142">
        <v>0.83333330000000005</v>
      </c>
      <c r="I42" s="142">
        <v>0.54347829999999997</v>
      </c>
      <c r="J42" s="142">
        <v>0.57999999999999996</v>
      </c>
      <c r="K42" s="155"/>
      <c r="L42" s="141" t="s">
        <v>760</v>
      </c>
      <c r="M42" s="141" t="s">
        <v>761</v>
      </c>
      <c r="N42" s="141">
        <v>3109</v>
      </c>
      <c r="O42" s="141" t="s">
        <v>680</v>
      </c>
      <c r="P42" s="141">
        <v>4</v>
      </c>
      <c r="Q42" s="142">
        <v>0.52500000000000002</v>
      </c>
      <c r="R42" s="142">
        <v>0.34090910000000002</v>
      </c>
      <c r="S42" s="142">
        <v>0.375</v>
      </c>
      <c r="T42" s="142">
        <v>0.1666667</v>
      </c>
      <c r="U42" s="142">
        <v>0.3043478</v>
      </c>
      <c r="V42" s="142">
        <v>0.35</v>
      </c>
    </row>
    <row r="43" spans="1:22" ht="18.75" x14ac:dyDescent="0.25">
      <c r="A43" s="141" t="s">
        <v>760</v>
      </c>
      <c r="B43" s="141" t="s">
        <v>761</v>
      </c>
      <c r="C43" s="141">
        <v>3635</v>
      </c>
      <c r="D43" s="141" t="s">
        <v>680</v>
      </c>
      <c r="E43" s="141">
        <v>1</v>
      </c>
      <c r="F43" s="142">
        <v>0.46</v>
      </c>
      <c r="G43" s="141">
        <v>1</v>
      </c>
      <c r="H43" s="142">
        <v>0.88888889999999998</v>
      </c>
      <c r="I43" s="142">
        <v>0.54347829999999997</v>
      </c>
      <c r="J43" s="142">
        <v>0.59499999999999997</v>
      </c>
      <c r="K43" s="155"/>
      <c r="L43" s="141" t="s">
        <v>760</v>
      </c>
      <c r="M43" s="141" t="s">
        <v>761</v>
      </c>
      <c r="N43" s="141">
        <v>3635</v>
      </c>
      <c r="O43" s="141" t="s">
        <v>680</v>
      </c>
      <c r="P43" s="141">
        <v>4</v>
      </c>
      <c r="Q43" s="142">
        <v>0.6857143</v>
      </c>
      <c r="R43" s="142">
        <v>0.64210529999999999</v>
      </c>
      <c r="S43" s="142">
        <v>0.83333330000000005</v>
      </c>
      <c r="T43" s="142">
        <v>0</v>
      </c>
      <c r="U43" s="142">
        <v>0.38317760000000001</v>
      </c>
      <c r="V43" s="142">
        <v>0.59499999999999997</v>
      </c>
    </row>
    <row r="44" spans="1:22" ht="18.75" x14ac:dyDescent="0.25">
      <c r="A44" s="141" t="s">
        <v>760</v>
      </c>
      <c r="B44" s="141" t="s">
        <v>761</v>
      </c>
      <c r="C44" s="141">
        <v>3880</v>
      </c>
      <c r="D44" s="141" t="s">
        <v>728</v>
      </c>
      <c r="E44" s="141">
        <v>1</v>
      </c>
      <c r="F44" s="142">
        <v>0.45</v>
      </c>
      <c r="G44" s="141">
        <v>1</v>
      </c>
      <c r="H44" s="142">
        <v>0.94444439999999996</v>
      </c>
      <c r="I44" s="142">
        <v>0.47826089999999999</v>
      </c>
      <c r="J44" s="142">
        <v>0.59</v>
      </c>
      <c r="K44" s="155"/>
      <c r="L44" s="141" t="s">
        <v>760</v>
      </c>
      <c r="M44" s="141" t="s">
        <v>761</v>
      </c>
      <c r="N44" s="141">
        <v>3880</v>
      </c>
      <c r="O44" s="141" t="s">
        <v>728</v>
      </c>
      <c r="P44" s="141">
        <v>4</v>
      </c>
      <c r="Q44" s="142">
        <v>0.61797749999999996</v>
      </c>
      <c r="R44" s="142">
        <v>0.59793810000000003</v>
      </c>
      <c r="S44" s="142">
        <v>0.55000000000000004</v>
      </c>
      <c r="T44" s="142">
        <v>0.56896550000000001</v>
      </c>
      <c r="U44" s="142">
        <v>0.125</v>
      </c>
      <c r="V44" s="142">
        <v>0.47749999999999998</v>
      </c>
    </row>
    <row r="45" spans="1:22" ht="18.75" x14ac:dyDescent="0.25">
      <c r="A45" s="141" t="s">
        <v>760</v>
      </c>
      <c r="B45" s="141" t="s">
        <v>761</v>
      </c>
      <c r="C45" s="141">
        <v>3888</v>
      </c>
      <c r="D45" s="141" t="s">
        <v>680</v>
      </c>
      <c r="E45" s="141">
        <v>1</v>
      </c>
      <c r="F45" s="142">
        <v>0.55000000000000004</v>
      </c>
      <c r="G45" s="141">
        <v>1</v>
      </c>
      <c r="H45" s="142">
        <v>0.5</v>
      </c>
      <c r="I45" s="142">
        <v>0.53260870000000005</v>
      </c>
      <c r="J45" s="142">
        <v>0.53249999999999997</v>
      </c>
      <c r="K45" s="155"/>
      <c r="L45" s="141" t="s">
        <v>760</v>
      </c>
      <c r="M45" s="141" t="s">
        <v>761</v>
      </c>
      <c r="N45" s="141">
        <v>3888</v>
      </c>
      <c r="O45" s="141" t="s">
        <v>680</v>
      </c>
      <c r="P45" s="141">
        <v>4</v>
      </c>
      <c r="Q45" s="142">
        <v>0.75555559999999999</v>
      </c>
      <c r="R45" s="142">
        <v>0.63207550000000001</v>
      </c>
      <c r="S45" s="142">
        <v>0.4</v>
      </c>
      <c r="T45" s="142">
        <v>0.1052632</v>
      </c>
      <c r="U45" s="142">
        <v>0.1891892</v>
      </c>
      <c r="V45" s="142">
        <v>0.45500000000000002</v>
      </c>
    </row>
    <row r="46" spans="1:22" ht="18.75" x14ac:dyDescent="0.25">
      <c r="A46" s="141" t="s">
        <v>760</v>
      </c>
      <c r="B46" s="141" t="s">
        <v>761</v>
      </c>
      <c r="C46" s="141">
        <v>3891</v>
      </c>
      <c r="D46" s="141" t="s">
        <v>680</v>
      </c>
      <c r="E46" s="141">
        <v>1</v>
      </c>
      <c r="F46" s="142">
        <v>0.37</v>
      </c>
      <c r="G46" s="141">
        <v>1</v>
      </c>
      <c r="H46" s="142">
        <v>0.72222220000000004</v>
      </c>
      <c r="I46" s="142">
        <v>0.52173910000000001</v>
      </c>
      <c r="J46" s="142">
        <v>0.5</v>
      </c>
      <c r="K46" s="155"/>
      <c r="L46" s="141" t="s">
        <v>760</v>
      </c>
      <c r="M46" s="141" t="s">
        <v>761</v>
      </c>
      <c r="N46" s="141">
        <v>3891</v>
      </c>
      <c r="O46" s="141" t="s">
        <v>680</v>
      </c>
      <c r="P46" s="141">
        <v>4</v>
      </c>
      <c r="Q46" s="142">
        <v>0.39285710000000001</v>
      </c>
      <c r="R46" s="142">
        <v>0.4166667</v>
      </c>
      <c r="S46" s="142">
        <v>0</v>
      </c>
      <c r="T46" s="142">
        <v>0</v>
      </c>
      <c r="U46" s="142">
        <v>0.13402059999999999</v>
      </c>
      <c r="V46" s="142">
        <v>0.24249999999999999</v>
      </c>
    </row>
    <row r="47" spans="1:22" ht="18.75" x14ac:dyDescent="0.25">
      <c r="A47" s="141" t="s">
        <v>760</v>
      </c>
      <c r="B47" s="141" t="s">
        <v>761</v>
      </c>
      <c r="C47" s="141">
        <v>4039</v>
      </c>
      <c r="D47" s="141" t="s">
        <v>680</v>
      </c>
      <c r="E47" s="141">
        <v>1</v>
      </c>
      <c r="F47" s="142">
        <v>0.49</v>
      </c>
      <c r="G47" s="141">
        <v>1</v>
      </c>
      <c r="H47" s="142">
        <v>0.94444439999999996</v>
      </c>
      <c r="I47" s="142">
        <v>0.54347829999999997</v>
      </c>
      <c r="J47" s="142">
        <v>0.625</v>
      </c>
      <c r="K47" s="155"/>
      <c r="L47" s="141" t="s">
        <v>760</v>
      </c>
      <c r="M47" s="141" t="s">
        <v>761</v>
      </c>
      <c r="N47" s="141">
        <v>4039</v>
      </c>
      <c r="O47" s="141" t="s">
        <v>680</v>
      </c>
      <c r="P47" s="141">
        <v>4</v>
      </c>
      <c r="Q47" s="142">
        <v>0.3090909</v>
      </c>
      <c r="R47" s="142">
        <v>0.67045460000000001</v>
      </c>
      <c r="S47" s="142">
        <v>0.58333330000000005</v>
      </c>
      <c r="T47" s="142">
        <v>0.12</v>
      </c>
      <c r="U47" s="142">
        <v>0.1521739</v>
      </c>
      <c r="V47" s="142">
        <v>0.37</v>
      </c>
    </row>
    <row r="48" spans="1:22" ht="18.75" x14ac:dyDescent="0.25">
      <c r="A48" s="141" t="s">
        <v>762</v>
      </c>
      <c r="B48" s="141" t="s">
        <v>758</v>
      </c>
      <c r="C48" s="141">
        <v>810</v>
      </c>
      <c r="D48" s="141" t="s">
        <v>729</v>
      </c>
      <c r="E48" s="141">
        <v>1</v>
      </c>
      <c r="F48" s="142">
        <v>0.28999999999999998</v>
      </c>
      <c r="G48" s="141">
        <v>1</v>
      </c>
      <c r="H48" s="142">
        <v>1</v>
      </c>
      <c r="I48" s="142">
        <v>0.71739129999999995</v>
      </c>
      <c r="J48" s="142">
        <v>0.57999999999999996</v>
      </c>
      <c r="K48" s="155"/>
      <c r="L48" s="141" t="s">
        <v>762</v>
      </c>
      <c r="M48" s="141" t="s">
        <v>758</v>
      </c>
      <c r="N48" s="141">
        <v>810</v>
      </c>
      <c r="O48" s="141" t="s">
        <v>729</v>
      </c>
      <c r="P48" s="141">
        <v>4</v>
      </c>
      <c r="Q48" s="142">
        <v>0.74431820000000004</v>
      </c>
      <c r="R48" s="142">
        <v>0.74226800000000004</v>
      </c>
      <c r="S48" s="142">
        <v>1</v>
      </c>
      <c r="T48" s="142">
        <v>0.75</v>
      </c>
      <c r="U48" s="142">
        <v>0.7570093</v>
      </c>
      <c r="V48" s="142">
        <v>0.79125000000000001</v>
      </c>
    </row>
    <row r="49" spans="1:22" ht="18.75" x14ac:dyDescent="0.25">
      <c r="A49" s="141" t="s">
        <v>762</v>
      </c>
      <c r="B49" s="141" t="s">
        <v>758</v>
      </c>
      <c r="C49" s="141">
        <v>1063</v>
      </c>
      <c r="D49" s="141" t="s">
        <v>727</v>
      </c>
      <c r="E49" s="141">
        <v>1</v>
      </c>
      <c r="F49" s="142">
        <v>0.66</v>
      </c>
      <c r="G49" s="141">
        <v>1</v>
      </c>
      <c r="H49" s="142">
        <v>1</v>
      </c>
      <c r="I49" s="142">
        <v>0.54347829999999997</v>
      </c>
      <c r="J49" s="142">
        <v>0.72499999999999998</v>
      </c>
      <c r="K49" s="155"/>
      <c r="L49" s="141" t="s">
        <v>762</v>
      </c>
      <c r="M49" s="141" t="s">
        <v>758</v>
      </c>
      <c r="N49" s="141">
        <v>1063</v>
      </c>
      <c r="O49" s="141" t="s">
        <v>727</v>
      </c>
      <c r="P49" s="141">
        <v>4</v>
      </c>
      <c r="Q49" s="142">
        <v>0.84469700000000003</v>
      </c>
      <c r="R49" s="142">
        <v>0.49411759999999999</v>
      </c>
      <c r="S49" s="142">
        <v>0.5</v>
      </c>
      <c r="T49" s="142">
        <v>0.3333333</v>
      </c>
      <c r="U49" s="142">
        <v>0.5053763</v>
      </c>
      <c r="V49" s="142">
        <v>0.60124999999999995</v>
      </c>
    </row>
    <row r="50" spans="1:22" ht="18.75" x14ac:dyDescent="0.25">
      <c r="A50" s="141" t="s">
        <v>762</v>
      </c>
      <c r="B50" s="141" t="s">
        <v>758</v>
      </c>
      <c r="C50" s="141">
        <v>1726</v>
      </c>
      <c r="D50" s="141" t="s">
        <v>728</v>
      </c>
      <c r="E50" s="141">
        <v>1</v>
      </c>
      <c r="F50" s="142">
        <v>0.52</v>
      </c>
      <c r="G50" s="141">
        <v>1</v>
      </c>
      <c r="H50" s="142">
        <v>0.1666667</v>
      </c>
      <c r="I50" s="142">
        <v>0.59782610000000003</v>
      </c>
      <c r="J50" s="142">
        <v>0.4425</v>
      </c>
      <c r="K50" s="155"/>
      <c r="L50" s="141" t="s">
        <v>762</v>
      </c>
      <c r="M50" s="141" t="s">
        <v>758</v>
      </c>
      <c r="N50" s="141">
        <v>1726</v>
      </c>
      <c r="O50" s="141" t="s">
        <v>728</v>
      </c>
      <c r="P50" s="141">
        <v>4</v>
      </c>
      <c r="Q50" s="142">
        <v>0.69369369999999997</v>
      </c>
      <c r="R50" s="142">
        <v>0.51428569999999996</v>
      </c>
      <c r="S50" s="142">
        <v>0.44444440000000002</v>
      </c>
      <c r="T50" s="142"/>
      <c r="U50" s="142">
        <v>0.55371899999999996</v>
      </c>
      <c r="V50" s="142">
        <v>0.56499999999999995</v>
      </c>
    </row>
    <row r="51" spans="1:22" ht="18.75" x14ac:dyDescent="0.25">
      <c r="A51" s="141" t="s">
        <v>762</v>
      </c>
      <c r="B51" s="141" t="s">
        <v>758</v>
      </c>
      <c r="C51" s="141">
        <v>1727</v>
      </c>
      <c r="D51" s="141" t="s">
        <v>728</v>
      </c>
      <c r="E51" s="141">
        <v>1</v>
      </c>
      <c r="F51" s="142">
        <v>0.38</v>
      </c>
      <c r="G51" s="141">
        <v>1</v>
      </c>
      <c r="H51" s="142">
        <v>0.88888889999999998</v>
      </c>
      <c r="I51" s="142">
        <v>0.70652170000000003</v>
      </c>
      <c r="J51" s="142">
        <v>0.59250000000000003</v>
      </c>
      <c r="K51" s="155"/>
      <c r="L51" s="141" t="s">
        <v>762</v>
      </c>
      <c r="M51" s="141" t="s">
        <v>758</v>
      </c>
      <c r="N51" s="141">
        <v>1727</v>
      </c>
      <c r="O51" s="141" t="s">
        <v>728</v>
      </c>
      <c r="P51" s="141">
        <v>4</v>
      </c>
      <c r="Q51" s="142">
        <v>0.91860470000000005</v>
      </c>
      <c r="R51" s="142">
        <v>0.9393939</v>
      </c>
      <c r="S51" s="142">
        <v>0.97014929999999999</v>
      </c>
      <c r="T51" s="142">
        <v>0.368421</v>
      </c>
      <c r="U51" s="142">
        <v>0.73636360000000001</v>
      </c>
      <c r="V51" s="142">
        <v>0.83</v>
      </c>
    </row>
    <row r="52" spans="1:22" ht="18.75" x14ac:dyDescent="0.25">
      <c r="A52" s="141" t="s">
        <v>762</v>
      </c>
      <c r="B52" s="141" t="s">
        <v>758</v>
      </c>
      <c r="C52" s="141">
        <v>1773</v>
      </c>
      <c r="D52" s="141" t="s">
        <v>728</v>
      </c>
      <c r="E52" s="141">
        <v>1</v>
      </c>
      <c r="F52" s="142">
        <v>0.52</v>
      </c>
      <c r="G52" s="141">
        <v>1</v>
      </c>
      <c r="H52" s="142">
        <v>0.83333330000000005</v>
      </c>
      <c r="I52" s="142">
        <v>0.5</v>
      </c>
      <c r="J52" s="142">
        <v>0.6</v>
      </c>
      <c r="K52" s="155"/>
      <c r="L52" s="141" t="s">
        <v>762</v>
      </c>
      <c r="M52" s="141" t="s">
        <v>758</v>
      </c>
      <c r="N52" s="141">
        <v>1773</v>
      </c>
      <c r="O52" s="141" t="s">
        <v>728</v>
      </c>
      <c r="P52" s="141">
        <v>4</v>
      </c>
      <c r="Q52" s="142">
        <v>0.36363640000000003</v>
      </c>
      <c r="R52" s="142">
        <v>0.46938780000000002</v>
      </c>
      <c r="S52" s="142">
        <v>0.70588240000000002</v>
      </c>
      <c r="T52" s="142">
        <v>0.25</v>
      </c>
      <c r="U52" s="142">
        <v>0.37735849999999999</v>
      </c>
      <c r="V52" s="142">
        <v>0.44</v>
      </c>
    </row>
    <row r="53" spans="1:22" ht="18.75" x14ac:dyDescent="0.25">
      <c r="A53" s="141" t="s">
        <v>762</v>
      </c>
      <c r="B53" s="141" t="s">
        <v>758</v>
      </c>
      <c r="C53" s="141">
        <v>1992</v>
      </c>
      <c r="D53" s="141" t="s">
        <v>680</v>
      </c>
      <c r="E53" s="141">
        <v>1</v>
      </c>
      <c r="F53" s="142">
        <v>0.53</v>
      </c>
      <c r="G53" s="141">
        <v>1</v>
      </c>
      <c r="H53" s="142">
        <v>0.83333330000000005</v>
      </c>
      <c r="I53" s="142">
        <v>0.5</v>
      </c>
      <c r="J53" s="142">
        <v>0.60499999999999998</v>
      </c>
      <c r="K53" s="155"/>
      <c r="L53" s="141" t="s">
        <v>762</v>
      </c>
      <c r="M53" s="141" t="s">
        <v>758</v>
      </c>
      <c r="N53" s="141">
        <v>1992</v>
      </c>
      <c r="O53" s="141" t="s">
        <v>680</v>
      </c>
      <c r="P53" s="141">
        <v>4</v>
      </c>
      <c r="Q53" s="142">
        <v>0.78658539999999999</v>
      </c>
      <c r="R53" s="142">
        <v>0.76041669999999995</v>
      </c>
      <c r="S53" s="142">
        <v>0.85074629999999996</v>
      </c>
      <c r="T53" s="142">
        <v>0.25862069999999998</v>
      </c>
      <c r="U53" s="142">
        <v>0.49484539999999999</v>
      </c>
      <c r="V53" s="142">
        <v>0.64375000000000004</v>
      </c>
    </row>
    <row r="54" spans="1:22" ht="18.75" x14ac:dyDescent="0.25">
      <c r="A54" s="141" t="s">
        <v>762</v>
      </c>
      <c r="B54" s="141" t="s">
        <v>758</v>
      </c>
      <c r="C54" s="141">
        <v>2321</v>
      </c>
      <c r="D54" s="141" t="s">
        <v>680</v>
      </c>
      <c r="E54" s="141">
        <v>2</v>
      </c>
      <c r="F54" s="142">
        <v>0.5</v>
      </c>
      <c r="G54" s="141">
        <v>0</v>
      </c>
      <c r="H54" s="142"/>
      <c r="I54" s="142"/>
      <c r="J54" s="142">
        <v>0.5</v>
      </c>
      <c r="K54" s="155"/>
      <c r="L54" s="141" t="s">
        <v>762</v>
      </c>
      <c r="M54" s="141" t="s">
        <v>758</v>
      </c>
      <c r="N54" s="141">
        <v>2321</v>
      </c>
      <c r="O54" s="141" t="s">
        <v>680</v>
      </c>
      <c r="P54" s="141">
        <v>4</v>
      </c>
      <c r="Q54" s="142">
        <v>0.32330829999999999</v>
      </c>
      <c r="R54" s="142">
        <v>0.26190479999999999</v>
      </c>
      <c r="S54" s="142">
        <v>0.3846154</v>
      </c>
      <c r="T54" s="142">
        <v>0.1875</v>
      </c>
      <c r="U54" s="142">
        <v>0.21686749999999999</v>
      </c>
      <c r="V54" s="142">
        <v>0.28000000000000003</v>
      </c>
    </row>
    <row r="55" spans="1:22" ht="18.75" x14ac:dyDescent="0.25">
      <c r="A55" s="141" t="s">
        <v>762</v>
      </c>
      <c r="B55" s="141" t="s">
        <v>758</v>
      </c>
      <c r="C55" s="141">
        <v>2644</v>
      </c>
      <c r="D55" s="141" t="s">
        <v>680</v>
      </c>
      <c r="E55" s="141">
        <v>0</v>
      </c>
      <c r="F55" s="142"/>
      <c r="G55" s="141">
        <v>1</v>
      </c>
      <c r="H55" s="142">
        <v>0.94444439999999996</v>
      </c>
      <c r="I55" s="142">
        <v>0.54347829999999997</v>
      </c>
      <c r="J55" s="142">
        <v>0.76</v>
      </c>
      <c r="K55" s="155"/>
      <c r="L55" s="141" t="s">
        <v>762</v>
      </c>
      <c r="M55" s="141" t="s">
        <v>758</v>
      </c>
      <c r="N55" s="141">
        <v>2644</v>
      </c>
      <c r="O55" s="141" t="s">
        <v>680</v>
      </c>
      <c r="P55" s="141">
        <v>4</v>
      </c>
      <c r="Q55" s="142">
        <v>0.65168539999999997</v>
      </c>
      <c r="R55" s="142">
        <v>0.64583330000000005</v>
      </c>
      <c r="S55" s="142">
        <v>1</v>
      </c>
      <c r="T55" s="142">
        <v>0.24137929999999999</v>
      </c>
      <c r="U55" s="142">
        <v>0.42268040000000001</v>
      </c>
      <c r="V55" s="142">
        <v>0.58750000000000002</v>
      </c>
    </row>
    <row r="56" spans="1:22" ht="18.75" x14ac:dyDescent="0.25">
      <c r="A56" s="141" t="s">
        <v>762</v>
      </c>
      <c r="B56" s="141" t="s">
        <v>758</v>
      </c>
      <c r="C56" s="141">
        <v>4352</v>
      </c>
      <c r="D56" s="141" t="s">
        <v>680</v>
      </c>
      <c r="E56" s="141">
        <v>1</v>
      </c>
      <c r="F56" s="142">
        <v>0.4</v>
      </c>
      <c r="G56" s="141">
        <v>1</v>
      </c>
      <c r="H56" s="142">
        <v>0.83333330000000005</v>
      </c>
      <c r="I56" s="142">
        <v>0.67391310000000004</v>
      </c>
      <c r="J56" s="142">
        <v>0.57999999999999996</v>
      </c>
      <c r="K56" s="155"/>
      <c r="L56" s="141" t="s">
        <v>762</v>
      </c>
      <c r="M56" s="141" t="s">
        <v>758</v>
      </c>
      <c r="N56" s="141">
        <v>4352</v>
      </c>
      <c r="O56" s="141" t="s">
        <v>680</v>
      </c>
      <c r="P56" s="141">
        <v>4</v>
      </c>
      <c r="Q56" s="142">
        <v>0.73863639999999997</v>
      </c>
      <c r="R56" s="142">
        <v>0.81443299999999996</v>
      </c>
      <c r="S56" s="142">
        <v>0.92647060000000003</v>
      </c>
      <c r="T56" s="142">
        <v>0.4</v>
      </c>
      <c r="U56" s="142">
        <v>0.53271029999999997</v>
      </c>
      <c r="V56" s="142">
        <v>0.7</v>
      </c>
    </row>
    <row r="57" spans="1:22" ht="18.75" x14ac:dyDescent="0.25">
      <c r="A57" s="141" t="s">
        <v>762</v>
      </c>
      <c r="B57" s="141" t="s">
        <v>758</v>
      </c>
      <c r="C57" s="141">
        <v>4356</v>
      </c>
      <c r="D57" s="141" t="s">
        <v>680</v>
      </c>
      <c r="E57" s="141">
        <v>1</v>
      </c>
      <c r="F57" s="142">
        <v>0.51</v>
      </c>
      <c r="G57" s="141">
        <v>1</v>
      </c>
      <c r="H57" s="142">
        <v>0.88888889999999998</v>
      </c>
      <c r="I57" s="142">
        <v>0.56521739999999998</v>
      </c>
      <c r="J57" s="142">
        <v>0.625</v>
      </c>
      <c r="K57" s="155"/>
      <c r="L57" s="141" t="s">
        <v>762</v>
      </c>
      <c r="M57" s="141" t="s">
        <v>758</v>
      </c>
      <c r="N57" s="141">
        <v>4356</v>
      </c>
      <c r="O57" s="141" t="s">
        <v>680</v>
      </c>
      <c r="P57" s="141">
        <v>4</v>
      </c>
      <c r="Q57" s="142">
        <v>0.86363639999999997</v>
      </c>
      <c r="R57" s="142">
        <v>0.7816092</v>
      </c>
      <c r="S57" s="142">
        <v>0.66666669999999995</v>
      </c>
      <c r="T57" s="142">
        <v>0.66</v>
      </c>
      <c r="U57" s="142">
        <v>0.52688170000000001</v>
      </c>
      <c r="V57" s="142">
        <v>0.71250000000000002</v>
      </c>
    </row>
    <row r="58" spans="1:22" ht="18.75" x14ac:dyDescent="0.25">
      <c r="A58" s="141" t="s">
        <v>762</v>
      </c>
      <c r="B58" s="141" t="s">
        <v>758</v>
      </c>
      <c r="C58" s="141">
        <v>4358</v>
      </c>
      <c r="D58" s="141" t="s">
        <v>680</v>
      </c>
      <c r="E58" s="141">
        <v>2</v>
      </c>
      <c r="F58" s="142">
        <v>0.5</v>
      </c>
      <c r="G58" s="141">
        <v>0</v>
      </c>
      <c r="H58" s="142"/>
      <c r="I58" s="142"/>
      <c r="J58" s="142">
        <v>0.5</v>
      </c>
      <c r="K58" s="155"/>
      <c r="L58" s="141" t="s">
        <v>762</v>
      </c>
      <c r="M58" s="141" t="s">
        <v>758</v>
      </c>
      <c r="N58" s="141">
        <v>4358</v>
      </c>
      <c r="O58" s="141" t="s">
        <v>680</v>
      </c>
      <c r="P58" s="141">
        <v>4</v>
      </c>
      <c r="Q58" s="142">
        <v>0.48888890000000002</v>
      </c>
      <c r="R58" s="142">
        <v>0.39622639999999998</v>
      </c>
      <c r="S58" s="142">
        <v>0.32727270000000003</v>
      </c>
      <c r="T58" s="142">
        <v>0</v>
      </c>
      <c r="U58" s="142">
        <v>0.22522519999999999</v>
      </c>
      <c r="V58" s="142">
        <v>0.32250000000000001</v>
      </c>
    </row>
    <row r="59" spans="1:22" ht="18.75" x14ac:dyDescent="0.25">
      <c r="A59" s="141" t="s">
        <v>763</v>
      </c>
      <c r="B59" s="141" t="s">
        <v>764</v>
      </c>
      <c r="C59" s="141">
        <v>598</v>
      </c>
      <c r="D59" s="141" t="s">
        <v>727</v>
      </c>
      <c r="E59" s="141">
        <v>1</v>
      </c>
      <c r="F59" s="142">
        <v>0.26</v>
      </c>
      <c r="G59" s="141">
        <v>1</v>
      </c>
      <c r="H59" s="142">
        <v>0.72222220000000004</v>
      </c>
      <c r="I59" s="142">
        <v>0.63043479999999996</v>
      </c>
      <c r="J59" s="142">
        <v>0.47</v>
      </c>
      <c r="K59" s="155"/>
      <c r="L59" s="141" t="s">
        <v>763</v>
      </c>
      <c r="M59" s="141" t="s">
        <v>764</v>
      </c>
      <c r="N59" s="141">
        <v>598</v>
      </c>
      <c r="O59" s="141" t="s">
        <v>727</v>
      </c>
      <c r="P59" s="141">
        <v>4</v>
      </c>
      <c r="Q59" s="142">
        <v>0.7987805</v>
      </c>
      <c r="R59" s="142">
        <v>0.66666669999999995</v>
      </c>
      <c r="S59" s="142">
        <v>0.97014929999999999</v>
      </c>
      <c r="T59" s="142">
        <v>0.56896550000000001</v>
      </c>
      <c r="U59" s="142">
        <v>0.62886600000000004</v>
      </c>
      <c r="V59" s="142">
        <v>0.72124999999999995</v>
      </c>
    </row>
    <row r="60" spans="1:22" ht="18.75" x14ac:dyDescent="0.25">
      <c r="A60" s="141" t="s">
        <v>763</v>
      </c>
      <c r="B60" s="141" t="s">
        <v>764</v>
      </c>
      <c r="C60" s="141">
        <v>604</v>
      </c>
      <c r="D60" s="141" t="s">
        <v>727</v>
      </c>
      <c r="E60" s="141">
        <v>1</v>
      </c>
      <c r="F60" s="142">
        <v>0.08</v>
      </c>
      <c r="G60" s="141">
        <v>1</v>
      </c>
      <c r="H60" s="142">
        <v>1</v>
      </c>
      <c r="I60" s="142">
        <v>0.5</v>
      </c>
      <c r="J60" s="142">
        <v>0.42499999999999999</v>
      </c>
      <c r="K60" s="155"/>
      <c r="L60" s="141" t="s">
        <v>763</v>
      </c>
      <c r="M60" s="141" t="s">
        <v>764</v>
      </c>
      <c r="N60" s="141">
        <v>604</v>
      </c>
      <c r="O60" s="141" t="s">
        <v>727</v>
      </c>
      <c r="P60" s="141">
        <v>4</v>
      </c>
      <c r="Q60" s="142">
        <v>0.8518519</v>
      </c>
      <c r="R60" s="142">
        <v>0.90804589999999996</v>
      </c>
      <c r="S60" s="142">
        <v>1</v>
      </c>
      <c r="T60" s="142">
        <v>0.64102570000000003</v>
      </c>
      <c r="U60" s="142">
        <v>0.39024389999999998</v>
      </c>
      <c r="V60" s="142">
        <v>0.755</v>
      </c>
    </row>
    <row r="61" spans="1:22" ht="18.75" x14ac:dyDescent="0.25">
      <c r="A61" s="141" t="s">
        <v>763</v>
      </c>
      <c r="B61" s="141" t="s">
        <v>764</v>
      </c>
      <c r="C61" s="141">
        <v>1913</v>
      </c>
      <c r="D61" s="141" t="s">
        <v>727</v>
      </c>
      <c r="E61" s="141">
        <v>1</v>
      </c>
      <c r="F61" s="142">
        <v>0.41</v>
      </c>
      <c r="G61" s="141">
        <v>1</v>
      </c>
      <c r="H61" s="142">
        <v>1</v>
      </c>
      <c r="I61" s="142">
        <v>0.65217389999999997</v>
      </c>
      <c r="J61" s="142">
        <v>0.625</v>
      </c>
      <c r="K61" s="155"/>
      <c r="L61" s="141" t="s">
        <v>763</v>
      </c>
      <c r="M61" s="141" t="s">
        <v>764</v>
      </c>
      <c r="N61" s="141">
        <v>1913</v>
      </c>
      <c r="O61" s="141" t="s">
        <v>727</v>
      </c>
      <c r="P61" s="141">
        <v>4</v>
      </c>
      <c r="Q61" s="142">
        <v>0.48198200000000002</v>
      </c>
      <c r="R61" s="142">
        <v>0.4942529</v>
      </c>
      <c r="S61" s="142">
        <v>0.57692310000000002</v>
      </c>
      <c r="T61" s="142">
        <v>0.55882350000000003</v>
      </c>
      <c r="U61" s="142">
        <v>0.35365849999999999</v>
      </c>
      <c r="V61" s="142">
        <v>0.48375000000000001</v>
      </c>
    </row>
    <row r="62" spans="1:22" ht="18.75" x14ac:dyDescent="0.25">
      <c r="A62" s="141" t="s">
        <v>763</v>
      </c>
      <c r="B62" s="141" t="s">
        <v>764</v>
      </c>
      <c r="C62" s="141">
        <v>1946</v>
      </c>
      <c r="D62" s="141" t="s">
        <v>728</v>
      </c>
      <c r="E62" s="141">
        <v>1</v>
      </c>
      <c r="F62" s="142">
        <v>0.23</v>
      </c>
      <c r="G62" s="141">
        <v>1</v>
      </c>
      <c r="H62" s="142">
        <v>0.72222220000000004</v>
      </c>
      <c r="I62" s="142">
        <v>0.53260870000000005</v>
      </c>
      <c r="J62" s="142">
        <v>0.4325</v>
      </c>
      <c r="K62" s="155"/>
      <c r="L62" s="141" t="s">
        <v>763</v>
      </c>
      <c r="M62" s="141" t="s">
        <v>764</v>
      </c>
      <c r="N62" s="141">
        <v>1946</v>
      </c>
      <c r="O62" s="141" t="s">
        <v>728</v>
      </c>
      <c r="P62" s="141">
        <v>4</v>
      </c>
      <c r="Q62" s="142">
        <v>0.4892473</v>
      </c>
      <c r="R62" s="142">
        <v>0.32323229999999997</v>
      </c>
      <c r="S62" s="142">
        <v>0.3</v>
      </c>
      <c r="T62" s="142">
        <v>5.2631600000000001E-2</v>
      </c>
      <c r="U62" s="142">
        <v>0.28181820000000002</v>
      </c>
      <c r="V62" s="142">
        <v>0.32124999999999998</v>
      </c>
    </row>
    <row r="63" spans="1:22" ht="18.75" x14ac:dyDescent="0.25">
      <c r="A63" s="141" t="s">
        <v>763</v>
      </c>
      <c r="B63" s="141" t="s">
        <v>764</v>
      </c>
      <c r="C63" s="141">
        <v>2018</v>
      </c>
      <c r="D63" s="141" t="s">
        <v>729</v>
      </c>
      <c r="E63" s="141">
        <v>1</v>
      </c>
      <c r="F63" s="142">
        <v>0.5</v>
      </c>
      <c r="G63" s="141">
        <v>1</v>
      </c>
      <c r="H63" s="142">
        <v>0.38888889999999998</v>
      </c>
      <c r="I63" s="142">
        <v>0.5</v>
      </c>
      <c r="J63" s="142">
        <v>0.47</v>
      </c>
      <c r="K63" s="155"/>
      <c r="L63" s="141" t="s">
        <v>763</v>
      </c>
      <c r="M63" s="141" t="s">
        <v>764</v>
      </c>
      <c r="N63" s="141">
        <v>2018</v>
      </c>
      <c r="O63" s="141" t="s">
        <v>729</v>
      </c>
      <c r="P63" s="141">
        <v>4</v>
      </c>
      <c r="Q63" s="142">
        <v>0.72222220000000004</v>
      </c>
      <c r="R63" s="142">
        <v>0.61320750000000002</v>
      </c>
      <c r="S63" s="142">
        <v>0.69090910000000005</v>
      </c>
      <c r="T63" s="142">
        <v>0.2631579</v>
      </c>
      <c r="U63" s="142">
        <v>0.56756759999999995</v>
      </c>
      <c r="V63" s="142">
        <v>0.60250000000000004</v>
      </c>
    </row>
    <row r="64" spans="1:22" ht="18.75" x14ac:dyDescent="0.25">
      <c r="A64" s="141" t="s">
        <v>763</v>
      </c>
      <c r="B64" s="141" t="s">
        <v>764</v>
      </c>
      <c r="C64" s="141">
        <v>2154</v>
      </c>
      <c r="D64" s="141" t="s">
        <v>728</v>
      </c>
      <c r="E64" s="141">
        <v>1</v>
      </c>
      <c r="F64" s="142">
        <v>0.63</v>
      </c>
      <c r="G64" s="141">
        <v>1</v>
      </c>
      <c r="H64" s="142">
        <v>0.5</v>
      </c>
      <c r="I64" s="142">
        <v>0.6086956</v>
      </c>
      <c r="J64" s="142">
        <v>0.59</v>
      </c>
      <c r="K64" s="155"/>
      <c r="L64" s="141" t="s">
        <v>763</v>
      </c>
      <c r="M64" s="141" t="s">
        <v>764</v>
      </c>
      <c r="N64" s="141">
        <v>2154</v>
      </c>
      <c r="O64" s="141" t="s">
        <v>728</v>
      </c>
      <c r="P64" s="141">
        <v>4</v>
      </c>
      <c r="Q64" s="142">
        <v>0.51219510000000001</v>
      </c>
      <c r="R64" s="142">
        <v>0.46875</v>
      </c>
      <c r="S64" s="142">
        <v>0.70149249999999996</v>
      </c>
      <c r="T64" s="142">
        <v>0.62068959999999995</v>
      </c>
      <c r="U64" s="142">
        <v>0.25773190000000001</v>
      </c>
      <c r="V64" s="142">
        <v>0.48749999999999999</v>
      </c>
    </row>
    <row r="65" spans="1:22" ht="18.75" x14ac:dyDescent="0.25">
      <c r="A65" s="141" t="s">
        <v>763</v>
      </c>
      <c r="B65" s="141" t="s">
        <v>764</v>
      </c>
      <c r="C65" s="141">
        <v>2656</v>
      </c>
      <c r="D65" s="141" t="s">
        <v>680</v>
      </c>
      <c r="E65" s="141">
        <v>1</v>
      </c>
      <c r="F65" s="142">
        <v>0.64</v>
      </c>
      <c r="G65" s="141">
        <v>1</v>
      </c>
      <c r="H65" s="142">
        <v>0.38888889999999998</v>
      </c>
      <c r="I65" s="142">
        <v>0.53260870000000005</v>
      </c>
      <c r="J65" s="142">
        <v>0.54749999999999999</v>
      </c>
      <c r="K65" s="155"/>
      <c r="L65" s="141" t="s">
        <v>763</v>
      </c>
      <c r="M65" s="141" t="s">
        <v>764</v>
      </c>
      <c r="N65" s="141">
        <v>2656</v>
      </c>
      <c r="O65" s="141" t="s">
        <v>680</v>
      </c>
      <c r="P65" s="141">
        <v>4</v>
      </c>
      <c r="Q65" s="142">
        <v>0.33203129999999997</v>
      </c>
      <c r="R65" s="142">
        <v>0.56097560000000002</v>
      </c>
      <c r="S65" s="142">
        <v>0.3333333</v>
      </c>
      <c r="T65" s="142">
        <v>0.14000000000000001</v>
      </c>
      <c r="U65" s="142">
        <v>0.28749999999999998</v>
      </c>
      <c r="V65" s="142">
        <v>0.34625</v>
      </c>
    </row>
    <row r="66" spans="1:22" ht="18.75" x14ac:dyDescent="0.25">
      <c r="A66" s="141" t="s">
        <v>763</v>
      </c>
      <c r="B66" s="141" t="s">
        <v>764</v>
      </c>
      <c r="C66" s="141">
        <v>2993</v>
      </c>
      <c r="D66" s="141" t="s">
        <v>728</v>
      </c>
      <c r="E66" s="141">
        <v>1</v>
      </c>
      <c r="F66" s="142">
        <v>0.54</v>
      </c>
      <c r="G66" s="141">
        <v>1</v>
      </c>
      <c r="H66" s="142">
        <v>0.5</v>
      </c>
      <c r="I66" s="142">
        <v>0.63043479999999996</v>
      </c>
      <c r="J66" s="142">
        <v>0.55000000000000004</v>
      </c>
      <c r="K66" s="155"/>
      <c r="L66" s="141" t="s">
        <v>763</v>
      </c>
      <c r="M66" s="141" t="s">
        <v>764</v>
      </c>
      <c r="N66" s="141">
        <v>2993</v>
      </c>
      <c r="O66" s="141" t="s">
        <v>728</v>
      </c>
      <c r="P66" s="141">
        <v>4</v>
      </c>
      <c r="Q66" s="142">
        <v>0.65533980000000003</v>
      </c>
      <c r="R66" s="142">
        <v>0.52380959999999999</v>
      </c>
      <c r="S66" s="142">
        <v>0.69444439999999996</v>
      </c>
      <c r="T66" s="142">
        <v>0.29310350000000002</v>
      </c>
      <c r="U66" s="142">
        <v>0.28915659999999999</v>
      </c>
      <c r="V66" s="142">
        <v>0.50624999999999998</v>
      </c>
    </row>
    <row r="67" spans="1:22" ht="18.75" x14ac:dyDescent="0.25">
      <c r="A67" s="141" t="s">
        <v>763</v>
      </c>
      <c r="B67" s="141" t="s">
        <v>764</v>
      </c>
      <c r="C67" s="141">
        <v>3590</v>
      </c>
      <c r="D67" s="141" t="s">
        <v>680</v>
      </c>
      <c r="E67" s="141">
        <v>1</v>
      </c>
      <c r="F67" s="142">
        <v>0.64</v>
      </c>
      <c r="G67" s="141">
        <v>1</v>
      </c>
      <c r="H67" s="142">
        <v>0.5</v>
      </c>
      <c r="I67" s="142">
        <v>0.63043479999999996</v>
      </c>
      <c r="J67" s="142">
        <v>0.6</v>
      </c>
      <c r="K67" s="155"/>
      <c r="L67" s="141" t="s">
        <v>763</v>
      </c>
      <c r="M67" s="141" t="s">
        <v>764</v>
      </c>
      <c r="N67" s="141">
        <v>3590</v>
      </c>
      <c r="O67" s="141" t="s">
        <v>680</v>
      </c>
      <c r="P67" s="141">
        <v>4</v>
      </c>
      <c r="Q67" s="142">
        <v>0.63157890000000005</v>
      </c>
      <c r="R67" s="142">
        <v>0.51190480000000005</v>
      </c>
      <c r="S67" s="142">
        <v>0.80769230000000003</v>
      </c>
      <c r="T67" s="142">
        <v>0.52083330000000005</v>
      </c>
      <c r="U67" s="142">
        <v>0.71084340000000001</v>
      </c>
      <c r="V67" s="142">
        <v>0.63249999999999995</v>
      </c>
    </row>
    <row r="68" spans="1:22" ht="18.75" x14ac:dyDescent="0.25">
      <c r="A68" s="141" t="s">
        <v>763</v>
      </c>
      <c r="B68" s="141" t="s">
        <v>764</v>
      </c>
      <c r="C68" s="141">
        <v>4429</v>
      </c>
      <c r="D68" s="141" t="s">
        <v>680</v>
      </c>
      <c r="E68" s="141">
        <v>0</v>
      </c>
      <c r="F68" s="142"/>
      <c r="G68" s="141">
        <v>1</v>
      </c>
      <c r="H68" s="142">
        <v>0.94444439999999996</v>
      </c>
      <c r="I68" s="142">
        <v>0.58695649999999999</v>
      </c>
      <c r="J68" s="142">
        <v>0.78</v>
      </c>
      <c r="K68" s="155"/>
      <c r="L68" s="141" t="s">
        <v>763</v>
      </c>
      <c r="M68" s="141" t="s">
        <v>764</v>
      </c>
      <c r="N68" s="141">
        <v>4429</v>
      </c>
      <c r="O68" s="141" t="s">
        <v>680</v>
      </c>
      <c r="P68" s="141">
        <v>4</v>
      </c>
      <c r="Q68" s="142">
        <v>0.57589290000000004</v>
      </c>
      <c r="R68" s="142">
        <v>0.66666669999999995</v>
      </c>
      <c r="S68" s="142">
        <v>0.95744680000000004</v>
      </c>
      <c r="T68" s="142">
        <v>0.77083330000000005</v>
      </c>
      <c r="U68" s="142">
        <v>0.50515460000000001</v>
      </c>
      <c r="V68" s="142">
        <v>0.64875000000000005</v>
      </c>
    </row>
    <row r="69" spans="1:22" ht="18.75" x14ac:dyDescent="0.25">
      <c r="A69" s="141" t="s">
        <v>763</v>
      </c>
      <c r="B69" s="141" t="s">
        <v>764</v>
      </c>
      <c r="C69" s="141">
        <v>4430</v>
      </c>
      <c r="D69" s="141" t="s">
        <v>680</v>
      </c>
      <c r="E69" s="141">
        <v>1</v>
      </c>
      <c r="F69" s="142">
        <v>0.49</v>
      </c>
      <c r="G69" s="141">
        <v>1</v>
      </c>
      <c r="H69" s="142">
        <v>0.88888889999999998</v>
      </c>
      <c r="I69" s="142">
        <v>0.83695649999999999</v>
      </c>
      <c r="J69" s="142">
        <v>0.67749999999999999</v>
      </c>
      <c r="K69" s="155"/>
      <c r="L69" s="141" t="s">
        <v>763</v>
      </c>
      <c r="M69" s="141" t="s">
        <v>764</v>
      </c>
      <c r="N69" s="141">
        <v>4430</v>
      </c>
      <c r="O69" s="141" t="s">
        <v>680</v>
      </c>
      <c r="P69" s="141">
        <v>4</v>
      </c>
      <c r="Q69" s="142">
        <v>0.25675680000000001</v>
      </c>
      <c r="R69" s="142">
        <v>0.2906977</v>
      </c>
      <c r="S69" s="142">
        <v>0.48076920000000001</v>
      </c>
      <c r="T69" s="142">
        <v>0.1029412</v>
      </c>
      <c r="U69" s="142">
        <v>0.2289157</v>
      </c>
      <c r="V69" s="142">
        <v>0.26124999999999998</v>
      </c>
    </row>
    <row r="70" spans="1:22" ht="18.75" x14ac:dyDescent="0.25">
      <c r="A70" s="141" t="s">
        <v>765</v>
      </c>
      <c r="B70" s="141" t="s">
        <v>766</v>
      </c>
      <c r="C70" s="141">
        <v>96</v>
      </c>
      <c r="D70" s="141" t="s">
        <v>727</v>
      </c>
      <c r="E70" s="141">
        <v>1</v>
      </c>
      <c r="F70" s="142">
        <v>0.46</v>
      </c>
      <c r="G70" s="141">
        <v>1</v>
      </c>
      <c r="H70" s="142">
        <v>1</v>
      </c>
      <c r="I70" s="142">
        <v>0.51086960000000003</v>
      </c>
      <c r="J70" s="142">
        <v>0.61750000000000005</v>
      </c>
      <c r="K70" s="155"/>
      <c r="L70" s="141" t="s">
        <v>765</v>
      </c>
      <c r="M70" s="141" t="s">
        <v>766</v>
      </c>
      <c r="N70" s="141">
        <v>96</v>
      </c>
      <c r="O70" s="141" t="s">
        <v>727</v>
      </c>
      <c r="P70" s="141">
        <v>4</v>
      </c>
      <c r="Q70" s="142">
        <v>0.75510200000000005</v>
      </c>
      <c r="R70" s="142">
        <v>0.59756100000000001</v>
      </c>
      <c r="S70" s="142">
        <v>0.75</v>
      </c>
      <c r="T70" s="142">
        <v>0.4166667</v>
      </c>
      <c r="U70" s="142">
        <v>0.26250000000000001</v>
      </c>
      <c r="V70" s="142">
        <v>0.57250000000000001</v>
      </c>
    </row>
    <row r="71" spans="1:22" ht="18.75" x14ac:dyDescent="0.25">
      <c r="A71" s="141" t="s">
        <v>765</v>
      </c>
      <c r="B71" s="141" t="s">
        <v>766</v>
      </c>
      <c r="C71" s="141">
        <v>255</v>
      </c>
      <c r="D71" s="141" t="s">
        <v>727</v>
      </c>
      <c r="E71" s="141">
        <v>1</v>
      </c>
      <c r="F71" s="142">
        <v>0.37</v>
      </c>
      <c r="G71" s="141">
        <v>1</v>
      </c>
      <c r="H71" s="142">
        <v>0.94444439999999996</v>
      </c>
      <c r="I71" s="142">
        <v>0.45652169999999997</v>
      </c>
      <c r="J71" s="142">
        <v>0.54500000000000004</v>
      </c>
      <c r="K71" s="155"/>
      <c r="L71" s="141" t="s">
        <v>765</v>
      </c>
      <c r="M71" s="141" t="s">
        <v>766</v>
      </c>
      <c r="N71" s="141">
        <v>255</v>
      </c>
      <c r="O71" s="141" t="s">
        <v>727</v>
      </c>
      <c r="P71" s="141">
        <v>4</v>
      </c>
      <c r="Q71" s="142">
        <v>0.68468470000000003</v>
      </c>
      <c r="R71" s="142">
        <v>0.67441859999999998</v>
      </c>
      <c r="S71" s="142">
        <v>0.86538459999999995</v>
      </c>
      <c r="T71" s="142">
        <v>0.52941179999999999</v>
      </c>
      <c r="U71" s="142">
        <v>0.36144579999999998</v>
      </c>
      <c r="V71" s="142">
        <v>0.61250000000000004</v>
      </c>
    </row>
    <row r="72" spans="1:22" ht="18.75" x14ac:dyDescent="0.25">
      <c r="A72" s="141" t="s">
        <v>765</v>
      </c>
      <c r="B72" s="141" t="s">
        <v>766</v>
      </c>
      <c r="C72" s="141">
        <v>263</v>
      </c>
      <c r="D72" s="141" t="s">
        <v>728</v>
      </c>
      <c r="E72" s="141">
        <v>1</v>
      </c>
      <c r="F72" s="142">
        <v>0.49</v>
      </c>
      <c r="G72" s="141">
        <v>1</v>
      </c>
      <c r="H72" s="142">
        <v>0.5</v>
      </c>
      <c r="I72" s="142">
        <v>0.5</v>
      </c>
      <c r="J72" s="142">
        <v>0.495</v>
      </c>
      <c r="K72" s="155"/>
      <c r="L72" s="141" t="s">
        <v>765</v>
      </c>
      <c r="M72" s="141" t="s">
        <v>766</v>
      </c>
      <c r="N72" s="141">
        <v>263</v>
      </c>
      <c r="O72" s="141" t="s">
        <v>728</v>
      </c>
      <c r="P72" s="141">
        <v>4</v>
      </c>
      <c r="Q72" s="142">
        <v>0.45454549999999999</v>
      </c>
      <c r="R72" s="142">
        <v>0.3058824</v>
      </c>
      <c r="S72" s="142">
        <v>0.5</v>
      </c>
      <c r="T72" s="142">
        <v>0.53333339999999996</v>
      </c>
      <c r="U72" s="142">
        <v>0.21505379999999999</v>
      </c>
      <c r="V72" s="142">
        <v>0.38</v>
      </c>
    </row>
    <row r="73" spans="1:22" ht="18.75" x14ac:dyDescent="0.25">
      <c r="A73" s="141" t="s">
        <v>765</v>
      </c>
      <c r="B73" s="141" t="s">
        <v>766</v>
      </c>
      <c r="C73" s="141">
        <v>270</v>
      </c>
      <c r="D73" s="141" t="s">
        <v>729</v>
      </c>
      <c r="E73" s="141">
        <v>1</v>
      </c>
      <c r="F73" s="142">
        <v>0.31</v>
      </c>
      <c r="G73" s="141">
        <v>1</v>
      </c>
      <c r="H73" s="142">
        <v>0.72222220000000004</v>
      </c>
      <c r="I73" s="142">
        <v>0.46739130000000001</v>
      </c>
      <c r="J73" s="142">
        <v>0.45750000000000002</v>
      </c>
      <c r="K73" s="155"/>
      <c r="L73" s="141" t="s">
        <v>765</v>
      </c>
      <c r="M73" s="141" t="s">
        <v>766</v>
      </c>
      <c r="N73" s="141">
        <v>270</v>
      </c>
      <c r="O73" s="141" t="s">
        <v>729</v>
      </c>
      <c r="P73" s="141">
        <v>4</v>
      </c>
      <c r="Q73" s="142">
        <v>0.4166667</v>
      </c>
      <c r="R73" s="142">
        <v>0.31764710000000002</v>
      </c>
      <c r="S73" s="142">
        <v>0.83333330000000005</v>
      </c>
      <c r="T73" s="142">
        <v>0.1666667</v>
      </c>
      <c r="U73" s="142">
        <v>0.44086019999999998</v>
      </c>
      <c r="V73" s="142">
        <v>0.44500000000000001</v>
      </c>
    </row>
    <row r="74" spans="1:22" ht="18.75" x14ac:dyDescent="0.25">
      <c r="A74" s="141" t="s">
        <v>765</v>
      </c>
      <c r="B74" s="141" t="s">
        <v>766</v>
      </c>
      <c r="C74" s="141">
        <v>272</v>
      </c>
      <c r="D74" s="141" t="s">
        <v>728</v>
      </c>
      <c r="E74" s="141">
        <v>1</v>
      </c>
      <c r="F74" s="142">
        <v>0.41</v>
      </c>
      <c r="G74" s="141">
        <v>1</v>
      </c>
      <c r="H74" s="142">
        <v>0.77777779999999996</v>
      </c>
      <c r="I74" s="142">
        <v>0.53260870000000005</v>
      </c>
      <c r="J74" s="142">
        <v>0.53749999999999998</v>
      </c>
      <c r="K74" s="155"/>
      <c r="L74" s="141" t="s">
        <v>765</v>
      </c>
      <c r="M74" s="141" t="s">
        <v>766</v>
      </c>
      <c r="N74" s="141">
        <v>272</v>
      </c>
      <c r="O74" s="141" t="s">
        <v>728</v>
      </c>
      <c r="P74" s="141">
        <v>4</v>
      </c>
      <c r="Q74" s="142">
        <v>0.4478261</v>
      </c>
      <c r="R74" s="142">
        <v>0.46067419999999998</v>
      </c>
      <c r="S74" s="142">
        <v>0.61538459999999995</v>
      </c>
      <c r="T74" s="142">
        <v>0.5625</v>
      </c>
      <c r="U74" s="142">
        <v>0.40625</v>
      </c>
      <c r="V74" s="142">
        <v>0.47625000000000001</v>
      </c>
    </row>
    <row r="75" spans="1:22" ht="18.75" x14ac:dyDescent="0.25">
      <c r="A75" s="141" t="s">
        <v>765</v>
      </c>
      <c r="B75" s="141" t="s">
        <v>766</v>
      </c>
      <c r="C75" s="141">
        <v>273</v>
      </c>
      <c r="D75" s="141" t="s">
        <v>728</v>
      </c>
      <c r="E75" s="141">
        <v>1</v>
      </c>
      <c r="F75" s="142">
        <v>0.6</v>
      </c>
      <c r="G75" s="141">
        <v>1</v>
      </c>
      <c r="H75" s="142">
        <v>0.83333330000000005</v>
      </c>
      <c r="I75" s="142">
        <v>0.72826089999999999</v>
      </c>
      <c r="J75" s="142">
        <v>0.6925</v>
      </c>
      <c r="K75" s="155"/>
      <c r="L75" s="141" t="s">
        <v>765</v>
      </c>
      <c r="M75" s="141" t="s">
        <v>766</v>
      </c>
      <c r="N75" s="141">
        <v>273</v>
      </c>
      <c r="O75" s="141" t="s">
        <v>728</v>
      </c>
      <c r="P75" s="141">
        <v>4</v>
      </c>
      <c r="Q75" s="142">
        <v>0.18260870000000001</v>
      </c>
      <c r="R75" s="142">
        <v>0.2359551</v>
      </c>
      <c r="S75" s="142">
        <v>0.1923077</v>
      </c>
      <c r="T75" s="142">
        <v>0.2708333</v>
      </c>
      <c r="U75" s="142">
        <v>0.1875</v>
      </c>
      <c r="V75" s="142">
        <v>0.20749999999999999</v>
      </c>
    </row>
    <row r="76" spans="1:22" ht="18.75" x14ac:dyDescent="0.25">
      <c r="A76" s="141" t="s">
        <v>765</v>
      </c>
      <c r="B76" s="141" t="s">
        <v>766</v>
      </c>
      <c r="C76" s="141">
        <v>1606</v>
      </c>
      <c r="D76" s="141" t="s">
        <v>728</v>
      </c>
      <c r="E76" s="141">
        <v>1</v>
      </c>
      <c r="F76" s="142">
        <v>0.19</v>
      </c>
      <c r="G76" s="141">
        <v>1</v>
      </c>
      <c r="H76" s="142">
        <v>0.55555560000000004</v>
      </c>
      <c r="I76" s="142">
        <v>0.40217389999999997</v>
      </c>
      <c r="J76" s="142">
        <v>0.33750000000000002</v>
      </c>
      <c r="K76" s="155"/>
      <c r="L76" s="141" t="s">
        <v>765</v>
      </c>
      <c r="M76" s="141" t="s">
        <v>766</v>
      </c>
      <c r="N76" s="141">
        <v>1606</v>
      </c>
      <c r="O76" s="141" t="s">
        <v>728</v>
      </c>
      <c r="P76" s="141">
        <v>4</v>
      </c>
      <c r="Q76" s="142">
        <v>0.3090909</v>
      </c>
      <c r="R76" s="142">
        <v>0.31034479999999998</v>
      </c>
      <c r="S76" s="142">
        <v>0.1666667</v>
      </c>
      <c r="T76" s="142">
        <v>0.14000000000000001</v>
      </c>
      <c r="U76" s="142">
        <v>0.26881719999999998</v>
      </c>
      <c r="V76" s="142">
        <v>0.25750000000000001</v>
      </c>
    </row>
    <row r="77" spans="1:22" ht="18.75" x14ac:dyDescent="0.25">
      <c r="A77" s="141" t="s">
        <v>765</v>
      </c>
      <c r="B77" s="141" t="s">
        <v>766</v>
      </c>
      <c r="C77" s="141">
        <v>2044</v>
      </c>
      <c r="D77" s="141" t="s">
        <v>727</v>
      </c>
      <c r="E77" s="141">
        <v>1</v>
      </c>
      <c r="F77" s="142">
        <v>0.62</v>
      </c>
      <c r="G77" s="141">
        <v>1</v>
      </c>
      <c r="H77" s="142">
        <v>0.66666669999999995</v>
      </c>
      <c r="I77" s="142">
        <v>0.52173910000000001</v>
      </c>
      <c r="J77" s="142">
        <v>0.61</v>
      </c>
      <c r="K77" s="155"/>
      <c r="L77" s="141" t="s">
        <v>765</v>
      </c>
      <c r="M77" s="141" t="s">
        <v>766</v>
      </c>
      <c r="N77" s="141">
        <v>2044</v>
      </c>
      <c r="O77" s="141" t="s">
        <v>727</v>
      </c>
      <c r="P77" s="141">
        <v>4</v>
      </c>
      <c r="Q77" s="142">
        <v>0.25</v>
      </c>
      <c r="R77" s="142">
        <v>0.3908046</v>
      </c>
      <c r="S77" s="142">
        <v>0.5625</v>
      </c>
      <c r="T77" s="142">
        <v>0.65</v>
      </c>
      <c r="U77" s="142">
        <v>0.22580639999999999</v>
      </c>
      <c r="V77" s="142">
        <v>0.39750000000000002</v>
      </c>
    </row>
    <row r="78" spans="1:22" ht="18.75" x14ac:dyDescent="0.25">
      <c r="A78" s="141" t="s">
        <v>765</v>
      </c>
      <c r="B78" s="141" t="s">
        <v>766</v>
      </c>
      <c r="C78" s="141">
        <v>2453</v>
      </c>
      <c r="D78" s="141" t="s">
        <v>727</v>
      </c>
      <c r="E78" s="141">
        <v>1</v>
      </c>
      <c r="F78" s="142">
        <v>0.44</v>
      </c>
      <c r="G78" s="141">
        <v>1</v>
      </c>
      <c r="H78" s="142">
        <v>1</v>
      </c>
      <c r="I78" s="142">
        <v>0.92391310000000004</v>
      </c>
      <c r="J78" s="142">
        <v>0.70250000000000001</v>
      </c>
      <c r="K78" s="155"/>
      <c r="L78" s="141" t="s">
        <v>765</v>
      </c>
      <c r="M78" s="141" t="s">
        <v>766</v>
      </c>
      <c r="N78" s="141">
        <v>2453</v>
      </c>
      <c r="O78" s="141" t="s">
        <v>727</v>
      </c>
      <c r="P78" s="141">
        <v>4</v>
      </c>
      <c r="Q78" s="142">
        <v>0.72222220000000004</v>
      </c>
      <c r="R78" s="142">
        <v>0.63953490000000002</v>
      </c>
      <c r="S78" s="142">
        <v>1</v>
      </c>
      <c r="T78" s="142">
        <v>0.80769230000000003</v>
      </c>
      <c r="U78" s="142">
        <v>0.46987950000000001</v>
      </c>
      <c r="V78" s="142">
        <v>0.71875</v>
      </c>
    </row>
    <row r="79" spans="1:22" ht="18.75" x14ac:dyDescent="0.25">
      <c r="A79" s="141" t="s">
        <v>765</v>
      </c>
      <c r="B79" s="141" t="s">
        <v>766</v>
      </c>
      <c r="C79" s="141">
        <v>2632</v>
      </c>
      <c r="D79" s="141" t="s">
        <v>728</v>
      </c>
      <c r="E79" s="141">
        <v>1</v>
      </c>
      <c r="F79" s="142">
        <v>0.24</v>
      </c>
      <c r="G79" s="141">
        <v>1</v>
      </c>
      <c r="H79" s="142">
        <v>1</v>
      </c>
      <c r="I79" s="142">
        <v>0.65217389999999997</v>
      </c>
      <c r="J79" s="142">
        <v>0.54</v>
      </c>
      <c r="K79" s="155"/>
      <c r="L79" s="141" t="s">
        <v>765</v>
      </c>
      <c r="M79" s="141" t="s">
        <v>766</v>
      </c>
      <c r="N79" s="141">
        <v>2632</v>
      </c>
      <c r="O79" s="141" t="s">
        <v>728</v>
      </c>
      <c r="P79" s="141">
        <v>4</v>
      </c>
      <c r="Q79" s="142">
        <v>0.52439020000000003</v>
      </c>
      <c r="R79" s="142">
        <v>0.375</v>
      </c>
      <c r="S79" s="142">
        <v>1</v>
      </c>
      <c r="T79" s="142">
        <v>0.29310350000000002</v>
      </c>
      <c r="U79" s="142">
        <v>2.0618600000000001E-2</v>
      </c>
      <c r="V79" s="142">
        <v>0.41249999999999998</v>
      </c>
    </row>
    <row r="80" spans="1:22" ht="18.75" x14ac:dyDescent="0.25">
      <c r="A80" s="141" t="s">
        <v>765</v>
      </c>
      <c r="B80" s="141" t="s">
        <v>766</v>
      </c>
      <c r="C80" s="141">
        <v>3285</v>
      </c>
      <c r="D80" s="141" t="s">
        <v>680</v>
      </c>
      <c r="E80" s="141">
        <v>1</v>
      </c>
      <c r="F80" s="142">
        <v>0.52</v>
      </c>
      <c r="G80" s="141">
        <v>1</v>
      </c>
      <c r="H80" s="142">
        <v>1</v>
      </c>
      <c r="I80" s="142">
        <v>0.91304350000000001</v>
      </c>
      <c r="J80" s="142">
        <v>0.74</v>
      </c>
      <c r="K80" s="155"/>
      <c r="L80" s="141" t="s">
        <v>765</v>
      </c>
      <c r="M80" s="141" t="s">
        <v>766</v>
      </c>
      <c r="N80" s="141">
        <v>3285</v>
      </c>
      <c r="O80" s="141" t="s">
        <v>680</v>
      </c>
      <c r="P80" s="141">
        <v>4</v>
      </c>
      <c r="Q80" s="142">
        <v>0.48314610000000002</v>
      </c>
      <c r="R80" s="142">
        <v>0.4375</v>
      </c>
      <c r="S80" s="142">
        <v>0.8</v>
      </c>
      <c r="T80" s="142">
        <v>0.17241380000000001</v>
      </c>
      <c r="U80" s="142">
        <v>0.18556700000000001</v>
      </c>
      <c r="V80" s="142">
        <v>0.40250000000000002</v>
      </c>
    </row>
    <row r="81" spans="1:22" ht="18.75" x14ac:dyDescent="0.25">
      <c r="A81" s="141" t="s">
        <v>765</v>
      </c>
      <c r="B81" s="141" t="s">
        <v>766</v>
      </c>
      <c r="C81" s="141">
        <v>4300</v>
      </c>
      <c r="D81" s="141" t="s">
        <v>680</v>
      </c>
      <c r="E81" s="141">
        <v>1</v>
      </c>
      <c r="F81" s="142">
        <v>0.1</v>
      </c>
      <c r="G81" s="141">
        <v>1</v>
      </c>
      <c r="H81" s="142">
        <v>1</v>
      </c>
      <c r="I81" s="142">
        <v>1</v>
      </c>
      <c r="J81" s="142">
        <v>0.55000000000000004</v>
      </c>
      <c r="K81" s="155"/>
      <c r="L81" s="141" t="s">
        <v>765</v>
      </c>
      <c r="M81" s="141" t="s">
        <v>766</v>
      </c>
      <c r="N81" s="141">
        <v>4300</v>
      </c>
      <c r="O81" s="141" t="s">
        <v>680</v>
      </c>
      <c r="P81" s="141">
        <v>4</v>
      </c>
      <c r="Q81" s="142">
        <v>0.45679009999999998</v>
      </c>
      <c r="R81" s="142">
        <v>0.30232560000000003</v>
      </c>
      <c r="S81" s="142">
        <v>0.76388889999999998</v>
      </c>
      <c r="T81" s="142">
        <v>0.29487180000000002</v>
      </c>
      <c r="U81" s="142">
        <v>0.1566265</v>
      </c>
      <c r="V81" s="142">
        <v>0.38500000000000001</v>
      </c>
    </row>
    <row r="82" spans="1:22" ht="18.75" x14ac:dyDescent="0.25">
      <c r="A82" s="141" t="s">
        <v>765</v>
      </c>
      <c r="B82" s="141" t="s">
        <v>766</v>
      </c>
      <c r="C82" s="141">
        <v>4307</v>
      </c>
      <c r="D82" s="141" t="s">
        <v>680</v>
      </c>
      <c r="E82" s="141">
        <v>1</v>
      </c>
      <c r="F82" s="142">
        <v>0.55000000000000004</v>
      </c>
      <c r="G82" s="141">
        <v>1</v>
      </c>
      <c r="H82" s="142">
        <v>1</v>
      </c>
      <c r="I82" s="142">
        <v>0.88043479999999996</v>
      </c>
      <c r="J82" s="142">
        <v>0.74750000000000005</v>
      </c>
      <c r="K82" s="155"/>
      <c r="L82" s="141" t="s">
        <v>765</v>
      </c>
      <c r="M82" s="141" t="s">
        <v>766</v>
      </c>
      <c r="N82" s="141">
        <v>4307</v>
      </c>
      <c r="O82" s="141" t="s">
        <v>680</v>
      </c>
      <c r="P82" s="141">
        <v>4</v>
      </c>
      <c r="Q82" s="142">
        <v>0.36249999999999999</v>
      </c>
      <c r="R82" s="142">
        <v>0.47126440000000003</v>
      </c>
      <c r="S82" s="142">
        <v>0.8125</v>
      </c>
      <c r="T82" s="142">
        <v>0.4166667</v>
      </c>
      <c r="U82" s="142">
        <v>0.19354840000000001</v>
      </c>
      <c r="V82" s="142">
        <v>0.44500000000000001</v>
      </c>
    </row>
    <row r="83" spans="1:22" ht="18.75" x14ac:dyDescent="0.25">
      <c r="A83" s="141" t="s">
        <v>765</v>
      </c>
      <c r="B83" s="141" t="s">
        <v>766</v>
      </c>
      <c r="C83" s="141">
        <v>4318</v>
      </c>
      <c r="D83" s="141" t="s">
        <v>680</v>
      </c>
      <c r="E83" s="141">
        <v>1</v>
      </c>
      <c r="F83" s="142">
        <v>0.38</v>
      </c>
      <c r="G83" s="141">
        <v>1</v>
      </c>
      <c r="H83" s="142">
        <v>0.77777779999999996</v>
      </c>
      <c r="I83" s="142">
        <v>0.51086960000000003</v>
      </c>
      <c r="J83" s="142">
        <v>0.51749999999999996</v>
      </c>
      <c r="K83" s="155"/>
      <c r="L83" s="141" t="s">
        <v>765</v>
      </c>
      <c r="M83" s="141" t="s">
        <v>766</v>
      </c>
      <c r="N83" s="141">
        <v>4318</v>
      </c>
      <c r="O83" s="141" t="s">
        <v>680</v>
      </c>
      <c r="P83" s="141">
        <v>4</v>
      </c>
      <c r="Q83" s="142">
        <v>0.59223300000000001</v>
      </c>
      <c r="R83" s="142">
        <v>0.3333333</v>
      </c>
      <c r="S83" s="142">
        <v>0.83333330000000005</v>
      </c>
      <c r="T83" s="142">
        <v>0.24137929999999999</v>
      </c>
      <c r="U83" s="142">
        <v>0.24096390000000001</v>
      </c>
      <c r="V83" s="142">
        <v>0.45750000000000002</v>
      </c>
    </row>
    <row r="84" spans="1:22" ht="18.75" x14ac:dyDescent="0.25">
      <c r="A84" s="141" t="s">
        <v>765</v>
      </c>
      <c r="B84" s="141" t="s">
        <v>766</v>
      </c>
      <c r="C84" s="141">
        <v>4321</v>
      </c>
      <c r="D84" s="141" t="s">
        <v>680</v>
      </c>
      <c r="E84" s="141">
        <v>1</v>
      </c>
      <c r="F84" s="142">
        <v>0.51</v>
      </c>
      <c r="G84" s="141">
        <v>1</v>
      </c>
      <c r="H84" s="142">
        <v>1</v>
      </c>
      <c r="I84" s="142">
        <v>0.58695649999999999</v>
      </c>
      <c r="J84" s="142">
        <v>0.66</v>
      </c>
      <c r="K84" s="155"/>
      <c r="L84" s="141" t="s">
        <v>765</v>
      </c>
      <c r="M84" s="141" t="s">
        <v>766</v>
      </c>
      <c r="N84" s="141">
        <v>4321</v>
      </c>
      <c r="O84" s="141" t="s">
        <v>680</v>
      </c>
      <c r="P84" s="141">
        <v>4</v>
      </c>
      <c r="Q84" s="142">
        <v>0.5</v>
      </c>
      <c r="R84" s="142">
        <v>0.30107529999999999</v>
      </c>
      <c r="S84" s="142">
        <v>0.85294119999999995</v>
      </c>
      <c r="T84" s="142">
        <v>0.15</v>
      </c>
      <c r="U84" s="142">
        <v>0.20430110000000001</v>
      </c>
      <c r="V84" s="142">
        <v>0.41</v>
      </c>
    </row>
    <row r="85" spans="1:22" ht="18.75" x14ac:dyDescent="0.25">
      <c r="A85" s="141" t="s">
        <v>765</v>
      </c>
      <c r="B85" s="141" t="s">
        <v>766</v>
      </c>
      <c r="C85" s="141">
        <v>4325</v>
      </c>
      <c r="D85" s="141" t="s">
        <v>680</v>
      </c>
      <c r="E85" s="141">
        <v>2</v>
      </c>
      <c r="F85" s="142">
        <v>0.34499999999999997</v>
      </c>
      <c r="G85" s="141">
        <v>0</v>
      </c>
      <c r="H85" s="142"/>
      <c r="I85" s="142"/>
      <c r="J85" s="142">
        <v>0.34499999999999997</v>
      </c>
      <c r="K85" s="155"/>
      <c r="L85" s="141" t="s">
        <v>765</v>
      </c>
      <c r="M85" s="141" t="s">
        <v>766</v>
      </c>
      <c r="N85" s="141">
        <v>4325</v>
      </c>
      <c r="O85" s="141" t="s">
        <v>680</v>
      </c>
      <c r="P85" s="141">
        <v>2</v>
      </c>
      <c r="Q85" s="142">
        <v>0.53658539999999999</v>
      </c>
      <c r="R85" s="142">
        <v>0.6086956</v>
      </c>
      <c r="S85" s="142">
        <v>1</v>
      </c>
      <c r="T85" s="142">
        <v>0.3157895</v>
      </c>
      <c r="U85" s="142">
        <v>0.13953489999999999</v>
      </c>
      <c r="V85" s="142">
        <v>0.5</v>
      </c>
    </row>
    <row r="86" spans="1:22" ht="18.75" x14ac:dyDescent="0.25">
      <c r="A86" s="141" t="s">
        <v>767</v>
      </c>
      <c r="B86" s="141" t="s">
        <v>768</v>
      </c>
      <c r="C86" s="141">
        <v>794</v>
      </c>
      <c r="D86" s="141" t="s">
        <v>727</v>
      </c>
      <c r="E86" s="141">
        <v>1</v>
      </c>
      <c r="F86" s="142">
        <v>0.26</v>
      </c>
      <c r="G86" s="141">
        <v>1</v>
      </c>
      <c r="H86" s="142">
        <v>0.66666669999999995</v>
      </c>
      <c r="I86" s="142">
        <v>0.51086960000000003</v>
      </c>
      <c r="J86" s="142">
        <v>0.42749999999999999</v>
      </c>
      <c r="K86" s="155"/>
      <c r="L86" s="141" t="s">
        <v>767</v>
      </c>
      <c r="M86" s="141" t="s">
        <v>768</v>
      </c>
      <c r="N86" s="141">
        <v>794</v>
      </c>
      <c r="O86" s="141" t="s">
        <v>727</v>
      </c>
      <c r="P86" s="141">
        <v>4</v>
      </c>
      <c r="Q86" s="142">
        <v>0.70625000000000004</v>
      </c>
      <c r="R86" s="142">
        <v>0.59770109999999999</v>
      </c>
      <c r="S86" s="142">
        <v>0.4375</v>
      </c>
      <c r="T86" s="142">
        <v>0.68333330000000003</v>
      </c>
      <c r="U86" s="142">
        <v>0.5053763</v>
      </c>
      <c r="V86" s="142">
        <v>0.57874999999999999</v>
      </c>
    </row>
    <row r="87" spans="1:22" ht="18.75" x14ac:dyDescent="0.25">
      <c r="A87" s="141" t="s">
        <v>767</v>
      </c>
      <c r="B87" s="141" t="s">
        <v>768</v>
      </c>
      <c r="C87" s="141">
        <v>796</v>
      </c>
      <c r="D87" s="141" t="s">
        <v>729</v>
      </c>
      <c r="E87" s="141">
        <v>1</v>
      </c>
      <c r="F87" s="142">
        <v>0.37</v>
      </c>
      <c r="G87" s="141">
        <v>1</v>
      </c>
      <c r="H87" s="142">
        <v>0.5</v>
      </c>
      <c r="I87" s="142">
        <v>0.47826089999999999</v>
      </c>
      <c r="J87" s="142">
        <v>0.43</v>
      </c>
      <c r="K87" s="155"/>
      <c r="L87" s="141" t="s">
        <v>767</v>
      </c>
      <c r="M87" s="141" t="s">
        <v>768</v>
      </c>
      <c r="N87" s="141">
        <v>796</v>
      </c>
      <c r="O87" s="141" t="s">
        <v>729</v>
      </c>
      <c r="P87" s="141">
        <v>4</v>
      </c>
      <c r="Q87" s="142">
        <v>0.54444440000000005</v>
      </c>
      <c r="R87" s="142">
        <v>0.3207547</v>
      </c>
      <c r="S87" s="142">
        <v>0.78181820000000002</v>
      </c>
      <c r="T87" s="142">
        <v>0.1578947</v>
      </c>
      <c r="U87" s="142">
        <v>0.29729729999999999</v>
      </c>
      <c r="V87" s="142">
        <v>0.41249999999999998</v>
      </c>
    </row>
    <row r="88" spans="1:22" ht="18.75" x14ac:dyDescent="0.25">
      <c r="A88" s="141" t="s">
        <v>767</v>
      </c>
      <c r="B88" s="141" t="s">
        <v>768</v>
      </c>
      <c r="C88" s="141">
        <v>2689</v>
      </c>
      <c r="D88" s="141" t="s">
        <v>680</v>
      </c>
      <c r="E88" s="141">
        <v>1</v>
      </c>
      <c r="F88" s="142">
        <v>0.38</v>
      </c>
      <c r="G88" s="141">
        <v>1</v>
      </c>
      <c r="H88" s="142">
        <v>0.38888889999999998</v>
      </c>
      <c r="I88" s="142">
        <v>0.48913040000000002</v>
      </c>
      <c r="J88" s="142">
        <v>0.40749999999999997</v>
      </c>
      <c r="K88" s="155"/>
      <c r="L88" s="141" t="s">
        <v>767</v>
      </c>
      <c r="M88" s="141" t="s">
        <v>768</v>
      </c>
      <c r="N88" s="141">
        <v>2689</v>
      </c>
      <c r="O88" s="141" t="s">
        <v>680</v>
      </c>
      <c r="P88" s="141">
        <v>4</v>
      </c>
      <c r="Q88" s="142">
        <v>0.62184879999999998</v>
      </c>
      <c r="R88" s="142">
        <v>0.578125</v>
      </c>
      <c r="S88" s="142">
        <v>0.95</v>
      </c>
      <c r="T88" s="142">
        <v>0.4166667</v>
      </c>
      <c r="U88" s="142">
        <v>0.46391749999999998</v>
      </c>
      <c r="V88" s="142">
        <v>0.58125000000000004</v>
      </c>
    </row>
    <row r="89" spans="1:22" ht="18.75" x14ac:dyDescent="0.25">
      <c r="A89" s="141" t="s">
        <v>767</v>
      </c>
      <c r="B89" s="141" t="s">
        <v>768</v>
      </c>
      <c r="C89" s="141">
        <v>2919</v>
      </c>
      <c r="D89" s="141" t="s">
        <v>680</v>
      </c>
      <c r="E89" s="141">
        <v>1</v>
      </c>
      <c r="F89" s="142">
        <v>0.4</v>
      </c>
      <c r="G89" s="141">
        <v>1</v>
      </c>
      <c r="H89" s="142">
        <v>0.88888889999999998</v>
      </c>
      <c r="I89" s="142">
        <v>0.79347829999999997</v>
      </c>
      <c r="J89" s="142">
        <v>0.62250000000000005</v>
      </c>
      <c r="K89" s="155"/>
      <c r="L89" s="141" t="s">
        <v>767</v>
      </c>
      <c r="M89" s="141" t="s">
        <v>768</v>
      </c>
      <c r="N89" s="141">
        <v>2919</v>
      </c>
      <c r="O89" s="141" t="s">
        <v>680</v>
      </c>
      <c r="P89" s="141">
        <v>4</v>
      </c>
      <c r="Q89" s="142">
        <v>0.92941180000000001</v>
      </c>
      <c r="R89" s="142">
        <v>0.93258430000000003</v>
      </c>
      <c r="S89" s="142">
        <v>0.72222220000000004</v>
      </c>
      <c r="T89" s="142">
        <v>0.84482760000000001</v>
      </c>
      <c r="U89" s="142">
        <v>0.64583330000000005</v>
      </c>
      <c r="V89" s="142">
        <v>0.8125</v>
      </c>
    </row>
    <row r="90" spans="1:22" ht="18.75" x14ac:dyDescent="0.25">
      <c r="A90" s="141" t="s">
        <v>767</v>
      </c>
      <c r="B90" s="141" t="s">
        <v>768</v>
      </c>
      <c r="C90" s="141">
        <v>2920</v>
      </c>
      <c r="D90" s="141" t="s">
        <v>728</v>
      </c>
      <c r="E90" s="141">
        <v>1</v>
      </c>
      <c r="F90" s="142">
        <v>0.44</v>
      </c>
      <c r="G90" s="141">
        <v>1</v>
      </c>
      <c r="H90" s="142">
        <v>0.27777780000000002</v>
      </c>
      <c r="I90" s="142">
        <v>0.48913040000000002</v>
      </c>
      <c r="J90" s="142">
        <v>0.40749999999999997</v>
      </c>
      <c r="K90" s="155"/>
      <c r="L90" s="141" t="s">
        <v>767</v>
      </c>
      <c r="M90" s="141" t="s">
        <v>768</v>
      </c>
      <c r="N90" s="141">
        <v>2920</v>
      </c>
      <c r="O90" s="141" t="s">
        <v>728</v>
      </c>
      <c r="P90" s="141">
        <v>4</v>
      </c>
      <c r="Q90" s="142">
        <v>0.61111110000000002</v>
      </c>
      <c r="R90" s="142">
        <v>0.57731960000000004</v>
      </c>
      <c r="S90" s="142">
        <v>0.53333339999999996</v>
      </c>
      <c r="T90" s="142">
        <v>0.42499999999999999</v>
      </c>
      <c r="U90" s="142">
        <v>0.40186909999999998</v>
      </c>
      <c r="V90" s="142">
        <v>0.51375000000000004</v>
      </c>
    </row>
    <row r="91" spans="1:22" ht="18.75" x14ac:dyDescent="0.25">
      <c r="A91" s="141" t="s">
        <v>767</v>
      </c>
      <c r="B91" s="141" t="s">
        <v>768</v>
      </c>
      <c r="C91" s="141">
        <v>3426</v>
      </c>
      <c r="D91" s="141" t="s">
        <v>680</v>
      </c>
      <c r="E91" s="141">
        <v>1</v>
      </c>
      <c r="F91" s="142">
        <v>0.68</v>
      </c>
      <c r="G91" s="141">
        <v>1</v>
      </c>
      <c r="H91" s="142">
        <v>0.66666669999999995</v>
      </c>
      <c r="I91" s="142">
        <v>0.65217389999999997</v>
      </c>
      <c r="J91" s="142">
        <v>0.67</v>
      </c>
      <c r="K91" s="155"/>
      <c r="L91" s="141" t="s">
        <v>767</v>
      </c>
      <c r="M91" s="141" t="s">
        <v>768</v>
      </c>
      <c r="N91" s="141">
        <v>3426</v>
      </c>
      <c r="O91" s="141" t="s">
        <v>680</v>
      </c>
      <c r="P91" s="141">
        <v>4</v>
      </c>
      <c r="Q91" s="142">
        <v>0.55913979999999996</v>
      </c>
      <c r="R91" s="142">
        <v>0.69696970000000003</v>
      </c>
      <c r="S91" s="142">
        <v>0.5</v>
      </c>
      <c r="T91" s="142">
        <v>0.368421</v>
      </c>
      <c r="U91" s="142">
        <v>0.3454545</v>
      </c>
      <c r="V91" s="142">
        <v>0.50749999999999995</v>
      </c>
    </row>
    <row r="92" spans="1:22" ht="18.75" x14ac:dyDescent="0.25">
      <c r="A92" s="141" t="s">
        <v>767</v>
      </c>
      <c r="B92" s="141" t="s">
        <v>768</v>
      </c>
      <c r="C92" s="141">
        <v>3899</v>
      </c>
      <c r="D92" s="141" t="s">
        <v>680</v>
      </c>
      <c r="E92" s="141">
        <v>1</v>
      </c>
      <c r="F92" s="142">
        <v>0.56999999999999995</v>
      </c>
      <c r="G92" s="141">
        <v>1</v>
      </c>
      <c r="H92" s="142">
        <v>0.77777779999999996</v>
      </c>
      <c r="I92" s="142">
        <v>0.67391310000000004</v>
      </c>
      <c r="J92" s="142">
        <v>0.65</v>
      </c>
      <c r="K92" s="155"/>
      <c r="L92" s="141" t="s">
        <v>767</v>
      </c>
      <c r="M92" s="141" t="s">
        <v>768</v>
      </c>
      <c r="N92" s="141">
        <v>3899</v>
      </c>
      <c r="O92" s="141" t="s">
        <v>680</v>
      </c>
      <c r="P92" s="141">
        <v>4</v>
      </c>
      <c r="Q92" s="142">
        <v>0.95294120000000004</v>
      </c>
      <c r="R92" s="142">
        <v>0.8</v>
      </c>
      <c r="S92" s="142">
        <v>0.72222220000000004</v>
      </c>
      <c r="T92" s="142">
        <v>0.89655169999999995</v>
      </c>
      <c r="U92" s="142">
        <v>0.67368419999999996</v>
      </c>
      <c r="V92" s="142">
        <v>0.80249999999999999</v>
      </c>
    </row>
    <row r="93" spans="1:22" ht="18.75" x14ac:dyDescent="0.25">
      <c r="A93" s="141" t="s">
        <v>767</v>
      </c>
      <c r="B93" s="141" t="s">
        <v>768</v>
      </c>
      <c r="C93" s="141">
        <v>3972</v>
      </c>
      <c r="D93" s="141" t="s">
        <v>728</v>
      </c>
      <c r="E93" s="141">
        <v>1</v>
      </c>
      <c r="F93" s="142">
        <v>0.69</v>
      </c>
      <c r="G93" s="141">
        <v>1</v>
      </c>
      <c r="H93" s="142">
        <v>0.83333330000000005</v>
      </c>
      <c r="I93" s="142">
        <v>0.56521739999999998</v>
      </c>
      <c r="J93" s="142">
        <v>0.7</v>
      </c>
      <c r="K93" s="155"/>
      <c r="L93" s="141" t="s">
        <v>767</v>
      </c>
      <c r="M93" s="141" t="s">
        <v>768</v>
      </c>
      <c r="N93" s="141">
        <v>3972</v>
      </c>
      <c r="O93" s="141" t="s">
        <v>728</v>
      </c>
      <c r="P93" s="141">
        <v>4</v>
      </c>
      <c r="Q93" s="142">
        <v>0.6875</v>
      </c>
      <c r="R93" s="142">
        <v>0.71590909999999996</v>
      </c>
      <c r="S93" s="142">
        <v>0.9375</v>
      </c>
      <c r="T93" s="142">
        <v>0.7</v>
      </c>
      <c r="U93" s="142">
        <v>0.61956520000000004</v>
      </c>
      <c r="V93" s="142">
        <v>0.73</v>
      </c>
    </row>
    <row r="94" spans="1:22" ht="18.75" x14ac:dyDescent="0.25">
      <c r="A94" s="141" t="s">
        <v>767</v>
      </c>
      <c r="B94" s="141" t="s">
        <v>768</v>
      </c>
      <c r="C94" s="141">
        <v>3974</v>
      </c>
      <c r="D94" s="141" t="s">
        <v>728</v>
      </c>
      <c r="E94" s="141">
        <v>1</v>
      </c>
      <c r="F94" s="142">
        <v>0.38</v>
      </c>
      <c r="G94" s="141">
        <v>1</v>
      </c>
      <c r="H94" s="142">
        <v>0.61111110000000002</v>
      </c>
      <c r="I94" s="142">
        <v>0.66304350000000001</v>
      </c>
      <c r="J94" s="142">
        <v>0.50749999999999995</v>
      </c>
      <c r="K94" s="155"/>
      <c r="L94" s="141" t="s">
        <v>767</v>
      </c>
      <c r="M94" s="141" t="s">
        <v>768</v>
      </c>
      <c r="N94" s="141">
        <v>3974</v>
      </c>
      <c r="O94" s="141" t="s">
        <v>728</v>
      </c>
      <c r="P94" s="141">
        <v>4</v>
      </c>
      <c r="Q94" s="142">
        <v>0.65196080000000001</v>
      </c>
      <c r="R94" s="142">
        <v>0.47058820000000001</v>
      </c>
      <c r="S94" s="142">
        <v>0.375</v>
      </c>
      <c r="T94" s="142">
        <v>0.42499999999999999</v>
      </c>
      <c r="U94" s="142">
        <v>0.23655909999999999</v>
      </c>
      <c r="V94" s="142">
        <v>0.43874999999999997</v>
      </c>
    </row>
    <row r="95" spans="1:22" ht="18.75" x14ac:dyDescent="0.25">
      <c r="A95" s="141" t="s">
        <v>767</v>
      </c>
      <c r="B95" s="141" t="s">
        <v>768</v>
      </c>
      <c r="C95" s="141">
        <v>3978</v>
      </c>
      <c r="D95" s="141" t="s">
        <v>680</v>
      </c>
      <c r="E95" s="141">
        <v>1</v>
      </c>
      <c r="F95" s="142">
        <v>0.36</v>
      </c>
      <c r="G95" s="141">
        <v>1</v>
      </c>
      <c r="H95" s="142">
        <v>0.61111110000000002</v>
      </c>
      <c r="I95" s="142">
        <v>0.6086956</v>
      </c>
      <c r="J95" s="142">
        <v>0.48499999999999999</v>
      </c>
      <c r="K95" s="155"/>
      <c r="L95" s="141" t="s">
        <v>767</v>
      </c>
      <c r="M95" s="141" t="s">
        <v>768</v>
      </c>
      <c r="N95" s="141">
        <v>3978</v>
      </c>
      <c r="O95" s="141" t="s">
        <v>680</v>
      </c>
      <c r="P95" s="141">
        <v>4</v>
      </c>
      <c r="Q95" s="142">
        <v>0.91463419999999995</v>
      </c>
      <c r="R95" s="142">
        <v>0.88541669999999995</v>
      </c>
      <c r="S95" s="142">
        <v>0.97014929999999999</v>
      </c>
      <c r="T95" s="142">
        <v>0.67241379999999995</v>
      </c>
      <c r="U95" s="142">
        <v>0.41237109999999999</v>
      </c>
      <c r="V95" s="142">
        <v>0.76</v>
      </c>
    </row>
    <row r="96" spans="1:22" ht="18.75" x14ac:dyDescent="0.25">
      <c r="A96" s="141" t="s">
        <v>767</v>
      </c>
      <c r="B96" s="141" t="s">
        <v>768</v>
      </c>
      <c r="C96" s="141">
        <v>3979</v>
      </c>
      <c r="D96" s="141" t="s">
        <v>680</v>
      </c>
      <c r="E96" s="141">
        <v>1</v>
      </c>
      <c r="F96" s="142">
        <v>0.53</v>
      </c>
      <c r="G96" s="141">
        <v>1</v>
      </c>
      <c r="H96" s="142">
        <v>0.77777779999999996</v>
      </c>
      <c r="I96" s="142">
        <v>0.6413044</v>
      </c>
      <c r="J96" s="142">
        <v>0.62250000000000005</v>
      </c>
      <c r="K96" s="155"/>
      <c r="L96" s="141" t="s">
        <v>767</v>
      </c>
      <c r="M96" s="141" t="s">
        <v>768</v>
      </c>
      <c r="N96" s="141">
        <v>3979</v>
      </c>
      <c r="O96" s="141" t="s">
        <v>680</v>
      </c>
      <c r="P96" s="141">
        <v>4</v>
      </c>
      <c r="Q96" s="142">
        <v>0.62804879999999996</v>
      </c>
      <c r="R96" s="142">
        <v>0.61458330000000005</v>
      </c>
      <c r="S96" s="142">
        <v>1</v>
      </c>
      <c r="T96" s="142">
        <v>0.7241379</v>
      </c>
      <c r="U96" s="142">
        <v>0.65979379999999999</v>
      </c>
      <c r="V96" s="142">
        <v>0.70874999999999999</v>
      </c>
    </row>
    <row r="97" spans="1:22" ht="18.75" x14ac:dyDescent="0.25">
      <c r="A97" s="141" t="s">
        <v>769</v>
      </c>
      <c r="B97" s="141" t="s">
        <v>770</v>
      </c>
      <c r="C97" s="141">
        <v>694</v>
      </c>
      <c r="D97" s="141" t="s">
        <v>729</v>
      </c>
      <c r="E97" s="141">
        <v>1</v>
      </c>
      <c r="F97" s="142">
        <v>0.1</v>
      </c>
      <c r="G97" s="141">
        <v>1</v>
      </c>
      <c r="H97" s="142">
        <v>0.77777779999999996</v>
      </c>
      <c r="I97" s="142">
        <v>0.65217389999999997</v>
      </c>
      <c r="J97" s="142">
        <v>0.41</v>
      </c>
      <c r="K97" s="155"/>
      <c r="L97" s="141" t="s">
        <v>769</v>
      </c>
      <c r="M97" s="141" t="s">
        <v>770</v>
      </c>
      <c r="N97" s="141">
        <v>694</v>
      </c>
      <c r="O97" s="141" t="s">
        <v>729</v>
      </c>
      <c r="P97" s="141">
        <v>4</v>
      </c>
      <c r="Q97" s="142">
        <v>0.45744679999999999</v>
      </c>
      <c r="R97" s="142">
        <v>0.27522940000000001</v>
      </c>
      <c r="S97" s="142">
        <v>0.18181820000000001</v>
      </c>
      <c r="T97" s="142">
        <v>0.22222220000000001</v>
      </c>
      <c r="U97" s="142">
        <v>0.29032259999999999</v>
      </c>
      <c r="V97" s="142">
        <v>0.3075</v>
      </c>
    </row>
    <row r="98" spans="1:22" ht="18.75" x14ac:dyDescent="0.25">
      <c r="A98" s="141" t="s">
        <v>769</v>
      </c>
      <c r="B98" s="141" t="s">
        <v>770</v>
      </c>
      <c r="C98" s="141">
        <v>701</v>
      </c>
      <c r="D98" s="141" t="s">
        <v>728</v>
      </c>
      <c r="E98" s="141">
        <v>1</v>
      </c>
      <c r="F98" s="142">
        <v>0.37</v>
      </c>
      <c r="G98" s="141">
        <v>1</v>
      </c>
      <c r="H98" s="142">
        <v>0.5</v>
      </c>
      <c r="I98" s="142">
        <v>0.38043480000000002</v>
      </c>
      <c r="J98" s="142">
        <v>0.40749999999999997</v>
      </c>
      <c r="K98" s="155"/>
      <c r="L98" s="141" t="s">
        <v>769</v>
      </c>
      <c r="M98" s="141" t="s">
        <v>770</v>
      </c>
      <c r="N98" s="141">
        <v>701</v>
      </c>
      <c r="O98" s="141" t="s">
        <v>728</v>
      </c>
      <c r="P98" s="141">
        <v>4</v>
      </c>
      <c r="Q98" s="142">
        <v>0.1046512</v>
      </c>
      <c r="R98" s="142">
        <v>0.15151519999999999</v>
      </c>
      <c r="S98" s="142">
        <v>0.44776120000000003</v>
      </c>
      <c r="T98" s="142">
        <v>0</v>
      </c>
      <c r="U98" s="142">
        <v>9.0909000000000007E-3</v>
      </c>
      <c r="V98" s="142">
        <v>0.13750000000000001</v>
      </c>
    </row>
    <row r="99" spans="1:22" ht="18.75" x14ac:dyDescent="0.25">
      <c r="A99" s="141" t="s">
        <v>769</v>
      </c>
      <c r="B99" s="141" t="s">
        <v>770</v>
      </c>
      <c r="C99" s="141">
        <v>707</v>
      </c>
      <c r="D99" s="141" t="s">
        <v>727</v>
      </c>
      <c r="E99" s="141">
        <v>1</v>
      </c>
      <c r="F99" s="142">
        <v>0.25</v>
      </c>
      <c r="G99" s="141">
        <v>1</v>
      </c>
      <c r="H99" s="142">
        <v>0.61111110000000002</v>
      </c>
      <c r="I99" s="142">
        <v>0.42391299999999998</v>
      </c>
      <c r="J99" s="142">
        <v>0.38750000000000001</v>
      </c>
      <c r="K99" s="155"/>
      <c r="L99" s="141" t="s">
        <v>769</v>
      </c>
      <c r="M99" s="141" t="s">
        <v>770</v>
      </c>
      <c r="N99" s="141">
        <v>707</v>
      </c>
      <c r="O99" s="141" t="s">
        <v>727</v>
      </c>
      <c r="P99" s="141">
        <v>4</v>
      </c>
      <c r="Q99" s="142">
        <v>0.40816330000000001</v>
      </c>
      <c r="R99" s="142">
        <v>0.21686749999999999</v>
      </c>
      <c r="S99" s="142">
        <v>0.5625</v>
      </c>
      <c r="T99" s="142">
        <v>0.15</v>
      </c>
      <c r="U99" s="142">
        <v>0.13924049999999999</v>
      </c>
      <c r="V99" s="142">
        <v>0.3075</v>
      </c>
    </row>
    <row r="100" spans="1:22" ht="18.75" x14ac:dyDescent="0.25">
      <c r="A100" s="141" t="s">
        <v>769</v>
      </c>
      <c r="B100" s="141" t="s">
        <v>770</v>
      </c>
      <c r="C100" s="141">
        <v>708</v>
      </c>
      <c r="D100" s="141" t="s">
        <v>727</v>
      </c>
      <c r="E100" s="141">
        <v>1</v>
      </c>
      <c r="F100" s="142">
        <v>0.17</v>
      </c>
      <c r="G100" s="141">
        <v>1</v>
      </c>
      <c r="H100" s="142">
        <v>0.66666669999999995</v>
      </c>
      <c r="I100" s="142">
        <v>0.39130429999999999</v>
      </c>
      <c r="J100" s="142">
        <v>0.35499999999999998</v>
      </c>
      <c r="K100" s="155"/>
      <c r="L100" s="141" t="s">
        <v>769</v>
      </c>
      <c r="M100" s="141" t="s">
        <v>770</v>
      </c>
      <c r="N100" s="141">
        <v>708</v>
      </c>
      <c r="O100" s="141" t="s">
        <v>727</v>
      </c>
      <c r="P100" s="141">
        <v>4</v>
      </c>
      <c r="Q100" s="142">
        <v>0.42233009999999999</v>
      </c>
      <c r="R100" s="142">
        <v>0.1071429</v>
      </c>
      <c r="S100" s="142">
        <v>0.13888890000000001</v>
      </c>
      <c r="T100" s="142">
        <v>0.25862069999999998</v>
      </c>
      <c r="U100" s="142">
        <v>0.1204819</v>
      </c>
      <c r="V100" s="142">
        <v>0.21875</v>
      </c>
    </row>
    <row r="101" spans="1:22" ht="18.75" x14ac:dyDescent="0.25">
      <c r="A101" s="141" t="s">
        <v>769</v>
      </c>
      <c r="B101" s="141" t="s">
        <v>770</v>
      </c>
      <c r="C101" s="141">
        <v>1847</v>
      </c>
      <c r="D101" s="141" t="s">
        <v>728</v>
      </c>
      <c r="E101" s="141">
        <v>1</v>
      </c>
      <c r="F101" s="142">
        <v>0.61</v>
      </c>
      <c r="G101" s="141">
        <v>1</v>
      </c>
      <c r="H101" s="142">
        <v>0.72222220000000004</v>
      </c>
      <c r="I101" s="142">
        <v>0.72826089999999999</v>
      </c>
      <c r="J101" s="142">
        <v>0.66749999999999998</v>
      </c>
      <c r="K101" s="155"/>
      <c r="L101" s="141" t="s">
        <v>769</v>
      </c>
      <c r="M101" s="141" t="s">
        <v>770</v>
      </c>
      <c r="N101" s="141">
        <v>1847</v>
      </c>
      <c r="O101" s="141" t="s">
        <v>728</v>
      </c>
      <c r="P101" s="141">
        <v>4</v>
      </c>
      <c r="Q101" s="142">
        <v>0.29651159999999999</v>
      </c>
      <c r="R101" s="142">
        <v>0.23232320000000001</v>
      </c>
      <c r="S101" s="142">
        <v>0.37313429999999997</v>
      </c>
      <c r="T101" s="142">
        <v>0.1578947</v>
      </c>
      <c r="U101" s="142">
        <v>0.1727273</v>
      </c>
      <c r="V101" s="142">
        <v>0.24625</v>
      </c>
    </row>
    <row r="102" spans="1:22" ht="18.75" x14ac:dyDescent="0.25">
      <c r="A102" s="141" t="s">
        <v>769</v>
      </c>
      <c r="B102" s="141" t="s">
        <v>770</v>
      </c>
      <c r="C102" s="141">
        <v>2109</v>
      </c>
      <c r="D102" s="141" t="s">
        <v>728</v>
      </c>
      <c r="E102" s="141">
        <v>1</v>
      </c>
      <c r="F102" s="142">
        <v>0.51</v>
      </c>
      <c r="G102" s="141">
        <v>1</v>
      </c>
      <c r="H102" s="142">
        <v>1</v>
      </c>
      <c r="I102" s="142">
        <v>0.61956520000000004</v>
      </c>
      <c r="J102" s="142">
        <v>0.66749999999999998</v>
      </c>
      <c r="K102" s="155"/>
      <c r="L102" s="141" t="s">
        <v>769</v>
      </c>
      <c r="M102" s="141" t="s">
        <v>770</v>
      </c>
      <c r="N102" s="141">
        <v>2109</v>
      </c>
      <c r="O102" s="141" t="s">
        <v>728</v>
      </c>
      <c r="P102" s="141">
        <v>4</v>
      </c>
      <c r="Q102" s="142">
        <v>0.27777780000000002</v>
      </c>
      <c r="R102" s="142">
        <v>0.47674420000000001</v>
      </c>
      <c r="S102" s="142">
        <v>0.48611110000000002</v>
      </c>
      <c r="T102" s="142">
        <v>2.5641000000000001E-2</v>
      </c>
      <c r="U102" s="142">
        <v>2.40964E-2</v>
      </c>
      <c r="V102" s="142">
        <v>0.25624999999999998</v>
      </c>
    </row>
    <row r="103" spans="1:22" ht="18.75" x14ac:dyDescent="0.25">
      <c r="A103" s="141" t="s">
        <v>769</v>
      </c>
      <c r="B103" s="141" t="s">
        <v>770</v>
      </c>
      <c r="C103" s="141">
        <v>2440</v>
      </c>
      <c r="D103" s="141" t="s">
        <v>680</v>
      </c>
      <c r="E103" s="141">
        <v>1</v>
      </c>
      <c r="F103" s="142">
        <v>0.53</v>
      </c>
      <c r="G103" s="141">
        <v>1</v>
      </c>
      <c r="H103" s="142">
        <v>0.44444440000000002</v>
      </c>
      <c r="I103" s="142">
        <v>0.45652169999999997</v>
      </c>
      <c r="J103" s="142">
        <v>0.49</v>
      </c>
      <c r="K103" s="155"/>
      <c r="L103" s="141" t="s">
        <v>769</v>
      </c>
      <c r="M103" s="141" t="s">
        <v>770</v>
      </c>
      <c r="N103" s="141">
        <v>2440</v>
      </c>
      <c r="O103" s="141" t="s">
        <v>680</v>
      </c>
      <c r="P103" s="141">
        <v>4</v>
      </c>
      <c r="Q103" s="142">
        <v>0.125</v>
      </c>
      <c r="R103" s="142">
        <v>0.1145833</v>
      </c>
      <c r="S103" s="142">
        <v>0.53191489999999997</v>
      </c>
      <c r="T103" s="142">
        <v>0</v>
      </c>
      <c r="U103" s="142">
        <v>2.0618600000000001E-2</v>
      </c>
      <c r="V103" s="142">
        <v>0.13</v>
      </c>
    </row>
    <row r="104" spans="1:22" ht="18.75" x14ac:dyDescent="0.25">
      <c r="A104" s="141" t="s">
        <v>769</v>
      </c>
      <c r="B104" s="141" t="s">
        <v>770</v>
      </c>
      <c r="C104" s="141">
        <v>2441</v>
      </c>
      <c r="D104" s="141" t="s">
        <v>680</v>
      </c>
      <c r="E104" s="141">
        <v>1</v>
      </c>
      <c r="F104" s="142">
        <v>0.68</v>
      </c>
      <c r="G104" s="141">
        <v>1</v>
      </c>
      <c r="H104" s="142">
        <v>0.94444439999999996</v>
      </c>
      <c r="I104" s="142">
        <v>0.6413044</v>
      </c>
      <c r="J104" s="142">
        <v>0.74250000000000005</v>
      </c>
      <c r="K104" s="155"/>
      <c r="L104" s="141" t="s">
        <v>769</v>
      </c>
      <c r="M104" s="141" t="s">
        <v>770</v>
      </c>
      <c r="N104" s="141">
        <v>2441</v>
      </c>
      <c r="O104" s="141" t="s">
        <v>680</v>
      </c>
      <c r="P104" s="141">
        <v>4</v>
      </c>
      <c r="Q104" s="142">
        <v>0.35227269999999999</v>
      </c>
      <c r="R104" s="142">
        <v>0.2371134</v>
      </c>
      <c r="S104" s="142">
        <v>0.26470589999999999</v>
      </c>
      <c r="T104" s="142">
        <v>0.25</v>
      </c>
      <c r="U104" s="142">
        <v>9.3457899999999997E-2</v>
      </c>
      <c r="V104" s="142">
        <v>0.23</v>
      </c>
    </row>
    <row r="105" spans="1:22" ht="18.75" x14ac:dyDescent="0.25">
      <c r="A105" s="141" t="s">
        <v>769</v>
      </c>
      <c r="B105" s="141" t="s">
        <v>770</v>
      </c>
      <c r="C105" s="141">
        <v>2442</v>
      </c>
      <c r="D105" s="141" t="s">
        <v>680</v>
      </c>
      <c r="E105" s="141">
        <v>1</v>
      </c>
      <c r="F105" s="142">
        <v>0.41</v>
      </c>
      <c r="G105" s="141">
        <v>1</v>
      </c>
      <c r="H105" s="142">
        <v>0.83333330000000005</v>
      </c>
      <c r="I105" s="142">
        <v>0.63043479999999996</v>
      </c>
      <c r="J105" s="142">
        <v>0.57499999999999996</v>
      </c>
      <c r="K105" s="155"/>
      <c r="L105" s="141" t="s">
        <v>769</v>
      </c>
      <c r="M105" s="141" t="s">
        <v>770</v>
      </c>
      <c r="N105" s="141">
        <v>2442</v>
      </c>
      <c r="O105" s="141" t="s">
        <v>680</v>
      </c>
      <c r="P105" s="141">
        <v>4</v>
      </c>
      <c r="Q105" s="142">
        <v>0.35483870000000001</v>
      </c>
      <c r="R105" s="142">
        <v>0.52525250000000001</v>
      </c>
      <c r="S105" s="142">
        <v>0.71666660000000004</v>
      </c>
      <c r="T105" s="142">
        <v>0.131579</v>
      </c>
      <c r="U105" s="142">
        <v>0.1090909</v>
      </c>
      <c r="V105" s="142">
        <v>0.36249999999999999</v>
      </c>
    </row>
    <row r="106" spans="1:22" ht="18.75" x14ac:dyDescent="0.25">
      <c r="A106" s="141" t="s">
        <v>769</v>
      </c>
      <c r="B106" s="141" t="s">
        <v>770</v>
      </c>
      <c r="C106" s="141">
        <v>2443</v>
      </c>
      <c r="D106" s="141" t="s">
        <v>728</v>
      </c>
      <c r="E106" s="141">
        <v>1</v>
      </c>
      <c r="F106" s="142">
        <v>0.14000000000000001</v>
      </c>
      <c r="G106" s="141">
        <v>1</v>
      </c>
      <c r="H106" s="142">
        <v>0.55555560000000004</v>
      </c>
      <c r="I106" s="142">
        <v>0.39130429999999999</v>
      </c>
      <c r="J106" s="142">
        <v>0.31</v>
      </c>
      <c r="K106" s="155"/>
      <c r="L106" s="141" t="s">
        <v>769</v>
      </c>
      <c r="M106" s="141" t="s">
        <v>770</v>
      </c>
      <c r="N106" s="141">
        <v>2443</v>
      </c>
      <c r="O106" s="141" t="s">
        <v>728</v>
      </c>
      <c r="P106" s="141">
        <v>4</v>
      </c>
      <c r="Q106" s="142">
        <v>0.4198113</v>
      </c>
      <c r="R106" s="142">
        <v>0.16304350000000001</v>
      </c>
      <c r="S106" s="142">
        <v>0.41176469999999998</v>
      </c>
      <c r="T106" s="142">
        <v>0.17499999999999999</v>
      </c>
      <c r="U106" s="142">
        <v>0.1914894</v>
      </c>
      <c r="V106" s="142">
        <v>0.28125</v>
      </c>
    </row>
    <row r="107" spans="1:22" ht="18.75" x14ac:dyDescent="0.25">
      <c r="A107" s="141" t="s">
        <v>769</v>
      </c>
      <c r="B107" s="141" t="s">
        <v>770</v>
      </c>
      <c r="C107" s="141">
        <v>3721</v>
      </c>
      <c r="D107" s="141" t="s">
        <v>728</v>
      </c>
      <c r="E107" s="141">
        <v>2</v>
      </c>
      <c r="F107" s="142">
        <v>0.47499999999999998</v>
      </c>
      <c r="G107" s="141">
        <v>0</v>
      </c>
      <c r="H107" s="142"/>
      <c r="I107" s="142"/>
      <c r="J107" s="142">
        <v>0.47499999999999998</v>
      </c>
      <c r="K107" s="155"/>
      <c r="L107" s="141" t="s">
        <v>769</v>
      </c>
      <c r="M107" s="141" t="s">
        <v>770</v>
      </c>
      <c r="N107" s="141">
        <v>3721</v>
      </c>
      <c r="O107" s="141" t="s">
        <v>728</v>
      </c>
      <c r="P107" s="141">
        <v>2</v>
      </c>
      <c r="Q107" s="142">
        <v>0.62903229999999999</v>
      </c>
      <c r="R107" s="142">
        <v>0.55555560000000004</v>
      </c>
      <c r="S107" s="142">
        <v>0.5</v>
      </c>
      <c r="T107" s="142"/>
      <c r="U107" s="142">
        <v>0.28301890000000002</v>
      </c>
      <c r="V107" s="142">
        <v>0.495</v>
      </c>
    </row>
    <row r="108" spans="1:22" ht="18.75" x14ac:dyDescent="0.25">
      <c r="A108" s="141" t="s">
        <v>769</v>
      </c>
      <c r="B108" s="141" t="s">
        <v>770</v>
      </c>
      <c r="C108" s="141">
        <v>3991</v>
      </c>
      <c r="D108" s="141" t="s">
        <v>728</v>
      </c>
      <c r="E108" s="141">
        <v>1</v>
      </c>
      <c r="F108" s="142">
        <v>0.52</v>
      </c>
      <c r="G108" s="141">
        <v>1</v>
      </c>
      <c r="H108" s="142">
        <v>0.88888889999999998</v>
      </c>
      <c r="I108" s="142">
        <v>0.45652169999999997</v>
      </c>
      <c r="J108" s="142">
        <v>0.60499999999999998</v>
      </c>
      <c r="K108" s="155"/>
      <c r="L108" s="141" t="s">
        <v>769</v>
      </c>
      <c r="M108" s="141" t="s">
        <v>770</v>
      </c>
      <c r="N108" s="141">
        <v>3991</v>
      </c>
      <c r="O108" s="141" t="s">
        <v>728</v>
      </c>
      <c r="P108" s="141">
        <v>4</v>
      </c>
      <c r="Q108" s="142">
        <v>0.47674420000000001</v>
      </c>
      <c r="R108" s="142">
        <v>0.18181820000000001</v>
      </c>
      <c r="S108" s="142">
        <v>0.22388060000000001</v>
      </c>
      <c r="T108" s="142">
        <v>0.131579</v>
      </c>
      <c r="U108" s="142">
        <v>0.1090909</v>
      </c>
      <c r="V108" s="142">
        <v>0.22750000000000001</v>
      </c>
    </row>
    <row r="109" spans="1:22" ht="18.75" x14ac:dyDescent="0.25">
      <c r="A109" s="141" t="s">
        <v>769</v>
      </c>
      <c r="B109" s="141" t="s">
        <v>770</v>
      </c>
      <c r="C109" s="141">
        <v>4680</v>
      </c>
      <c r="D109" s="141" t="s">
        <v>680</v>
      </c>
      <c r="E109" s="141">
        <v>1</v>
      </c>
      <c r="F109" s="142">
        <v>0.62</v>
      </c>
      <c r="G109" s="141">
        <v>1</v>
      </c>
      <c r="H109" s="142">
        <v>0.72222220000000004</v>
      </c>
      <c r="I109" s="142">
        <v>0.59782610000000003</v>
      </c>
      <c r="J109" s="142">
        <v>0.64249999999999996</v>
      </c>
      <c r="K109" s="155"/>
      <c r="L109" s="141" t="s">
        <v>769</v>
      </c>
      <c r="M109" s="141" t="s">
        <v>770</v>
      </c>
      <c r="N109" s="141">
        <v>4680</v>
      </c>
      <c r="O109" s="141" t="s">
        <v>680</v>
      </c>
      <c r="P109" s="141">
        <v>4</v>
      </c>
      <c r="Q109" s="142">
        <v>0.34567900000000001</v>
      </c>
      <c r="R109" s="142">
        <v>0.25773190000000001</v>
      </c>
      <c r="S109" s="142">
        <v>0.13333329999999999</v>
      </c>
      <c r="T109" s="142">
        <v>0.125</v>
      </c>
      <c r="U109" s="142">
        <v>8.4112199999999998E-2</v>
      </c>
      <c r="V109" s="142">
        <v>0.1925</v>
      </c>
    </row>
    <row r="110" spans="1:22" ht="18.75" x14ac:dyDescent="0.25">
      <c r="A110" s="141" t="s">
        <v>769</v>
      </c>
      <c r="B110" s="141" t="s">
        <v>770</v>
      </c>
      <c r="C110" s="141">
        <v>4698</v>
      </c>
      <c r="D110" s="141" t="s">
        <v>680</v>
      </c>
      <c r="E110" s="141">
        <v>1</v>
      </c>
      <c r="F110" s="142">
        <v>0.24</v>
      </c>
      <c r="G110" s="141">
        <v>1</v>
      </c>
      <c r="H110" s="142">
        <v>0.66666669999999995</v>
      </c>
      <c r="I110" s="142">
        <v>0.48913040000000002</v>
      </c>
      <c r="J110" s="142">
        <v>0.41249999999999998</v>
      </c>
      <c r="K110" s="155"/>
      <c r="L110" s="141" t="s">
        <v>769</v>
      </c>
      <c r="M110" s="141" t="s">
        <v>770</v>
      </c>
      <c r="N110" s="141">
        <v>4698</v>
      </c>
      <c r="O110" s="141" t="s">
        <v>680</v>
      </c>
      <c r="P110" s="141">
        <v>4</v>
      </c>
      <c r="Q110" s="142">
        <v>0.1434783</v>
      </c>
      <c r="R110" s="142">
        <v>0.19101119999999999</v>
      </c>
      <c r="S110" s="142">
        <v>0</v>
      </c>
      <c r="T110" s="142">
        <v>0</v>
      </c>
      <c r="U110" s="142">
        <v>3.125E-2</v>
      </c>
      <c r="V110" s="142">
        <v>9.1249999999999998E-2</v>
      </c>
    </row>
    <row r="111" spans="1:22" ht="18.75" x14ac:dyDescent="0.25">
      <c r="A111" s="141" t="s">
        <v>769</v>
      </c>
      <c r="B111" s="141" t="s">
        <v>770</v>
      </c>
      <c r="C111" s="141">
        <v>4703</v>
      </c>
      <c r="D111" s="141" t="s">
        <v>680</v>
      </c>
      <c r="E111" s="141">
        <v>1</v>
      </c>
      <c r="F111" s="142">
        <v>0.11</v>
      </c>
      <c r="G111" s="141">
        <v>1</v>
      </c>
      <c r="H111" s="142">
        <v>0.61111110000000002</v>
      </c>
      <c r="I111" s="142">
        <v>0.38043480000000002</v>
      </c>
      <c r="J111" s="142">
        <v>0.3075</v>
      </c>
      <c r="K111" s="155"/>
      <c r="L111" s="141" t="s">
        <v>769</v>
      </c>
      <c r="M111" s="141" t="s">
        <v>770</v>
      </c>
      <c r="N111" s="141">
        <v>4703</v>
      </c>
      <c r="O111" s="141" t="s">
        <v>680</v>
      </c>
      <c r="P111" s="141">
        <v>4</v>
      </c>
      <c r="Q111" s="142">
        <v>0.54135339999999998</v>
      </c>
      <c r="R111" s="142">
        <v>0.44047619999999998</v>
      </c>
      <c r="S111" s="142">
        <v>0.3846154</v>
      </c>
      <c r="T111" s="142">
        <v>0</v>
      </c>
      <c r="U111" s="142">
        <v>7.2289199999999998E-2</v>
      </c>
      <c r="V111" s="142">
        <v>0.33750000000000002</v>
      </c>
    </row>
    <row r="112" spans="1:22" ht="18.75" x14ac:dyDescent="0.25">
      <c r="A112" s="141" t="s">
        <v>769</v>
      </c>
      <c r="B112" s="141" t="s">
        <v>770</v>
      </c>
      <c r="C112" s="141">
        <v>6265</v>
      </c>
      <c r="D112" s="141" t="s">
        <v>680</v>
      </c>
      <c r="E112" s="141">
        <v>2</v>
      </c>
      <c r="F112" s="142">
        <v>0.22500000000000001</v>
      </c>
      <c r="G112" s="141">
        <v>0</v>
      </c>
      <c r="H112" s="142"/>
      <c r="I112" s="142"/>
      <c r="J112" s="142">
        <v>0.22500000000000001</v>
      </c>
      <c r="K112" s="155"/>
      <c r="L112" s="141" t="s">
        <v>769</v>
      </c>
      <c r="M112" s="141" t="s">
        <v>770</v>
      </c>
      <c r="N112" s="141">
        <v>6265</v>
      </c>
      <c r="O112" s="141" t="s">
        <v>680</v>
      </c>
      <c r="P112" s="141">
        <v>2</v>
      </c>
      <c r="Q112" s="142">
        <v>0.15873019999999999</v>
      </c>
      <c r="R112" s="142">
        <v>9.0909100000000007E-2</v>
      </c>
      <c r="S112" s="142">
        <v>0</v>
      </c>
      <c r="T112" s="142">
        <v>0</v>
      </c>
      <c r="U112" s="142">
        <v>0</v>
      </c>
      <c r="V112" s="142">
        <v>7.0000000000000007E-2</v>
      </c>
    </row>
    <row r="113" spans="1:22" ht="18.75" x14ac:dyDescent="0.25">
      <c r="A113" s="141" t="s">
        <v>771</v>
      </c>
      <c r="B113" s="141" t="s">
        <v>772</v>
      </c>
      <c r="C113" s="141">
        <v>626</v>
      </c>
      <c r="D113" s="141" t="s">
        <v>727</v>
      </c>
      <c r="E113" s="141">
        <v>1</v>
      </c>
      <c r="F113" s="142">
        <v>0</v>
      </c>
      <c r="G113" s="141">
        <v>1</v>
      </c>
      <c r="H113" s="142">
        <v>0.77777779999999996</v>
      </c>
      <c r="I113" s="142">
        <v>0.92391310000000004</v>
      </c>
      <c r="J113" s="142">
        <v>0.42249999999999999</v>
      </c>
      <c r="K113" s="155"/>
      <c r="L113" s="141" t="s">
        <v>771</v>
      </c>
      <c r="M113" s="141" t="s">
        <v>772</v>
      </c>
      <c r="N113" s="141">
        <v>626</v>
      </c>
      <c r="O113" s="141" t="s">
        <v>727</v>
      </c>
      <c r="P113" s="141">
        <v>4</v>
      </c>
      <c r="Q113" s="142">
        <v>0.72608700000000004</v>
      </c>
      <c r="R113" s="142">
        <v>0.80337080000000005</v>
      </c>
      <c r="S113" s="142">
        <v>1</v>
      </c>
      <c r="T113" s="142">
        <v>0.5625</v>
      </c>
      <c r="U113" s="142">
        <v>0.60416669999999995</v>
      </c>
      <c r="V113" s="142">
        <v>0.73</v>
      </c>
    </row>
    <row r="114" spans="1:22" ht="18.75" x14ac:dyDescent="0.25">
      <c r="A114" s="141" t="s">
        <v>771</v>
      </c>
      <c r="B114" s="141" t="s">
        <v>772</v>
      </c>
      <c r="C114" s="141">
        <v>632</v>
      </c>
      <c r="D114" s="141" t="s">
        <v>727</v>
      </c>
      <c r="E114" s="141">
        <v>1</v>
      </c>
      <c r="F114" s="142">
        <v>0.27</v>
      </c>
      <c r="G114" s="141">
        <v>1</v>
      </c>
      <c r="H114" s="142">
        <v>0.94444439999999996</v>
      </c>
      <c r="I114" s="142">
        <v>0.90217389999999997</v>
      </c>
      <c r="J114" s="142">
        <v>0.59750000000000003</v>
      </c>
      <c r="K114" s="155"/>
      <c r="L114" s="141" t="s">
        <v>771</v>
      </c>
      <c r="M114" s="141" t="s">
        <v>772</v>
      </c>
      <c r="N114" s="141">
        <v>632</v>
      </c>
      <c r="O114" s="141" t="s">
        <v>727</v>
      </c>
      <c r="P114" s="141">
        <v>4</v>
      </c>
      <c r="Q114" s="142">
        <v>0.57281550000000003</v>
      </c>
      <c r="R114" s="142">
        <v>0.4</v>
      </c>
      <c r="S114" s="142">
        <v>0.6</v>
      </c>
      <c r="T114" s="142">
        <v>1</v>
      </c>
      <c r="U114" s="142">
        <v>0.27102799999999999</v>
      </c>
      <c r="V114" s="142">
        <v>0.47749999999999998</v>
      </c>
    </row>
    <row r="115" spans="1:22" ht="18.75" x14ac:dyDescent="0.25">
      <c r="A115" s="141" t="s">
        <v>771</v>
      </c>
      <c r="B115" s="141" t="s">
        <v>772</v>
      </c>
      <c r="C115" s="141">
        <v>651</v>
      </c>
      <c r="D115" s="141" t="s">
        <v>728</v>
      </c>
      <c r="E115" s="141">
        <v>1</v>
      </c>
      <c r="F115" s="142">
        <v>0.32</v>
      </c>
      <c r="G115" s="141">
        <v>1</v>
      </c>
      <c r="H115" s="142">
        <v>0.38888889999999998</v>
      </c>
      <c r="I115" s="142">
        <v>0.28260869999999999</v>
      </c>
      <c r="J115" s="142">
        <v>0.33</v>
      </c>
      <c r="K115" s="155"/>
      <c r="L115" s="141" t="s">
        <v>771</v>
      </c>
      <c r="M115" s="141" t="s">
        <v>772</v>
      </c>
      <c r="N115" s="141">
        <v>651</v>
      </c>
      <c r="O115" s="141" t="s">
        <v>728</v>
      </c>
      <c r="P115" s="141">
        <v>4</v>
      </c>
      <c r="Q115" s="142">
        <v>0.22815530000000001</v>
      </c>
      <c r="R115" s="142">
        <v>0.1529412</v>
      </c>
      <c r="S115" s="142">
        <v>0.55555560000000004</v>
      </c>
      <c r="T115" s="142">
        <v>0.15517239999999999</v>
      </c>
      <c r="U115" s="142">
        <v>0.37804880000000002</v>
      </c>
      <c r="V115" s="142">
        <v>0.29125000000000001</v>
      </c>
    </row>
    <row r="116" spans="1:22" ht="18.75" x14ac:dyDescent="0.25">
      <c r="A116" s="141" t="s">
        <v>771</v>
      </c>
      <c r="B116" s="141" t="s">
        <v>772</v>
      </c>
      <c r="C116" s="141">
        <v>659</v>
      </c>
      <c r="D116" s="141" t="s">
        <v>728</v>
      </c>
      <c r="E116" s="141">
        <v>1</v>
      </c>
      <c r="F116" s="142">
        <v>0.32</v>
      </c>
      <c r="G116" s="141">
        <v>1</v>
      </c>
      <c r="H116" s="142">
        <v>0.83333330000000005</v>
      </c>
      <c r="I116" s="142">
        <v>0.90217389999999997</v>
      </c>
      <c r="J116" s="142">
        <v>0.59250000000000003</v>
      </c>
      <c r="K116" s="155"/>
      <c r="L116" s="141" t="s">
        <v>771</v>
      </c>
      <c r="M116" s="141" t="s">
        <v>772</v>
      </c>
      <c r="N116" s="141">
        <v>659</v>
      </c>
      <c r="O116" s="141" t="s">
        <v>728</v>
      </c>
      <c r="P116" s="141">
        <v>4</v>
      </c>
      <c r="Q116" s="142">
        <v>0.6</v>
      </c>
      <c r="R116" s="142">
        <v>0.57303369999999998</v>
      </c>
      <c r="S116" s="142">
        <v>0.86111110000000002</v>
      </c>
      <c r="T116" s="142">
        <v>0.15517239999999999</v>
      </c>
      <c r="U116" s="142">
        <v>0.25</v>
      </c>
      <c r="V116" s="142">
        <v>0.49249999999999999</v>
      </c>
    </row>
    <row r="117" spans="1:22" ht="18.75" x14ac:dyDescent="0.25">
      <c r="A117" s="141" t="s">
        <v>771</v>
      </c>
      <c r="B117" s="141" t="s">
        <v>772</v>
      </c>
      <c r="C117" s="141">
        <v>662</v>
      </c>
      <c r="D117" s="141" t="s">
        <v>729</v>
      </c>
      <c r="E117" s="141">
        <v>1</v>
      </c>
      <c r="F117" s="142">
        <v>0.1</v>
      </c>
      <c r="G117" s="141">
        <v>1</v>
      </c>
      <c r="H117" s="142">
        <v>1</v>
      </c>
      <c r="I117" s="142">
        <v>0.90217389999999997</v>
      </c>
      <c r="J117" s="142">
        <v>0.52749999999999997</v>
      </c>
      <c r="K117" s="155"/>
      <c r="L117" s="141" t="s">
        <v>771</v>
      </c>
      <c r="M117" s="141" t="s">
        <v>772</v>
      </c>
      <c r="N117" s="141">
        <v>662</v>
      </c>
      <c r="O117" s="141" t="s">
        <v>729</v>
      </c>
      <c r="P117" s="141">
        <v>4</v>
      </c>
      <c r="Q117" s="142">
        <v>0.82716049999999997</v>
      </c>
      <c r="R117" s="142">
        <v>0.71264369999999999</v>
      </c>
      <c r="S117" s="142">
        <v>0.97222220000000004</v>
      </c>
      <c r="T117" s="142">
        <v>0.5</v>
      </c>
      <c r="U117" s="142">
        <v>0.39024389999999998</v>
      </c>
      <c r="V117" s="142">
        <v>0.67500000000000004</v>
      </c>
    </row>
    <row r="118" spans="1:22" ht="18.75" x14ac:dyDescent="0.25">
      <c r="A118" s="141" t="s">
        <v>771</v>
      </c>
      <c r="B118" s="141" t="s">
        <v>772</v>
      </c>
      <c r="C118" s="141">
        <v>666</v>
      </c>
      <c r="D118" s="141" t="s">
        <v>727</v>
      </c>
      <c r="E118" s="141">
        <v>1</v>
      </c>
      <c r="F118" s="142">
        <v>0.42</v>
      </c>
      <c r="G118" s="141">
        <v>1</v>
      </c>
      <c r="H118" s="142">
        <v>0.88888889999999998</v>
      </c>
      <c r="I118" s="142">
        <v>0.97826089999999999</v>
      </c>
      <c r="J118" s="142">
        <v>0.67500000000000004</v>
      </c>
      <c r="K118" s="155"/>
      <c r="L118" s="141" t="s">
        <v>771</v>
      </c>
      <c r="M118" s="141" t="s">
        <v>772</v>
      </c>
      <c r="N118" s="141">
        <v>666</v>
      </c>
      <c r="O118" s="141" t="s">
        <v>727</v>
      </c>
      <c r="P118" s="141">
        <v>4</v>
      </c>
      <c r="Q118" s="142">
        <v>0.5</v>
      </c>
      <c r="R118" s="142">
        <v>0.60606059999999995</v>
      </c>
      <c r="S118" s="142">
        <v>0.63829789999999997</v>
      </c>
      <c r="T118" s="142">
        <v>0.1071429</v>
      </c>
      <c r="U118" s="142">
        <v>0.27272730000000001</v>
      </c>
      <c r="V118" s="142">
        <v>0.45250000000000001</v>
      </c>
    </row>
    <row r="119" spans="1:22" ht="18.75" x14ac:dyDescent="0.25">
      <c r="A119" s="141" t="s">
        <v>771</v>
      </c>
      <c r="B119" s="141" t="s">
        <v>772</v>
      </c>
      <c r="C119" s="141">
        <v>1737</v>
      </c>
      <c r="D119" s="141" t="s">
        <v>727</v>
      </c>
      <c r="E119" s="141">
        <v>1</v>
      </c>
      <c r="F119" s="142">
        <v>0.23</v>
      </c>
      <c r="G119" s="141">
        <v>1</v>
      </c>
      <c r="H119" s="142">
        <v>0.27777780000000002</v>
      </c>
      <c r="I119" s="142">
        <v>0.45652169999999997</v>
      </c>
      <c r="J119" s="142">
        <v>0.29499999999999998</v>
      </c>
      <c r="K119" s="155"/>
      <c r="L119" s="141" t="s">
        <v>771</v>
      </c>
      <c r="M119" s="141" t="s">
        <v>772</v>
      </c>
      <c r="N119" s="141">
        <v>1737</v>
      </c>
      <c r="O119" s="141" t="s">
        <v>727</v>
      </c>
      <c r="P119" s="141">
        <v>4</v>
      </c>
      <c r="Q119" s="142">
        <v>0.57446810000000004</v>
      </c>
      <c r="R119" s="142">
        <v>0.33944960000000002</v>
      </c>
      <c r="S119" s="142">
        <v>0.45454549999999999</v>
      </c>
      <c r="T119" s="142">
        <v>0</v>
      </c>
      <c r="U119" s="142">
        <v>0.27419359999999998</v>
      </c>
      <c r="V119" s="142">
        <v>0.375</v>
      </c>
    </row>
    <row r="120" spans="1:22" ht="18.75" x14ac:dyDescent="0.25">
      <c r="A120" s="141" t="s">
        <v>771</v>
      </c>
      <c r="B120" s="141" t="s">
        <v>772</v>
      </c>
      <c r="C120" s="141">
        <v>1747</v>
      </c>
      <c r="D120" s="141" t="s">
        <v>728</v>
      </c>
      <c r="E120" s="141">
        <v>1</v>
      </c>
      <c r="F120" s="142">
        <v>0.38</v>
      </c>
      <c r="G120" s="141">
        <v>1</v>
      </c>
      <c r="H120" s="142">
        <v>1</v>
      </c>
      <c r="I120" s="142">
        <v>1</v>
      </c>
      <c r="J120" s="142">
        <v>0.69</v>
      </c>
      <c r="K120" s="155"/>
      <c r="L120" s="141" t="s">
        <v>771</v>
      </c>
      <c r="M120" s="141" t="s">
        <v>772</v>
      </c>
      <c r="N120" s="141">
        <v>1747</v>
      </c>
      <c r="O120" s="141" t="s">
        <v>728</v>
      </c>
      <c r="P120" s="141">
        <v>4</v>
      </c>
      <c r="Q120" s="142">
        <v>0.39097739999999997</v>
      </c>
      <c r="R120" s="142">
        <v>0.41052630000000001</v>
      </c>
      <c r="S120" s="142">
        <v>0.45454549999999999</v>
      </c>
      <c r="T120" s="142">
        <v>0</v>
      </c>
      <c r="U120" s="142">
        <v>0.3084112</v>
      </c>
      <c r="V120" s="142">
        <v>0.3725</v>
      </c>
    </row>
    <row r="121" spans="1:22" ht="18.75" x14ac:dyDescent="0.25">
      <c r="A121" s="141" t="s">
        <v>771</v>
      </c>
      <c r="B121" s="141" t="s">
        <v>772</v>
      </c>
      <c r="C121" s="141">
        <v>1904</v>
      </c>
      <c r="D121" s="141" t="s">
        <v>728</v>
      </c>
      <c r="E121" s="141">
        <v>1</v>
      </c>
      <c r="F121" s="142">
        <v>0.56000000000000005</v>
      </c>
      <c r="G121" s="141">
        <v>1</v>
      </c>
      <c r="H121" s="142">
        <v>0.27777780000000002</v>
      </c>
      <c r="I121" s="142">
        <v>0.36956519999999998</v>
      </c>
      <c r="J121" s="142">
        <v>0.44</v>
      </c>
      <c r="K121" s="155"/>
      <c r="L121" s="141" t="s">
        <v>771</v>
      </c>
      <c r="M121" s="141" t="s">
        <v>772</v>
      </c>
      <c r="N121" s="141">
        <v>1904</v>
      </c>
      <c r="O121" s="141" t="s">
        <v>728</v>
      </c>
      <c r="P121" s="141">
        <v>4</v>
      </c>
      <c r="Q121" s="142">
        <v>0.75308640000000004</v>
      </c>
      <c r="R121" s="142">
        <v>0.60824739999999999</v>
      </c>
      <c r="S121" s="142">
        <v>0.6</v>
      </c>
      <c r="T121" s="142">
        <v>0.25</v>
      </c>
      <c r="U121" s="142">
        <v>0.1869159</v>
      </c>
      <c r="V121" s="142">
        <v>0.48749999999999999</v>
      </c>
    </row>
    <row r="122" spans="1:22" ht="18.75" x14ac:dyDescent="0.25">
      <c r="A122" s="141" t="s">
        <v>771</v>
      </c>
      <c r="B122" s="141" t="s">
        <v>772</v>
      </c>
      <c r="C122" s="141">
        <v>2472</v>
      </c>
      <c r="D122" s="141" t="s">
        <v>680</v>
      </c>
      <c r="E122" s="141">
        <v>1</v>
      </c>
      <c r="F122" s="142">
        <v>0.57999999999999996</v>
      </c>
      <c r="G122" s="141">
        <v>1</v>
      </c>
      <c r="H122" s="142">
        <v>0.22222220000000001</v>
      </c>
      <c r="I122" s="142">
        <v>9.7826099999999999E-2</v>
      </c>
      <c r="J122" s="142">
        <v>0.3725</v>
      </c>
      <c r="K122" s="155"/>
      <c r="L122" s="141" t="s">
        <v>771</v>
      </c>
      <c r="M122" s="141" t="s">
        <v>772</v>
      </c>
      <c r="N122" s="141">
        <v>2472</v>
      </c>
      <c r="O122" s="141" t="s">
        <v>680</v>
      </c>
      <c r="P122" s="141">
        <v>4</v>
      </c>
      <c r="Q122" s="142">
        <v>0.40740739999999998</v>
      </c>
      <c r="R122" s="142">
        <v>0.38144329999999999</v>
      </c>
      <c r="S122" s="142">
        <v>0</v>
      </c>
      <c r="T122" s="142">
        <v>0.1</v>
      </c>
      <c r="U122" s="142">
        <v>2.8037400000000001E-2</v>
      </c>
      <c r="V122" s="142">
        <v>0.1925</v>
      </c>
    </row>
    <row r="123" spans="1:22" ht="18.75" x14ac:dyDescent="0.25">
      <c r="A123" s="141" t="s">
        <v>771</v>
      </c>
      <c r="B123" s="141" t="s">
        <v>772</v>
      </c>
      <c r="C123" s="141">
        <v>2481</v>
      </c>
      <c r="D123" s="141" t="s">
        <v>728</v>
      </c>
      <c r="E123" s="141">
        <v>1</v>
      </c>
      <c r="F123" s="142">
        <v>0.26</v>
      </c>
      <c r="G123" s="141">
        <v>1</v>
      </c>
      <c r="H123" s="142">
        <v>0.88888889999999998</v>
      </c>
      <c r="I123" s="142">
        <v>0.96739129999999995</v>
      </c>
      <c r="J123" s="142">
        <v>0.59250000000000003</v>
      </c>
      <c r="K123" s="155"/>
      <c r="L123" s="141" t="s">
        <v>771</v>
      </c>
      <c r="M123" s="141" t="s">
        <v>772</v>
      </c>
      <c r="N123" s="141">
        <v>2481</v>
      </c>
      <c r="O123" s="141" t="s">
        <v>728</v>
      </c>
      <c r="P123" s="141">
        <v>4</v>
      </c>
      <c r="Q123" s="142">
        <v>0.4719101</v>
      </c>
      <c r="R123" s="142">
        <v>0.5514019</v>
      </c>
      <c r="S123" s="142">
        <v>0.76190480000000005</v>
      </c>
      <c r="T123" s="142">
        <v>0</v>
      </c>
      <c r="U123" s="142">
        <v>0.2644628</v>
      </c>
      <c r="V123" s="142">
        <v>0.45250000000000001</v>
      </c>
    </row>
    <row r="124" spans="1:22" ht="18.75" x14ac:dyDescent="0.25">
      <c r="A124" s="141" t="s">
        <v>771</v>
      </c>
      <c r="B124" s="141" t="s">
        <v>772</v>
      </c>
      <c r="C124" s="141">
        <v>2592</v>
      </c>
      <c r="D124" s="141" t="s">
        <v>680</v>
      </c>
      <c r="E124" s="141">
        <v>1</v>
      </c>
      <c r="F124" s="142">
        <v>0.46</v>
      </c>
      <c r="G124" s="141">
        <v>1</v>
      </c>
      <c r="H124" s="142">
        <v>0.94444439999999996</v>
      </c>
      <c r="I124" s="142">
        <v>0.90217389999999997</v>
      </c>
      <c r="J124" s="142">
        <v>0.6925</v>
      </c>
      <c r="K124" s="155"/>
      <c r="L124" s="141" t="s">
        <v>771</v>
      </c>
      <c r="M124" s="141" t="s">
        <v>772</v>
      </c>
      <c r="N124" s="141">
        <v>2592</v>
      </c>
      <c r="O124" s="141" t="s">
        <v>680</v>
      </c>
      <c r="P124" s="141">
        <v>4</v>
      </c>
      <c r="Q124" s="142">
        <v>0.62264149999999996</v>
      </c>
      <c r="R124" s="142">
        <v>0.31182799999999999</v>
      </c>
      <c r="S124" s="142">
        <v>0.55882350000000003</v>
      </c>
      <c r="T124" s="142">
        <v>0.27500000000000002</v>
      </c>
      <c r="U124" s="142">
        <v>0.27956989999999998</v>
      </c>
      <c r="V124" s="142">
        <v>0.42499999999999999</v>
      </c>
    </row>
    <row r="125" spans="1:22" ht="18.75" x14ac:dyDescent="0.25">
      <c r="A125" s="141" t="s">
        <v>771</v>
      </c>
      <c r="B125" s="141" t="s">
        <v>772</v>
      </c>
      <c r="C125" s="141">
        <v>2593</v>
      </c>
      <c r="D125" s="141" t="s">
        <v>680</v>
      </c>
      <c r="E125" s="141">
        <v>1</v>
      </c>
      <c r="F125" s="142">
        <v>0.66</v>
      </c>
      <c r="G125" s="141">
        <v>1</v>
      </c>
      <c r="H125" s="142">
        <v>0.27777780000000002</v>
      </c>
      <c r="I125" s="142">
        <v>0.14130429999999999</v>
      </c>
      <c r="J125" s="142">
        <v>0.4375</v>
      </c>
      <c r="K125" s="155"/>
      <c r="L125" s="141" t="s">
        <v>771</v>
      </c>
      <c r="M125" s="141" t="s">
        <v>772</v>
      </c>
      <c r="N125" s="141">
        <v>2593</v>
      </c>
      <c r="O125" s="141" t="s">
        <v>680</v>
      </c>
      <c r="P125" s="141">
        <v>4</v>
      </c>
      <c r="Q125" s="142">
        <v>0.18181820000000001</v>
      </c>
      <c r="R125" s="142">
        <v>0.46590910000000002</v>
      </c>
      <c r="S125" s="142">
        <v>0.4166667</v>
      </c>
      <c r="T125" s="142">
        <v>0.22</v>
      </c>
      <c r="U125" s="142">
        <v>7.6087000000000002E-2</v>
      </c>
      <c r="V125" s="142">
        <v>0.26</v>
      </c>
    </row>
    <row r="126" spans="1:22" ht="18.75" x14ac:dyDescent="0.25">
      <c r="A126" s="141" t="s">
        <v>771</v>
      </c>
      <c r="B126" s="141" t="s">
        <v>772</v>
      </c>
      <c r="C126" s="141">
        <v>2787</v>
      </c>
      <c r="D126" s="141" t="s">
        <v>680</v>
      </c>
      <c r="E126" s="141">
        <v>1</v>
      </c>
      <c r="F126" s="142">
        <v>0.59</v>
      </c>
      <c r="G126" s="141">
        <v>1</v>
      </c>
      <c r="H126" s="142">
        <v>0.1666667</v>
      </c>
      <c r="I126" s="142">
        <v>0.2065217</v>
      </c>
      <c r="J126" s="142">
        <v>0.38750000000000001</v>
      </c>
      <c r="K126" s="155"/>
      <c r="L126" s="141" t="s">
        <v>771</v>
      </c>
      <c r="M126" s="141" t="s">
        <v>772</v>
      </c>
      <c r="N126" s="141">
        <v>2787</v>
      </c>
      <c r="O126" s="141" t="s">
        <v>680</v>
      </c>
      <c r="P126" s="141">
        <v>4</v>
      </c>
      <c r="Q126" s="142">
        <v>0.71028040000000003</v>
      </c>
      <c r="R126" s="142">
        <v>0.4509804</v>
      </c>
      <c r="S126" s="142">
        <v>0.92063490000000003</v>
      </c>
      <c r="T126" s="142">
        <v>0.8</v>
      </c>
      <c r="U126" s="142">
        <v>0.90740739999999998</v>
      </c>
      <c r="V126" s="142">
        <v>0.73499999999999999</v>
      </c>
    </row>
    <row r="127" spans="1:22" ht="18.75" x14ac:dyDescent="0.25">
      <c r="A127" s="141" t="s">
        <v>771</v>
      </c>
      <c r="B127" s="141" t="s">
        <v>772</v>
      </c>
      <c r="C127" s="141">
        <v>4145</v>
      </c>
      <c r="D127" s="141" t="s">
        <v>680</v>
      </c>
      <c r="E127" s="141">
        <v>1</v>
      </c>
      <c r="F127" s="142">
        <v>0.41</v>
      </c>
      <c r="G127" s="141">
        <v>1</v>
      </c>
      <c r="H127" s="142">
        <v>0.88888889999999998</v>
      </c>
      <c r="I127" s="142">
        <v>0.96739129999999995</v>
      </c>
      <c r="J127" s="142">
        <v>0.66749999999999998</v>
      </c>
      <c r="K127" s="155"/>
      <c r="L127" s="141" t="s">
        <v>771</v>
      </c>
      <c r="M127" s="141" t="s">
        <v>772</v>
      </c>
      <c r="N127" s="141">
        <v>4145</v>
      </c>
      <c r="O127" s="141" t="s">
        <v>680</v>
      </c>
      <c r="P127" s="141">
        <v>4</v>
      </c>
      <c r="Q127" s="142">
        <v>0.49514560000000002</v>
      </c>
      <c r="R127" s="142">
        <v>0.3157895</v>
      </c>
      <c r="S127" s="142">
        <v>0.8</v>
      </c>
      <c r="T127" s="142">
        <v>0.25</v>
      </c>
      <c r="U127" s="142">
        <v>0.2242991</v>
      </c>
      <c r="V127" s="142">
        <v>0.42499999999999999</v>
      </c>
    </row>
    <row r="128" spans="1:22" ht="18.75" x14ac:dyDescent="0.25">
      <c r="A128" s="141" t="s">
        <v>771</v>
      </c>
      <c r="B128" s="141" t="s">
        <v>772</v>
      </c>
      <c r="C128" s="141">
        <v>4150</v>
      </c>
      <c r="D128" s="141" t="s">
        <v>680</v>
      </c>
      <c r="E128" s="141">
        <v>1</v>
      </c>
      <c r="F128" s="142">
        <v>0.47</v>
      </c>
      <c r="G128" s="141">
        <v>1</v>
      </c>
      <c r="H128" s="142">
        <v>1</v>
      </c>
      <c r="I128" s="142">
        <v>0.97826089999999999</v>
      </c>
      <c r="J128" s="142">
        <v>0.73</v>
      </c>
      <c r="K128" s="155"/>
      <c r="L128" s="141" t="s">
        <v>771</v>
      </c>
      <c r="M128" s="141" t="s">
        <v>772</v>
      </c>
      <c r="N128" s="141">
        <v>4150</v>
      </c>
      <c r="O128" s="141" t="s">
        <v>680</v>
      </c>
      <c r="P128" s="141">
        <v>4</v>
      </c>
      <c r="Q128" s="142">
        <v>0.70454539999999999</v>
      </c>
      <c r="R128" s="142">
        <v>0.47126440000000003</v>
      </c>
      <c r="S128" s="142">
        <v>0.58333330000000005</v>
      </c>
      <c r="T128" s="142">
        <v>0.5</v>
      </c>
      <c r="U128" s="142">
        <v>0.25806449999999997</v>
      </c>
      <c r="V128" s="142">
        <v>0.50624999999999998</v>
      </c>
    </row>
    <row r="129" spans="1:22" ht="18.75" x14ac:dyDescent="0.25">
      <c r="A129" s="141" t="s">
        <v>773</v>
      </c>
      <c r="B129" s="141" t="s">
        <v>764</v>
      </c>
      <c r="C129" s="141">
        <v>590</v>
      </c>
      <c r="D129" s="141" t="s">
        <v>729</v>
      </c>
      <c r="E129" s="141">
        <v>1</v>
      </c>
      <c r="F129" s="142">
        <v>0.63</v>
      </c>
      <c r="G129" s="141">
        <v>1</v>
      </c>
      <c r="H129" s="142">
        <v>0.72222220000000004</v>
      </c>
      <c r="I129" s="142">
        <v>0.53260870000000005</v>
      </c>
      <c r="J129" s="142">
        <v>0.63249999999999995</v>
      </c>
      <c r="K129" s="155"/>
      <c r="L129" s="141" t="s">
        <v>773</v>
      </c>
      <c r="M129" s="141" t="s">
        <v>764</v>
      </c>
      <c r="N129" s="141">
        <v>590</v>
      </c>
      <c r="O129" s="141" t="s">
        <v>729</v>
      </c>
      <c r="P129" s="141">
        <v>4</v>
      </c>
      <c r="Q129" s="142">
        <v>0.74691359999999996</v>
      </c>
      <c r="R129" s="142">
        <v>0.56976740000000003</v>
      </c>
      <c r="S129" s="142">
        <v>0.72222220000000004</v>
      </c>
      <c r="T129" s="142">
        <v>0.41025640000000002</v>
      </c>
      <c r="U129" s="142">
        <v>0.32530120000000001</v>
      </c>
      <c r="V129" s="142">
        <v>0.55125000000000002</v>
      </c>
    </row>
    <row r="130" spans="1:22" ht="18.75" x14ac:dyDescent="0.25">
      <c r="A130" s="141" t="s">
        <v>773</v>
      </c>
      <c r="B130" s="141" t="s">
        <v>764</v>
      </c>
      <c r="C130" s="141">
        <v>592</v>
      </c>
      <c r="D130" s="141" t="s">
        <v>727</v>
      </c>
      <c r="E130" s="141">
        <v>1</v>
      </c>
      <c r="F130" s="142">
        <v>0.43</v>
      </c>
      <c r="G130" s="141">
        <v>1</v>
      </c>
      <c r="H130" s="142">
        <v>0.94444439999999996</v>
      </c>
      <c r="I130" s="142">
        <v>0.63043479999999996</v>
      </c>
      <c r="J130" s="142">
        <v>0.61499999999999999</v>
      </c>
      <c r="K130" s="155"/>
      <c r="L130" s="141" t="s">
        <v>773</v>
      </c>
      <c r="M130" s="141" t="s">
        <v>764</v>
      </c>
      <c r="N130" s="141">
        <v>592</v>
      </c>
      <c r="O130" s="141" t="s">
        <v>727</v>
      </c>
      <c r="P130" s="141">
        <v>4</v>
      </c>
      <c r="Q130" s="142">
        <v>0.87735850000000004</v>
      </c>
      <c r="R130" s="142">
        <v>0.88043479999999996</v>
      </c>
      <c r="S130" s="142">
        <v>1</v>
      </c>
      <c r="T130" s="142">
        <v>0.75</v>
      </c>
      <c r="U130" s="142">
        <v>0.76595749999999996</v>
      </c>
      <c r="V130" s="142">
        <v>0.86</v>
      </c>
    </row>
    <row r="131" spans="1:22" ht="18.75" x14ac:dyDescent="0.25">
      <c r="A131" s="141" t="s">
        <v>773</v>
      </c>
      <c r="B131" s="141" t="s">
        <v>764</v>
      </c>
      <c r="C131" s="141">
        <v>1555</v>
      </c>
      <c r="D131" s="141" t="s">
        <v>728</v>
      </c>
      <c r="E131" s="141">
        <v>1</v>
      </c>
      <c r="F131" s="142">
        <v>0.14000000000000001</v>
      </c>
      <c r="G131" s="141">
        <v>1</v>
      </c>
      <c r="H131" s="142">
        <v>0.5</v>
      </c>
      <c r="I131" s="142">
        <v>0.84782610000000003</v>
      </c>
      <c r="J131" s="142">
        <v>0.4</v>
      </c>
      <c r="K131" s="155"/>
      <c r="L131" s="141" t="s">
        <v>773</v>
      </c>
      <c r="M131" s="141" t="s">
        <v>764</v>
      </c>
      <c r="N131" s="141">
        <v>1555</v>
      </c>
      <c r="O131" s="141" t="s">
        <v>728</v>
      </c>
      <c r="P131" s="141">
        <v>4</v>
      </c>
      <c r="Q131" s="142">
        <v>0.65048550000000005</v>
      </c>
      <c r="R131" s="142">
        <v>0.66666669999999995</v>
      </c>
      <c r="S131" s="142">
        <v>6.6666699999999995E-2</v>
      </c>
      <c r="T131" s="142">
        <v>0.55000000000000004</v>
      </c>
      <c r="U131" s="142">
        <v>0.43396230000000002</v>
      </c>
      <c r="V131" s="142">
        <v>0.48249999999999998</v>
      </c>
    </row>
    <row r="132" spans="1:22" ht="18.75" x14ac:dyDescent="0.25">
      <c r="A132" s="141" t="s">
        <v>773</v>
      </c>
      <c r="B132" s="141" t="s">
        <v>764</v>
      </c>
      <c r="C132" s="141">
        <v>1556</v>
      </c>
      <c r="D132" s="141" t="s">
        <v>728</v>
      </c>
      <c r="E132" s="141">
        <v>1</v>
      </c>
      <c r="F132" s="142">
        <v>0.47</v>
      </c>
      <c r="G132" s="141">
        <v>1</v>
      </c>
      <c r="H132" s="142">
        <v>0.88888889999999998</v>
      </c>
      <c r="I132" s="142">
        <v>0.92391310000000004</v>
      </c>
      <c r="J132" s="142">
        <v>0.6875</v>
      </c>
      <c r="K132" s="155"/>
      <c r="L132" s="141" t="s">
        <v>773</v>
      </c>
      <c r="M132" s="141" t="s">
        <v>764</v>
      </c>
      <c r="N132" s="141">
        <v>1556</v>
      </c>
      <c r="O132" s="141" t="s">
        <v>728</v>
      </c>
      <c r="P132" s="141">
        <v>4</v>
      </c>
      <c r="Q132" s="142">
        <v>0.75652180000000002</v>
      </c>
      <c r="R132" s="142">
        <v>0.70224719999999996</v>
      </c>
      <c r="S132" s="142">
        <v>0.61538459999999995</v>
      </c>
      <c r="T132" s="142">
        <v>0.4166667</v>
      </c>
      <c r="U132" s="142">
        <v>0.40625</v>
      </c>
      <c r="V132" s="142">
        <v>0.60124999999999995</v>
      </c>
    </row>
    <row r="133" spans="1:22" ht="18.75" x14ac:dyDescent="0.25">
      <c r="A133" s="141" t="s">
        <v>773</v>
      </c>
      <c r="B133" s="141" t="s">
        <v>764</v>
      </c>
      <c r="C133" s="141">
        <v>1557</v>
      </c>
      <c r="D133" s="141" t="s">
        <v>728</v>
      </c>
      <c r="E133" s="141">
        <v>1</v>
      </c>
      <c r="F133" s="142">
        <v>0.19</v>
      </c>
      <c r="G133" s="141">
        <v>1</v>
      </c>
      <c r="H133" s="142">
        <v>0.44444440000000002</v>
      </c>
      <c r="I133" s="142">
        <v>0.77173910000000001</v>
      </c>
      <c r="J133" s="142">
        <v>0.39250000000000002</v>
      </c>
      <c r="K133" s="155"/>
      <c r="L133" s="141" t="s">
        <v>773</v>
      </c>
      <c r="M133" s="141" t="s">
        <v>764</v>
      </c>
      <c r="N133" s="141">
        <v>1557</v>
      </c>
      <c r="O133" s="141" t="s">
        <v>728</v>
      </c>
      <c r="P133" s="141">
        <v>4</v>
      </c>
      <c r="Q133" s="142">
        <v>0.8125</v>
      </c>
      <c r="R133" s="142">
        <v>0.66346159999999998</v>
      </c>
      <c r="S133" s="142">
        <v>0.45454549999999999</v>
      </c>
      <c r="T133" s="142">
        <v>0.77777779999999996</v>
      </c>
      <c r="U133" s="142">
        <v>0.54054049999999998</v>
      </c>
      <c r="V133" s="142">
        <v>0.64749999999999996</v>
      </c>
    </row>
    <row r="134" spans="1:22" ht="18.75" x14ac:dyDescent="0.25">
      <c r="A134" s="141" t="s">
        <v>773</v>
      </c>
      <c r="B134" s="141" t="s">
        <v>764</v>
      </c>
      <c r="C134" s="141">
        <v>2034</v>
      </c>
      <c r="D134" s="141" t="s">
        <v>728</v>
      </c>
      <c r="E134" s="141">
        <v>2</v>
      </c>
      <c r="F134" s="142">
        <v>0.54</v>
      </c>
      <c r="G134" s="141">
        <v>0</v>
      </c>
      <c r="H134" s="142"/>
      <c r="I134" s="142"/>
      <c r="J134" s="142">
        <v>0.54</v>
      </c>
      <c r="K134" s="155"/>
      <c r="L134" s="141" t="s">
        <v>773</v>
      </c>
      <c r="M134" s="141" t="s">
        <v>764</v>
      </c>
      <c r="N134" s="141">
        <v>2034</v>
      </c>
      <c r="O134" s="141" t="s">
        <v>728</v>
      </c>
      <c r="P134" s="141">
        <v>4</v>
      </c>
      <c r="Q134" s="142">
        <v>0.73170729999999995</v>
      </c>
      <c r="R134" s="142">
        <v>0.51041669999999995</v>
      </c>
      <c r="S134" s="142">
        <v>0.85074629999999996</v>
      </c>
      <c r="T134" s="142">
        <v>0.32758619999999999</v>
      </c>
      <c r="U134" s="142">
        <v>0.3608247</v>
      </c>
      <c r="V134" s="142">
        <v>0.55000000000000004</v>
      </c>
    </row>
    <row r="135" spans="1:22" ht="18.75" x14ac:dyDescent="0.25">
      <c r="A135" s="141" t="s">
        <v>773</v>
      </c>
      <c r="B135" s="141" t="s">
        <v>764</v>
      </c>
      <c r="C135" s="141">
        <v>4363</v>
      </c>
      <c r="D135" s="141" t="s">
        <v>680</v>
      </c>
      <c r="E135" s="141">
        <v>1</v>
      </c>
      <c r="F135" s="142">
        <v>0.57999999999999996</v>
      </c>
      <c r="G135" s="141">
        <v>1</v>
      </c>
      <c r="H135" s="142">
        <v>0.27777780000000002</v>
      </c>
      <c r="I135" s="142">
        <v>0.54347829999999997</v>
      </c>
      <c r="J135" s="142">
        <v>0.49</v>
      </c>
      <c r="K135" s="155"/>
      <c r="L135" s="141" t="s">
        <v>773</v>
      </c>
      <c r="M135" s="141" t="s">
        <v>764</v>
      </c>
      <c r="N135" s="141">
        <v>4363</v>
      </c>
      <c r="O135" s="141" t="s">
        <v>680</v>
      </c>
      <c r="P135" s="141">
        <v>4</v>
      </c>
      <c r="Q135" s="142">
        <v>0.5</v>
      </c>
      <c r="R135" s="142">
        <v>0.5606061</v>
      </c>
      <c r="S135" s="142">
        <v>0.14893619999999999</v>
      </c>
      <c r="T135" s="142">
        <v>7.1428599999999995E-2</v>
      </c>
      <c r="U135" s="142">
        <v>0.49090909999999999</v>
      </c>
      <c r="V135" s="142">
        <v>0.44124999999999998</v>
      </c>
    </row>
    <row r="136" spans="1:22" ht="18.75" x14ac:dyDescent="0.25">
      <c r="A136" s="141" t="s">
        <v>773</v>
      </c>
      <c r="B136" s="141" t="s">
        <v>764</v>
      </c>
      <c r="C136" s="141">
        <v>4367</v>
      </c>
      <c r="D136" s="141" t="s">
        <v>680</v>
      </c>
      <c r="E136" s="141">
        <v>2</v>
      </c>
      <c r="F136" s="142">
        <v>0.67</v>
      </c>
      <c r="G136" s="141">
        <v>0</v>
      </c>
      <c r="H136" s="142"/>
      <c r="I136" s="142"/>
      <c r="J136" s="142">
        <v>0.67</v>
      </c>
      <c r="K136" s="155"/>
      <c r="L136" s="141" t="s">
        <v>773</v>
      </c>
      <c r="M136" s="141" t="s">
        <v>764</v>
      </c>
      <c r="N136" s="141">
        <v>4367</v>
      </c>
      <c r="O136" s="141" t="s">
        <v>680</v>
      </c>
      <c r="P136" s="141">
        <v>2</v>
      </c>
      <c r="Q136" s="142">
        <v>0.6</v>
      </c>
      <c r="R136" s="142">
        <v>0.42553190000000002</v>
      </c>
      <c r="S136" s="142">
        <v>0.5</v>
      </c>
      <c r="T136" s="142">
        <v>0.1</v>
      </c>
      <c r="U136" s="142">
        <v>0.3207547</v>
      </c>
      <c r="V136" s="142">
        <v>0.41499999999999998</v>
      </c>
    </row>
    <row r="137" spans="1:22" ht="18.75" x14ac:dyDescent="0.25">
      <c r="A137" s="141" t="s">
        <v>773</v>
      </c>
      <c r="B137" s="141" t="s">
        <v>764</v>
      </c>
      <c r="C137" s="141">
        <v>4368</v>
      </c>
      <c r="D137" s="141" t="s">
        <v>680</v>
      </c>
      <c r="E137" s="141">
        <v>1</v>
      </c>
      <c r="F137" s="142">
        <v>0.68</v>
      </c>
      <c r="G137" s="141">
        <v>1</v>
      </c>
      <c r="H137" s="142">
        <v>0.61111110000000002</v>
      </c>
      <c r="I137" s="142">
        <v>0.54347829999999997</v>
      </c>
      <c r="J137" s="142">
        <v>0.63</v>
      </c>
      <c r="K137" s="155"/>
      <c r="L137" s="141" t="s">
        <v>773</v>
      </c>
      <c r="M137" s="141" t="s">
        <v>764</v>
      </c>
      <c r="N137" s="141">
        <v>4368</v>
      </c>
      <c r="O137" s="141" t="s">
        <v>680</v>
      </c>
      <c r="P137" s="141">
        <v>4</v>
      </c>
      <c r="Q137" s="142">
        <v>0.45045049999999998</v>
      </c>
      <c r="R137" s="142">
        <v>0.556701</v>
      </c>
      <c r="S137" s="142">
        <v>0.72727269999999999</v>
      </c>
      <c r="T137" s="142">
        <v>0.2</v>
      </c>
      <c r="U137" s="142">
        <v>0.42056070000000001</v>
      </c>
      <c r="V137" s="142">
        <v>0.48749999999999999</v>
      </c>
    </row>
    <row r="138" spans="1:22" ht="18.75" x14ac:dyDescent="0.25">
      <c r="A138" s="141" t="s">
        <v>773</v>
      </c>
      <c r="B138" s="141" t="s">
        <v>764</v>
      </c>
      <c r="C138" s="141">
        <v>4371</v>
      </c>
      <c r="D138" s="141" t="s">
        <v>680</v>
      </c>
      <c r="E138" s="141">
        <v>1</v>
      </c>
      <c r="F138" s="142">
        <v>0.48</v>
      </c>
      <c r="G138" s="141">
        <v>1</v>
      </c>
      <c r="H138" s="142">
        <v>1</v>
      </c>
      <c r="I138" s="142">
        <v>0.76086960000000003</v>
      </c>
      <c r="J138" s="142">
        <v>0.68500000000000005</v>
      </c>
      <c r="K138" s="155"/>
      <c r="L138" s="141" t="s">
        <v>773</v>
      </c>
      <c r="M138" s="141" t="s">
        <v>764</v>
      </c>
      <c r="N138" s="141">
        <v>4371</v>
      </c>
      <c r="O138" s="141" t="s">
        <v>680</v>
      </c>
      <c r="P138" s="141">
        <v>4</v>
      </c>
      <c r="Q138" s="142">
        <v>0.80645160000000005</v>
      </c>
      <c r="R138" s="142">
        <v>0.63636360000000003</v>
      </c>
      <c r="S138" s="142">
        <v>0.63333329999999999</v>
      </c>
      <c r="T138" s="142">
        <v>0.68421050000000005</v>
      </c>
      <c r="U138" s="142">
        <v>0.51818180000000003</v>
      </c>
      <c r="V138" s="142">
        <v>0.64749999999999996</v>
      </c>
    </row>
    <row r="139" spans="1:22" ht="18.75" x14ac:dyDescent="0.25">
      <c r="A139" s="141" t="s">
        <v>773</v>
      </c>
      <c r="B139" s="141" t="s">
        <v>764</v>
      </c>
      <c r="C139" s="141">
        <v>4875</v>
      </c>
      <c r="D139" s="141" t="s">
        <v>680</v>
      </c>
      <c r="E139" s="141">
        <v>1</v>
      </c>
      <c r="F139" s="142">
        <v>0.59</v>
      </c>
      <c r="G139" s="141">
        <v>1</v>
      </c>
      <c r="H139" s="142">
        <v>0.66666669999999995</v>
      </c>
      <c r="I139" s="142">
        <v>0.51086960000000003</v>
      </c>
      <c r="J139" s="142">
        <v>0.59250000000000003</v>
      </c>
      <c r="K139" s="155"/>
      <c r="L139" s="141" t="s">
        <v>773</v>
      </c>
      <c r="M139" s="141" t="s">
        <v>764</v>
      </c>
      <c r="N139" s="141">
        <v>4875</v>
      </c>
      <c r="O139" s="141" t="s">
        <v>680</v>
      </c>
      <c r="P139" s="141">
        <v>4</v>
      </c>
      <c r="Q139" s="142">
        <v>0.54901960000000005</v>
      </c>
      <c r="R139" s="142">
        <v>0.33720929999999999</v>
      </c>
      <c r="S139" s="142">
        <v>0.125</v>
      </c>
      <c r="T139" s="142">
        <v>0.75</v>
      </c>
      <c r="U139" s="142">
        <v>0.41304350000000001</v>
      </c>
      <c r="V139" s="142">
        <v>0.40749999999999997</v>
      </c>
    </row>
    <row r="140" spans="1:22" ht="18.75" x14ac:dyDescent="0.25">
      <c r="A140" s="141" t="s">
        <v>774</v>
      </c>
      <c r="B140" s="141" t="s">
        <v>758</v>
      </c>
      <c r="C140" s="141">
        <v>15</v>
      </c>
      <c r="D140" s="141" t="s">
        <v>727</v>
      </c>
      <c r="E140" s="141">
        <v>1</v>
      </c>
      <c r="F140" s="142">
        <v>0.15</v>
      </c>
      <c r="G140" s="141">
        <v>1</v>
      </c>
      <c r="H140" s="142">
        <v>0.61111110000000002</v>
      </c>
      <c r="I140" s="142">
        <v>0.45652169999999997</v>
      </c>
      <c r="J140" s="142">
        <v>0.34499999999999997</v>
      </c>
      <c r="K140" s="155"/>
      <c r="L140" s="141" t="s">
        <v>774</v>
      </c>
      <c r="M140" s="141" t="s">
        <v>758</v>
      </c>
      <c r="N140" s="141">
        <v>15</v>
      </c>
      <c r="O140" s="141" t="s">
        <v>727</v>
      </c>
      <c r="P140" s="141">
        <v>4</v>
      </c>
      <c r="Q140" s="142">
        <v>0.55681820000000004</v>
      </c>
      <c r="R140" s="142">
        <v>0.50515460000000001</v>
      </c>
      <c r="S140" s="142">
        <v>0.51470590000000005</v>
      </c>
      <c r="T140" s="142">
        <v>0.25</v>
      </c>
      <c r="U140" s="142">
        <v>0.37383179999999999</v>
      </c>
      <c r="V140" s="142">
        <v>0.45750000000000002</v>
      </c>
    </row>
    <row r="141" spans="1:22" ht="18.75" x14ac:dyDescent="0.25">
      <c r="A141" s="141" t="s">
        <v>774</v>
      </c>
      <c r="B141" s="141" t="s">
        <v>758</v>
      </c>
      <c r="C141" s="141">
        <v>29</v>
      </c>
      <c r="D141" s="141" t="s">
        <v>728</v>
      </c>
      <c r="E141" s="141">
        <v>1</v>
      </c>
      <c r="F141" s="142">
        <v>0.53</v>
      </c>
      <c r="G141" s="141">
        <v>1</v>
      </c>
      <c r="H141" s="142">
        <v>0.61111110000000002</v>
      </c>
      <c r="I141" s="142">
        <v>0.57608689999999996</v>
      </c>
      <c r="J141" s="142">
        <v>0.5625</v>
      </c>
      <c r="K141" s="155"/>
      <c r="L141" s="141" t="s">
        <v>774</v>
      </c>
      <c r="M141" s="141" t="s">
        <v>758</v>
      </c>
      <c r="N141" s="141">
        <v>29</v>
      </c>
      <c r="O141" s="141" t="s">
        <v>728</v>
      </c>
      <c r="P141" s="141">
        <v>4</v>
      </c>
      <c r="Q141" s="142">
        <v>0.48571429999999999</v>
      </c>
      <c r="R141" s="142">
        <v>0.45263160000000002</v>
      </c>
      <c r="S141" s="142">
        <v>0.52083330000000005</v>
      </c>
      <c r="T141" s="142">
        <v>0.3</v>
      </c>
      <c r="U141" s="142">
        <v>0.21495330000000001</v>
      </c>
      <c r="V141" s="142">
        <v>0.40500000000000003</v>
      </c>
    </row>
    <row r="142" spans="1:22" ht="18.75" x14ac:dyDescent="0.25">
      <c r="A142" s="141" t="s">
        <v>774</v>
      </c>
      <c r="B142" s="141" t="s">
        <v>758</v>
      </c>
      <c r="C142" s="141">
        <v>41</v>
      </c>
      <c r="D142" s="141" t="s">
        <v>728</v>
      </c>
      <c r="E142" s="141">
        <v>1</v>
      </c>
      <c r="F142" s="142">
        <v>0.67</v>
      </c>
      <c r="G142" s="141">
        <v>1</v>
      </c>
      <c r="H142" s="142">
        <v>0.94444439999999996</v>
      </c>
      <c r="I142" s="142">
        <v>0.52173910000000001</v>
      </c>
      <c r="J142" s="142">
        <v>0.71</v>
      </c>
      <c r="K142" s="155"/>
      <c r="L142" s="141" t="s">
        <v>774</v>
      </c>
      <c r="M142" s="141" t="s">
        <v>758</v>
      </c>
      <c r="N142" s="141">
        <v>41</v>
      </c>
      <c r="O142" s="141" t="s">
        <v>728</v>
      </c>
      <c r="P142" s="141">
        <v>4</v>
      </c>
      <c r="Q142" s="142">
        <v>0.4588235</v>
      </c>
      <c r="R142" s="142">
        <v>0.61111110000000002</v>
      </c>
      <c r="S142" s="142">
        <v>0.83333330000000005</v>
      </c>
      <c r="T142" s="142">
        <v>0.24137929999999999</v>
      </c>
      <c r="U142" s="142">
        <v>0.33684209999999998</v>
      </c>
      <c r="V142" s="142">
        <v>0.5</v>
      </c>
    </row>
    <row r="143" spans="1:22" ht="18.75" x14ac:dyDescent="0.25">
      <c r="A143" s="141" t="s">
        <v>774</v>
      </c>
      <c r="B143" s="141" t="s">
        <v>758</v>
      </c>
      <c r="C143" s="141">
        <v>1666</v>
      </c>
      <c r="D143" s="141" t="s">
        <v>728</v>
      </c>
      <c r="E143" s="141">
        <v>1</v>
      </c>
      <c r="F143" s="142">
        <v>0.64</v>
      </c>
      <c r="G143" s="141">
        <v>1</v>
      </c>
      <c r="H143" s="142">
        <v>0.72222220000000004</v>
      </c>
      <c r="I143" s="142">
        <v>0.52173910000000001</v>
      </c>
      <c r="J143" s="142">
        <v>0.63500000000000001</v>
      </c>
      <c r="K143" s="155"/>
      <c r="L143" s="141" t="s">
        <v>774</v>
      </c>
      <c r="M143" s="141" t="s">
        <v>758</v>
      </c>
      <c r="N143" s="141">
        <v>1666</v>
      </c>
      <c r="O143" s="141" t="s">
        <v>728</v>
      </c>
      <c r="P143" s="141">
        <v>4</v>
      </c>
      <c r="Q143" s="142">
        <v>0.52020200000000005</v>
      </c>
      <c r="R143" s="142">
        <v>0.34782610000000003</v>
      </c>
      <c r="S143" s="142">
        <v>0.6</v>
      </c>
      <c r="T143" s="142">
        <v>0.27500000000000002</v>
      </c>
      <c r="U143" s="142">
        <v>0.58510640000000003</v>
      </c>
      <c r="V143" s="142">
        <v>0.48625000000000002</v>
      </c>
    </row>
    <row r="144" spans="1:22" ht="18.75" x14ac:dyDescent="0.25">
      <c r="A144" s="141" t="s">
        <v>774</v>
      </c>
      <c r="B144" s="141" t="s">
        <v>758</v>
      </c>
      <c r="C144" s="141">
        <v>1672</v>
      </c>
      <c r="D144" s="141" t="s">
        <v>727</v>
      </c>
      <c r="E144" s="141">
        <v>1</v>
      </c>
      <c r="F144" s="142">
        <v>0.67</v>
      </c>
      <c r="G144" s="141">
        <v>1</v>
      </c>
      <c r="H144" s="142">
        <v>0.5</v>
      </c>
      <c r="I144" s="142">
        <v>0.47826089999999999</v>
      </c>
      <c r="J144" s="142">
        <v>0.57999999999999996</v>
      </c>
      <c r="K144" s="155"/>
      <c r="L144" s="141" t="s">
        <v>774</v>
      </c>
      <c r="M144" s="141" t="s">
        <v>758</v>
      </c>
      <c r="N144" s="141">
        <v>1672</v>
      </c>
      <c r="O144" s="141" t="s">
        <v>727</v>
      </c>
      <c r="P144" s="141">
        <v>4</v>
      </c>
      <c r="Q144" s="142">
        <v>0.67924530000000005</v>
      </c>
      <c r="R144" s="142">
        <v>0.47311829999999999</v>
      </c>
      <c r="S144" s="142">
        <v>0.29411769999999998</v>
      </c>
      <c r="T144" s="142">
        <v>0.47499999999999998</v>
      </c>
      <c r="U144" s="142">
        <v>0.2473118</v>
      </c>
      <c r="V144" s="142">
        <v>0.44500000000000001</v>
      </c>
    </row>
    <row r="145" spans="1:22" ht="18.75" x14ac:dyDescent="0.25">
      <c r="A145" s="141" t="s">
        <v>774</v>
      </c>
      <c r="B145" s="141" t="s">
        <v>758</v>
      </c>
      <c r="C145" s="141">
        <v>1714</v>
      </c>
      <c r="D145" s="141" t="s">
        <v>728</v>
      </c>
      <c r="E145" s="141">
        <v>1</v>
      </c>
      <c r="F145" s="142">
        <v>0.64</v>
      </c>
      <c r="G145" s="141">
        <v>1</v>
      </c>
      <c r="H145" s="142">
        <v>0.3333333</v>
      </c>
      <c r="I145" s="142">
        <v>0.53260870000000005</v>
      </c>
      <c r="J145" s="142">
        <v>0.53249999999999997</v>
      </c>
      <c r="K145" s="155"/>
      <c r="L145" s="141" t="s">
        <v>774</v>
      </c>
      <c r="M145" s="141" t="s">
        <v>758</v>
      </c>
      <c r="N145" s="141">
        <v>1714</v>
      </c>
      <c r="O145" s="141" t="s">
        <v>728</v>
      </c>
      <c r="P145" s="141">
        <v>4</v>
      </c>
      <c r="Q145" s="142">
        <v>0.54166669999999995</v>
      </c>
      <c r="R145" s="142">
        <v>0.45348840000000001</v>
      </c>
      <c r="S145" s="142">
        <v>0.3333333</v>
      </c>
      <c r="T145" s="142">
        <v>0.3</v>
      </c>
      <c r="U145" s="142">
        <v>0.1521739</v>
      </c>
      <c r="V145" s="142">
        <v>0.38374999999999998</v>
      </c>
    </row>
    <row r="146" spans="1:22" ht="18.75" x14ac:dyDescent="0.25">
      <c r="A146" s="141" t="s">
        <v>774</v>
      </c>
      <c r="B146" s="141" t="s">
        <v>758</v>
      </c>
      <c r="C146" s="141">
        <v>1743</v>
      </c>
      <c r="D146" s="141" t="s">
        <v>728</v>
      </c>
      <c r="E146" s="141">
        <v>1</v>
      </c>
      <c r="F146" s="142">
        <v>0.25</v>
      </c>
      <c r="G146" s="141">
        <v>1</v>
      </c>
      <c r="H146" s="142">
        <v>0.77777779999999996</v>
      </c>
      <c r="I146" s="142">
        <v>0.54347829999999997</v>
      </c>
      <c r="J146" s="142">
        <v>0.46</v>
      </c>
      <c r="K146" s="155"/>
      <c r="L146" s="141" t="s">
        <v>774</v>
      </c>
      <c r="M146" s="141" t="s">
        <v>758</v>
      </c>
      <c r="N146" s="141">
        <v>1743</v>
      </c>
      <c r="O146" s="141" t="s">
        <v>728</v>
      </c>
      <c r="P146" s="141">
        <v>4</v>
      </c>
      <c r="Q146" s="142">
        <v>0.82022470000000003</v>
      </c>
      <c r="R146" s="142">
        <v>0.76041669999999995</v>
      </c>
      <c r="S146" s="142">
        <v>0.83333330000000005</v>
      </c>
      <c r="T146" s="142">
        <v>0.7241379</v>
      </c>
      <c r="U146" s="142">
        <v>0.63917520000000005</v>
      </c>
      <c r="V146" s="142">
        <v>0.75</v>
      </c>
    </row>
    <row r="147" spans="1:22" ht="18.75" x14ac:dyDescent="0.25">
      <c r="A147" s="141" t="s">
        <v>774</v>
      </c>
      <c r="B147" s="141" t="s">
        <v>758</v>
      </c>
      <c r="C147" s="141">
        <v>2148</v>
      </c>
      <c r="D147" s="141" t="s">
        <v>728</v>
      </c>
      <c r="E147" s="141">
        <v>1</v>
      </c>
      <c r="F147" s="142">
        <v>0.14000000000000001</v>
      </c>
      <c r="G147" s="141">
        <v>1</v>
      </c>
      <c r="H147" s="142">
        <v>0.88888889999999998</v>
      </c>
      <c r="I147" s="142">
        <v>0.52173910000000001</v>
      </c>
      <c r="J147" s="142">
        <v>0.43</v>
      </c>
      <c r="K147" s="155"/>
      <c r="L147" s="141" t="s">
        <v>774</v>
      </c>
      <c r="M147" s="141" t="s">
        <v>758</v>
      </c>
      <c r="N147" s="141">
        <v>2148</v>
      </c>
      <c r="O147" s="141" t="s">
        <v>728</v>
      </c>
      <c r="P147" s="141">
        <v>4</v>
      </c>
      <c r="Q147" s="142">
        <v>0.3361345</v>
      </c>
      <c r="R147" s="142">
        <v>0.2864583</v>
      </c>
      <c r="S147" s="142">
        <v>0.375</v>
      </c>
      <c r="T147" s="142">
        <v>8.3333299999999999E-2</v>
      </c>
      <c r="U147" s="142">
        <v>0.11340210000000001</v>
      </c>
      <c r="V147" s="142">
        <v>0.24374999999999999</v>
      </c>
    </row>
    <row r="148" spans="1:22" ht="18.75" x14ac:dyDescent="0.25">
      <c r="A148" s="141" t="s">
        <v>774</v>
      </c>
      <c r="B148" s="141" t="s">
        <v>758</v>
      </c>
      <c r="C148" s="141">
        <v>3959</v>
      </c>
      <c r="D148" s="141" t="s">
        <v>680</v>
      </c>
      <c r="E148" s="141">
        <v>1</v>
      </c>
      <c r="F148" s="142">
        <v>0.27</v>
      </c>
      <c r="G148" s="141">
        <v>1</v>
      </c>
      <c r="H148" s="142">
        <v>0.72222220000000004</v>
      </c>
      <c r="I148" s="142">
        <v>0.54347829999999997</v>
      </c>
      <c r="J148" s="142">
        <v>0.45500000000000002</v>
      </c>
      <c r="K148" s="155"/>
      <c r="L148" s="141" t="s">
        <v>774</v>
      </c>
      <c r="M148" s="141" t="s">
        <v>758</v>
      </c>
      <c r="N148" s="141">
        <v>3959</v>
      </c>
      <c r="O148" s="141" t="s">
        <v>680</v>
      </c>
      <c r="P148" s="141">
        <v>4</v>
      </c>
      <c r="Q148" s="142">
        <v>0.37804880000000002</v>
      </c>
      <c r="R148" s="142">
        <v>0.2395833</v>
      </c>
      <c r="S148" s="142">
        <v>0.74626859999999995</v>
      </c>
      <c r="T148" s="142">
        <v>5.1724100000000002E-2</v>
      </c>
      <c r="U148" s="142">
        <v>8.2474199999999998E-2</v>
      </c>
      <c r="V148" s="142">
        <v>0.28749999999999998</v>
      </c>
    </row>
    <row r="149" spans="1:22" ht="18.75" x14ac:dyDescent="0.25">
      <c r="A149" s="141" t="s">
        <v>774</v>
      </c>
      <c r="B149" s="141" t="s">
        <v>758</v>
      </c>
      <c r="C149" s="141">
        <v>4018</v>
      </c>
      <c r="D149" s="141" t="s">
        <v>729</v>
      </c>
      <c r="E149" s="141">
        <v>1</v>
      </c>
      <c r="F149" s="142">
        <v>0.22</v>
      </c>
      <c r="G149" s="141">
        <v>1</v>
      </c>
      <c r="H149" s="142">
        <v>0.22222220000000001</v>
      </c>
      <c r="I149" s="142">
        <v>0.36956519999999998</v>
      </c>
      <c r="J149" s="142">
        <v>0.255</v>
      </c>
      <c r="K149" s="155"/>
      <c r="L149" s="141" t="s">
        <v>774</v>
      </c>
      <c r="M149" s="141" t="s">
        <v>758</v>
      </c>
      <c r="N149" s="141">
        <v>4018</v>
      </c>
      <c r="O149" s="141" t="s">
        <v>729</v>
      </c>
      <c r="P149" s="141">
        <v>4</v>
      </c>
      <c r="Q149" s="142">
        <v>0.63478259999999997</v>
      </c>
      <c r="R149" s="142">
        <v>0.78089889999999995</v>
      </c>
      <c r="S149" s="142">
        <v>0.61538459999999995</v>
      </c>
      <c r="T149" s="142">
        <v>0.3541667</v>
      </c>
      <c r="U149" s="142">
        <v>0.4166667</v>
      </c>
      <c r="V149" s="142">
        <v>0.57874999999999999</v>
      </c>
    </row>
    <row r="150" spans="1:22" ht="18.75" x14ac:dyDescent="0.25">
      <c r="A150" s="141" t="s">
        <v>774</v>
      </c>
      <c r="B150" s="141" t="s">
        <v>758</v>
      </c>
      <c r="C150" s="141">
        <v>4161</v>
      </c>
      <c r="D150" s="141" t="s">
        <v>680</v>
      </c>
      <c r="E150" s="141">
        <v>1</v>
      </c>
      <c r="F150" s="142">
        <v>0.45</v>
      </c>
      <c r="G150" s="141">
        <v>1</v>
      </c>
      <c r="H150" s="142">
        <v>0.88888889999999998</v>
      </c>
      <c r="I150" s="142">
        <v>0.54347829999999997</v>
      </c>
      <c r="J150" s="142">
        <v>0.59</v>
      </c>
      <c r="K150" s="155"/>
      <c r="L150" s="141" t="s">
        <v>774</v>
      </c>
      <c r="M150" s="141" t="s">
        <v>758</v>
      </c>
      <c r="N150" s="141">
        <v>4161</v>
      </c>
      <c r="O150" s="141" t="s">
        <v>680</v>
      </c>
      <c r="P150" s="141">
        <v>4</v>
      </c>
      <c r="Q150" s="142">
        <v>0.52439020000000003</v>
      </c>
      <c r="R150" s="142">
        <v>0.63541669999999995</v>
      </c>
      <c r="S150" s="142">
        <v>0.70149249999999996</v>
      </c>
      <c r="T150" s="142">
        <v>0.67241379999999995</v>
      </c>
      <c r="U150" s="142">
        <v>0.41237109999999999</v>
      </c>
      <c r="V150" s="142">
        <v>0.57499999999999996</v>
      </c>
    </row>
    <row r="151" spans="1:22" ht="18.75" x14ac:dyDescent="0.25">
      <c r="A151" s="141" t="s">
        <v>775</v>
      </c>
      <c r="B151" s="141" t="s">
        <v>766</v>
      </c>
      <c r="C151" s="141">
        <v>741</v>
      </c>
      <c r="D151" s="141" t="s">
        <v>727</v>
      </c>
      <c r="E151" s="141">
        <v>1</v>
      </c>
      <c r="F151" s="142">
        <v>0.4</v>
      </c>
      <c r="G151" s="141">
        <v>1</v>
      </c>
      <c r="H151" s="142">
        <v>0.66666669999999995</v>
      </c>
      <c r="I151" s="142">
        <v>0.54347829999999997</v>
      </c>
      <c r="J151" s="142">
        <v>0.505</v>
      </c>
      <c r="K151" s="155"/>
      <c r="L151" s="141" t="s">
        <v>775</v>
      </c>
      <c r="M151" s="141" t="s">
        <v>766</v>
      </c>
      <c r="N151" s="141">
        <v>741</v>
      </c>
      <c r="O151" s="141" t="s">
        <v>727</v>
      </c>
      <c r="P151" s="141">
        <v>4</v>
      </c>
      <c r="Q151" s="142">
        <v>0.6052632</v>
      </c>
      <c r="R151" s="142">
        <v>0.65263159999999998</v>
      </c>
      <c r="S151" s="142">
        <v>1</v>
      </c>
      <c r="T151" s="142">
        <v>0</v>
      </c>
      <c r="U151" s="142">
        <v>0.49532710000000002</v>
      </c>
      <c r="V151" s="142">
        <v>0.62624999999999997</v>
      </c>
    </row>
    <row r="152" spans="1:22" ht="18.75" x14ac:dyDescent="0.25">
      <c r="A152" s="141" t="s">
        <v>775</v>
      </c>
      <c r="B152" s="141" t="s">
        <v>766</v>
      </c>
      <c r="C152" s="141">
        <v>747</v>
      </c>
      <c r="D152" s="141" t="s">
        <v>727</v>
      </c>
      <c r="E152" s="141">
        <v>1</v>
      </c>
      <c r="F152" s="142">
        <v>0.36</v>
      </c>
      <c r="G152" s="141">
        <v>1</v>
      </c>
      <c r="H152" s="142">
        <v>0.5</v>
      </c>
      <c r="I152" s="142">
        <v>0.81521739999999998</v>
      </c>
      <c r="J152" s="142">
        <v>0.50249999999999995</v>
      </c>
      <c r="K152" s="155"/>
      <c r="L152" s="141" t="s">
        <v>775</v>
      </c>
      <c r="M152" s="141" t="s">
        <v>766</v>
      </c>
      <c r="N152" s="141">
        <v>747</v>
      </c>
      <c r="O152" s="141" t="s">
        <v>727</v>
      </c>
      <c r="P152" s="141">
        <v>4</v>
      </c>
      <c r="Q152" s="142">
        <v>0.51351349999999996</v>
      </c>
      <c r="R152" s="142">
        <v>0.58620689999999998</v>
      </c>
      <c r="S152" s="142">
        <v>0.67307689999999998</v>
      </c>
      <c r="T152" s="142">
        <v>0.41176469999999998</v>
      </c>
      <c r="U152" s="142">
        <v>0.39024389999999998</v>
      </c>
      <c r="V152" s="142">
        <v>0.50749999999999995</v>
      </c>
    </row>
    <row r="153" spans="1:22" ht="18.75" x14ac:dyDescent="0.25">
      <c r="A153" s="141" t="s">
        <v>775</v>
      </c>
      <c r="B153" s="141" t="s">
        <v>766</v>
      </c>
      <c r="C153" s="141">
        <v>751</v>
      </c>
      <c r="D153" s="141" t="s">
        <v>729</v>
      </c>
      <c r="E153" s="141">
        <v>1</v>
      </c>
      <c r="F153" s="142">
        <v>0.46</v>
      </c>
      <c r="G153" s="141">
        <v>1</v>
      </c>
      <c r="H153" s="142">
        <v>0.72222220000000004</v>
      </c>
      <c r="I153" s="142">
        <v>0.58695649999999999</v>
      </c>
      <c r="J153" s="142">
        <v>0.56000000000000005</v>
      </c>
      <c r="K153" s="155"/>
      <c r="L153" s="141" t="s">
        <v>775</v>
      </c>
      <c r="M153" s="141" t="s">
        <v>766</v>
      </c>
      <c r="N153" s="141">
        <v>751</v>
      </c>
      <c r="O153" s="141" t="s">
        <v>729</v>
      </c>
      <c r="P153" s="141">
        <v>4</v>
      </c>
      <c r="Q153" s="142">
        <v>0.77884609999999999</v>
      </c>
      <c r="R153" s="142">
        <v>0.66315789999999997</v>
      </c>
      <c r="S153" s="142">
        <v>0.8208955</v>
      </c>
      <c r="T153" s="142">
        <v>0.68421050000000005</v>
      </c>
      <c r="U153" s="142">
        <v>0.3541667</v>
      </c>
      <c r="V153" s="142">
        <v>0.64749999999999996</v>
      </c>
    </row>
    <row r="154" spans="1:22" ht="18.75" x14ac:dyDescent="0.25">
      <c r="A154" s="141" t="s">
        <v>775</v>
      </c>
      <c r="B154" s="141" t="s">
        <v>766</v>
      </c>
      <c r="C154" s="141">
        <v>2185</v>
      </c>
      <c r="D154" s="141" t="s">
        <v>727</v>
      </c>
      <c r="E154" s="141">
        <v>1</v>
      </c>
      <c r="F154" s="142">
        <v>0.2</v>
      </c>
      <c r="G154" s="141">
        <v>1</v>
      </c>
      <c r="H154" s="142">
        <v>0.72222220000000004</v>
      </c>
      <c r="I154" s="142">
        <v>0.91304350000000001</v>
      </c>
      <c r="J154" s="142">
        <v>0.505</v>
      </c>
      <c r="K154" s="155"/>
      <c r="L154" s="141" t="s">
        <v>775</v>
      </c>
      <c r="M154" s="141" t="s">
        <v>766</v>
      </c>
      <c r="N154" s="141">
        <v>2185</v>
      </c>
      <c r="O154" s="141" t="s">
        <v>727</v>
      </c>
      <c r="P154" s="141">
        <v>4</v>
      </c>
      <c r="Q154" s="142">
        <v>0.62365590000000004</v>
      </c>
      <c r="R154" s="142">
        <v>0.5</v>
      </c>
      <c r="S154" s="142">
        <v>0.3</v>
      </c>
      <c r="T154" s="142">
        <v>0.76315789999999994</v>
      </c>
      <c r="U154" s="142">
        <v>0.40366970000000002</v>
      </c>
      <c r="V154" s="142">
        <v>0.4975</v>
      </c>
    </row>
    <row r="155" spans="1:22" ht="18.75" x14ac:dyDescent="0.25">
      <c r="A155" s="141" t="s">
        <v>775</v>
      </c>
      <c r="B155" s="141" t="s">
        <v>766</v>
      </c>
      <c r="C155" s="141">
        <v>2896</v>
      </c>
      <c r="D155" s="141" t="s">
        <v>728</v>
      </c>
      <c r="E155" s="141">
        <v>1</v>
      </c>
      <c r="F155" s="142">
        <v>0.19</v>
      </c>
      <c r="G155" s="141">
        <v>1</v>
      </c>
      <c r="H155" s="142">
        <v>0.38888889999999998</v>
      </c>
      <c r="I155" s="142">
        <v>0.8913044</v>
      </c>
      <c r="J155" s="142">
        <v>0.40500000000000003</v>
      </c>
      <c r="K155" s="155"/>
      <c r="L155" s="141" t="s">
        <v>775</v>
      </c>
      <c r="M155" s="141" t="s">
        <v>766</v>
      </c>
      <c r="N155" s="141">
        <v>2896</v>
      </c>
      <c r="O155" s="141" t="s">
        <v>728</v>
      </c>
      <c r="P155" s="141">
        <v>4</v>
      </c>
      <c r="Q155" s="142">
        <v>0.73033709999999996</v>
      </c>
      <c r="R155" s="142">
        <v>0.42268040000000001</v>
      </c>
      <c r="S155" s="142">
        <v>0.8</v>
      </c>
      <c r="T155" s="142">
        <v>0.5</v>
      </c>
      <c r="U155" s="142">
        <v>0.25</v>
      </c>
      <c r="V155" s="142">
        <v>0.51749999999999996</v>
      </c>
    </row>
    <row r="156" spans="1:22" ht="18.75" x14ac:dyDescent="0.25">
      <c r="A156" s="141" t="s">
        <v>775</v>
      </c>
      <c r="B156" s="141" t="s">
        <v>766</v>
      </c>
      <c r="C156" s="141">
        <v>3637</v>
      </c>
      <c r="D156" s="141" t="s">
        <v>680</v>
      </c>
      <c r="E156" s="141">
        <v>1</v>
      </c>
      <c r="F156" s="142">
        <v>0.47</v>
      </c>
      <c r="G156" s="141">
        <v>1</v>
      </c>
      <c r="H156" s="142">
        <v>0.44444440000000002</v>
      </c>
      <c r="I156" s="142">
        <v>0.6086956</v>
      </c>
      <c r="J156" s="142">
        <v>0.495</v>
      </c>
      <c r="K156" s="155"/>
      <c r="L156" s="141" t="s">
        <v>775</v>
      </c>
      <c r="M156" s="141" t="s">
        <v>766</v>
      </c>
      <c r="N156" s="141">
        <v>3637</v>
      </c>
      <c r="O156" s="141" t="s">
        <v>680</v>
      </c>
      <c r="P156" s="141">
        <v>4</v>
      </c>
      <c r="Q156" s="142">
        <v>0.49438199999999999</v>
      </c>
      <c r="R156" s="142">
        <v>0.21495330000000001</v>
      </c>
      <c r="S156" s="142">
        <v>0.3650794</v>
      </c>
      <c r="T156" s="142">
        <v>0.2</v>
      </c>
      <c r="U156" s="142">
        <v>0.28925620000000002</v>
      </c>
      <c r="V156" s="142">
        <v>0.32250000000000001</v>
      </c>
    </row>
    <row r="157" spans="1:22" ht="18.75" x14ac:dyDescent="0.25">
      <c r="A157" s="141" t="s">
        <v>775</v>
      </c>
      <c r="B157" s="141" t="s">
        <v>766</v>
      </c>
      <c r="C157" s="141">
        <v>4252</v>
      </c>
      <c r="D157" s="141" t="s">
        <v>680</v>
      </c>
      <c r="E157" s="141">
        <v>1</v>
      </c>
      <c r="F157" s="142">
        <v>0.25</v>
      </c>
      <c r="G157" s="141">
        <v>1</v>
      </c>
      <c r="H157" s="142">
        <v>0.55555560000000004</v>
      </c>
      <c r="I157" s="142">
        <v>0.42391299999999998</v>
      </c>
      <c r="J157" s="142">
        <v>0.3725</v>
      </c>
      <c r="K157" s="155"/>
      <c r="L157" s="141" t="s">
        <v>775</v>
      </c>
      <c r="M157" s="141" t="s">
        <v>766</v>
      </c>
      <c r="N157" s="141">
        <v>4252</v>
      </c>
      <c r="O157" s="141" t="s">
        <v>680</v>
      </c>
      <c r="P157" s="141">
        <v>4</v>
      </c>
      <c r="Q157" s="142">
        <v>0.26126129999999997</v>
      </c>
      <c r="R157" s="142">
        <v>0.17441860000000001</v>
      </c>
      <c r="S157" s="142">
        <v>0.1923077</v>
      </c>
      <c r="T157" s="142">
        <v>0</v>
      </c>
      <c r="U157" s="142">
        <v>3.6144599999999999E-2</v>
      </c>
      <c r="V157" s="142">
        <v>0.14249999999999999</v>
      </c>
    </row>
    <row r="158" spans="1:22" ht="18.75" x14ac:dyDescent="0.25">
      <c r="A158" s="141" t="s">
        <v>775</v>
      </c>
      <c r="B158" s="141" t="s">
        <v>766</v>
      </c>
      <c r="C158" s="141">
        <v>4644</v>
      </c>
      <c r="D158" s="141" t="s">
        <v>680</v>
      </c>
      <c r="E158" s="141">
        <v>1</v>
      </c>
      <c r="F158" s="142">
        <v>0.63</v>
      </c>
      <c r="G158" s="141">
        <v>1</v>
      </c>
      <c r="H158" s="142">
        <v>0.83333330000000005</v>
      </c>
      <c r="I158" s="142">
        <v>0.90217389999999997</v>
      </c>
      <c r="J158" s="142">
        <v>0.74750000000000005</v>
      </c>
      <c r="K158" s="155"/>
      <c r="L158" s="141" t="s">
        <v>775</v>
      </c>
      <c r="M158" s="141" t="s">
        <v>766</v>
      </c>
      <c r="N158" s="141">
        <v>4644</v>
      </c>
      <c r="O158" s="141" t="s">
        <v>680</v>
      </c>
      <c r="P158" s="141">
        <v>4</v>
      </c>
      <c r="Q158" s="142">
        <v>0.62765959999999998</v>
      </c>
      <c r="R158" s="142">
        <v>0.46788990000000003</v>
      </c>
      <c r="S158" s="142">
        <v>0.50909090000000001</v>
      </c>
      <c r="T158" s="142">
        <v>0.3333333</v>
      </c>
      <c r="U158" s="142">
        <v>0.4274194</v>
      </c>
      <c r="V158" s="142">
        <v>0.49249999999999999</v>
      </c>
    </row>
    <row r="159" spans="1:22" ht="18.75" x14ac:dyDescent="0.25">
      <c r="A159" s="141" t="s">
        <v>775</v>
      </c>
      <c r="B159" s="141" t="s">
        <v>766</v>
      </c>
      <c r="C159" s="141">
        <v>4645</v>
      </c>
      <c r="D159" s="141" t="s">
        <v>680</v>
      </c>
      <c r="E159" s="141">
        <v>1</v>
      </c>
      <c r="F159" s="142">
        <v>0.46</v>
      </c>
      <c r="G159" s="141">
        <v>1</v>
      </c>
      <c r="H159" s="142">
        <v>0.94444439999999996</v>
      </c>
      <c r="I159" s="142">
        <v>0.69565220000000005</v>
      </c>
      <c r="J159" s="142">
        <v>0.64500000000000002</v>
      </c>
      <c r="K159" s="155"/>
      <c r="L159" s="141" t="s">
        <v>775</v>
      </c>
      <c r="M159" s="141" t="s">
        <v>766</v>
      </c>
      <c r="N159" s="141">
        <v>4645</v>
      </c>
      <c r="O159" s="141" t="s">
        <v>680</v>
      </c>
      <c r="P159" s="141">
        <v>4</v>
      </c>
      <c r="Q159" s="142">
        <v>0.61797749999999996</v>
      </c>
      <c r="R159" s="142">
        <v>0.45360820000000002</v>
      </c>
      <c r="S159" s="142">
        <v>0.38333329999999999</v>
      </c>
      <c r="T159" s="142">
        <v>0.37931029999999999</v>
      </c>
      <c r="U159" s="142">
        <v>0.3645833</v>
      </c>
      <c r="V159" s="142">
        <v>0.44750000000000001</v>
      </c>
    </row>
    <row r="160" spans="1:22" ht="18.75" x14ac:dyDescent="0.25">
      <c r="A160" s="141" t="s">
        <v>775</v>
      </c>
      <c r="B160" s="141" t="s">
        <v>766</v>
      </c>
      <c r="C160" s="141">
        <v>4647</v>
      </c>
      <c r="D160" s="141" t="s">
        <v>680</v>
      </c>
      <c r="E160" s="141">
        <v>1</v>
      </c>
      <c r="F160" s="142">
        <v>0.55000000000000004</v>
      </c>
      <c r="G160" s="141">
        <v>1</v>
      </c>
      <c r="H160" s="142">
        <v>0.5</v>
      </c>
      <c r="I160" s="142">
        <v>0.58695649999999999</v>
      </c>
      <c r="J160" s="142">
        <v>0.54500000000000004</v>
      </c>
      <c r="K160" s="155"/>
      <c r="L160" s="141" t="s">
        <v>775</v>
      </c>
      <c r="M160" s="141" t="s">
        <v>766</v>
      </c>
      <c r="N160" s="141">
        <v>4647</v>
      </c>
      <c r="O160" s="141" t="s">
        <v>680</v>
      </c>
      <c r="P160" s="141">
        <v>4</v>
      </c>
      <c r="Q160" s="142">
        <v>0.17857139999999999</v>
      </c>
      <c r="R160" s="142">
        <v>4.1666700000000001E-2</v>
      </c>
      <c r="S160" s="142">
        <v>0.21276600000000001</v>
      </c>
      <c r="T160" s="142">
        <v>0</v>
      </c>
      <c r="U160" s="142">
        <v>0</v>
      </c>
      <c r="V160" s="142">
        <v>8.5000000000000006E-2</v>
      </c>
    </row>
    <row r="161" spans="1:22" ht="18.75" x14ac:dyDescent="0.25">
      <c r="A161" s="141" t="s">
        <v>775</v>
      </c>
      <c r="B161" s="141" t="s">
        <v>766</v>
      </c>
      <c r="C161" s="141">
        <v>4675</v>
      </c>
      <c r="D161" s="141" t="s">
        <v>680</v>
      </c>
      <c r="E161" s="141">
        <v>1</v>
      </c>
      <c r="F161" s="142">
        <v>0.64</v>
      </c>
      <c r="G161" s="141">
        <v>1</v>
      </c>
      <c r="H161" s="142">
        <v>0.77777779999999996</v>
      </c>
      <c r="I161" s="142">
        <v>0.63043479999999996</v>
      </c>
      <c r="J161" s="142">
        <v>0.67500000000000004</v>
      </c>
      <c r="K161" s="155"/>
      <c r="L161" s="141" t="s">
        <v>775</v>
      </c>
      <c r="M161" s="141" t="s">
        <v>766</v>
      </c>
      <c r="N161" s="141">
        <v>4675</v>
      </c>
      <c r="O161" s="141" t="s">
        <v>680</v>
      </c>
      <c r="P161" s="141">
        <v>4</v>
      </c>
      <c r="Q161" s="142">
        <v>0.49099100000000001</v>
      </c>
      <c r="R161" s="142">
        <v>0.40229880000000001</v>
      </c>
      <c r="S161" s="142">
        <v>0.23076920000000001</v>
      </c>
      <c r="T161" s="142">
        <v>0.1176471</v>
      </c>
      <c r="U161" s="142">
        <v>8.5365899999999995E-2</v>
      </c>
      <c r="V161" s="142">
        <v>0.29125000000000001</v>
      </c>
    </row>
    <row r="162" spans="1:22" ht="18.75" x14ac:dyDescent="0.25">
      <c r="A162" s="141" t="s">
        <v>775</v>
      </c>
      <c r="B162" s="141" t="s">
        <v>766</v>
      </c>
      <c r="C162" s="141">
        <v>4728</v>
      </c>
      <c r="D162" s="141" t="s">
        <v>680</v>
      </c>
      <c r="E162" s="141">
        <v>1</v>
      </c>
      <c r="F162" s="142">
        <v>0.45</v>
      </c>
      <c r="G162" s="141">
        <v>1</v>
      </c>
      <c r="H162" s="142">
        <v>0.55555560000000004</v>
      </c>
      <c r="I162" s="142">
        <v>0.4456522</v>
      </c>
      <c r="J162" s="142">
        <v>0.47749999999999998</v>
      </c>
      <c r="K162" s="155"/>
      <c r="L162" s="141" t="s">
        <v>775</v>
      </c>
      <c r="M162" s="141" t="s">
        <v>766</v>
      </c>
      <c r="N162" s="141">
        <v>4728</v>
      </c>
      <c r="O162" s="141" t="s">
        <v>680</v>
      </c>
      <c r="P162" s="141">
        <v>4</v>
      </c>
      <c r="Q162" s="142">
        <v>0.70535709999999996</v>
      </c>
      <c r="R162" s="142">
        <v>0.39423079999999999</v>
      </c>
      <c r="S162" s="142">
        <v>0.69090910000000005</v>
      </c>
      <c r="T162" s="142">
        <v>0.1111111</v>
      </c>
      <c r="U162" s="142">
        <v>0.27927930000000001</v>
      </c>
      <c r="V162" s="142">
        <v>0.47749999999999998</v>
      </c>
    </row>
    <row r="163" spans="1:22" ht="18.75" x14ac:dyDescent="0.25">
      <c r="A163" s="141" t="s">
        <v>775</v>
      </c>
      <c r="B163" s="141" t="s">
        <v>766</v>
      </c>
      <c r="C163" s="141">
        <v>4731</v>
      </c>
      <c r="D163" s="141" t="s">
        <v>680</v>
      </c>
      <c r="E163" s="141">
        <v>1</v>
      </c>
      <c r="F163" s="142">
        <v>0.45</v>
      </c>
      <c r="G163" s="141">
        <v>1</v>
      </c>
      <c r="H163" s="142">
        <v>0.83333330000000005</v>
      </c>
      <c r="I163" s="142">
        <v>0.72826089999999999</v>
      </c>
      <c r="J163" s="142">
        <v>0.61750000000000005</v>
      </c>
      <c r="K163" s="155"/>
      <c r="L163" s="141" t="s">
        <v>775</v>
      </c>
      <c r="M163" s="141" t="s">
        <v>766</v>
      </c>
      <c r="N163" s="141">
        <v>4731</v>
      </c>
      <c r="O163" s="141" t="s">
        <v>680</v>
      </c>
      <c r="P163" s="141">
        <v>4</v>
      </c>
      <c r="Q163" s="142">
        <v>0.20720720000000001</v>
      </c>
      <c r="R163" s="142">
        <v>7.2164900000000004E-2</v>
      </c>
      <c r="S163" s="142">
        <v>0.18181820000000001</v>
      </c>
      <c r="T163" s="142">
        <v>0</v>
      </c>
      <c r="U163" s="142">
        <v>6.5420599999999995E-2</v>
      </c>
      <c r="V163" s="142">
        <v>0.11749999999999999</v>
      </c>
    </row>
    <row r="164" spans="1:22" ht="18.75" x14ac:dyDescent="0.25">
      <c r="A164" s="141" t="s">
        <v>775</v>
      </c>
      <c r="B164" s="141" t="s">
        <v>766</v>
      </c>
      <c r="C164" s="141">
        <v>10312</v>
      </c>
      <c r="D164" s="141" t="s">
        <v>728</v>
      </c>
      <c r="E164" s="141">
        <v>1</v>
      </c>
      <c r="F164" s="142">
        <v>0.62</v>
      </c>
      <c r="G164" s="141">
        <v>1</v>
      </c>
      <c r="H164" s="142">
        <v>0.1666667</v>
      </c>
      <c r="I164" s="142">
        <v>0.52173910000000001</v>
      </c>
      <c r="J164" s="142">
        <v>0.47499999999999998</v>
      </c>
      <c r="K164" s="155"/>
      <c r="L164" s="141" t="s">
        <v>775</v>
      </c>
      <c r="M164" s="141" t="s">
        <v>766</v>
      </c>
      <c r="N164" s="141">
        <v>10312</v>
      </c>
      <c r="O164" s="141" t="s">
        <v>728</v>
      </c>
      <c r="P164" s="141">
        <v>4</v>
      </c>
      <c r="Q164" s="142">
        <v>0.48648649999999999</v>
      </c>
      <c r="R164" s="142">
        <v>0.15238099999999999</v>
      </c>
      <c r="S164" s="142">
        <v>0.44444440000000002</v>
      </c>
      <c r="T164" s="142"/>
      <c r="U164" s="142">
        <v>0.37190079999999998</v>
      </c>
      <c r="V164" s="142">
        <v>0.35749999999999998</v>
      </c>
    </row>
    <row r="165" spans="1:22" ht="18.75" x14ac:dyDescent="0.25">
      <c r="A165" s="141" t="s">
        <v>775</v>
      </c>
      <c r="B165" s="141" t="s">
        <v>766</v>
      </c>
      <c r="C165" s="141">
        <v>10318</v>
      </c>
      <c r="D165" s="141" t="s">
        <v>728</v>
      </c>
      <c r="E165" s="141">
        <v>1</v>
      </c>
      <c r="F165" s="142">
        <v>0.28999999999999998</v>
      </c>
      <c r="G165" s="141">
        <v>1</v>
      </c>
      <c r="H165" s="142">
        <v>0.66666669999999995</v>
      </c>
      <c r="I165" s="142">
        <v>0.56521739999999998</v>
      </c>
      <c r="J165" s="142">
        <v>0.45500000000000002</v>
      </c>
      <c r="K165" s="155"/>
      <c r="L165" s="141" t="s">
        <v>775</v>
      </c>
      <c r="M165" s="141" t="s">
        <v>766</v>
      </c>
      <c r="N165" s="141">
        <v>10318</v>
      </c>
      <c r="O165" s="141" t="s">
        <v>728</v>
      </c>
      <c r="P165" s="141">
        <v>4</v>
      </c>
      <c r="Q165" s="142">
        <v>0.17647060000000001</v>
      </c>
      <c r="R165" s="142">
        <v>0.26966289999999998</v>
      </c>
      <c r="S165" s="142">
        <v>0.4166667</v>
      </c>
      <c r="T165" s="142">
        <v>5.1724100000000002E-2</v>
      </c>
      <c r="U165" s="142">
        <v>3.125E-2</v>
      </c>
      <c r="V165" s="142">
        <v>0.1875</v>
      </c>
    </row>
    <row r="166" spans="1:22" ht="18.75" x14ac:dyDescent="0.25">
      <c r="A166" s="141" t="s">
        <v>775</v>
      </c>
      <c r="B166" s="141" t="s">
        <v>766</v>
      </c>
      <c r="C166" s="141">
        <v>10320</v>
      </c>
      <c r="D166" s="141" t="s">
        <v>728</v>
      </c>
      <c r="E166" s="141">
        <v>1</v>
      </c>
      <c r="F166" s="142">
        <v>0.49</v>
      </c>
      <c r="G166" s="141">
        <v>1</v>
      </c>
      <c r="H166" s="142">
        <v>0.61111110000000002</v>
      </c>
      <c r="I166" s="142">
        <v>0.53260870000000005</v>
      </c>
      <c r="J166" s="142">
        <v>0.53249999999999997</v>
      </c>
      <c r="K166" s="155"/>
      <c r="L166" s="141" t="s">
        <v>775</v>
      </c>
      <c r="M166" s="141" t="s">
        <v>766</v>
      </c>
      <c r="N166" s="141">
        <v>10320</v>
      </c>
      <c r="O166" s="141" t="s">
        <v>728</v>
      </c>
      <c r="P166" s="141">
        <v>4</v>
      </c>
      <c r="Q166" s="142">
        <v>0.3984375</v>
      </c>
      <c r="R166" s="142">
        <v>0.30487809999999999</v>
      </c>
      <c r="S166" s="142">
        <v>0.58333330000000005</v>
      </c>
      <c r="T166" s="142">
        <v>0.4</v>
      </c>
      <c r="U166" s="142">
        <v>0.42499999999999999</v>
      </c>
      <c r="V166" s="142">
        <v>0.41249999999999998</v>
      </c>
    </row>
    <row r="167" spans="1:22" ht="18.75" x14ac:dyDescent="0.25">
      <c r="A167" s="141" t="s">
        <v>776</v>
      </c>
      <c r="B167" s="141" t="s">
        <v>777</v>
      </c>
      <c r="C167" s="141">
        <v>1590</v>
      </c>
      <c r="D167" s="141" t="s">
        <v>729</v>
      </c>
      <c r="E167" s="141">
        <v>1</v>
      </c>
      <c r="F167" s="142">
        <v>0.67</v>
      </c>
      <c r="G167" s="141">
        <v>1</v>
      </c>
      <c r="H167" s="142">
        <v>1</v>
      </c>
      <c r="I167" s="142">
        <v>0.54347829999999997</v>
      </c>
      <c r="J167" s="142">
        <v>0.73</v>
      </c>
      <c r="K167" s="155"/>
      <c r="L167" s="141" t="s">
        <v>776</v>
      </c>
      <c r="M167" s="141" t="s">
        <v>777</v>
      </c>
      <c r="N167" s="141">
        <v>1590</v>
      </c>
      <c r="O167" s="141" t="s">
        <v>729</v>
      </c>
      <c r="P167" s="141">
        <v>4</v>
      </c>
      <c r="Q167" s="142">
        <v>0.89024389999999998</v>
      </c>
      <c r="R167" s="142">
        <v>0.85416669999999995</v>
      </c>
      <c r="S167" s="142">
        <v>1</v>
      </c>
      <c r="T167" s="142">
        <v>0.75862070000000004</v>
      </c>
      <c r="U167" s="142">
        <v>0.7525773</v>
      </c>
      <c r="V167" s="142">
        <v>0.84750000000000003</v>
      </c>
    </row>
    <row r="168" spans="1:22" ht="18.75" x14ac:dyDescent="0.25">
      <c r="A168" s="141" t="s">
        <v>776</v>
      </c>
      <c r="B168" s="141" t="s">
        <v>777</v>
      </c>
      <c r="C168" s="141">
        <v>1591</v>
      </c>
      <c r="D168" s="141" t="s">
        <v>727</v>
      </c>
      <c r="E168" s="141">
        <v>1</v>
      </c>
      <c r="F168" s="142">
        <v>0.61</v>
      </c>
      <c r="G168" s="141">
        <v>1</v>
      </c>
      <c r="H168" s="142">
        <v>1</v>
      </c>
      <c r="I168" s="142">
        <v>0.57608689999999996</v>
      </c>
      <c r="J168" s="142">
        <v>0.70750000000000002</v>
      </c>
      <c r="K168" s="155"/>
      <c r="L168" s="141" t="s">
        <v>776</v>
      </c>
      <c r="M168" s="141" t="s">
        <v>777</v>
      </c>
      <c r="N168" s="141">
        <v>1591</v>
      </c>
      <c r="O168" s="141" t="s">
        <v>727</v>
      </c>
      <c r="P168" s="141">
        <v>4</v>
      </c>
      <c r="Q168" s="142">
        <v>0.84313729999999998</v>
      </c>
      <c r="R168" s="142">
        <v>0.92941180000000001</v>
      </c>
      <c r="S168" s="142">
        <v>1</v>
      </c>
      <c r="T168" s="142">
        <v>0.6</v>
      </c>
      <c r="U168" s="142">
        <v>0.95698919999999998</v>
      </c>
      <c r="V168" s="142">
        <v>0.89500000000000002</v>
      </c>
    </row>
    <row r="169" spans="1:22" ht="18.75" x14ac:dyDescent="0.25">
      <c r="A169" s="141" t="s">
        <v>776</v>
      </c>
      <c r="B169" s="141" t="s">
        <v>777</v>
      </c>
      <c r="C169" s="141">
        <v>1945</v>
      </c>
      <c r="D169" s="141" t="s">
        <v>728</v>
      </c>
      <c r="E169" s="141">
        <v>1</v>
      </c>
      <c r="F169" s="142">
        <v>0.66</v>
      </c>
      <c r="G169" s="141">
        <v>1</v>
      </c>
      <c r="H169" s="142">
        <v>1</v>
      </c>
      <c r="I169" s="142">
        <v>0.54347829999999997</v>
      </c>
      <c r="J169" s="142">
        <v>0.72499999999999998</v>
      </c>
      <c r="K169" s="155"/>
      <c r="L169" s="141" t="s">
        <v>776</v>
      </c>
      <c r="M169" s="141" t="s">
        <v>777</v>
      </c>
      <c r="N169" s="141">
        <v>1945</v>
      </c>
      <c r="O169" s="141" t="s">
        <v>728</v>
      </c>
      <c r="P169" s="141">
        <v>4</v>
      </c>
      <c r="Q169" s="142">
        <v>0.81176470000000001</v>
      </c>
      <c r="R169" s="142">
        <v>0.53333339999999996</v>
      </c>
      <c r="S169" s="142">
        <v>0.86111110000000002</v>
      </c>
      <c r="T169" s="142">
        <v>0.39655170000000001</v>
      </c>
      <c r="U169" s="142">
        <v>0.30526320000000001</v>
      </c>
      <c r="V169" s="142">
        <v>0.57750000000000001</v>
      </c>
    </row>
    <row r="170" spans="1:22" ht="18.75" x14ac:dyDescent="0.25">
      <c r="A170" s="141" t="s">
        <v>776</v>
      </c>
      <c r="B170" s="141" t="s">
        <v>777</v>
      </c>
      <c r="C170" s="141">
        <v>2492</v>
      </c>
      <c r="D170" s="141" t="s">
        <v>728</v>
      </c>
      <c r="E170" s="141">
        <v>1</v>
      </c>
      <c r="F170" s="142">
        <v>0.56000000000000005</v>
      </c>
      <c r="G170" s="141">
        <v>1</v>
      </c>
      <c r="H170" s="142">
        <v>1</v>
      </c>
      <c r="I170" s="142">
        <v>0.54347829999999997</v>
      </c>
      <c r="J170" s="142">
        <v>0.67500000000000004</v>
      </c>
      <c r="K170" s="155"/>
      <c r="L170" s="141" t="s">
        <v>776</v>
      </c>
      <c r="M170" s="141" t="s">
        <v>777</v>
      </c>
      <c r="N170" s="141">
        <v>2492</v>
      </c>
      <c r="O170" s="141" t="s">
        <v>728</v>
      </c>
      <c r="P170" s="141">
        <v>4</v>
      </c>
      <c r="Q170" s="142">
        <v>0.75</v>
      </c>
      <c r="R170" s="142">
        <v>0.56521739999999998</v>
      </c>
      <c r="S170" s="142">
        <v>0.66176469999999998</v>
      </c>
      <c r="T170" s="142">
        <v>0.55000000000000004</v>
      </c>
      <c r="U170" s="142">
        <v>0.34042549999999999</v>
      </c>
      <c r="V170" s="142">
        <v>0.57625000000000004</v>
      </c>
    </row>
    <row r="171" spans="1:22" ht="18.75" x14ac:dyDescent="0.25">
      <c r="A171" s="141" t="s">
        <v>776</v>
      </c>
      <c r="B171" s="141" t="s">
        <v>777</v>
      </c>
      <c r="C171" s="141">
        <v>2708</v>
      </c>
      <c r="D171" s="141" t="s">
        <v>680</v>
      </c>
      <c r="E171" s="141">
        <v>1</v>
      </c>
      <c r="F171" s="142">
        <v>0.54</v>
      </c>
      <c r="G171" s="141">
        <v>1</v>
      </c>
      <c r="H171" s="142">
        <v>1</v>
      </c>
      <c r="I171" s="142">
        <v>0.57608689999999996</v>
      </c>
      <c r="J171" s="142">
        <v>0.67249999999999999</v>
      </c>
      <c r="K171" s="155"/>
      <c r="L171" s="141" t="s">
        <v>776</v>
      </c>
      <c r="M171" s="141" t="s">
        <v>777</v>
      </c>
      <c r="N171" s="141">
        <v>2708</v>
      </c>
      <c r="O171" s="141" t="s">
        <v>680</v>
      </c>
      <c r="P171" s="141">
        <v>4</v>
      </c>
      <c r="Q171" s="142">
        <v>0.77160499999999999</v>
      </c>
      <c r="R171" s="142">
        <v>0.62068959999999995</v>
      </c>
      <c r="S171" s="142">
        <v>0.86111110000000002</v>
      </c>
      <c r="T171" s="142">
        <v>0.42307689999999998</v>
      </c>
      <c r="U171" s="142">
        <v>0.48780489999999999</v>
      </c>
      <c r="V171" s="142">
        <v>0.62875000000000003</v>
      </c>
    </row>
    <row r="172" spans="1:22" ht="18.75" x14ac:dyDescent="0.25">
      <c r="A172" s="141" t="s">
        <v>776</v>
      </c>
      <c r="B172" s="141" t="s">
        <v>777</v>
      </c>
      <c r="C172" s="141">
        <v>2709</v>
      </c>
      <c r="D172" s="141" t="s">
        <v>680</v>
      </c>
      <c r="E172" s="141">
        <v>1</v>
      </c>
      <c r="F172" s="142">
        <v>0.59</v>
      </c>
      <c r="G172" s="141">
        <v>1</v>
      </c>
      <c r="H172" s="142">
        <v>0.83333330000000005</v>
      </c>
      <c r="I172" s="142">
        <v>0.93478260000000002</v>
      </c>
      <c r="J172" s="142">
        <v>0.73499999999999999</v>
      </c>
      <c r="K172" s="155"/>
      <c r="L172" s="141" t="s">
        <v>776</v>
      </c>
      <c r="M172" s="141" t="s">
        <v>777</v>
      </c>
      <c r="N172" s="141">
        <v>2709</v>
      </c>
      <c r="O172" s="141" t="s">
        <v>680</v>
      </c>
      <c r="P172" s="141">
        <v>4</v>
      </c>
      <c r="Q172" s="142">
        <v>0.82432430000000001</v>
      </c>
      <c r="R172" s="142">
        <v>0.83139529999999995</v>
      </c>
      <c r="S172" s="142">
        <v>1</v>
      </c>
      <c r="T172" s="142">
        <v>0.77941179999999999</v>
      </c>
      <c r="U172" s="142">
        <v>0.51807230000000004</v>
      </c>
      <c r="V172" s="142">
        <v>0.77749999999999997</v>
      </c>
    </row>
    <row r="173" spans="1:22" ht="18.75" x14ac:dyDescent="0.25">
      <c r="A173" s="141" t="s">
        <v>776</v>
      </c>
      <c r="B173" s="141" t="s">
        <v>777</v>
      </c>
      <c r="C173" s="141">
        <v>2759</v>
      </c>
      <c r="D173" s="141" t="s">
        <v>728</v>
      </c>
      <c r="E173" s="141">
        <v>1</v>
      </c>
      <c r="F173" s="142">
        <v>0.68</v>
      </c>
      <c r="G173" s="141">
        <v>1</v>
      </c>
      <c r="H173" s="142">
        <v>0.88888889999999998</v>
      </c>
      <c r="I173" s="142">
        <v>0.54347829999999997</v>
      </c>
      <c r="J173" s="142">
        <v>0.70499999999999996</v>
      </c>
      <c r="K173" s="155"/>
      <c r="L173" s="141" t="s">
        <v>776</v>
      </c>
      <c r="M173" s="141" t="s">
        <v>777</v>
      </c>
      <c r="N173" s="141">
        <v>2759</v>
      </c>
      <c r="O173" s="141" t="s">
        <v>728</v>
      </c>
      <c r="P173" s="141">
        <v>4</v>
      </c>
      <c r="Q173" s="142">
        <v>0.80246910000000005</v>
      </c>
      <c r="R173" s="142">
        <v>0.65517239999999999</v>
      </c>
      <c r="S173" s="142">
        <v>0.86111110000000002</v>
      </c>
      <c r="T173" s="142">
        <v>0.73076920000000001</v>
      </c>
      <c r="U173" s="142">
        <v>0.60975610000000002</v>
      </c>
      <c r="V173" s="142">
        <v>0.72750000000000004</v>
      </c>
    </row>
    <row r="174" spans="1:22" ht="18.75" x14ac:dyDescent="0.25">
      <c r="A174" s="141" t="s">
        <v>776</v>
      </c>
      <c r="B174" s="141" t="s">
        <v>777</v>
      </c>
      <c r="C174" s="141">
        <v>3094</v>
      </c>
      <c r="D174" s="141" t="s">
        <v>680</v>
      </c>
      <c r="E174" s="141">
        <v>1</v>
      </c>
      <c r="F174" s="142">
        <v>0.69</v>
      </c>
      <c r="G174" s="141">
        <v>1</v>
      </c>
      <c r="H174" s="142">
        <v>1</v>
      </c>
      <c r="I174" s="142">
        <v>0.54347829999999997</v>
      </c>
      <c r="J174" s="142">
        <v>0.74</v>
      </c>
      <c r="K174" s="155"/>
      <c r="L174" s="141" t="s">
        <v>776</v>
      </c>
      <c r="M174" s="141" t="s">
        <v>777</v>
      </c>
      <c r="N174" s="141">
        <v>3094</v>
      </c>
      <c r="O174" s="141" t="s">
        <v>680</v>
      </c>
      <c r="P174" s="141">
        <v>4</v>
      </c>
      <c r="Q174" s="142">
        <v>0.92857140000000005</v>
      </c>
      <c r="R174" s="142">
        <v>0.94791669999999995</v>
      </c>
      <c r="S174" s="142">
        <v>1</v>
      </c>
      <c r="T174" s="142">
        <v>0.60416669999999995</v>
      </c>
      <c r="U174" s="142">
        <v>0.89690720000000002</v>
      </c>
      <c r="V174" s="142">
        <v>0.89375000000000004</v>
      </c>
    </row>
    <row r="175" spans="1:22" ht="18.75" x14ac:dyDescent="0.25">
      <c r="A175" s="141" t="s">
        <v>776</v>
      </c>
      <c r="B175" s="141" t="s">
        <v>777</v>
      </c>
      <c r="C175" s="141">
        <v>3172</v>
      </c>
      <c r="D175" s="141" t="s">
        <v>680</v>
      </c>
      <c r="E175" s="141">
        <v>1</v>
      </c>
      <c r="F175" s="142">
        <v>0.55000000000000004</v>
      </c>
      <c r="G175" s="141">
        <v>1</v>
      </c>
      <c r="H175" s="142">
        <v>0.88888889999999998</v>
      </c>
      <c r="I175" s="142">
        <v>0.54347829999999997</v>
      </c>
      <c r="J175" s="142">
        <v>0.64</v>
      </c>
      <c r="K175" s="155"/>
      <c r="L175" s="141" t="s">
        <v>776</v>
      </c>
      <c r="M175" s="141" t="s">
        <v>777</v>
      </c>
      <c r="N175" s="141">
        <v>3172</v>
      </c>
      <c r="O175" s="141" t="s">
        <v>680</v>
      </c>
      <c r="P175" s="141">
        <v>4</v>
      </c>
      <c r="Q175" s="142">
        <v>0.97391300000000003</v>
      </c>
      <c r="R175" s="142">
        <v>0.82022470000000003</v>
      </c>
      <c r="S175" s="142">
        <v>1</v>
      </c>
      <c r="T175" s="142">
        <v>0.60416669999999995</v>
      </c>
      <c r="U175" s="142">
        <v>0.8125</v>
      </c>
      <c r="V175" s="142">
        <v>0.86</v>
      </c>
    </row>
    <row r="176" spans="1:22" ht="18.75" x14ac:dyDescent="0.25">
      <c r="A176" s="141" t="s">
        <v>776</v>
      </c>
      <c r="B176" s="141" t="s">
        <v>777</v>
      </c>
      <c r="C176" s="141">
        <v>3941</v>
      </c>
      <c r="D176" s="141" t="s">
        <v>680</v>
      </c>
      <c r="E176" s="141">
        <v>1</v>
      </c>
      <c r="F176" s="142">
        <v>0.51</v>
      </c>
      <c r="G176" s="141">
        <v>1</v>
      </c>
      <c r="H176" s="142">
        <v>0.88888889999999998</v>
      </c>
      <c r="I176" s="142">
        <v>0.51086960000000003</v>
      </c>
      <c r="J176" s="142">
        <v>0.61250000000000004</v>
      </c>
      <c r="K176" s="155"/>
      <c r="L176" s="141" t="s">
        <v>776</v>
      </c>
      <c r="M176" s="141" t="s">
        <v>777</v>
      </c>
      <c r="N176" s="141">
        <v>3941</v>
      </c>
      <c r="O176" s="141" t="s">
        <v>680</v>
      </c>
      <c r="P176" s="141">
        <v>4</v>
      </c>
      <c r="Q176" s="142">
        <v>0.60227269999999999</v>
      </c>
      <c r="R176" s="142">
        <v>0.62244900000000003</v>
      </c>
      <c r="S176" s="142">
        <v>0.55882350000000003</v>
      </c>
      <c r="T176" s="142">
        <v>0.82499999999999996</v>
      </c>
      <c r="U176" s="142">
        <v>0.46226420000000001</v>
      </c>
      <c r="V176" s="142">
        <v>0.58499999999999996</v>
      </c>
    </row>
    <row r="177" spans="1:22" ht="18.75" x14ac:dyDescent="0.25">
      <c r="A177" s="141" t="s">
        <v>776</v>
      </c>
      <c r="B177" s="141" t="s">
        <v>777</v>
      </c>
      <c r="C177" s="141">
        <v>3944</v>
      </c>
      <c r="D177" s="141" t="s">
        <v>680</v>
      </c>
      <c r="E177" s="141">
        <v>1</v>
      </c>
      <c r="F177" s="142">
        <v>0.44</v>
      </c>
      <c r="G177" s="141">
        <v>1</v>
      </c>
      <c r="H177" s="142">
        <v>0.66666669999999995</v>
      </c>
      <c r="I177" s="142">
        <v>0.53260870000000005</v>
      </c>
      <c r="J177" s="142">
        <v>0.52249999999999996</v>
      </c>
      <c r="K177" s="155"/>
      <c r="L177" s="141" t="s">
        <v>776</v>
      </c>
      <c r="M177" s="141" t="s">
        <v>777</v>
      </c>
      <c r="N177" s="141">
        <v>3944</v>
      </c>
      <c r="O177" s="141" t="s">
        <v>680</v>
      </c>
      <c r="P177" s="141">
        <v>4</v>
      </c>
      <c r="Q177" s="142">
        <v>0.65853660000000003</v>
      </c>
      <c r="R177" s="142">
        <v>0.556701</v>
      </c>
      <c r="S177" s="142">
        <v>0.8208955</v>
      </c>
      <c r="T177" s="142">
        <v>0.56896550000000001</v>
      </c>
      <c r="U177" s="142">
        <v>0.46875</v>
      </c>
      <c r="V177" s="142">
        <v>0.60250000000000004</v>
      </c>
    </row>
    <row r="178" spans="1:22" ht="18.75" x14ac:dyDescent="0.25">
      <c r="A178" s="141" t="s">
        <v>778</v>
      </c>
      <c r="B178" s="141" t="s">
        <v>766</v>
      </c>
      <c r="C178" s="141">
        <v>501</v>
      </c>
      <c r="D178" s="141" t="s">
        <v>728</v>
      </c>
      <c r="E178" s="141">
        <v>1</v>
      </c>
      <c r="F178" s="142">
        <v>0.46</v>
      </c>
      <c r="G178" s="141">
        <v>1</v>
      </c>
      <c r="H178" s="142">
        <v>0.72222220000000004</v>
      </c>
      <c r="I178" s="142">
        <v>0.68478260000000002</v>
      </c>
      <c r="J178" s="142">
        <v>0.58250000000000002</v>
      </c>
      <c r="K178" s="155"/>
      <c r="L178" s="141" t="s">
        <v>778</v>
      </c>
      <c r="M178" s="141" t="s">
        <v>766</v>
      </c>
      <c r="N178" s="141">
        <v>501</v>
      </c>
      <c r="O178" s="141" t="s">
        <v>728</v>
      </c>
      <c r="P178" s="141">
        <v>4</v>
      </c>
      <c r="Q178" s="142">
        <v>0.86875000000000002</v>
      </c>
      <c r="R178" s="142">
        <v>0.68965520000000002</v>
      </c>
      <c r="S178" s="142">
        <v>1</v>
      </c>
      <c r="T178" s="142">
        <v>0.7</v>
      </c>
      <c r="U178" s="142">
        <v>0.40860210000000002</v>
      </c>
      <c r="V178" s="142">
        <v>0.72375</v>
      </c>
    </row>
    <row r="179" spans="1:22" ht="18.75" x14ac:dyDescent="0.25">
      <c r="A179" s="141" t="s">
        <v>778</v>
      </c>
      <c r="B179" s="141" t="s">
        <v>766</v>
      </c>
      <c r="C179" s="141">
        <v>1155</v>
      </c>
      <c r="D179" s="141" t="s">
        <v>727</v>
      </c>
      <c r="E179" s="141">
        <v>1</v>
      </c>
      <c r="F179" s="142">
        <v>0.47</v>
      </c>
      <c r="G179" s="141">
        <v>1</v>
      </c>
      <c r="H179" s="142">
        <v>0.77777779999999996</v>
      </c>
      <c r="I179" s="142">
        <v>0.68478260000000002</v>
      </c>
      <c r="J179" s="142">
        <v>0.60250000000000004</v>
      </c>
      <c r="K179" s="155"/>
      <c r="L179" s="141" t="s">
        <v>778</v>
      </c>
      <c r="M179" s="141" t="s">
        <v>766</v>
      </c>
      <c r="N179" s="141">
        <v>1155</v>
      </c>
      <c r="O179" s="141" t="s">
        <v>727</v>
      </c>
      <c r="P179" s="141">
        <v>4</v>
      </c>
      <c r="Q179" s="142">
        <v>0.72093019999999997</v>
      </c>
      <c r="R179" s="142">
        <v>0.55555560000000004</v>
      </c>
      <c r="S179" s="142">
        <v>0.97014929999999999</v>
      </c>
      <c r="T179" s="142">
        <v>0.68421050000000005</v>
      </c>
      <c r="U179" s="142">
        <v>0.39090910000000001</v>
      </c>
      <c r="V179" s="142">
        <v>0.62749999999999995</v>
      </c>
    </row>
    <row r="180" spans="1:22" ht="18.75" x14ac:dyDescent="0.25">
      <c r="A180" s="141" t="s">
        <v>778</v>
      </c>
      <c r="B180" s="141" t="s">
        <v>766</v>
      </c>
      <c r="C180" s="141">
        <v>1159</v>
      </c>
      <c r="D180" s="141" t="s">
        <v>729</v>
      </c>
      <c r="E180" s="141">
        <v>1</v>
      </c>
      <c r="F180" s="142">
        <v>0.52</v>
      </c>
      <c r="G180" s="141">
        <v>1</v>
      </c>
      <c r="H180" s="142">
        <v>0.83333330000000005</v>
      </c>
      <c r="I180" s="142">
        <v>0.79347829999999997</v>
      </c>
      <c r="J180" s="142">
        <v>0.66749999999999998</v>
      </c>
      <c r="K180" s="155"/>
      <c r="L180" s="141" t="s">
        <v>778</v>
      </c>
      <c r="M180" s="141" t="s">
        <v>766</v>
      </c>
      <c r="N180" s="141">
        <v>1159</v>
      </c>
      <c r="O180" s="141" t="s">
        <v>729</v>
      </c>
      <c r="P180" s="141">
        <v>4</v>
      </c>
      <c r="Q180" s="142">
        <v>0.73529409999999995</v>
      </c>
      <c r="R180" s="142">
        <v>0.59550559999999997</v>
      </c>
      <c r="S180" s="142">
        <v>1</v>
      </c>
      <c r="T180" s="142">
        <v>0.39655170000000001</v>
      </c>
      <c r="U180" s="142">
        <v>0.21875</v>
      </c>
      <c r="V180" s="142">
        <v>0.57874999999999999</v>
      </c>
    </row>
    <row r="181" spans="1:22" ht="18.75" x14ac:dyDescent="0.25">
      <c r="A181" s="141" t="s">
        <v>778</v>
      </c>
      <c r="B181" s="141" t="s">
        <v>766</v>
      </c>
      <c r="C181" s="141">
        <v>1935</v>
      </c>
      <c r="D181" s="141" t="s">
        <v>727</v>
      </c>
      <c r="E181" s="141">
        <v>1</v>
      </c>
      <c r="F181" s="142">
        <v>0.53</v>
      </c>
      <c r="G181" s="141">
        <v>1</v>
      </c>
      <c r="H181" s="142">
        <v>0.1111111</v>
      </c>
      <c r="I181" s="142">
        <v>0.4456522</v>
      </c>
      <c r="J181" s="142">
        <v>0.39750000000000002</v>
      </c>
      <c r="K181" s="155"/>
      <c r="L181" s="141" t="s">
        <v>778</v>
      </c>
      <c r="M181" s="141" t="s">
        <v>766</v>
      </c>
      <c r="N181" s="141">
        <v>1935</v>
      </c>
      <c r="O181" s="141" t="s">
        <v>727</v>
      </c>
      <c r="P181" s="141">
        <v>4</v>
      </c>
      <c r="Q181" s="142">
        <v>0.59459459999999997</v>
      </c>
      <c r="R181" s="142">
        <v>0.41052630000000001</v>
      </c>
      <c r="S181" s="142">
        <v>0.53333339999999996</v>
      </c>
      <c r="T181" s="142">
        <v>0.1052632</v>
      </c>
      <c r="U181" s="142">
        <v>0.1770833</v>
      </c>
      <c r="V181" s="142">
        <v>0.39500000000000002</v>
      </c>
    </row>
    <row r="182" spans="1:22" ht="18.75" x14ac:dyDescent="0.25">
      <c r="A182" s="141" t="s">
        <v>778</v>
      </c>
      <c r="B182" s="141" t="s">
        <v>766</v>
      </c>
      <c r="C182" s="141">
        <v>1936</v>
      </c>
      <c r="D182" s="141" t="s">
        <v>728</v>
      </c>
      <c r="E182" s="141">
        <v>1</v>
      </c>
      <c r="F182" s="142">
        <v>0.54</v>
      </c>
      <c r="G182" s="141">
        <v>1</v>
      </c>
      <c r="H182" s="142">
        <v>1</v>
      </c>
      <c r="I182" s="142">
        <v>0.54347829999999997</v>
      </c>
      <c r="J182" s="142">
        <v>0.66500000000000004</v>
      </c>
      <c r="K182" s="155"/>
      <c r="L182" s="141" t="s">
        <v>778</v>
      </c>
      <c r="M182" s="141" t="s">
        <v>766</v>
      </c>
      <c r="N182" s="141">
        <v>1936</v>
      </c>
      <c r="O182" s="141" t="s">
        <v>728</v>
      </c>
      <c r="P182" s="141">
        <v>4</v>
      </c>
      <c r="Q182" s="142">
        <v>0.625</v>
      </c>
      <c r="R182" s="142">
        <v>0.3608247</v>
      </c>
      <c r="S182" s="142">
        <v>0.48529410000000001</v>
      </c>
      <c r="T182" s="142">
        <v>0.15</v>
      </c>
      <c r="U182" s="142">
        <v>0.27102799999999999</v>
      </c>
      <c r="V182" s="142">
        <v>0.39500000000000002</v>
      </c>
    </row>
    <row r="183" spans="1:22" ht="18.75" x14ac:dyDescent="0.25">
      <c r="A183" s="141" t="s">
        <v>778</v>
      </c>
      <c r="B183" s="141" t="s">
        <v>766</v>
      </c>
      <c r="C183" s="141">
        <v>1953</v>
      </c>
      <c r="D183" s="141" t="s">
        <v>728</v>
      </c>
      <c r="E183" s="141">
        <v>1</v>
      </c>
      <c r="F183" s="142">
        <v>0.61</v>
      </c>
      <c r="G183" s="141">
        <v>1</v>
      </c>
      <c r="H183" s="142">
        <v>0.77777779999999996</v>
      </c>
      <c r="I183" s="142">
        <v>0.72826089999999999</v>
      </c>
      <c r="J183" s="142">
        <v>0.6825</v>
      </c>
      <c r="K183" s="155"/>
      <c r="L183" s="141" t="s">
        <v>778</v>
      </c>
      <c r="M183" s="141" t="s">
        <v>766</v>
      </c>
      <c r="N183" s="141">
        <v>1953</v>
      </c>
      <c r="O183" s="141" t="s">
        <v>728</v>
      </c>
      <c r="P183" s="141">
        <v>4</v>
      </c>
      <c r="Q183" s="142">
        <v>0.91489359999999997</v>
      </c>
      <c r="R183" s="142">
        <v>0.85321100000000005</v>
      </c>
      <c r="S183" s="142">
        <v>1</v>
      </c>
      <c r="T183" s="142">
        <v>0.77777779999999996</v>
      </c>
      <c r="U183" s="142">
        <v>0.59677420000000003</v>
      </c>
      <c r="V183" s="142">
        <v>0.80500000000000005</v>
      </c>
    </row>
    <row r="184" spans="1:22" ht="18.75" x14ac:dyDescent="0.25">
      <c r="A184" s="141" t="s">
        <v>778</v>
      </c>
      <c r="B184" s="141" t="s">
        <v>766</v>
      </c>
      <c r="C184" s="141">
        <v>2000</v>
      </c>
      <c r="D184" s="141" t="s">
        <v>728</v>
      </c>
      <c r="E184" s="141">
        <v>1</v>
      </c>
      <c r="F184" s="142">
        <v>0.56999999999999995</v>
      </c>
      <c r="G184" s="141">
        <v>1</v>
      </c>
      <c r="H184" s="142">
        <v>0.88888889999999998</v>
      </c>
      <c r="I184" s="142">
        <v>0.43478260000000002</v>
      </c>
      <c r="J184" s="142">
        <v>0.625</v>
      </c>
      <c r="K184" s="155"/>
      <c r="L184" s="141" t="s">
        <v>778</v>
      </c>
      <c r="M184" s="141" t="s">
        <v>766</v>
      </c>
      <c r="N184" s="141">
        <v>2000</v>
      </c>
      <c r="O184" s="141" t="s">
        <v>728</v>
      </c>
      <c r="P184" s="141">
        <v>4</v>
      </c>
      <c r="Q184" s="142">
        <v>0.60215059999999998</v>
      </c>
      <c r="R184" s="142">
        <v>0.51</v>
      </c>
      <c r="S184" s="142">
        <v>0.83333330000000005</v>
      </c>
      <c r="T184" s="142">
        <v>0.2105263</v>
      </c>
      <c r="U184" s="142">
        <v>0.43119269999999998</v>
      </c>
      <c r="V184" s="142">
        <v>0.53</v>
      </c>
    </row>
    <row r="185" spans="1:22" ht="18.75" x14ac:dyDescent="0.25">
      <c r="A185" s="141" t="s">
        <v>778</v>
      </c>
      <c r="B185" s="141" t="s">
        <v>766</v>
      </c>
      <c r="C185" s="141">
        <v>2648</v>
      </c>
      <c r="D185" s="141" t="s">
        <v>680</v>
      </c>
      <c r="E185" s="141">
        <v>1</v>
      </c>
      <c r="F185" s="142">
        <v>0.57999999999999996</v>
      </c>
      <c r="G185" s="141">
        <v>1</v>
      </c>
      <c r="H185" s="142">
        <v>0.61111110000000002</v>
      </c>
      <c r="I185" s="142">
        <v>0.47826089999999999</v>
      </c>
      <c r="J185" s="142">
        <v>0.56499999999999995</v>
      </c>
      <c r="K185" s="155"/>
      <c r="L185" s="141" t="s">
        <v>778</v>
      </c>
      <c r="M185" s="141" t="s">
        <v>766</v>
      </c>
      <c r="N185" s="141">
        <v>2648</v>
      </c>
      <c r="O185" s="141" t="s">
        <v>680</v>
      </c>
      <c r="P185" s="141">
        <v>4</v>
      </c>
      <c r="Q185" s="142">
        <v>0.22608700000000001</v>
      </c>
      <c r="R185" s="142">
        <v>0.14606739999999999</v>
      </c>
      <c r="S185" s="142">
        <v>0.3846154</v>
      </c>
      <c r="T185" s="142">
        <v>8.3333299999999999E-2</v>
      </c>
      <c r="U185" s="142">
        <v>0.1145833</v>
      </c>
      <c r="V185" s="142">
        <v>0.185</v>
      </c>
    </row>
    <row r="186" spans="1:22" ht="18.75" x14ac:dyDescent="0.25">
      <c r="A186" s="141" t="s">
        <v>778</v>
      </c>
      <c r="B186" s="141" t="s">
        <v>766</v>
      </c>
      <c r="C186" s="141">
        <v>2649</v>
      </c>
      <c r="D186" s="141" t="s">
        <v>680</v>
      </c>
      <c r="E186" s="141">
        <v>1</v>
      </c>
      <c r="F186" s="142">
        <v>0.57999999999999996</v>
      </c>
      <c r="G186" s="141">
        <v>1</v>
      </c>
      <c r="H186" s="142">
        <v>0.83333330000000005</v>
      </c>
      <c r="I186" s="142">
        <v>0.68478260000000002</v>
      </c>
      <c r="J186" s="142">
        <v>0.67249999999999999</v>
      </c>
      <c r="K186" s="155"/>
      <c r="L186" s="141" t="s">
        <v>778</v>
      </c>
      <c r="M186" s="141" t="s">
        <v>766</v>
      </c>
      <c r="N186" s="141">
        <v>2649</v>
      </c>
      <c r="O186" s="141" t="s">
        <v>680</v>
      </c>
      <c r="P186" s="141">
        <v>4</v>
      </c>
      <c r="Q186" s="142">
        <v>0.75</v>
      </c>
      <c r="R186" s="142">
        <v>0.56976740000000003</v>
      </c>
      <c r="S186" s="142">
        <v>1</v>
      </c>
      <c r="T186" s="142">
        <v>0.46666669999999999</v>
      </c>
      <c r="U186" s="142">
        <v>0.59782610000000003</v>
      </c>
      <c r="V186" s="142">
        <v>0.6925</v>
      </c>
    </row>
    <row r="187" spans="1:22" ht="18.75" x14ac:dyDescent="0.25">
      <c r="A187" s="141" t="s">
        <v>778</v>
      </c>
      <c r="B187" s="141" t="s">
        <v>766</v>
      </c>
      <c r="C187" s="141">
        <v>2949</v>
      </c>
      <c r="D187" s="141" t="s">
        <v>680</v>
      </c>
      <c r="E187" s="141">
        <v>1</v>
      </c>
      <c r="F187" s="142">
        <v>0.47</v>
      </c>
      <c r="G187" s="141">
        <v>1</v>
      </c>
      <c r="H187" s="142">
        <v>0.3333333</v>
      </c>
      <c r="I187" s="142">
        <v>0.54347829999999997</v>
      </c>
      <c r="J187" s="142">
        <v>0.45</v>
      </c>
      <c r="K187" s="155"/>
      <c r="L187" s="141" t="s">
        <v>778</v>
      </c>
      <c r="M187" s="141" t="s">
        <v>766</v>
      </c>
      <c r="N187" s="141">
        <v>2949</v>
      </c>
      <c r="O187" s="141" t="s">
        <v>680</v>
      </c>
      <c r="P187" s="141">
        <v>4</v>
      </c>
      <c r="Q187" s="142">
        <v>0.43534479999999998</v>
      </c>
      <c r="R187" s="142">
        <v>0.27272730000000001</v>
      </c>
      <c r="S187" s="142">
        <v>0.78723410000000005</v>
      </c>
      <c r="T187" s="142">
        <v>0.2142857</v>
      </c>
      <c r="U187" s="142">
        <v>0.28181820000000002</v>
      </c>
      <c r="V187" s="142">
        <v>0.37874999999999998</v>
      </c>
    </row>
    <row r="188" spans="1:22" ht="18.75" x14ac:dyDescent="0.25">
      <c r="A188" s="141" t="s">
        <v>778</v>
      </c>
      <c r="B188" s="141" t="s">
        <v>766</v>
      </c>
      <c r="C188" s="141">
        <v>3966</v>
      </c>
      <c r="D188" s="141" t="s">
        <v>680</v>
      </c>
      <c r="E188" s="141">
        <v>1</v>
      </c>
      <c r="F188" s="142">
        <v>0.43</v>
      </c>
      <c r="G188" s="141">
        <v>1</v>
      </c>
      <c r="H188" s="142">
        <v>0.72222220000000004</v>
      </c>
      <c r="I188" s="142">
        <v>0.55434779999999995</v>
      </c>
      <c r="J188" s="142">
        <v>0.53749999999999998</v>
      </c>
      <c r="K188" s="155"/>
      <c r="L188" s="141" t="s">
        <v>778</v>
      </c>
      <c r="M188" s="141" t="s">
        <v>766</v>
      </c>
      <c r="N188" s="141">
        <v>3966</v>
      </c>
      <c r="O188" s="141" t="s">
        <v>680</v>
      </c>
      <c r="P188" s="141">
        <v>4</v>
      </c>
      <c r="Q188" s="142">
        <v>0.73529409999999995</v>
      </c>
      <c r="R188" s="142">
        <v>0.70588240000000002</v>
      </c>
      <c r="S188" s="142">
        <v>0.625</v>
      </c>
      <c r="T188" s="142">
        <v>0.7</v>
      </c>
      <c r="U188" s="142">
        <v>0.23655909999999999</v>
      </c>
      <c r="V188" s="142">
        <v>0.58750000000000002</v>
      </c>
    </row>
    <row r="189" spans="1:22" ht="18.75" x14ac:dyDescent="0.25">
      <c r="A189" s="141" t="s">
        <v>779</v>
      </c>
      <c r="B189" s="141" t="s">
        <v>780</v>
      </c>
      <c r="C189" s="141">
        <v>227</v>
      </c>
      <c r="D189" s="141" t="s">
        <v>727</v>
      </c>
      <c r="E189" s="141">
        <v>1</v>
      </c>
      <c r="F189" s="142">
        <v>0.62</v>
      </c>
      <c r="G189" s="141">
        <v>1</v>
      </c>
      <c r="H189" s="142">
        <v>0.94444439999999996</v>
      </c>
      <c r="I189" s="142">
        <v>0.96739129999999995</v>
      </c>
      <c r="J189" s="142">
        <v>0.78749999999999998</v>
      </c>
      <c r="K189" s="155"/>
      <c r="L189" s="141" t="s">
        <v>779</v>
      </c>
      <c r="M189" s="141" t="s">
        <v>780</v>
      </c>
      <c r="N189" s="141">
        <v>227</v>
      </c>
      <c r="O189" s="141" t="s">
        <v>727</v>
      </c>
      <c r="P189" s="141">
        <v>4</v>
      </c>
      <c r="Q189" s="142">
        <v>0.7156863</v>
      </c>
      <c r="R189" s="142">
        <v>0.67441859999999998</v>
      </c>
      <c r="S189" s="142">
        <v>1</v>
      </c>
      <c r="T189" s="142">
        <v>0.8</v>
      </c>
      <c r="U189" s="142">
        <v>0.61956520000000004</v>
      </c>
      <c r="V189" s="142">
        <v>0.75</v>
      </c>
    </row>
    <row r="190" spans="1:22" ht="18.75" x14ac:dyDescent="0.25">
      <c r="A190" s="141" t="s">
        <v>779</v>
      </c>
      <c r="B190" s="141" t="s">
        <v>780</v>
      </c>
      <c r="C190" s="141">
        <v>229</v>
      </c>
      <c r="D190" s="141" t="s">
        <v>728</v>
      </c>
      <c r="E190" s="141">
        <v>1</v>
      </c>
      <c r="F190" s="142">
        <v>0.46</v>
      </c>
      <c r="G190" s="141">
        <v>1</v>
      </c>
      <c r="H190" s="142">
        <v>0.83333330000000005</v>
      </c>
      <c r="I190" s="142">
        <v>0.79347829999999997</v>
      </c>
      <c r="J190" s="142">
        <v>0.63749999999999996</v>
      </c>
      <c r="K190" s="155"/>
      <c r="L190" s="141" t="s">
        <v>779</v>
      </c>
      <c r="M190" s="141" t="s">
        <v>780</v>
      </c>
      <c r="N190" s="141">
        <v>229</v>
      </c>
      <c r="O190" s="141" t="s">
        <v>728</v>
      </c>
      <c r="P190" s="141">
        <v>4</v>
      </c>
      <c r="Q190" s="142">
        <v>0.56874999999999998</v>
      </c>
      <c r="R190" s="142">
        <v>0.26436779999999999</v>
      </c>
      <c r="S190" s="142">
        <v>0.6875</v>
      </c>
      <c r="T190" s="142">
        <v>0.38333329999999999</v>
      </c>
      <c r="U190" s="142">
        <v>0.30107529999999999</v>
      </c>
      <c r="V190" s="142">
        <v>0.43625000000000003</v>
      </c>
    </row>
    <row r="191" spans="1:22" ht="18.75" x14ac:dyDescent="0.25">
      <c r="A191" s="141" t="s">
        <v>779</v>
      </c>
      <c r="B191" s="141" t="s">
        <v>780</v>
      </c>
      <c r="C191" s="141">
        <v>238</v>
      </c>
      <c r="D191" s="141" t="s">
        <v>729</v>
      </c>
      <c r="E191" s="141">
        <v>1</v>
      </c>
      <c r="F191" s="142">
        <v>0.1</v>
      </c>
      <c r="G191" s="141">
        <v>1</v>
      </c>
      <c r="H191" s="142">
        <v>0.88888889999999998</v>
      </c>
      <c r="I191" s="142">
        <v>0.5</v>
      </c>
      <c r="J191" s="142">
        <v>0.40500000000000003</v>
      </c>
      <c r="K191" s="155"/>
      <c r="L191" s="141" t="s">
        <v>779</v>
      </c>
      <c r="M191" s="141" t="s">
        <v>780</v>
      </c>
      <c r="N191" s="141">
        <v>238</v>
      </c>
      <c r="O191" s="141" t="s">
        <v>729</v>
      </c>
      <c r="P191" s="141">
        <v>4</v>
      </c>
      <c r="Q191" s="142">
        <v>0.57317070000000003</v>
      </c>
      <c r="R191" s="142">
        <v>0.48453610000000003</v>
      </c>
      <c r="S191" s="142">
        <v>0.44776120000000003</v>
      </c>
      <c r="T191" s="142">
        <v>0.41379310000000002</v>
      </c>
      <c r="U191" s="142">
        <v>0.3541667</v>
      </c>
      <c r="V191" s="142">
        <v>0.45500000000000002</v>
      </c>
    </row>
    <row r="192" spans="1:22" ht="18.75" x14ac:dyDescent="0.25">
      <c r="A192" s="141" t="s">
        <v>779</v>
      </c>
      <c r="B192" s="141" t="s">
        <v>780</v>
      </c>
      <c r="C192" s="141">
        <v>1523</v>
      </c>
      <c r="D192" s="141" t="s">
        <v>728</v>
      </c>
      <c r="E192" s="141">
        <v>1</v>
      </c>
      <c r="F192" s="142">
        <v>0.69</v>
      </c>
      <c r="G192" s="141">
        <v>1</v>
      </c>
      <c r="H192" s="142">
        <v>0.66666669999999995</v>
      </c>
      <c r="I192" s="142">
        <v>0.92391310000000004</v>
      </c>
      <c r="J192" s="142">
        <v>0.73750000000000004</v>
      </c>
      <c r="K192" s="155"/>
      <c r="L192" s="141" t="s">
        <v>779</v>
      </c>
      <c r="M192" s="141" t="s">
        <v>780</v>
      </c>
      <c r="N192" s="141">
        <v>1523</v>
      </c>
      <c r="O192" s="141" t="s">
        <v>728</v>
      </c>
      <c r="P192" s="141">
        <v>4</v>
      </c>
      <c r="Q192" s="142">
        <v>0.77450980000000003</v>
      </c>
      <c r="R192" s="142">
        <v>0.83720930000000005</v>
      </c>
      <c r="S192" s="142">
        <v>0.875</v>
      </c>
      <c r="T192" s="142">
        <v>1</v>
      </c>
      <c r="U192" s="142">
        <v>0.71739129999999995</v>
      </c>
      <c r="V192" s="142">
        <v>0.8175</v>
      </c>
    </row>
    <row r="193" spans="1:22" ht="18.75" x14ac:dyDescent="0.25">
      <c r="A193" s="141" t="s">
        <v>779</v>
      </c>
      <c r="B193" s="141" t="s">
        <v>780</v>
      </c>
      <c r="C193" s="141">
        <v>1876</v>
      </c>
      <c r="D193" s="141" t="s">
        <v>728</v>
      </c>
      <c r="E193" s="141">
        <v>1</v>
      </c>
      <c r="F193" s="142">
        <v>0.6</v>
      </c>
      <c r="G193" s="141">
        <v>1</v>
      </c>
      <c r="H193" s="142">
        <v>0.94444439999999996</v>
      </c>
      <c r="I193" s="142">
        <v>1</v>
      </c>
      <c r="J193" s="142">
        <v>0.78500000000000003</v>
      </c>
      <c r="K193" s="155"/>
      <c r="L193" s="141" t="s">
        <v>779</v>
      </c>
      <c r="M193" s="141" t="s">
        <v>780</v>
      </c>
      <c r="N193" s="141">
        <v>1876</v>
      </c>
      <c r="O193" s="141" t="s">
        <v>728</v>
      </c>
      <c r="P193" s="141">
        <v>4</v>
      </c>
      <c r="Q193" s="142">
        <v>0.47499999999999998</v>
      </c>
      <c r="R193" s="142">
        <v>0.69318179999999996</v>
      </c>
      <c r="S193" s="142">
        <v>0.8125</v>
      </c>
      <c r="T193" s="142">
        <v>0.63333329999999999</v>
      </c>
      <c r="U193" s="142">
        <v>0.26086959999999998</v>
      </c>
      <c r="V193" s="142">
        <v>0.56499999999999995</v>
      </c>
    </row>
    <row r="194" spans="1:22" ht="18.75" x14ac:dyDescent="0.25">
      <c r="A194" s="141" t="s">
        <v>779</v>
      </c>
      <c r="B194" s="141" t="s">
        <v>780</v>
      </c>
      <c r="C194" s="141">
        <v>2074</v>
      </c>
      <c r="D194" s="141" t="s">
        <v>728</v>
      </c>
      <c r="E194" s="141">
        <v>1</v>
      </c>
      <c r="F194" s="142">
        <v>0.57999999999999996</v>
      </c>
      <c r="G194" s="141">
        <v>1</v>
      </c>
      <c r="H194" s="142">
        <v>1</v>
      </c>
      <c r="I194" s="142">
        <v>0.86956520000000004</v>
      </c>
      <c r="J194" s="142">
        <v>0.76</v>
      </c>
      <c r="K194" s="155"/>
      <c r="L194" s="141" t="s">
        <v>779</v>
      </c>
      <c r="M194" s="141" t="s">
        <v>780</v>
      </c>
      <c r="N194" s="141">
        <v>2074</v>
      </c>
      <c r="O194" s="141" t="s">
        <v>728</v>
      </c>
      <c r="P194" s="141">
        <v>4</v>
      </c>
      <c r="Q194" s="142">
        <v>0.5514019</v>
      </c>
      <c r="R194" s="142">
        <v>0.36274509999999999</v>
      </c>
      <c r="S194" s="142">
        <v>0.52380959999999999</v>
      </c>
      <c r="T194" s="142">
        <v>0</v>
      </c>
      <c r="U194" s="142">
        <v>0.26851849999999999</v>
      </c>
      <c r="V194" s="142">
        <v>0.39500000000000002</v>
      </c>
    </row>
    <row r="195" spans="1:22" ht="18.75" x14ac:dyDescent="0.25">
      <c r="A195" s="141" t="s">
        <v>779</v>
      </c>
      <c r="B195" s="141" t="s">
        <v>780</v>
      </c>
      <c r="C195" s="141">
        <v>2111</v>
      </c>
      <c r="D195" s="141" t="s">
        <v>728</v>
      </c>
      <c r="E195" s="141">
        <v>1</v>
      </c>
      <c r="F195" s="142">
        <v>0.35</v>
      </c>
      <c r="G195" s="141">
        <v>1</v>
      </c>
      <c r="H195" s="142">
        <v>0.83333330000000005</v>
      </c>
      <c r="I195" s="142">
        <v>0.75</v>
      </c>
      <c r="J195" s="142">
        <v>0.57250000000000001</v>
      </c>
      <c r="K195" s="155"/>
      <c r="L195" s="141" t="s">
        <v>779</v>
      </c>
      <c r="M195" s="141" t="s">
        <v>780</v>
      </c>
      <c r="N195" s="141">
        <v>2111</v>
      </c>
      <c r="O195" s="141" t="s">
        <v>728</v>
      </c>
      <c r="P195" s="141">
        <v>4</v>
      </c>
      <c r="Q195" s="142">
        <v>0.73863639999999997</v>
      </c>
      <c r="R195" s="142">
        <v>0.35882350000000002</v>
      </c>
      <c r="S195" s="142">
        <v>0.5</v>
      </c>
      <c r="T195" s="142">
        <v>0.3333333</v>
      </c>
      <c r="U195" s="142">
        <v>0.27956989999999998</v>
      </c>
      <c r="V195" s="142">
        <v>0.48499999999999999</v>
      </c>
    </row>
    <row r="196" spans="1:22" ht="18.75" x14ac:dyDescent="0.25">
      <c r="A196" s="141" t="s">
        <v>779</v>
      </c>
      <c r="B196" s="141" t="s">
        <v>780</v>
      </c>
      <c r="C196" s="141">
        <v>2576</v>
      </c>
      <c r="D196" s="141" t="s">
        <v>680</v>
      </c>
      <c r="E196" s="141">
        <v>1</v>
      </c>
      <c r="F196" s="142">
        <v>0.64</v>
      </c>
      <c r="G196" s="141">
        <v>1</v>
      </c>
      <c r="H196" s="142">
        <v>0.77777779999999996</v>
      </c>
      <c r="I196" s="142">
        <v>0.56521739999999998</v>
      </c>
      <c r="J196" s="142">
        <v>0.66</v>
      </c>
      <c r="K196" s="155"/>
      <c r="L196" s="141" t="s">
        <v>779</v>
      </c>
      <c r="M196" s="141" t="s">
        <v>780</v>
      </c>
      <c r="N196" s="141">
        <v>2576</v>
      </c>
      <c r="O196" s="141" t="s">
        <v>680</v>
      </c>
      <c r="P196" s="141">
        <v>4</v>
      </c>
      <c r="Q196" s="142">
        <v>0.58865250000000002</v>
      </c>
      <c r="R196" s="142">
        <v>0.5</v>
      </c>
      <c r="S196" s="142">
        <v>0</v>
      </c>
      <c r="T196" s="142">
        <v>7.1428599999999995E-2</v>
      </c>
      <c r="U196" s="142">
        <v>0.31958760000000003</v>
      </c>
      <c r="V196" s="142">
        <v>0.40749999999999997</v>
      </c>
    </row>
    <row r="197" spans="1:22" ht="18.75" x14ac:dyDescent="0.25">
      <c r="A197" s="141" t="s">
        <v>779</v>
      </c>
      <c r="B197" s="141" t="s">
        <v>780</v>
      </c>
      <c r="C197" s="141">
        <v>2577</v>
      </c>
      <c r="D197" s="141" t="s">
        <v>727</v>
      </c>
      <c r="E197" s="141">
        <v>1</v>
      </c>
      <c r="F197" s="142">
        <v>0.05</v>
      </c>
      <c r="G197" s="141">
        <v>1</v>
      </c>
      <c r="H197" s="142">
        <v>0.83333330000000005</v>
      </c>
      <c r="I197" s="142">
        <v>0.67391310000000004</v>
      </c>
      <c r="J197" s="142">
        <v>0.40500000000000003</v>
      </c>
      <c r="K197" s="155"/>
      <c r="L197" s="141" t="s">
        <v>779</v>
      </c>
      <c r="M197" s="141" t="s">
        <v>780</v>
      </c>
      <c r="N197" s="141">
        <v>2577</v>
      </c>
      <c r="O197" s="141" t="s">
        <v>727</v>
      </c>
      <c r="P197" s="141">
        <v>4</v>
      </c>
      <c r="Q197" s="142">
        <v>0.67901239999999996</v>
      </c>
      <c r="R197" s="142">
        <v>0.46511629999999998</v>
      </c>
      <c r="S197" s="142">
        <v>0.625</v>
      </c>
      <c r="T197" s="142">
        <v>0.1666667</v>
      </c>
      <c r="U197" s="142">
        <v>0.18072289999999999</v>
      </c>
      <c r="V197" s="142">
        <v>0.42</v>
      </c>
    </row>
    <row r="198" spans="1:22" ht="18.75" x14ac:dyDescent="0.25">
      <c r="A198" s="141" t="s">
        <v>779</v>
      </c>
      <c r="B198" s="141" t="s">
        <v>780</v>
      </c>
      <c r="C198" s="141">
        <v>3809</v>
      </c>
      <c r="D198" s="141" t="s">
        <v>680</v>
      </c>
      <c r="E198" s="141">
        <v>1</v>
      </c>
      <c r="F198" s="142">
        <v>0.52</v>
      </c>
      <c r="G198" s="141">
        <v>1</v>
      </c>
      <c r="H198" s="142">
        <v>0.94444439999999996</v>
      </c>
      <c r="I198" s="142">
        <v>0.86956520000000004</v>
      </c>
      <c r="J198" s="142">
        <v>0.71499999999999997</v>
      </c>
      <c r="K198" s="155"/>
      <c r="L198" s="141" t="s">
        <v>779</v>
      </c>
      <c r="M198" s="141" t="s">
        <v>780</v>
      </c>
      <c r="N198" s="141">
        <v>3809</v>
      </c>
      <c r="O198" s="141" t="s">
        <v>680</v>
      </c>
      <c r="P198" s="141">
        <v>4</v>
      </c>
      <c r="Q198" s="142">
        <v>0.71428570000000002</v>
      </c>
      <c r="R198" s="142">
        <v>0.34615390000000001</v>
      </c>
      <c r="S198" s="142">
        <v>0.9636363</v>
      </c>
      <c r="T198" s="142">
        <v>0.88888889999999998</v>
      </c>
      <c r="U198" s="142">
        <v>0.38738739999999999</v>
      </c>
      <c r="V198" s="142">
        <v>0.56999999999999995</v>
      </c>
    </row>
    <row r="199" spans="1:22" ht="18.75" x14ac:dyDescent="0.25">
      <c r="A199" s="141" t="s">
        <v>779</v>
      </c>
      <c r="B199" s="141" t="s">
        <v>780</v>
      </c>
      <c r="C199" s="141">
        <v>3810</v>
      </c>
      <c r="D199" s="141" t="s">
        <v>680</v>
      </c>
      <c r="E199" s="141">
        <v>1</v>
      </c>
      <c r="F199" s="142">
        <v>0.68</v>
      </c>
      <c r="G199" s="141">
        <v>1</v>
      </c>
      <c r="H199" s="142">
        <v>1</v>
      </c>
      <c r="I199" s="142">
        <v>0.65217389999999997</v>
      </c>
      <c r="J199" s="142">
        <v>0.76</v>
      </c>
      <c r="K199" s="155"/>
      <c r="L199" s="141" t="s">
        <v>779</v>
      </c>
      <c r="M199" s="141" t="s">
        <v>780</v>
      </c>
      <c r="N199" s="141">
        <v>3810</v>
      </c>
      <c r="O199" s="141" t="s">
        <v>680</v>
      </c>
      <c r="P199" s="141">
        <v>4</v>
      </c>
      <c r="Q199" s="142">
        <v>0.67307689999999998</v>
      </c>
      <c r="R199" s="142">
        <v>0.63157890000000005</v>
      </c>
      <c r="S199" s="142">
        <v>0.22388060000000001</v>
      </c>
      <c r="T199" s="142">
        <v>0.1842105</v>
      </c>
      <c r="U199" s="142">
        <v>0.2395833</v>
      </c>
      <c r="V199" s="142">
        <v>0.4375</v>
      </c>
    </row>
    <row r="200" spans="1:22" ht="18.75" x14ac:dyDescent="0.25">
      <c r="A200" s="141" t="s">
        <v>781</v>
      </c>
      <c r="B200" s="141" t="s">
        <v>782</v>
      </c>
      <c r="C200" s="141">
        <v>686</v>
      </c>
      <c r="D200" s="141" t="s">
        <v>731</v>
      </c>
      <c r="E200" s="141">
        <v>1</v>
      </c>
      <c r="F200" s="142">
        <v>0.41</v>
      </c>
      <c r="G200" s="141">
        <v>1</v>
      </c>
      <c r="H200" s="142">
        <v>0.83333330000000005</v>
      </c>
      <c r="I200" s="142">
        <v>0.54347829999999997</v>
      </c>
      <c r="J200" s="142">
        <v>0.55500000000000005</v>
      </c>
      <c r="K200" s="155"/>
      <c r="L200" s="141" t="s">
        <v>781</v>
      </c>
      <c r="M200" s="141" t="s">
        <v>782</v>
      </c>
      <c r="N200" s="141">
        <v>686</v>
      </c>
      <c r="O200" s="141" t="s">
        <v>731</v>
      </c>
      <c r="P200" s="141">
        <v>4</v>
      </c>
      <c r="Q200" s="142">
        <v>0.47674420000000001</v>
      </c>
      <c r="R200" s="142">
        <v>0.38383840000000002</v>
      </c>
      <c r="S200" s="142">
        <v>0.67164179999999996</v>
      </c>
      <c r="T200" s="142">
        <v>0.3157895</v>
      </c>
      <c r="U200" s="142">
        <v>0.29090909999999998</v>
      </c>
      <c r="V200" s="142">
        <v>0.42</v>
      </c>
    </row>
    <row r="201" spans="1:22" ht="18.75" x14ac:dyDescent="0.25">
      <c r="A201" s="141" t="s">
        <v>781</v>
      </c>
      <c r="B201" s="141" t="s">
        <v>782</v>
      </c>
      <c r="C201" s="141">
        <v>688</v>
      </c>
      <c r="D201" s="141" t="s">
        <v>728</v>
      </c>
      <c r="E201" s="141">
        <v>1</v>
      </c>
      <c r="F201" s="142">
        <v>0.45</v>
      </c>
      <c r="G201" s="141">
        <v>1</v>
      </c>
      <c r="H201" s="142">
        <v>0.72222220000000004</v>
      </c>
      <c r="I201" s="142">
        <v>0.53260870000000005</v>
      </c>
      <c r="J201" s="142">
        <v>0.54249999999999998</v>
      </c>
      <c r="K201" s="155"/>
      <c r="L201" s="141" t="s">
        <v>781</v>
      </c>
      <c r="M201" s="141" t="s">
        <v>782</v>
      </c>
      <c r="N201" s="141">
        <v>688</v>
      </c>
      <c r="O201" s="141" t="s">
        <v>728</v>
      </c>
      <c r="P201" s="141">
        <v>4</v>
      </c>
      <c r="Q201" s="142">
        <v>0.75892859999999995</v>
      </c>
      <c r="R201" s="142">
        <v>0.52884609999999999</v>
      </c>
      <c r="S201" s="142">
        <v>0.85454549999999996</v>
      </c>
      <c r="T201" s="142">
        <v>1</v>
      </c>
      <c r="U201" s="142">
        <v>0.74774770000000002</v>
      </c>
      <c r="V201" s="142">
        <v>0.72</v>
      </c>
    </row>
    <row r="202" spans="1:22" ht="18.75" x14ac:dyDescent="0.25">
      <c r="A202" s="141" t="s">
        <v>781</v>
      </c>
      <c r="B202" s="141" t="s">
        <v>782</v>
      </c>
      <c r="C202" s="141">
        <v>690</v>
      </c>
      <c r="D202" s="141" t="s">
        <v>728</v>
      </c>
      <c r="E202" s="141">
        <v>1</v>
      </c>
      <c r="F202" s="142">
        <v>0.56999999999999995</v>
      </c>
      <c r="G202" s="141">
        <v>1</v>
      </c>
      <c r="H202" s="142">
        <v>0.88888889999999998</v>
      </c>
      <c r="I202" s="142">
        <v>0.54347829999999997</v>
      </c>
      <c r="J202" s="142">
        <v>0.65</v>
      </c>
      <c r="K202" s="155"/>
      <c r="L202" s="141" t="s">
        <v>781</v>
      </c>
      <c r="M202" s="141" t="s">
        <v>782</v>
      </c>
      <c r="N202" s="141">
        <v>690</v>
      </c>
      <c r="O202" s="141" t="s">
        <v>728</v>
      </c>
      <c r="P202" s="141">
        <v>4</v>
      </c>
      <c r="Q202" s="142">
        <v>0.70089290000000004</v>
      </c>
      <c r="R202" s="142">
        <v>0.78125</v>
      </c>
      <c r="S202" s="142">
        <v>1</v>
      </c>
      <c r="T202" s="142">
        <v>0.8125</v>
      </c>
      <c r="U202" s="142">
        <v>0.443299</v>
      </c>
      <c r="V202" s="142">
        <v>0.70625000000000004</v>
      </c>
    </row>
    <row r="203" spans="1:22" ht="18.75" x14ac:dyDescent="0.25">
      <c r="A203" s="141" t="s">
        <v>781</v>
      </c>
      <c r="B203" s="141" t="s">
        <v>782</v>
      </c>
      <c r="C203" s="141">
        <v>1031</v>
      </c>
      <c r="D203" s="141" t="s">
        <v>727</v>
      </c>
      <c r="E203" s="141">
        <v>1</v>
      </c>
      <c r="F203" s="142">
        <v>0.42</v>
      </c>
      <c r="G203" s="141">
        <v>1</v>
      </c>
      <c r="H203" s="142">
        <v>0.72222220000000004</v>
      </c>
      <c r="I203" s="142">
        <v>0.47826089999999999</v>
      </c>
      <c r="J203" s="142">
        <v>0.51500000000000001</v>
      </c>
      <c r="K203" s="155"/>
      <c r="L203" s="141" t="s">
        <v>781</v>
      </c>
      <c r="M203" s="141" t="s">
        <v>782</v>
      </c>
      <c r="N203" s="141">
        <v>1031</v>
      </c>
      <c r="O203" s="141" t="s">
        <v>727</v>
      </c>
      <c r="P203" s="141">
        <v>4</v>
      </c>
      <c r="Q203" s="142">
        <v>0.75268820000000003</v>
      </c>
      <c r="R203" s="142">
        <v>0.61616159999999998</v>
      </c>
      <c r="S203" s="142">
        <v>0.66666669999999995</v>
      </c>
      <c r="T203" s="142">
        <v>0.8947368</v>
      </c>
      <c r="U203" s="142">
        <v>0.8818182</v>
      </c>
      <c r="V203" s="142">
        <v>0.755</v>
      </c>
    </row>
    <row r="204" spans="1:22" ht="18.75" x14ac:dyDescent="0.25">
      <c r="A204" s="141" t="s">
        <v>781</v>
      </c>
      <c r="B204" s="141" t="s">
        <v>782</v>
      </c>
      <c r="C204" s="141">
        <v>1967</v>
      </c>
      <c r="D204" s="141" t="s">
        <v>728</v>
      </c>
      <c r="E204" s="141">
        <v>1</v>
      </c>
      <c r="F204" s="142">
        <v>0.45</v>
      </c>
      <c r="G204" s="141">
        <v>1</v>
      </c>
      <c r="H204" s="142">
        <v>0.77777779999999996</v>
      </c>
      <c r="I204" s="142">
        <v>0.51086960000000003</v>
      </c>
      <c r="J204" s="142">
        <v>0.55249999999999999</v>
      </c>
      <c r="K204" s="155"/>
      <c r="L204" s="141" t="s">
        <v>781</v>
      </c>
      <c r="M204" s="141" t="s">
        <v>782</v>
      </c>
      <c r="N204" s="141">
        <v>1967</v>
      </c>
      <c r="O204" s="141" t="s">
        <v>728</v>
      </c>
      <c r="P204" s="141">
        <v>4</v>
      </c>
      <c r="Q204" s="142">
        <v>0.66666669999999995</v>
      </c>
      <c r="R204" s="142">
        <v>0.79569889999999999</v>
      </c>
      <c r="S204" s="142">
        <v>0.8</v>
      </c>
      <c r="T204" s="142">
        <v>0.57499999999999996</v>
      </c>
      <c r="U204" s="142">
        <v>0.59139779999999997</v>
      </c>
      <c r="V204" s="142">
        <v>0.69499999999999995</v>
      </c>
    </row>
    <row r="205" spans="1:22" ht="18.75" x14ac:dyDescent="0.25">
      <c r="A205" s="141" t="s">
        <v>781</v>
      </c>
      <c r="B205" s="141" t="s">
        <v>782</v>
      </c>
      <c r="C205" s="141">
        <v>1968</v>
      </c>
      <c r="D205" s="141" t="s">
        <v>727</v>
      </c>
      <c r="E205" s="141">
        <v>1</v>
      </c>
      <c r="F205" s="142">
        <v>0.5</v>
      </c>
      <c r="G205" s="141">
        <v>1</v>
      </c>
      <c r="H205" s="142">
        <v>0.83333330000000005</v>
      </c>
      <c r="I205" s="142">
        <v>0.47826089999999999</v>
      </c>
      <c r="J205" s="142">
        <v>0.58499999999999996</v>
      </c>
      <c r="K205" s="155"/>
      <c r="L205" s="141" t="s">
        <v>781</v>
      </c>
      <c r="M205" s="141" t="s">
        <v>782</v>
      </c>
      <c r="N205" s="141">
        <v>1968</v>
      </c>
      <c r="O205" s="141" t="s">
        <v>727</v>
      </c>
      <c r="P205" s="141">
        <v>4</v>
      </c>
      <c r="Q205" s="142">
        <v>0.71844660000000005</v>
      </c>
      <c r="R205" s="142">
        <v>0.70526310000000003</v>
      </c>
      <c r="S205" s="142">
        <v>0.8</v>
      </c>
      <c r="T205" s="142">
        <v>0.5</v>
      </c>
      <c r="U205" s="142">
        <v>0.51401870000000005</v>
      </c>
      <c r="V205" s="142">
        <v>0.66500000000000004</v>
      </c>
    </row>
    <row r="206" spans="1:22" ht="18.75" x14ac:dyDescent="0.25">
      <c r="A206" s="141" t="s">
        <v>781</v>
      </c>
      <c r="B206" s="141" t="s">
        <v>782</v>
      </c>
      <c r="C206" s="141">
        <v>2210</v>
      </c>
      <c r="D206" s="141" t="s">
        <v>680</v>
      </c>
      <c r="E206" s="141">
        <v>1</v>
      </c>
      <c r="F206" s="142">
        <v>0.64</v>
      </c>
      <c r="G206" s="141">
        <v>1</v>
      </c>
      <c r="H206" s="142">
        <v>0.66666669999999995</v>
      </c>
      <c r="I206" s="142">
        <v>0.56521739999999998</v>
      </c>
      <c r="J206" s="142">
        <v>0.63</v>
      </c>
      <c r="K206" s="155"/>
      <c r="L206" s="141" t="s">
        <v>781</v>
      </c>
      <c r="M206" s="141" t="s">
        <v>782</v>
      </c>
      <c r="N206" s="141">
        <v>2210</v>
      </c>
      <c r="O206" s="141" t="s">
        <v>680</v>
      </c>
      <c r="P206" s="141">
        <v>4</v>
      </c>
      <c r="Q206" s="142">
        <v>0.71717169999999997</v>
      </c>
      <c r="R206" s="142">
        <v>0.59139779999999997</v>
      </c>
      <c r="S206" s="142">
        <v>0.73333329999999997</v>
      </c>
      <c r="T206" s="142">
        <v>0.5</v>
      </c>
      <c r="U206" s="142">
        <v>0.36559140000000001</v>
      </c>
      <c r="V206" s="142">
        <v>0.58750000000000002</v>
      </c>
    </row>
    <row r="207" spans="1:22" ht="18.75" x14ac:dyDescent="0.25">
      <c r="A207" s="141" t="s">
        <v>781</v>
      </c>
      <c r="B207" s="141" t="s">
        <v>782</v>
      </c>
      <c r="C207" s="141">
        <v>2368</v>
      </c>
      <c r="D207" s="141" t="s">
        <v>680</v>
      </c>
      <c r="E207" s="141">
        <v>1</v>
      </c>
      <c r="F207" s="142">
        <v>0.66</v>
      </c>
      <c r="G207" s="141">
        <v>1</v>
      </c>
      <c r="H207" s="142">
        <v>0.88888889999999998</v>
      </c>
      <c r="I207" s="142">
        <v>0.71739129999999995</v>
      </c>
      <c r="J207" s="142">
        <v>0.73499999999999999</v>
      </c>
      <c r="K207" s="155"/>
      <c r="L207" s="141" t="s">
        <v>781</v>
      </c>
      <c r="M207" s="141" t="s">
        <v>782</v>
      </c>
      <c r="N207" s="141">
        <v>2368</v>
      </c>
      <c r="O207" s="141" t="s">
        <v>680</v>
      </c>
      <c r="P207" s="141">
        <v>4</v>
      </c>
      <c r="Q207" s="142">
        <v>0.60546880000000003</v>
      </c>
      <c r="R207" s="142">
        <v>0.51219510000000001</v>
      </c>
      <c r="S207" s="142">
        <v>0.91666669999999995</v>
      </c>
      <c r="T207" s="142">
        <v>0.2</v>
      </c>
      <c r="U207" s="142">
        <v>0.23749999999999999</v>
      </c>
      <c r="V207" s="142">
        <v>0.50875000000000004</v>
      </c>
    </row>
    <row r="208" spans="1:22" ht="18.75" x14ac:dyDescent="0.25">
      <c r="A208" s="141" t="s">
        <v>781</v>
      </c>
      <c r="B208" s="141" t="s">
        <v>782</v>
      </c>
      <c r="C208" s="141">
        <v>2795</v>
      </c>
      <c r="D208" s="141" t="s">
        <v>680</v>
      </c>
      <c r="E208" s="141">
        <v>1</v>
      </c>
      <c r="F208" s="142">
        <v>0.53</v>
      </c>
      <c r="G208" s="141">
        <v>1</v>
      </c>
      <c r="H208" s="142">
        <v>1</v>
      </c>
      <c r="I208" s="142">
        <v>0.53260870000000005</v>
      </c>
      <c r="J208" s="142">
        <v>0.65749999999999997</v>
      </c>
      <c r="K208" s="155"/>
      <c r="L208" s="141" t="s">
        <v>781</v>
      </c>
      <c r="M208" s="141" t="s">
        <v>782</v>
      </c>
      <c r="N208" s="141">
        <v>2795</v>
      </c>
      <c r="O208" s="141" t="s">
        <v>680</v>
      </c>
      <c r="P208" s="141">
        <v>4</v>
      </c>
      <c r="Q208" s="142">
        <v>0.59411760000000002</v>
      </c>
      <c r="R208" s="142">
        <v>0.31111109999999997</v>
      </c>
      <c r="S208" s="142">
        <v>0.4166667</v>
      </c>
      <c r="T208" s="142">
        <v>0.60344830000000005</v>
      </c>
      <c r="U208" s="142">
        <v>0.38947369999999998</v>
      </c>
      <c r="V208" s="142">
        <v>0.45124999999999998</v>
      </c>
    </row>
    <row r="209" spans="1:22" ht="18.75" x14ac:dyDescent="0.25">
      <c r="A209" s="141" t="s">
        <v>781</v>
      </c>
      <c r="B209" s="141" t="s">
        <v>782</v>
      </c>
      <c r="C209" s="141">
        <v>3868</v>
      </c>
      <c r="D209" s="141" t="s">
        <v>680</v>
      </c>
      <c r="E209" s="141">
        <v>1</v>
      </c>
      <c r="F209" s="142">
        <v>0.64</v>
      </c>
      <c r="G209" s="141">
        <v>1</v>
      </c>
      <c r="H209" s="142">
        <v>0.72222220000000004</v>
      </c>
      <c r="I209" s="142">
        <v>0.53260870000000005</v>
      </c>
      <c r="J209" s="142">
        <v>0.63749999999999996</v>
      </c>
      <c r="K209" s="155"/>
      <c r="L209" s="141" t="s">
        <v>781</v>
      </c>
      <c r="M209" s="141" t="s">
        <v>782</v>
      </c>
      <c r="N209" s="141">
        <v>3868</v>
      </c>
      <c r="O209" s="141" t="s">
        <v>680</v>
      </c>
      <c r="P209" s="141">
        <v>4</v>
      </c>
      <c r="Q209" s="142">
        <v>0.8681818</v>
      </c>
      <c r="R209" s="142">
        <v>0.64210529999999999</v>
      </c>
      <c r="S209" s="142">
        <v>0.55882350000000003</v>
      </c>
      <c r="T209" s="142">
        <v>0.65</v>
      </c>
      <c r="U209" s="142">
        <v>0.81308409999999998</v>
      </c>
      <c r="V209" s="142">
        <v>0.73624999999999996</v>
      </c>
    </row>
    <row r="210" spans="1:22" ht="18.75" x14ac:dyDescent="0.25">
      <c r="A210" s="141" t="s">
        <v>781</v>
      </c>
      <c r="B210" s="141" t="s">
        <v>782</v>
      </c>
      <c r="C210" s="141">
        <v>3869</v>
      </c>
      <c r="D210" s="141" t="s">
        <v>728</v>
      </c>
      <c r="E210" s="141">
        <v>2</v>
      </c>
      <c r="F210" s="142">
        <v>0.45500000000000002</v>
      </c>
      <c r="G210" s="141">
        <v>0</v>
      </c>
      <c r="H210" s="142"/>
      <c r="I210" s="142"/>
      <c r="J210" s="142">
        <v>0.45500000000000002</v>
      </c>
      <c r="K210" s="155"/>
      <c r="L210" s="141" t="s">
        <v>781</v>
      </c>
      <c r="M210" s="141" t="s">
        <v>782</v>
      </c>
      <c r="N210" s="141">
        <v>3869</v>
      </c>
      <c r="O210" s="141" t="s">
        <v>728</v>
      </c>
      <c r="P210" s="141">
        <v>4</v>
      </c>
      <c r="Q210" s="142">
        <v>0.6860465</v>
      </c>
      <c r="R210" s="142">
        <v>0.58585860000000001</v>
      </c>
      <c r="S210" s="142">
        <v>0.97014929999999999</v>
      </c>
      <c r="T210" s="142">
        <v>0.3157895</v>
      </c>
      <c r="U210" s="142">
        <v>0.3818182</v>
      </c>
      <c r="V210" s="142">
        <v>0.59</v>
      </c>
    </row>
    <row r="211" spans="1:22" ht="18.75" x14ac:dyDescent="0.25">
      <c r="A211" s="141" t="s">
        <v>783</v>
      </c>
      <c r="B211" s="141" t="s">
        <v>772</v>
      </c>
      <c r="C211" s="141">
        <v>1578</v>
      </c>
      <c r="D211" s="141" t="s">
        <v>727</v>
      </c>
      <c r="E211" s="141">
        <v>1</v>
      </c>
      <c r="F211" s="142">
        <v>0.51</v>
      </c>
      <c r="G211" s="141">
        <v>1</v>
      </c>
      <c r="H211" s="142">
        <v>0.5</v>
      </c>
      <c r="I211" s="142">
        <v>0.48913040000000002</v>
      </c>
      <c r="J211" s="142">
        <v>0.50249999999999995</v>
      </c>
      <c r="K211" s="155"/>
      <c r="L211" s="141" t="s">
        <v>783</v>
      </c>
      <c r="M211" s="141" t="s">
        <v>772</v>
      </c>
      <c r="N211" s="141">
        <v>1578</v>
      </c>
      <c r="O211" s="141" t="s">
        <v>727</v>
      </c>
      <c r="P211" s="141">
        <v>4</v>
      </c>
      <c r="Q211" s="142">
        <v>0.50446429999999998</v>
      </c>
      <c r="R211" s="142">
        <v>0.54166669999999995</v>
      </c>
      <c r="S211" s="142">
        <v>0.89361699999999999</v>
      </c>
      <c r="T211" s="142">
        <v>0.52083330000000005</v>
      </c>
      <c r="U211" s="142">
        <v>0.35051549999999998</v>
      </c>
      <c r="V211" s="142">
        <v>0.52375000000000005</v>
      </c>
    </row>
    <row r="212" spans="1:22" ht="18.75" x14ac:dyDescent="0.25">
      <c r="A212" s="141" t="s">
        <v>783</v>
      </c>
      <c r="B212" s="141" t="s">
        <v>772</v>
      </c>
      <c r="C212" s="141">
        <v>2077</v>
      </c>
      <c r="D212" s="141" t="s">
        <v>728</v>
      </c>
      <c r="E212" s="141">
        <v>1</v>
      </c>
      <c r="F212" s="142">
        <v>0.7</v>
      </c>
      <c r="G212" s="141">
        <v>1</v>
      </c>
      <c r="H212" s="142">
        <v>0.61111110000000002</v>
      </c>
      <c r="I212" s="142">
        <v>0.52173910000000001</v>
      </c>
      <c r="J212" s="142">
        <v>0.63500000000000001</v>
      </c>
      <c r="K212" s="155"/>
      <c r="L212" s="141" t="s">
        <v>783</v>
      </c>
      <c r="M212" s="141" t="s">
        <v>772</v>
      </c>
      <c r="N212" s="141">
        <v>2077</v>
      </c>
      <c r="O212" s="141" t="s">
        <v>728</v>
      </c>
      <c r="P212" s="141">
        <v>4</v>
      </c>
      <c r="Q212" s="142">
        <v>0.56363640000000004</v>
      </c>
      <c r="R212" s="142">
        <v>0.51724139999999996</v>
      </c>
      <c r="S212" s="142">
        <v>0.75</v>
      </c>
      <c r="T212" s="142">
        <v>0.4</v>
      </c>
      <c r="U212" s="142">
        <v>0.45161289999999998</v>
      </c>
      <c r="V212" s="142">
        <v>0.53500000000000003</v>
      </c>
    </row>
    <row r="213" spans="1:22" ht="18.75" x14ac:dyDescent="0.25">
      <c r="A213" s="141" t="s">
        <v>783</v>
      </c>
      <c r="B213" s="141" t="s">
        <v>772</v>
      </c>
      <c r="C213" s="141">
        <v>2078</v>
      </c>
      <c r="D213" s="141" t="s">
        <v>729</v>
      </c>
      <c r="E213" s="141">
        <v>1</v>
      </c>
      <c r="F213" s="142">
        <v>0.39</v>
      </c>
      <c r="G213" s="141">
        <v>1</v>
      </c>
      <c r="H213" s="142">
        <v>0.94444439999999996</v>
      </c>
      <c r="I213" s="142">
        <v>0.77173910000000001</v>
      </c>
      <c r="J213" s="142">
        <v>0.62749999999999995</v>
      </c>
      <c r="K213" s="155"/>
      <c r="L213" s="141" t="s">
        <v>783</v>
      </c>
      <c r="M213" s="141" t="s">
        <v>772</v>
      </c>
      <c r="N213" s="141">
        <v>2078</v>
      </c>
      <c r="O213" s="141" t="s">
        <v>729</v>
      </c>
      <c r="P213" s="141">
        <v>4</v>
      </c>
      <c r="Q213" s="142">
        <v>0.6875</v>
      </c>
      <c r="R213" s="142">
        <v>0.68965520000000002</v>
      </c>
      <c r="S213" s="142">
        <v>0.625</v>
      </c>
      <c r="T213" s="142">
        <v>0.91666669999999995</v>
      </c>
      <c r="U213" s="142">
        <v>0.65591390000000005</v>
      </c>
      <c r="V213" s="142">
        <v>0.70250000000000001</v>
      </c>
    </row>
    <row r="214" spans="1:22" ht="18.75" x14ac:dyDescent="0.25">
      <c r="A214" s="141" t="s">
        <v>783</v>
      </c>
      <c r="B214" s="141" t="s">
        <v>772</v>
      </c>
      <c r="C214" s="141">
        <v>2140</v>
      </c>
      <c r="D214" s="141" t="s">
        <v>728</v>
      </c>
      <c r="E214" s="141">
        <v>1</v>
      </c>
      <c r="F214" s="142">
        <v>0.55000000000000004</v>
      </c>
      <c r="G214" s="141">
        <v>1</v>
      </c>
      <c r="H214" s="142">
        <v>1</v>
      </c>
      <c r="I214" s="142">
        <v>0.59782610000000003</v>
      </c>
      <c r="J214" s="142">
        <v>0.6825</v>
      </c>
      <c r="K214" s="155"/>
      <c r="L214" s="141" t="s">
        <v>783</v>
      </c>
      <c r="M214" s="141" t="s">
        <v>772</v>
      </c>
      <c r="N214" s="141">
        <v>2140</v>
      </c>
      <c r="O214" s="141" t="s">
        <v>728</v>
      </c>
      <c r="P214" s="141">
        <v>4</v>
      </c>
      <c r="Q214" s="142">
        <v>0.76086960000000003</v>
      </c>
      <c r="R214" s="142">
        <v>0.62921349999999998</v>
      </c>
      <c r="S214" s="142">
        <v>0.96153840000000002</v>
      </c>
      <c r="T214" s="142">
        <v>0.6875</v>
      </c>
      <c r="U214" s="142">
        <v>0.2916667</v>
      </c>
      <c r="V214" s="142">
        <v>0.63624999999999998</v>
      </c>
    </row>
    <row r="215" spans="1:22" ht="18.75" x14ac:dyDescent="0.25">
      <c r="A215" s="141" t="s">
        <v>783</v>
      </c>
      <c r="B215" s="141" t="s">
        <v>772</v>
      </c>
      <c r="C215" s="141">
        <v>2141</v>
      </c>
      <c r="D215" s="141" t="s">
        <v>680</v>
      </c>
      <c r="E215" s="141">
        <v>1</v>
      </c>
      <c r="F215" s="142">
        <v>0.62</v>
      </c>
      <c r="G215" s="141">
        <v>1</v>
      </c>
      <c r="H215" s="142">
        <v>0.66666669999999995</v>
      </c>
      <c r="I215" s="142">
        <v>0.52173910000000001</v>
      </c>
      <c r="J215" s="142">
        <v>0.61</v>
      </c>
      <c r="K215" s="155"/>
      <c r="L215" s="141" t="s">
        <v>783</v>
      </c>
      <c r="M215" s="141" t="s">
        <v>772</v>
      </c>
      <c r="N215" s="141">
        <v>2141</v>
      </c>
      <c r="O215" s="141" t="s">
        <v>680</v>
      </c>
      <c r="P215" s="141">
        <v>4</v>
      </c>
      <c r="Q215" s="142">
        <v>0.53361340000000002</v>
      </c>
      <c r="R215" s="142">
        <v>0.65104169999999995</v>
      </c>
      <c r="S215" s="142">
        <v>0.82499999999999996</v>
      </c>
      <c r="T215" s="142">
        <v>0.8125</v>
      </c>
      <c r="U215" s="142">
        <v>0.29896909999999999</v>
      </c>
      <c r="V215" s="142">
        <v>0.5675</v>
      </c>
    </row>
    <row r="216" spans="1:22" ht="18.75" x14ac:dyDescent="0.25">
      <c r="A216" s="141" t="s">
        <v>783</v>
      </c>
      <c r="B216" s="141" t="s">
        <v>772</v>
      </c>
      <c r="C216" s="141">
        <v>2695</v>
      </c>
      <c r="D216" s="141" t="s">
        <v>680</v>
      </c>
      <c r="E216" s="141">
        <v>1</v>
      </c>
      <c r="F216" s="142">
        <v>0.47</v>
      </c>
      <c r="G216" s="141">
        <v>1</v>
      </c>
      <c r="H216" s="142">
        <v>0.61111110000000002</v>
      </c>
      <c r="I216" s="142">
        <v>0.6086956</v>
      </c>
      <c r="J216" s="142">
        <v>0.54</v>
      </c>
      <c r="K216" s="155"/>
      <c r="L216" s="141" t="s">
        <v>783</v>
      </c>
      <c r="M216" s="141" t="s">
        <v>772</v>
      </c>
      <c r="N216" s="141">
        <v>2695</v>
      </c>
      <c r="O216" s="141" t="s">
        <v>680</v>
      </c>
      <c r="P216" s="141">
        <v>4</v>
      </c>
      <c r="Q216" s="142">
        <v>0.66990289999999997</v>
      </c>
      <c r="R216" s="142">
        <v>0.22105259999999999</v>
      </c>
      <c r="S216" s="142">
        <v>0.73333329999999997</v>
      </c>
      <c r="T216" s="142">
        <v>0.55000000000000004</v>
      </c>
      <c r="U216" s="142">
        <v>0.47663549999999999</v>
      </c>
      <c r="V216" s="142">
        <v>0.51749999999999996</v>
      </c>
    </row>
    <row r="217" spans="1:22" ht="18.75" x14ac:dyDescent="0.25">
      <c r="A217" s="141" t="s">
        <v>783</v>
      </c>
      <c r="B217" s="141" t="s">
        <v>772</v>
      </c>
      <c r="C217" s="141">
        <v>2697</v>
      </c>
      <c r="D217" s="141" t="s">
        <v>680</v>
      </c>
      <c r="E217" s="141">
        <v>1</v>
      </c>
      <c r="F217" s="142">
        <v>0.54</v>
      </c>
      <c r="G217" s="141">
        <v>1</v>
      </c>
      <c r="H217" s="142">
        <v>0.77777779999999996</v>
      </c>
      <c r="I217" s="142">
        <v>0.76086960000000003</v>
      </c>
      <c r="J217" s="142">
        <v>0.65500000000000003</v>
      </c>
      <c r="K217" s="155"/>
      <c r="L217" s="141" t="s">
        <v>783</v>
      </c>
      <c r="M217" s="141" t="s">
        <v>772</v>
      </c>
      <c r="N217" s="141">
        <v>2697</v>
      </c>
      <c r="O217" s="141" t="s">
        <v>680</v>
      </c>
      <c r="P217" s="141">
        <v>4</v>
      </c>
      <c r="Q217" s="142">
        <v>0.4826087</v>
      </c>
      <c r="R217" s="142">
        <v>0.55056179999999999</v>
      </c>
      <c r="S217" s="142">
        <v>0.3846154</v>
      </c>
      <c r="T217" s="142">
        <v>0.4583333</v>
      </c>
      <c r="U217" s="142">
        <v>0.40625</v>
      </c>
      <c r="V217" s="142">
        <v>0.46375</v>
      </c>
    </row>
    <row r="218" spans="1:22" ht="18.75" x14ac:dyDescent="0.25">
      <c r="A218" s="141" t="s">
        <v>783</v>
      </c>
      <c r="B218" s="141" t="s">
        <v>772</v>
      </c>
      <c r="C218" s="141">
        <v>2699</v>
      </c>
      <c r="D218" s="141" t="s">
        <v>680</v>
      </c>
      <c r="E218" s="141">
        <v>1</v>
      </c>
      <c r="F218" s="142">
        <v>0.47</v>
      </c>
      <c r="G218" s="141">
        <v>1</v>
      </c>
      <c r="H218" s="142">
        <v>0.66666669999999995</v>
      </c>
      <c r="I218" s="142">
        <v>0.71739129999999995</v>
      </c>
      <c r="J218" s="142">
        <v>0.57999999999999996</v>
      </c>
      <c r="K218" s="155"/>
      <c r="L218" s="141" t="s">
        <v>783</v>
      </c>
      <c r="M218" s="141" t="s">
        <v>772</v>
      </c>
      <c r="N218" s="141">
        <v>2699</v>
      </c>
      <c r="O218" s="141" t="s">
        <v>680</v>
      </c>
      <c r="P218" s="141">
        <v>4</v>
      </c>
      <c r="Q218" s="142">
        <v>0.5</v>
      </c>
      <c r="R218" s="142">
        <v>0.55172410000000005</v>
      </c>
      <c r="S218" s="142">
        <v>0.375</v>
      </c>
      <c r="T218" s="142">
        <v>0.36666670000000001</v>
      </c>
      <c r="U218" s="142">
        <v>0.29032259999999999</v>
      </c>
      <c r="V218" s="142">
        <v>0.41749999999999998</v>
      </c>
    </row>
    <row r="219" spans="1:22" ht="18.75" x14ac:dyDescent="0.25">
      <c r="A219" s="141" t="s">
        <v>783</v>
      </c>
      <c r="B219" s="141" t="s">
        <v>772</v>
      </c>
      <c r="C219" s="141">
        <v>3222</v>
      </c>
      <c r="D219" s="141" t="s">
        <v>680</v>
      </c>
      <c r="E219" s="141">
        <v>1</v>
      </c>
      <c r="F219" s="142">
        <v>0.63</v>
      </c>
      <c r="G219" s="141">
        <v>1</v>
      </c>
      <c r="H219" s="142">
        <v>1</v>
      </c>
      <c r="I219" s="142">
        <v>0.72826089999999999</v>
      </c>
      <c r="J219" s="142">
        <v>0.75249999999999995</v>
      </c>
      <c r="K219" s="155"/>
      <c r="L219" s="141" t="s">
        <v>783</v>
      </c>
      <c r="M219" s="141" t="s">
        <v>772</v>
      </c>
      <c r="N219" s="141">
        <v>3222</v>
      </c>
      <c r="O219" s="141" t="s">
        <v>680</v>
      </c>
      <c r="P219" s="141">
        <v>4</v>
      </c>
      <c r="Q219" s="142">
        <v>0.77777779999999996</v>
      </c>
      <c r="R219" s="142">
        <v>0.4456522</v>
      </c>
      <c r="S219" s="142">
        <v>0.8</v>
      </c>
      <c r="T219" s="142">
        <v>0.3</v>
      </c>
      <c r="U219" s="142">
        <v>0.45744679999999999</v>
      </c>
      <c r="V219" s="142">
        <v>0.58250000000000002</v>
      </c>
    </row>
    <row r="220" spans="1:22" ht="18.75" x14ac:dyDescent="0.25">
      <c r="A220" s="141" t="s">
        <v>783</v>
      </c>
      <c r="B220" s="141" t="s">
        <v>772</v>
      </c>
      <c r="C220" s="141">
        <v>3449</v>
      </c>
      <c r="D220" s="141" t="s">
        <v>680</v>
      </c>
      <c r="E220" s="141">
        <v>1</v>
      </c>
      <c r="F220" s="142">
        <v>0.52</v>
      </c>
      <c r="G220" s="141">
        <v>1</v>
      </c>
      <c r="H220" s="142">
        <v>0.66666669999999995</v>
      </c>
      <c r="I220" s="142">
        <v>0.54347829999999997</v>
      </c>
      <c r="J220" s="142">
        <v>0.56499999999999995</v>
      </c>
      <c r="K220" s="155"/>
      <c r="L220" s="141" t="s">
        <v>783</v>
      </c>
      <c r="M220" s="141" t="s">
        <v>772</v>
      </c>
      <c r="N220" s="141">
        <v>3449</v>
      </c>
      <c r="O220" s="141" t="s">
        <v>680</v>
      </c>
      <c r="P220" s="141">
        <v>4</v>
      </c>
      <c r="Q220" s="142">
        <v>0.51851849999999999</v>
      </c>
      <c r="R220" s="142">
        <v>0.31034479999999998</v>
      </c>
      <c r="S220" s="142">
        <v>0.76388889999999998</v>
      </c>
      <c r="T220" s="142">
        <v>0.12820509999999999</v>
      </c>
      <c r="U220" s="142">
        <v>0.1341463</v>
      </c>
      <c r="V220" s="142">
        <v>0.36249999999999999</v>
      </c>
    </row>
    <row r="221" spans="1:22" ht="18.75" x14ac:dyDescent="0.25">
      <c r="A221" s="141" t="s">
        <v>783</v>
      </c>
      <c r="B221" s="141" t="s">
        <v>772</v>
      </c>
      <c r="C221" s="141">
        <v>3764</v>
      </c>
      <c r="D221" s="141" t="s">
        <v>680</v>
      </c>
      <c r="E221" s="141">
        <v>1</v>
      </c>
      <c r="F221" s="142">
        <v>0.59</v>
      </c>
      <c r="G221" s="141">
        <v>1</v>
      </c>
      <c r="H221" s="142">
        <v>0.83333330000000005</v>
      </c>
      <c r="I221" s="142">
        <v>0.78260870000000005</v>
      </c>
      <c r="J221" s="142">
        <v>0.7</v>
      </c>
      <c r="K221" s="155"/>
      <c r="L221" s="141" t="s">
        <v>783</v>
      </c>
      <c r="M221" s="141" t="s">
        <v>772</v>
      </c>
      <c r="N221" s="141">
        <v>3764</v>
      </c>
      <c r="O221" s="141" t="s">
        <v>680</v>
      </c>
      <c r="P221" s="141">
        <v>4</v>
      </c>
      <c r="Q221" s="142">
        <v>0.65</v>
      </c>
      <c r="R221" s="142">
        <v>0.63793100000000003</v>
      </c>
      <c r="S221" s="142">
        <v>1</v>
      </c>
      <c r="T221" s="142">
        <v>0.74</v>
      </c>
      <c r="U221" s="142">
        <v>0.41935480000000003</v>
      </c>
      <c r="V221" s="142">
        <v>0.65749999999999997</v>
      </c>
    </row>
    <row r="222" spans="1:22" ht="18.75" x14ac:dyDescent="0.25">
      <c r="A222" s="141" t="s">
        <v>784</v>
      </c>
      <c r="B222" s="141" t="s">
        <v>768</v>
      </c>
      <c r="C222" s="141">
        <v>815</v>
      </c>
      <c r="D222" s="141" t="s">
        <v>729</v>
      </c>
      <c r="E222" s="141">
        <v>1</v>
      </c>
      <c r="F222" s="142">
        <v>0.27</v>
      </c>
      <c r="G222" s="141">
        <v>1</v>
      </c>
      <c r="H222" s="142">
        <v>0.1666667</v>
      </c>
      <c r="I222" s="142">
        <v>0.38043480000000002</v>
      </c>
      <c r="J222" s="142">
        <v>0.26750000000000002</v>
      </c>
      <c r="K222" s="155"/>
      <c r="L222" s="141" t="s">
        <v>784</v>
      </c>
      <c r="M222" s="141" t="s">
        <v>768</v>
      </c>
      <c r="N222" s="141">
        <v>815</v>
      </c>
      <c r="O222" s="141" t="s">
        <v>729</v>
      </c>
      <c r="P222" s="141">
        <v>4</v>
      </c>
      <c r="Q222" s="142">
        <v>0.33529409999999998</v>
      </c>
      <c r="R222" s="142">
        <v>0.23333329999999999</v>
      </c>
      <c r="S222" s="142">
        <v>0.55555560000000004</v>
      </c>
      <c r="T222" s="142">
        <v>0.24137929999999999</v>
      </c>
      <c r="U222" s="142">
        <v>0.2631579</v>
      </c>
      <c r="V222" s="142">
        <v>0.32124999999999998</v>
      </c>
    </row>
    <row r="223" spans="1:22" ht="18.75" x14ac:dyDescent="0.25">
      <c r="A223" s="141" t="s">
        <v>784</v>
      </c>
      <c r="B223" s="141" t="s">
        <v>768</v>
      </c>
      <c r="C223" s="141">
        <v>830</v>
      </c>
      <c r="D223" s="141" t="s">
        <v>728</v>
      </c>
      <c r="E223" s="141">
        <v>1</v>
      </c>
      <c r="F223" s="142">
        <v>0.21</v>
      </c>
      <c r="G223" s="141">
        <v>1</v>
      </c>
      <c r="H223" s="142">
        <v>0.44444440000000002</v>
      </c>
      <c r="I223" s="142">
        <v>0.51086960000000003</v>
      </c>
      <c r="J223" s="142">
        <v>0.34250000000000003</v>
      </c>
      <c r="K223" s="155"/>
      <c r="L223" s="141" t="s">
        <v>784</v>
      </c>
      <c r="M223" s="141" t="s">
        <v>768</v>
      </c>
      <c r="N223" s="141">
        <v>830</v>
      </c>
      <c r="O223" s="141" t="s">
        <v>728</v>
      </c>
      <c r="P223" s="141">
        <v>4</v>
      </c>
      <c r="Q223" s="142">
        <v>0.59223300000000001</v>
      </c>
      <c r="R223" s="142">
        <v>0.3157895</v>
      </c>
      <c r="S223" s="142">
        <v>0.46666669999999999</v>
      </c>
      <c r="T223" s="142">
        <v>0.2</v>
      </c>
      <c r="U223" s="142">
        <v>0.38317760000000001</v>
      </c>
      <c r="V223" s="142">
        <v>0.42749999999999999</v>
      </c>
    </row>
    <row r="224" spans="1:22" ht="18.75" x14ac:dyDescent="0.25">
      <c r="A224" s="141" t="s">
        <v>784</v>
      </c>
      <c r="B224" s="141" t="s">
        <v>768</v>
      </c>
      <c r="C224" s="141">
        <v>837</v>
      </c>
      <c r="D224" s="141" t="s">
        <v>728</v>
      </c>
      <c r="E224" s="141">
        <v>1</v>
      </c>
      <c r="F224" s="142">
        <v>0.33</v>
      </c>
      <c r="G224" s="141">
        <v>1</v>
      </c>
      <c r="H224" s="142">
        <v>0.5</v>
      </c>
      <c r="I224" s="142">
        <v>0.53260870000000005</v>
      </c>
      <c r="J224" s="142">
        <v>0.42249999999999999</v>
      </c>
      <c r="K224" s="155"/>
      <c r="L224" s="141" t="s">
        <v>784</v>
      </c>
      <c r="M224" s="141" t="s">
        <v>768</v>
      </c>
      <c r="N224" s="141">
        <v>837</v>
      </c>
      <c r="O224" s="141" t="s">
        <v>728</v>
      </c>
      <c r="P224" s="141">
        <v>4</v>
      </c>
      <c r="Q224" s="142">
        <v>9.375E-2</v>
      </c>
      <c r="R224" s="142">
        <v>0.36363640000000003</v>
      </c>
      <c r="S224" s="142">
        <v>0.4375</v>
      </c>
      <c r="T224" s="142">
        <v>0.48333330000000002</v>
      </c>
      <c r="U224" s="142">
        <v>0.1956522</v>
      </c>
      <c r="V224" s="142">
        <v>0.30375000000000002</v>
      </c>
    </row>
    <row r="225" spans="1:22" ht="18.75" x14ac:dyDescent="0.25">
      <c r="A225" s="141" t="s">
        <v>784</v>
      </c>
      <c r="B225" s="141" t="s">
        <v>768</v>
      </c>
      <c r="C225" s="141">
        <v>840</v>
      </c>
      <c r="D225" s="141" t="s">
        <v>727</v>
      </c>
      <c r="E225" s="141">
        <v>1</v>
      </c>
      <c r="F225" s="142">
        <v>0.61</v>
      </c>
      <c r="G225" s="141">
        <v>1</v>
      </c>
      <c r="H225" s="142">
        <v>0.94444439999999996</v>
      </c>
      <c r="I225" s="142">
        <v>0.58695649999999999</v>
      </c>
      <c r="J225" s="142">
        <v>0.69499999999999995</v>
      </c>
      <c r="K225" s="155"/>
      <c r="L225" s="141" t="s">
        <v>784</v>
      </c>
      <c r="M225" s="141" t="s">
        <v>768</v>
      </c>
      <c r="N225" s="141">
        <v>840</v>
      </c>
      <c r="O225" s="141" t="s">
        <v>727</v>
      </c>
      <c r="P225" s="141">
        <v>4</v>
      </c>
      <c r="Q225" s="142">
        <v>0.32758619999999999</v>
      </c>
      <c r="R225" s="142">
        <v>0.30303029999999997</v>
      </c>
      <c r="S225" s="142">
        <v>0.31914890000000001</v>
      </c>
      <c r="T225" s="142">
        <v>0.64285709999999996</v>
      </c>
      <c r="U225" s="142">
        <v>0.39090910000000001</v>
      </c>
      <c r="V225" s="142">
        <v>0.36</v>
      </c>
    </row>
    <row r="226" spans="1:22" ht="18.75" x14ac:dyDescent="0.25">
      <c r="A226" s="141" t="s">
        <v>784</v>
      </c>
      <c r="B226" s="141" t="s">
        <v>768</v>
      </c>
      <c r="C226" s="141">
        <v>841</v>
      </c>
      <c r="D226" s="141" t="s">
        <v>727</v>
      </c>
      <c r="E226" s="141">
        <v>1</v>
      </c>
      <c r="F226" s="142">
        <v>0.56000000000000005</v>
      </c>
      <c r="G226" s="141">
        <v>1</v>
      </c>
      <c r="H226" s="142">
        <v>0.88888889999999998</v>
      </c>
      <c r="I226" s="142">
        <v>0.65217389999999997</v>
      </c>
      <c r="J226" s="142">
        <v>0.67</v>
      </c>
      <c r="K226" s="155"/>
      <c r="L226" s="141" t="s">
        <v>784</v>
      </c>
      <c r="M226" s="141" t="s">
        <v>768</v>
      </c>
      <c r="N226" s="141">
        <v>841</v>
      </c>
      <c r="O226" s="141" t="s">
        <v>727</v>
      </c>
      <c r="P226" s="141">
        <v>4</v>
      </c>
      <c r="Q226" s="142">
        <v>0.5625</v>
      </c>
      <c r="R226" s="142">
        <v>0.6566265</v>
      </c>
      <c r="S226" s="142">
        <v>0.58333330000000005</v>
      </c>
      <c r="T226" s="142">
        <v>0.2</v>
      </c>
      <c r="U226" s="142">
        <v>0.31645570000000001</v>
      </c>
      <c r="V226" s="142">
        <v>0.49125000000000002</v>
      </c>
    </row>
    <row r="227" spans="1:22" ht="18.75" x14ac:dyDescent="0.25">
      <c r="A227" s="141" t="s">
        <v>784</v>
      </c>
      <c r="B227" s="141" t="s">
        <v>768</v>
      </c>
      <c r="C227" s="141">
        <v>1629</v>
      </c>
      <c r="D227" s="141" t="s">
        <v>728</v>
      </c>
      <c r="E227" s="141">
        <v>1</v>
      </c>
      <c r="F227" s="142">
        <v>0.43</v>
      </c>
      <c r="G227" s="141">
        <v>1</v>
      </c>
      <c r="H227" s="142">
        <v>0.1666667</v>
      </c>
      <c r="I227" s="142">
        <v>0.45652169999999997</v>
      </c>
      <c r="J227" s="142">
        <v>0.36499999999999999</v>
      </c>
      <c r="K227" s="155"/>
      <c r="L227" s="141" t="s">
        <v>784</v>
      </c>
      <c r="M227" s="141" t="s">
        <v>768</v>
      </c>
      <c r="N227" s="141">
        <v>1629</v>
      </c>
      <c r="O227" s="141" t="s">
        <v>728</v>
      </c>
      <c r="P227" s="141">
        <v>4</v>
      </c>
      <c r="Q227" s="142">
        <v>0.63636360000000003</v>
      </c>
      <c r="R227" s="142">
        <v>0.2631579</v>
      </c>
      <c r="S227" s="142">
        <v>0.48529410000000001</v>
      </c>
      <c r="T227" s="142">
        <v>0.75</v>
      </c>
      <c r="U227" s="142">
        <v>0.52336450000000001</v>
      </c>
      <c r="V227" s="142">
        <v>0.4975</v>
      </c>
    </row>
    <row r="228" spans="1:22" ht="18.75" x14ac:dyDescent="0.25">
      <c r="A228" s="141" t="s">
        <v>784</v>
      </c>
      <c r="B228" s="141" t="s">
        <v>768</v>
      </c>
      <c r="C228" s="141">
        <v>3705</v>
      </c>
      <c r="D228" s="141" t="s">
        <v>680</v>
      </c>
      <c r="E228" s="141">
        <v>1</v>
      </c>
      <c r="F228" s="142">
        <v>0.45</v>
      </c>
      <c r="G228" s="141">
        <v>1</v>
      </c>
      <c r="H228" s="142">
        <v>0.44444440000000002</v>
      </c>
      <c r="I228" s="142">
        <v>0.54347829999999997</v>
      </c>
      <c r="J228" s="142">
        <v>0.47</v>
      </c>
      <c r="K228" s="155"/>
      <c r="L228" s="141" t="s">
        <v>784</v>
      </c>
      <c r="M228" s="141" t="s">
        <v>768</v>
      </c>
      <c r="N228" s="141">
        <v>3705</v>
      </c>
      <c r="O228" s="141" t="s">
        <v>680</v>
      </c>
      <c r="P228" s="141">
        <v>4</v>
      </c>
      <c r="Q228" s="142">
        <v>0.40196080000000001</v>
      </c>
      <c r="R228" s="142">
        <v>0.14117650000000001</v>
      </c>
      <c r="S228" s="142">
        <v>0.5</v>
      </c>
      <c r="T228" s="142">
        <v>0.25</v>
      </c>
      <c r="U228" s="142">
        <v>0.29032259999999999</v>
      </c>
      <c r="V228" s="142">
        <v>0.32500000000000001</v>
      </c>
    </row>
    <row r="229" spans="1:22" ht="18.75" x14ac:dyDescent="0.25">
      <c r="A229" s="141" t="s">
        <v>784</v>
      </c>
      <c r="B229" s="141" t="s">
        <v>768</v>
      </c>
      <c r="C229" s="141">
        <v>4337</v>
      </c>
      <c r="D229" s="141" t="s">
        <v>680</v>
      </c>
      <c r="E229" s="141">
        <v>1</v>
      </c>
      <c r="F229" s="142">
        <v>0.51</v>
      </c>
      <c r="G229" s="141">
        <v>1</v>
      </c>
      <c r="H229" s="142">
        <v>0.1111111</v>
      </c>
      <c r="I229" s="142">
        <v>0.54347829999999997</v>
      </c>
      <c r="J229" s="142">
        <v>0.41</v>
      </c>
      <c r="K229" s="155"/>
      <c r="L229" s="141" t="s">
        <v>784</v>
      </c>
      <c r="M229" s="141" t="s">
        <v>768</v>
      </c>
      <c r="N229" s="141">
        <v>4337</v>
      </c>
      <c r="O229" s="141" t="s">
        <v>680</v>
      </c>
      <c r="P229" s="141">
        <v>4</v>
      </c>
      <c r="Q229" s="142">
        <v>0.23636360000000001</v>
      </c>
      <c r="R229" s="142">
        <v>0.43678159999999999</v>
      </c>
      <c r="S229" s="142">
        <v>0.3333333</v>
      </c>
      <c r="T229" s="142">
        <v>0.2</v>
      </c>
      <c r="U229" s="142">
        <v>0.2473118</v>
      </c>
      <c r="V229" s="142">
        <v>0.29249999999999998</v>
      </c>
    </row>
    <row r="230" spans="1:22" ht="18.75" x14ac:dyDescent="0.25">
      <c r="A230" s="141" t="s">
        <v>784</v>
      </c>
      <c r="B230" s="141" t="s">
        <v>768</v>
      </c>
      <c r="C230" s="141">
        <v>4343</v>
      </c>
      <c r="D230" s="141" t="s">
        <v>680</v>
      </c>
      <c r="E230" s="141">
        <v>2</v>
      </c>
      <c r="F230" s="142">
        <v>0.41</v>
      </c>
      <c r="G230" s="141">
        <v>0</v>
      </c>
      <c r="H230" s="142"/>
      <c r="I230" s="142"/>
      <c r="J230" s="142">
        <v>0.41</v>
      </c>
      <c r="K230" s="155"/>
      <c r="L230" s="141" t="s">
        <v>784</v>
      </c>
      <c r="M230" s="141" t="s">
        <v>768</v>
      </c>
      <c r="N230" s="141">
        <v>4343</v>
      </c>
      <c r="O230" s="141" t="s">
        <v>680</v>
      </c>
      <c r="P230" s="141">
        <v>4</v>
      </c>
      <c r="Q230" s="142">
        <v>0.36521740000000003</v>
      </c>
      <c r="R230" s="142">
        <v>0.58333330000000005</v>
      </c>
      <c r="S230" s="142">
        <v>0.3846154</v>
      </c>
      <c r="T230" s="142">
        <v>0.3125</v>
      </c>
      <c r="U230" s="142">
        <v>0.35789470000000001</v>
      </c>
      <c r="V230" s="142">
        <v>0.40875</v>
      </c>
    </row>
    <row r="231" spans="1:22" ht="18.75" x14ac:dyDescent="0.25">
      <c r="A231" s="141" t="s">
        <v>784</v>
      </c>
      <c r="B231" s="141" t="s">
        <v>768</v>
      </c>
      <c r="C231" s="141">
        <v>4344</v>
      </c>
      <c r="D231" s="141" t="s">
        <v>680</v>
      </c>
      <c r="E231" s="141">
        <v>2</v>
      </c>
      <c r="F231" s="142">
        <v>0.57999999999999996</v>
      </c>
      <c r="G231" s="141">
        <v>0</v>
      </c>
      <c r="H231" s="142"/>
      <c r="I231" s="142"/>
      <c r="J231" s="142">
        <v>0.57999999999999996</v>
      </c>
      <c r="K231" s="155"/>
      <c r="L231" s="141" t="s">
        <v>784</v>
      </c>
      <c r="M231" s="141" t="s">
        <v>768</v>
      </c>
      <c r="N231" s="141">
        <v>4344</v>
      </c>
      <c r="O231" s="141" t="s">
        <v>680</v>
      </c>
      <c r="P231" s="141">
        <v>4</v>
      </c>
      <c r="Q231" s="142">
        <v>0.32584269999999999</v>
      </c>
      <c r="R231" s="142">
        <v>0.1869159</v>
      </c>
      <c r="S231" s="142">
        <v>0.3650794</v>
      </c>
      <c r="T231" s="142">
        <v>0</v>
      </c>
      <c r="U231" s="142">
        <v>0.21487600000000001</v>
      </c>
      <c r="V231" s="142">
        <v>0.245</v>
      </c>
    </row>
    <row r="232" spans="1:22" ht="18.75" x14ac:dyDescent="0.25">
      <c r="A232" s="141" t="s">
        <v>784</v>
      </c>
      <c r="B232" s="141" t="s">
        <v>768</v>
      </c>
      <c r="C232" s="141">
        <v>4345</v>
      </c>
      <c r="D232" s="141" t="s">
        <v>680</v>
      </c>
      <c r="E232" s="141">
        <v>1</v>
      </c>
      <c r="F232" s="142">
        <v>0.45</v>
      </c>
      <c r="G232" s="141">
        <v>1</v>
      </c>
      <c r="H232" s="142">
        <v>0.44444440000000002</v>
      </c>
      <c r="I232" s="142">
        <v>0.53260870000000005</v>
      </c>
      <c r="J232" s="142">
        <v>0.46750000000000003</v>
      </c>
      <c r="K232" s="155"/>
      <c r="L232" s="141" t="s">
        <v>784</v>
      </c>
      <c r="M232" s="141" t="s">
        <v>768</v>
      </c>
      <c r="N232" s="141">
        <v>4345</v>
      </c>
      <c r="O232" s="141" t="s">
        <v>680</v>
      </c>
      <c r="P232" s="141">
        <v>4</v>
      </c>
      <c r="Q232" s="142">
        <v>0.1</v>
      </c>
      <c r="R232" s="142">
        <v>1.1494300000000001E-2</v>
      </c>
      <c r="S232" s="142">
        <v>0.1875</v>
      </c>
      <c r="T232" s="142">
        <v>0.3</v>
      </c>
      <c r="U232" s="142">
        <v>0</v>
      </c>
      <c r="V232" s="142">
        <v>0.105</v>
      </c>
    </row>
    <row r="233" spans="1:22" s="454" customFormat="1" ht="18.75" x14ac:dyDescent="0.25">
      <c r="A233" s="456" t="s">
        <v>785</v>
      </c>
      <c r="B233" s="456" t="s">
        <v>772</v>
      </c>
      <c r="C233" s="456">
        <v>281</v>
      </c>
      <c r="D233" s="456" t="s">
        <v>680</v>
      </c>
      <c r="E233" s="456">
        <v>1</v>
      </c>
      <c r="F233" s="457">
        <v>0.15</v>
      </c>
      <c r="G233" s="456">
        <v>1</v>
      </c>
      <c r="H233" s="457">
        <v>0.27777780000000002</v>
      </c>
      <c r="I233" s="457">
        <v>0.28260869999999999</v>
      </c>
      <c r="J233" s="457">
        <v>0.215</v>
      </c>
      <c r="K233" s="458"/>
      <c r="L233" s="456" t="s">
        <v>785</v>
      </c>
      <c r="M233" s="456" t="s">
        <v>772</v>
      </c>
      <c r="N233" s="456">
        <v>281</v>
      </c>
      <c r="O233" s="456" t="s">
        <v>680</v>
      </c>
      <c r="P233" s="456">
        <v>4</v>
      </c>
      <c r="Q233" s="457">
        <v>0.6</v>
      </c>
      <c r="R233" s="457">
        <v>0.65555549999999996</v>
      </c>
      <c r="S233" s="457">
        <v>0.69444439999999996</v>
      </c>
      <c r="T233" s="457">
        <v>0.36206899999999997</v>
      </c>
      <c r="U233" s="457">
        <v>0.2315789</v>
      </c>
      <c r="V233" s="457">
        <v>0.50749999999999995</v>
      </c>
    </row>
    <row r="234" spans="1:22" s="454" customFormat="1" ht="18.75" x14ac:dyDescent="0.25">
      <c r="A234" s="456" t="s">
        <v>785</v>
      </c>
      <c r="B234" s="456" t="s">
        <v>772</v>
      </c>
      <c r="C234" s="456">
        <v>282</v>
      </c>
      <c r="D234" s="456" t="s">
        <v>729</v>
      </c>
      <c r="E234" s="456">
        <v>1</v>
      </c>
      <c r="F234" s="457">
        <v>0.66</v>
      </c>
      <c r="G234" s="456">
        <v>1</v>
      </c>
      <c r="H234" s="457">
        <v>0.5</v>
      </c>
      <c r="I234" s="457">
        <v>0.28260869999999999</v>
      </c>
      <c r="J234" s="457">
        <v>0.53</v>
      </c>
      <c r="K234" s="458"/>
      <c r="L234" s="456" t="s">
        <v>785</v>
      </c>
      <c r="M234" s="456" t="s">
        <v>772</v>
      </c>
      <c r="N234" s="456">
        <v>282</v>
      </c>
      <c r="O234" s="456" t="s">
        <v>729</v>
      </c>
      <c r="P234" s="456">
        <v>4</v>
      </c>
      <c r="Q234" s="457">
        <v>0.54065039999999998</v>
      </c>
      <c r="R234" s="457">
        <v>0.55050500000000002</v>
      </c>
      <c r="S234" s="457">
        <v>0.875</v>
      </c>
      <c r="T234" s="457">
        <v>0.5</v>
      </c>
      <c r="U234" s="457">
        <v>0.47272730000000002</v>
      </c>
      <c r="V234" s="457">
        <v>0.55500000000000005</v>
      </c>
    </row>
    <row r="235" spans="1:22" s="454" customFormat="1" ht="18.75" x14ac:dyDescent="0.25">
      <c r="A235" s="456" t="s">
        <v>785</v>
      </c>
      <c r="B235" s="456" t="s">
        <v>772</v>
      </c>
      <c r="C235" s="456">
        <v>1519</v>
      </c>
      <c r="D235" s="456" t="s">
        <v>728</v>
      </c>
      <c r="E235" s="456">
        <v>1</v>
      </c>
      <c r="F235" s="457">
        <v>0.32</v>
      </c>
      <c r="G235" s="456">
        <v>1</v>
      </c>
      <c r="H235" s="457">
        <v>0.38888889999999998</v>
      </c>
      <c r="I235" s="457">
        <v>0.41304350000000001</v>
      </c>
      <c r="J235" s="457">
        <v>0.36</v>
      </c>
      <c r="K235" s="458"/>
      <c r="L235" s="456" t="s">
        <v>785</v>
      </c>
      <c r="M235" s="456" t="s">
        <v>772</v>
      </c>
      <c r="N235" s="456">
        <v>1519</v>
      </c>
      <c r="O235" s="456" t="s">
        <v>728</v>
      </c>
      <c r="P235" s="456">
        <v>4</v>
      </c>
      <c r="Q235" s="457">
        <v>0.36554619999999999</v>
      </c>
      <c r="R235" s="457">
        <v>0.2864583</v>
      </c>
      <c r="S235" s="457">
        <v>0.25</v>
      </c>
      <c r="T235" s="457">
        <v>4.1666700000000001E-2</v>
      </c>
      <c r="U235" s="457">
        <v>7.2164900000000004E-2</v>
      </c>
      <c r="V235" s="457">
        <v>0.22500000000000001</v>
      </c>
    </row>
    <row r="236" spans="1:22" s="454" customFormat="1" ht="18.75" x14ac:dyDescent="0.25">
      <c r="A236" s="456" t="s">
        <v>785</v>
      </c>
      <c r="B236" s="456" t="s">
        <v>772</v>
      </c>
      <c r="C236" s="456">
        <v>1520</v>
      </c>
      <c r="D236" s="456" t="s">
        <v>727</v>
      </c>
      <c r="E236" s="456">
        <v>1</v>
      </c>
      <c r="F236" s="457">
        <v>0.56999999999999995</v>
      </c>
      <c r="G236" s="456">
        <v>1</v>
      </c>
      <c r="H236" s="457">
        <v>0.27777780000000002</v>
      </c>
      <c r="I236" s="457">
        <v>0.4456522</v>
      </c>
      <c r="J236" s="457">
        <v>0.46250000000000002</v>
      </c>
      <c r="K236" s="458"/>
      <c r="L236" s="456" t="s">
        <v>785</v>
      </c>
      <c r="M236" s="456" t="s">
        <v>772</v>
      </c>
      <c r="N236" s="456">
        <v>1520</v>
      </c>
      <c r="O236" s="456" t="s">
        <v>727</v>
      </c>
      <c r="P236" s="456">
        <v>4</v>
      </c>
      <c r="Q236" s="457">
        <v>0.46846850000000001</v>
      </c>
      <c r="R236" s="457">
        <v>0.59302319999999997</v>
      </c>
      <c r="S236" s="457">
        <v>0.80769230000000003</v>
      </c>
      <c r="T236" s="457">
        <v>0.55882350000000003</v>
      </c>
      <c r="U236" s="457">
        <v>0.25301210000000002</v>
      </c>
      <c r="V236" s="457">
        <v>0.51</v>
      </c>
    </row>
    <row r="237" spans="1:22" s="454" customFormat="1" ht="18.75" x14ac:dyDescent="0.25">
      <c r="A237" s="456" t="s">
        <v>785</v>
      </c>
      <c r="B237" s="456" t="s">
        <v>772</v>
      </c>
      <c r="C237" s="456">
        <v>1549</v>
      </c>
      <c r="D237" s="456" t="s">
        <v>727</v>
      </c>
      <c r="E237" s="456">
        <v>1</v>
      </c>
      <c r="F237" s="457">
        <v>0.54</v>
      </c>
      <c r="G237" s="456">
        <v>1</v>
      </c>
      <c r="H237" s="457">
        <v>1</v>
      </c>
      <c r="I237" s="457">
        <v>0.53260870000000005</v>
      </c>
      <c r="J237" s="457">
        <v>0.66249999999999998</v>
      </c>
      <c r="K237" s="458"/>
      <c r="L237" s="456" t="s">
        <v>785</v>
      </c>
      <c r="M237" s="456" t="s">
        <v>772</v>
      </c>
      <c r="N237" s="456">
        <v>1549</v>
      </c>
      <c r="O237" s="456" t="s">
        <v>727</v>
      </c>
      <c r="P237" s="456">
        <v>4</v>
      </c>
      <c r="Q237" s="457">
        <v>0.47530869999999997</v>
      </c>
      <c r="R237" s="457">
        <v>0.51162790000000002</v>
      </c>
      <c r="S237" s="457">
        <v>0.86111110000000002</v>
      </c>
      <c r="T237" s="457">
        <v>0.48717949999999999</v>
      </c>
      <c r="U237" s="457">
        <v>0.16867470000000001</v>
      </c>
      <c r="V237" s="457">
        <v>0.49125000000000002</v>
      </c>
    </row>
    <row r="238" spans="1:22" s="454" customFormat="1" ht="18.75" x14ac:dyDescent="0.25">
      <c r="A238" s="456" t="s">
        <v>785</v>
      </c>
      <c r="B238" s="456" t="s">
        <v>772</v>
      </c>
      <c r="C238" s="456">
        <v>1734</v>
      </c>
      <c r="D238" s="456" t="s">
        <v>728</v>
      </c>
      <c r="E238" s="456">
        <v>1</v>
      </c>
      <c r="F238" s="457">
        <v>0.39</v>
      </c>
      <c r="G238" s="456">
        <v>1</v>
      </c>
      <c r="H238" s="457">
        <v>1</v>
      </c>
      <c r="I238" s="457">
        <v>0.59782610000000003</v>
      </c>
      <c r="J238" s="457">
        <v>0.60250000000000004</v>
      </c>
      <c r="K238" s="458"/>
      <c r="L238" s="456" t="s">
        <v>785</v>
      </c>
      <c r="M238" s="456" t="s">
        <v>772</v>
      </c>
      <c r="N238" s="456">
        <v>1734</v>
      </c>
      <c r="O238" s="456" t="s">
        <v>728</v>
      </c>
      <c r="P238" s="456">
        <v>4</v>
      </c>
      <c r="Q238" s="457">
        <v>0.49382720000000002</v>
      </c>
      <c r="R238" s="457">
        <v>0.51162790000000002</v>
      </c>
      <c r="S238" s="457">
        <v>0.72222220000000004</v>
      </c>
      <c r="T238" s="457">
        <v>0.55128200000000005</v>
      </c>
      <c r="U238" s="457">
        <v>0.43373499999999998</v>
      </c>
      <c r="V238" s="457">
        <v>0.53749999999999998</v>
      </c>
    </row>
    <row r="239" spans="1:22" s="454" customFormat="1" ht="18.75" x14ac:dyDescent="0.25">
      <c r="A239" s="456" t="s">
        <v>785</v>
      </c>
      <c r="B239" s="456" t="s">
        <v>772</v>
      </c>
      <c r="C239" s="456">
        <v>2081</v>
      </c>
      <c r="D239" s="456" t="s">
        <v>728</v>
      </c>
      <c r="E239" s="456">
        <v>1</v>
      </c>
      <c r="F239" s="457">
        <v>0.23</v>
      </c>
      <c r="G239" s="456">
        <v>1</v>
      </c>
      <c r="H239" s="457">
        <v>1</v>
      </c>
      <c r="I239" s="457">
        <v>0.45652169999999997</v>
      </c>
      <c r="J239" s="457">
        <v>0.49</v>
      </c>
      <c r="K239" s="458"/>
      <c r="L239" s="456" t="s">
        <v>785</v>
      </c>
      <c r="M239" s="456" t="s">
        <v>772</v>
      </c>
      <c r="N239" s="456">
        <v>2081</v>
      </c>
      <c r="O239" s="456" t="s">
        <v>728</v>
      </c>
      <c r="P239" s="456">
        <v>4</v>
      </c>
      <c r="Q239" s="457">
        <v>0.45679009999999998</v>
      </c>
      <c r="R239" s="457">
        <v>0.39795920000000001</v>
      </c>
      <c r="S239" s="457">
        <v>0.53333339999999996</v>
      </c>
      <c r="T239" s="457">
        <v>0.4</v>
      </c>
      <c r="U239" s="457">
        <v>0.3396226</v>
      </c>
      <c r="V239" s="457">
        <v>0.42</v>
      </c>
    </row>
    <row r="240" spans="1:22" s="454" customFormat="1" ht="18.75" x14ac:dyDescent="0.25">
      <c r="A240" s="456" t="s">
        <v>785</v>
      </c>
      <c r="B240" s="456" t="s">
        <v>772</v>
      </c>
      <c r="C240" s="456">
        <v>2192</v>
      </c>
      <c r="D240" s="456" t="s">
        <v>728</v>
      </c>
      <c r="E240" s="456">
        <v>1</v>
      </c>
      <c r="F240" s="457">
        <v>0.09</v>
      </c>
      <c r="G240" s="456">
        <v>1</v>
      </c>
      <c r="H240" s="457">
        <v>0.61111110000000002</v>
      </c>
      <c r="I240" s="457">
        <v>0.66304350000000001</v>
      </c>
      <c r="J240" s="457">
        <v>0.36249999999999999</v>
      </c>
      <c r="K240" s="458"/>
      <c r="L240" s="456" t="s">
        <v>785</v>
      </c>
      <c r="M240" s="456" t="s">
        <v>772</v>
      </c>
      <c r="N240" s="456">
        <v>2192</v>
      </c>
      <c r="O240" s="456" t="s">
        <v>728</v>
      </c>
      <c r="P240" s="456">
        <v>4</v>
      </c>
      <c r="Q240" s="457">
        <v>0.31097560000000002</v>
      </c>
      <c r="R240" s="457">
        <v>0.2395833</v>
      </c>
      <c r="S240" s="457">
        <v>0</v>
      </c>
      <c r="T240" s="457">
        <v>6.8965499999999999E-2</v>
      </c>
      <c r="U240" s="457">
        <v>0</v>
      </c>
      <c r="V240" s="457">
        <v>0.13125000000000001</v>
      </c>
    </row>
    <row r="241" spans="1:22" s="454" customFormat="1" ht="18.75" x14ac:dyDescent="0.25">
      <c r="A241" s="456" t="s">
        <v>785</v>
      </c>
      <c r="B241" s="456" t="s">
        <v>772</v>
      </c>
      <c r="C241" s="456">
        <v>2475</v>
      </c>
      <c r="D241" s="456" t="s">
        <v>680</v>
      </c>
      <c r="E241" s="456">
        <v>1</v>
      </c>
      <c r="F241" s="457">
        <v>0.5</v>
      </c>
      <c r="G241" s="456">
        <v>1</v>
      </c>
      <c r="H241" s="457">
        <v>0.94444439999999996</v>
      </c>
      <c r="I241" s="457">
        <v>0.57608689999999996</v>
      </c>
      <c r="J241" s="457">
        <v>0.63749999999999996</v>
      </c>
      <c r="K241" s="458"/>
      <c r="L241" s="456" t="s">
        <v>785</v>
      </c>
      <c r="M241" s="456" t="s">
        <v>772</v>
      </c>
      <c r="N241" s="456">
        <v>2475</v>
      </c>
      <c r="O241" s="456" t="s">
        <v>680</v>
      </c>
      <c r="P241" s="456">
        <v>4</v>
      </c>
      <c r="Q241" s="457">
        <v>0.43303570000000002</v>
      </c>
      <c r="R241" s="457">
        <v>0.390625</v>
      </c>
      <c r="S241" s="457">
        <v>0.74468080000000003</v>
      </c>
      <c r="T241" s="457">
        <v>0.54166669999999995</v>
      </c>
      <c r="U241" s="457">
        <v>0.3608247</v>
      </c>
      <c r="V241" s="457">
        <v>0.45500000000000002</v>
      </c>
    </row>
    <row r="242" spans="1:22" s="454" customFormat="1" ht="18.75" x14ac:dyDescent="0.25">
      <c r="A242" s="456" t="s">
        <v>785</v>
      </c>
      <c r="B242" s="456" t="s">
        <v>772</v>
      </c>
      <c r="C242" s="456">
        <v>2540</v>
      </c>
      <c r="D242" s="456" t="s">
        <v>680</v>
      </c>
      <c r="E242" s="456">
        <v>1</v>
      </c>
      <c r="F242" s="457">
        <v>0.38</v>
      </c>
      <c r="G242" s="456">
        <v>1</v>
      </c>
      <c r="H242" s="457">
        <v>0.94444439999999996</v>
      </c>
      <c r="I242" s="457">
        <v>0.56521739999999998</v>
      </c>
      <c r="J242" s="457">
        <v>0.57499999999999996</v>
      </c>
      <c r="K242" s="458"/>
      <c r="L242" s="456" t="s">
        <v>785</v>
      </c>
      <c r="M242" s="456" t="s">
        <v>772</v>
      </c>
      <c r="N242" s="456">
        <v>2540</v>
      </c>
      <c r="O242" s="456" t="s">
        <v>680</v>
      </c>
      <c r="P242" s="456">
        <v>4</v>
      </c>
      <c r="Q242" s="457">
        <v>0.48198200000000002</v>
      </c>
      <c r="R242" s="457">
        <v>0.2906977</v>
      </c>
      <c r="S242" s="457">
        <v>0.28846149999999998</v>
      </c>
      <c r="T242" s="457">
        <v>0.25</v>
      </c>
      <c r="U242" s="457">
        <v>9.6385499999999999E-2</v>
      </c>
      <c r="V242" s="457">
        <v>0.29625000000000001</v>
      </c>
    </row>
    <row r="243" spans="1:22" s="454" customFormat="1" ht="18.75" x14ac:dyDescent="0.25">
      <c r="A243" s="456" t="s">
        <v>785</v>
      </c>
      <c r="B243" s="456" t="s">
        <v>772</v>
      </c>
      <c r="C243" s="456">
        <v>2981</v>
      </c>
      <c r="D243" s="456" t="s">
        <v>680</v>
      </c>
      <c r="E243" s="456">
        <v>1</v>
      </c>
      <c r="F243" s="457">
        <v>0.56000000000000005</v>
      </c>
      <c r="G243" s="456">
        <v>1</v>
      </c>
      <c r="H243" s="457">
        <v>1</v>
      </c>
      <c r="I243" s="457">
        <v>0.61956520000000004</v>
      </c>
      <c r="J243" s="457">
        <v>0.6925</v>
      </c>
      <c r="K243" s="458"/>
      <c r="L243" s="456" t="s">
        <v>785</v>
      </c>
      <c r="M243" s="456" t="s">
        <v>772</v>
      </c>
      <c r="N243" s="456">
        <v>2981</v>
      </c>
      <c r="O243" s="456" t="s">
        <v>680</v>
      </c>
      <c r="P243" s="456">
        <v>4</v>
      </c>
      <c r="Q243" s="457">
        <v>0.40517239999999999</v>
      </c>
      <c r="R243" s="457">
        <v>0.47474749999999999</v>
      </c>
      <c r="S243" s="457">
        <v>1</v>
      </c>
      <c r="T243" s="457">
        <v>0.5</v>
      </c>
      <c r="U243" s="457">
        <v>0.32727270000000003</v>
      </c>
      <c r="V243" s="457">
        <v>0.47749999999999998</v>
      </c>
    </row>
    <row r="244" spans="1:22" ht="18.75" x14ac:dyDescent="0.25">
      <c r="A244" s="141" t="s">
        <v>786</v>
      </c>
      <c r="B244" s="141" t="s">
        <v>787</v>
      </c>
      <c r="C244" s="141">
        <v>21</v>
      </c>
      <c r="D244" s="141" t="s">
        <v>729</v>
      </c>
      <c r="E244" s="141">
        <v>1</v>
      </c>
      <c r="F244" s="142">
        <v>0.46</v>
      </c>
      <c r="G244" s="141">
        <v>1</v>
      </c>
      <c r="H244" s="142">
        <v>0.83333330000000005</v>
      </c>
      <c r="I244" s="142">
        <v>0.58695649999999999</v>
      </c>
      <c r="J244" s="142">
        <v>0.59</v>
      </c>
      <c r="K244" s="155"/>
      <c r="L244" s="141" t="s">
        <v>786</v>
      </c>
      <c r="M244" s="141" t="s">
        <v>787</v>
      </c>
      <c r="N244" s="141">
        <v>21</v>
      </c>
      <c r="O244" s="141" t="s">
        <v>729</v>
      </c>
      <c r="P244" s="141">
        <v>4</v>
      </c>
      <c r="Q244" s="142">
        <v>0.29130430000000002</v>
      </c>
      <c r="R244" s="142">
        <v>0.51123600000000002</v>
      </c>
      <c r="S244" s="142">
        <v>0.61538459999999995</v>
      </c>
      <c r="T244" s="142">
        <v>0.375</v>
      </c>
      <c r="U244" s="142">
        <v>0.3645833</v>
      </c>
      <c r="V244" s="142">
        <v>0.41</v>
      </c>
    </row>
    <row r="245" spans="1:22" ht="18.75" x14ac:dyDescent="0.25">
      <c r="A245" s="141" t="s">
        <v>786</v>
      </c>
      <c r="B245" s="141" t="s">
        <v>787</v>
      </c>
      <c r="C245" s="141">
        <v>77</v>
      </c>
      <c r="D245" s="141" t="s">
        <v>728</v>
      </c>
      <c r="E245" s="141">
        <v>1</v>
      </c>
      <c r="F245" s="142">
        <v>0.47</v>
      </c>
      <c r="G245" s="141">
        <v>1</v>
      </c>
      <c r="H245" s="142">
        <v>0.88888889999999998</v>
      </c>
      <c r="I245" s="142">
        <v>0.77173910000000001</v>
      </c>
      <c r="J245" s="142">
        <v>0.65249999999999997</v>
      </c>
      <c r="K245" s="155"/>
      <c r="L245" s="141" t="s">
        <v>786</v>
      </c>
      <c r="M245" s="141" t="s">
        <v>787</v>
      </c>
      <c r="N245" s="141">
        <v>77</v>
      </c>
      <c r="O245" s="141" t="s">
        <v>728</v>
      </c>
      <c r="P245" s="141">
        <v>4</v>
      </c>
      <c r="Q245" s="142">
        <v>0.67727269999999995</v>
      </c>
      <c r="R245" s="142">
        <v>0.57471260000000002</v>
      </c>
      <c r="S245" s="142">
        <v>0.66666669999999995</v>
      </c>
      <c r="T245" s="142">
        <v>0.6</v>
      </c>
      <c r="U245" s="142">
        <v>0.52688170000000001</v>
      </c>
      <c r="V245" s="142">
        <v>0.60875000000000001</v>
      </c>
    </row>
    <row r="246" spans="1:22" ht="18.75" x14ac:dyDescent="0.25">
      <c r="A246" s="141" t="s">
        <v>786</v>
      </c>
      <c r="B246" s="141" t="s">
        <v>787</v>
      </c>
      <c r="C246" s="141">
        <v>79</v>
      </c>
      <c r="D246" s="141" t="s">
        <v>728</v>
      </c>
      <c r="E246" s="141">
        <v>1</v>
      </c>
      <c r="F246" s="142">
        <v>0.22</v>
      </c>
      <c r="G246" s="141">
        <v>1</v>
      </c>
      <c r="H246" s="142">
        <v>0.38888889999999998</v>
      </c>
      <c r="I246" s="142">
        <v>0.51086960000000003</v>
      </c>
      <c r="J246" s="142">
        <v>0.33250000000000002</v>
      </c>
      <c r="K246" s="155"/>
      <c r="L246" s="141" t="s">
        <v>786</v>
      </c>
      <c r="M246" s="141" t="s">
        <v>787</v>
      </c>
      <c r="N246" s="141">
        <v>79</v>
      </c>
      <c r="O246" s="141" t="s">
        <v>728</v>
      </c>
      <c r="P246" s="141">
        <v>4</v>
      </c>
      <c r="Q246" s="142">
        <v>0.41397850000000003</v>
      </c>
      <c r="R246" s="142">
        <v>0.51515149999999998</v>
      </c>
      <c r="S246" s="142">
        <v>0.83333330000000005</v>
      </c>
      <c r="T246" s="142">
        <v>0.5526316</v>
      </c>
      <c r="U246" s="142">
        <v>0.32727270000000003</v>
      </c>
      <c r="V246" s="142">
        <v>0.49125000000000002</v>
      </c>
    </row>
    <row r="247" spans="1:22" ht="18.75" x14ac:dyDescent="0.25">
      <c r="A247" s="141" t="s">
        <v>786</v>
      </c>
      <c r="B247" s="141" t="s">
        <v>787</v>
      </c>
      <c r="C247" s="141">
        <v>80</v>
      </c>
      <c r="D247" s="141" t="s">
        <v>727</v>
      </c>
      <c r="E247" s="141">
        <v>1</v>
      </c>
      <c r="F247" s="142">
        <v>0.56000000000000005</v>
      </c>
      <c r="G247" s="141">
        <v>1</v>
      </c>
      <c r="H247" s="142">
        <v>0.72222220000000004</v>
      </c>
      <c r="I247" s="142">
        <v>0.58695649999999999</v>
      </c>
      <c r="J247" s="142">
        <v>0.61</v>
      </c>
      <c r="K247" s="155"/>
      <c r="L247" s="141" t="s">
        <v>786</v>
      </c>
      <c r="M247" s="141" t="s">
        <v>787</v>
      </c>
      <c r="N247" s="141">
        <v>80</v>
      </c>
      <c r="O247" s="141" t="s">
        <v>727</v>
      </c>
      <c r="P247" s="141">
        <v>4</v>
      </c>
      <c r="Q247" s="142">
        <v>0.82075469999999995</v>
      </c>
      <c r="R247" s="142">
        <v>0.59139779999999997</v>
      </c>
      <c r="S247" s="142">
        <v>0.92647060000000003</v>
      </c>
      <c r="T247" s="142">
        <v>0.82499999999999996</v>
      </c>
      <c r="U247" s="142">
        <v>0.68817200000000001</v>
      </c>
      <c r="V247" s="142">
        <v>0.755</v>
      </c>
    </row>
    <row r="248" spans="1:22" ht="18.75" x14ac:dyDescent="0.25">
      <c r="A248" s="141" t="s">
        <v>786</v>
      </c>
      <c r="B248" s="141" t="s">
        <v>787</v>
      </c>
      <c r="C248" s="141">
        <v>1111</v>
      </c>
      <c r="D248" s="141" t="s">
        <v>728</v>
      </c>
      <c r="E248" s="141">
        <v>2</v>
      </c>
      <c r="F248" s="142">
        <v>0.55500000000000005</v>
      </c>
      <c r="G248" s="141">
        <v>0</v>
      </c>
      <c r="H248" s="142"/>
      <c r="I248" s="142"/>
      <c r="J248" s="142">
        <v>0.55500000000000005</v>
      </c>
      <c r="K248" s="155"/>
      <c r="L248" s="141" t="s">
        <v>786</v>
      </c>
      <c r="M248" s="141" t="s">
        <v>787</v>
      </c>
      <c r="N248" s="141">
        <v>1111</v>
      </c>
      <c r="O248" s="141" t="s">
        <v>728</v>
      </c>
      <c r="P248" s="141">
        <v>4</v>
      </c>
      <c r="Q248" s="142">
        <v>0.64545450000000004</v>
      </c>
      <c r="R248" s="142">
        <v>0.55208330000000005</v>
      </c>
      <c r="S248" s="142">
        <v>0.92647060000000003</v>
      </c>
      <c r="T248" s="142">
        <v>0.7</v>
      </c>
      <c r="U248" s="142">
        <v>0.55660379999999998</v>
      </c>
      <c r="V248" s="142">
        <v>0.65</v>
      </c>
    </row>
    <row r="249" spans="1:22" ht="18.75" x14ac:dyDescent="0.25">
      <c r="A249" s="141" t="s">
        <v>786</v>
      </c>
      <c r="B249" s="141" t="s">
        <v>787</v>
      </c>
      <c r="C249" s="141">
        <v>2286</v>
      </c>
      <c r="D249" s="141" t="s">
        <v>680</v>
      </c>
      <c r="E249" s="141">
        <v>1</v>
      </c>
      <c r="F249" s="142">
        <v>0.59</v>
      </c>
      <c r="G249" s="141">
        <v>1</v>
      </c>
      <c r="H249" s="142">
        <v>1</v>
      </c>
      <c r="I249" s="142">
        <v>0.63043479999999996</v>
      </c>
      <c r="J249" s="142">
        <v>0.71</v>
      </c>
      <c r="K249" s="155"/>
      <c r="L249" s="141" t="s">
        <v>786</v>
      </c>
      <c r="M249" s="141" t="s">
        <v>787</v>
      </c>
      <c r="N249" s="141">
        <v>2286</v>
      </c>
      <c r="O249" s="141" t="s">
        <v>680</v>
      </c>
      <c r="P249" s="141">
        <v>4</v>
      </c>
      <c r="Q249" s="142">
        <v>0.67857140000000005</v>
      </c>
      <c r="R249" s="142">
        <v>0.40625</v>
      </c>
      <c r="S249" s="142">
        <v>0.42553190000000002</v>
      </c>
      <c r="T249" s="142">
        <v>6.25E-2</v>
      </c>
      <c r="U249" s="142">
        <v>0.29896909999999999</v>
      </c>
      <c r="V249" s="142">
        <v>0.41749999999999998</v>
      </c>
    </row>
    <row r="250" spans="1:22" ht="18.75" x14ac:dyDescent="0.25">
      <c r="A250" s="141" t="s">
        <v>786</v>
      </c>
      <c r="B250" s="141" t="s">
        <v>787</v>
      </c>
      <c r="C250" s="141">
        <v>2867</v>
      </c>
      <c r="D250" s="141" t="s">
        <v>680</v>
      </c>
      <c r="E250" s="141">
        <v>1</v>
      </c>
      <c r="F250" s="142">
        <v>0.52</v>
      </c>
      <c r="G250" s="141">
        <v>1</v>
      </c>
      <c r="H250" s="142">
        <v>0.94444439999999996</v>
      </c>
      <c r="I250" s="142">
        <v>0.54347829999999997</v>
      </c>
      <c r="J250" s="142">
        <v>0.64</v>
      </c>
      <c r="K250" s="155"/>
      <c r="L250" s="141" t="s">
        <v>786</v>
      </c>
      <c r="M250" s="141" t="s">
        <v>787</v>
      </c>
      <c r="N250" s="141">
        <v>2867</v>
      </c>
      <c r="O250" s="141" t="s">
        <v>680</v>
      </c>
      <c r="P250" s="141">
        <v>4</v>
      </c>
      <c r="Q250" s="142">
        <v>0.57272730000000005</v>
      </c>
      <c r="R250" s="142">
        <v>0.2604167</v>
      </c>
      <c r="S250" s="142">
        <v>0.6323529</v>
      </c>
      <c r="T250" s="142">
        <v>0.2</v>
      </c>
      <c r="U250" s="142">
        <v>0.3207547</v>
      </c>
      <c r="V250" s="142">
        <v>0.42249999999999999</v>
      </c>
    </row>
    <row r="251" spans="1:22" ht="18.75" x14ac:dyDescent="0.25">
      <c r="A251" s="141" t="s">
        <v>786</v>
      </c>
      <c r="B251" s="141" t="s">
        <v>787</v>
      </c>
      <c r="C251" s="141">
        <v>2868</v>
      </c>
      <c r="D251" s="141" t="s">
        <v>680</v>
      </c>
      <c r="E251" s="141">
        <v>2</v>
      </c>
      <c r="F251" s="142">
        <v>0.59</v>
      </c>
      <c r="G251" s="141">
        <v>0</v>
      </c>
      <c r="H251" s="142"/>
      <c r="I251" s="142"/>
      <c r="J251" s="142">
        <v>0.59</v>
      </c>
      <c r="K251" s="155"/>
      <c r="L251" s="141" t="s">
        <v>786</v>
      </c>
      <c r="M251" s="141" t="s">
        <v>787</v>
      </c>
      <c r="N251" s="141">
        <v>2868</v>
      </c>
      <c r="O251" s="141" t="s">
        <v>680</v>
      </c>
      <c r="P251" s="141">
        <v>4</v>
      </c>
      <c r="Q251" s="142">
        <v>0.43181819999999999</v>
      </c>
      <c r="R251" s="142">
        <v>0.3608247</v>
      </c>
      <c r="S251" s="142">
        <v>0.48529410000000001</v>
      </c>
      <c r="T251" s="142">
        <v>0.375</v>
      </c>
      <c r="U251" s="142">
        <v>0.35514020000000002</v>
      </c>
      <c r="V251" s="142">
        <v>0.39750000000000002</v>
      </c>
    </row>
    <row r="252" spans="1:22" ht="18.75" x14ac:dyDescent="0.25">
      <c r="A252" s="141" t="s">
        <v>786</v>
      </c>
      <c r="B252" s="141" t="s">
        <v>787</v>
      </c>
      <c r="C252" s="141">
        <v>4660</v>
      </c>
      <c r="D252" s="141" t="s">
        <v>680</v>
      </c>
      <c r="E252" s="141">
        <v>1</v>
      </c>
      <c r="F252" s="142">
        <v>0.39</v>
      </c>
      <c r="G252" s="141">
        <v>1</v>
      </c>
      <c r="H252" s="142">
        <v>1</v>
      </c>
      <c r="I252" s="142">
        <v>0.58695649999999999</v>
      </c>
      <c r="J252" s="142">
        <v>0.6</v>
      </c>
      <c r="K252" s="155"/>
      <c r="L252" s="141" t="s">
        <v>786</v>
      </c>
      <c r="M252" s="141" t="s">
        <v>787</v>
      </c>
      <c r="N252" s="141">
        <v>4660</v>
      </c>
      <c r="O252" s="141" t="s">
        <v>680</v>
      </c>
      <c r="P252" s="141">
        <v>4</v>
      </c>
      <c r="Q252" s="142">
        <v>0.5280899</v>
      </c>
      <c r="R252" s="142">
        <v>0.28125</v>
      </c>
      <c r="S252" s="142">
        <v>0.46666669999999999</v>
      </c>
      <c r="T252" s="142">
        <v>0.32758619999999999</v>
      </c>
      <c r="U252" s="142">
        <v>0.2371134</v>
      </c>
      <c r="V252" s="142">
        <v>0.36</v>
      </c>
    </row>
    <row r="253" spans="1:22" ht="18.75" x14ac:dyDescent="0.25">
      <c r="A253" s="141" t="s">
        <v>786</v>
      </c>
      <c r="B253" s="141" t="s">
        <v>787</v>
      </c>
      <c r="C253" s="141">
        <v>9375</v>
      </c>
      <c r="D253" s="141" t="s">
        <v>680</v>
      </c>
      <c r="E253" s="141">
        <v>1</v>
      </c>
      <c r="F253" s="142">
        <v>0.5</v>
      </c>
      <c r="G253" s="141">
        <v>1</v>
      </c>
      <c r="H253" s="142">
        <v>1</v>
      </c>
      <c r="I253" s="142">
        <v>0.58695649999999999</v>
      </c>
      <c r="J253" s="142">
        <v>0.65500000000000003</v>
      </c>
      <c r="K253" s="155"/>
      <c r="L253" s="141" t="s">
        <v>786</v>
      </c>
      <c r="M253" s="141" t="s">
        <v>787</v>
      </c>
      <c r="N253" s="141">
        <v>9375</v>
      </c>
      <c r="O253" s="141" t="s">
        <v>680</v>
      </c>
      <c r="P253" s="141">
        <v>4</v>
      </c>
      <c r="Q253" s="142">
        <v>0.56741569999999997</v>
      </c>
      <c r="R253" s="142">
        <v>0.3125</v>
      </c>
      <c r="S253" s="142">
        <v>0.4166667</v>
      </c>
      <c r="T253" s="142">
        <v>0.20689660000000001</v>
      </c>
      <c r="U253" s="142">
        <v>0.50515460000000001</v>
      </c>
      <c r="V253" s="142">
        <v>0.41625000000000001</v>
      </c>
    </row>
    <row r="254" spans="1:22" ht="18.75" x14ac:dyDescent="0.25">
      <c r="A254" s="141" t="s">
        <v>786</v>
      </c>
      <c r="B254" s="141" t="s">
        <v>787</v>
      </c>
      <c r="C254" s="141">
        <v>10038</v>
      </c>
      <c r="D254" s="141" t="s">
        <v>680</v>
      </c>
      <c r="E254" s="141">
        <v>1</v>
      </c>
      <c r="F254" s="142">
        <v>0.45</v>
      </c>
      <c r="G254" s="141">
        <v>1</v>
      </c>
      <c r="H254" s="142">
        <v>0.83333330000000005</v>
      </c>
      <c r="I254" s="142">
        <v>0.66304350000000001</v>
      </c>
      <c r="J254" s="142">
        <v>0.60250000000000004</v>
      </c>
      <c r="K254" s="155"/>
      <c r="L254" s="141" t="s">
        <v>786</v>
      </c>
      <c r="M254" s="141" t="s">
        <v>787</v>
      </c>
      <c r="N254" s="141">
        <v>10038</v>
      </c>
      <c r="O254" s="141" t="s">
        <v>680</v>
      </c>
      <c r="P254" s="141">
        <v>4</v>
      </c>
      <c r="Q254" s="142">
        <v>0.4652174</v>
      </c>
      <c r="R254" s="142">
        <v>0.67977529999999997</v>
      </c>
      <c r="S254" s="142">
        <v>0.80769230000000003</v>
      </c>
      <c r="T254" s="142">
        <v>0.4583333</v>
      </c>
      <c r="U254" s="142">
        <v>0.2708333</v>
      </c>
      <c r="V254" s="142">
        <v>0.51</v>
      </c>
    </row>
    <row r="255" spans="1:22" ht="18.75" x14ac:dyDescent="0.25">
      <c r="A255" s="141" t="s">
        <v>788</v>
      </c>
      <c r="B255" s="141" t="s">
        <v>766</v>
      </c>
      <c r="C255" s="141">
        <v>61</v>
      </c>
      <c r="D255" s="141" t="s">
        <v>731</v>
      </c>
      <c r="E255" s="141">
        <v>1</v>
      </c>
      <c r="F255" s="142">
        <v>0</v>
      </c>
      <c r="G255" s="141">
        <v>1</v>
      </c>
      <c r="H255" s="142">
        <v>0.5</v>
      </c>
      <c r="I255" s="142">
        <v>0.46739130000000001</v>
      </c>
      <c r="J255" s="142">
        <v>0.24249999999999999</v>
      </c>
      <c r="K255" s="155"/>
      <c r="L255" s="141" t="s">
        <v>788</v>
      </c>
      <c r="M255" s="141" t="s">
        <v>766</v>
      </c>
      <c r="N255" s="141">
        <v>61</v>
      </c>
      <c r="O255" s="141" t="s">
        <v>731</v>
      </c>
      <c r="P255" s="141">
        <v>4</v>
      </c>
      <c r="Q255" s="142">
        <v>0.27160489999999998</v>
      </c>
      <c r="R255" s="142">
        <v>0.2783505</v>
      </c>
      <c r="S255" s="142">
        <v>0.13333329999999999</v>
      </c>
      <c r="T255" s="142">
        <v>0</v>
      </c>
      <c r="U255" s="142">
        <v>9.3457899999999997E-2</v>
      </c>
      <c r="V255" s="142">
        <v>0.17249999999999999</v>
      </c>
    </row>
    <row r="256" spans="1:22" ht="18.75" x14ac:dyDescent="0.25">
      <c r="A256" s="141" t="s">
        <v>788</v>
      </c>
      <c r="B256" s="141" t="s">
        <v>766</v>
      </c>
      <c r="C256" s="141">
        <v>63</v>
      </c>
      <c r="D256" s="141" t="s">
        <v>728</v>
      </c>
      <c r="E256" s="141">
        <v>1</v>
      </c>
      <c r="F256" s="142">
        <v>0.53</v>
      </c>
      <c r="G256" s="141">
        <v>1</v>
      </c>
      <c r="H256" s="142">
        <v>0.61111110000000002</v>
      </c>
      <c r="I256" s="142">
        <v>0.6086956</v>
      </c>
      <c r="J256" s="142">
        <v>0.56999999999999995</v>
      </c>
      <c r="K256" s="155"/>
      <c r="L256" s="141" t="s">
        <v>788</v>
      </c>
      <c r="M256" s="141" t="s">
        <v>766</v>
      </c>
      <c r="N256" s="141">
        <v>63</v>
      </c>
      <c r="O256" s="141" t="s">
        <v>728</v>
      </c>
      <c r="P256" s="141">
        <v>4</v>
      </c>
      <c r="Q256" s="142">
        <v>0.4946237</v>
      </c>
      <c r="R256" s="142">
        <v>0.2929293</v>
      </c>
      <c r="S256" s="142">
        <v>0.4166667</v>
      </c>
      <c r="T256" s="142">
        <v>0.131579</v>
      </c>
      <c r="U256" s="142">
        <v>0.39090910000000001</v>
      </c>
      <c r="V256" s="142">
        <v>0.37</v>
      </c>
    </row>
    <row r="257" spans="1:22" ht="18.75" x14ac:dyDescent="0.25">
      <c r="A257" s="141" t="s">
        <v>788</v>
      </c>
      <c r="B257" s="141" t="s">
        <v>766</v>
      </c>
      <c r="C257" s="141">
        <v>70</v>
      </c>
      <c r="D257" s="141" t="s">
        <v>727</v>
      </c>
      <c r="E257" s="141">
        <v>1</v>
      </c>
      <c r="F257" s="142">
        <v>0.65</v>
      </c>
      <c r="G257" s="141">
        <v>1</v>
      </c>
      <c r="H257" s="142">
        <v>0.72222220000000004</v>
      </c>
      <c r="I257" s="142">
        <v>0.6086956</v>
      </c>
      <c r="J257" s="142">
        <v>0.66</v>
      </c>
      <c r="K257" s="155"/>
      <c r="L257" s="141" t="s">
        <v>788</v>
      </c>
      <c r="M257" s="141" t="s">
        <v>766</v>
      </c>
      <c r="N257" s="141">
        <v>70</v>
      </c>
      <c r="O257" s="141" t="s">
        <v>727</v>
      </c>
      <c r="P257" s="141">
        <v>4</v>
      </c>
      <c r="Q257" s="142">
        <v>0.65909090000000004</v>
      </c>
      <c r="R257" s="142">
        <v>0.59183680000000005</v>
      </c>
      <c r="S257" s="142">
        <v>0.92647060000000003</v>
      </c>
      <c r="T257" s="142">
        <v>0.875</v>
      </c>
      <c r="U257" s="142">
        <v>0.45283020000000002</v>
      </c>
      <c r="V257" s="142">
        <v>0.65500000000000003</v>
      </c>
    </row>
    <row r="258" spans="1:22" ht="18.75" x14ac:dyDescent="0.25">
      <c r="A258" s="141" t="s">
        <v>788</v>
      </c>
      <c r="B258" s="141" t="s">
        <v>766</v>
      </c>
      <c r="C258" s="141">
        <v>1633</v>
      </c>
      <c r="D258" s="141" t="s">
        <v>728</v>
      </c>
      <c r="E258" s="141">
        <v>1</v>
      </c>
      <c r="F258" s="142">
        <v>0.46</v>
      </c>
      <c r="G258" s="141">
        <v>1</v>
      </c>
      <c r="H258" s="142">
        <v>0.77777779999999996</v>
      </c>
      <c r="I258" s="142">
        <v>0.52173910000000001</v>
      </c>
      <c r="J258" s="142">
        <v>0.56000000000000005</v>
      </c>
      <c r="K258" s="155"/>
      <c r="L258" s="141" t="s">
        <v>788</v>
      </c>
      <c r="M258" s="141" t="s">
        <v>766</v>
      </c>
      <c r="N258" s="141">
        <v>1633</v>
      </c>
      <c r="O258" s="141" t="s">
        <v>728</v>
      </c>
      <c r="P258" s="141">
        <v>4</v>
      </c>
      <c r="Q258" s="142">
        <v>0.50450450000000002</v>
      </c>
      <c r="R258" s="142">
        <v>0.37234040000000002</v>
      </c>
      <c r="S258" s="142">
        <v>0.3333333</v>
      </c>
      <c r="T258" s="142">
        <v>0.2894737</v>
      </c>
      <c r="U258" s="142">
        <v>0.14432990000000001</v>
      </c>
      <c r="V258" s="142">
        <v>0.34</v>
      </c>
    </row>
    <row r="259" spans="1:22" ht="18.75" x14ac:dyDescent="0.25">
      <c r="A259" s="141" t="s">
        <v>788</v>
      </c>
      <c r="B259" s="141" t="s">
        <v>766</v>
      </c>
      <c r="C259" s="141">
        <v>1956</v>
      </c>
      <c r="D259" s="141" t="s">
        <v>728</v>
      </c>
      <c r="E259" s="141">
        <v>1</v>
      </c>
      <c r="F259" s="142">
        <v>0.48</v>
      </c>
      <c r="G259" s="141">
        <v>1</v>
      </c>
      <c r="H259" s="142">
        <v>0.61111110000000002</v>
      </c>
      <c r="I259" s="142">
        <v>0.57608689999999996</v>
      </c>
      <c r="J259" s="142">
        <v>0.53749999999999998</v>
      </c>
      <c r="K259" s="155"/>
      <c r="L259" s="141" t="s">
        <v>788</v>
      </c>
      <c r="M259" s="141" t="s">
        <v>766</v>
      </c>
      <c r="N259" s="141">
        <v>1956</v>
      </c>
      <c r="O259" s="141" t="s">
        <v>728</v>
      </c>
      <c r="P259" s="141">
        <v>4</v>
      </c>
      <c r="Q259" s="142">
        <v>0.42045450000000001</v>
      </c>
      <c r="R259" s="142">
        <v>0.1326531</v>
      </c>
      <c r="S259" s="142">
        <v>0.26470589999999999</v>
      </c>
      <c r="T259" s="142">
        <v>0.1</v>
      </c>
      <c r="U259" s="142">
        <v>5.6603800000000003E-2</v>
      </c>
      <c r="V259" s="142">
        <v>0.19500000000000001</v>
      </c>
    </row>
    <row r="260" spans="1:22" ht="18.75" x14ac:dyDescent="0.25">
      <c r="A260" s="141" t="s">
        <v>788</v>
      </c>
      <c r="B260" s="141" t="s">
        <v>766</v>
      </c>
      <c r="C260" s="141">
        <v>2019</v>
      </c>
      <c r="D260" s="141" t="s">
        <v>728</v>
      </c>
      <c r="E260" s="141">
        <v>1</v>
      </c>
      <c r="F260" s="142">
        <v>0.57999999999999996</v>
      </c>
      <c r="G260" s="141">
        <v>1</v>
      </c>
      <c r="H260" s="142">
        <v>0.66666669999999995</v>
      </c>
      <c r="I260" s="142">
        <v>0.58695649999999999</v>
      </c>
      <c r="J260" s="142">
        <v>0.60499999999999998</v>
      </c>
      <c r="K260" s="155"/>
      <c r="L260" s="141" t="s">
        <v>788</v>
      </c>
      <c r="M260" s="141" t="s">
        <v>766</v>
      </c>
      <c r="N260" s="141">
        <v>2019</v>
      </c>
      <c r="O260" s="141" t="s">
        <v>728</v>
      </c>
      <c r="P260" s="141">
        <v>4</v>
      </c>
      <c r="Q260" s="142">
        <v>0.35802469999999997</v>
      </c>
      <c r="R260" s="142">
        <v>0.40816330000000001</v>
      </c>
      <c r="S260" s="142">
        <v>0.8</v>
      </c>
      <c r="T260" s="142">
        <v>0.55000000000000004</v>
      </c>
      <c r="U260" s="142">
        <v>0.15094340000000001</v>
      </c>
      <c r="V260" s="142">
        <v>0.41749999999999998</v>
      </c>
    </row>
    <row r="261" spans="1:22" ht="18.75" x14ac:dyDescent="0.25">
      <c r="A261" s="141" t="s">
        <v>788</v>
      </c>
      <c r="B261" s="141" t="s">
        <v>766</v>
      </c>
      <c r="C261" s="141">
        <v>2336</v>
      </c>
      <c r="D261" s="141" t="s">
        <v>680</v>
      </c>
      <c r="E261" s="141">
        <v>1</v>
      </c>
      <c r="F261" s="142">
        <v>0.47</v>
      </c>
      <c r="G261" s="141">
        <v>1</v>
      </c>
      <c r="H261" s="142">
        <v>0.5</v>
      </c>
      <c r="I261" s="142">
        <v>0.56521739999999998</v>
      </c>
      <c r="J261" s="142">
        <v>0.5</v>
      </c>
      <c r="K261" s="155"/>
      <c r="L261" s="141" t="s">
        <v>788</v>
      </c>
      <c r="M261" s="141" t="s">
        <v>766</v>
      </c>
      <c r="N261" s="141">
        <v>2336</v>
      </c>
      <c r="O261" s="141" t="s">
        <v>680</v>
      </c>
      <c r="P261" s="141">
        <v>4</v>
      </c>
      <c r="Q261" s="142">
        <v>0.38888889999999998</v>
      </c>
      <c r="R261" s="142">
        <v>0.2371134</v>
      </c>
      <c r="S261" s="142">
        <v>0.46666669999999999</v>
      </c>
      <c r="T261" s="142">
        <v>0.15</v>
      </c>
      <c r="U261" s="142">
        <v>0.15887850000000001</v>
      </c>
      <c r="V261" s="142">
        <v>0.28125</v>
      </c>
    </row>
    <row r="262" spans="1:22" ht="18.75" x14ac:dyDescent="0.25">
      <c r="A262" s="141" t="s">
        <v>788</v>
      </c>
      <c r="B262" s="141" t="s">
        <v>766</v>
      </c>
      <c r="C262" s="141">
        <v>2341</v>
      </c>
      <c r="D262" s="141" t="s">
        <v>680</v>
      </c>
      <c r="E262" s="141">
        <v>1</v>
      </c>
      <c r="F262" s="142">
        <v>0.52</v>
      </c>
      <c r="G262" s="141">
        <v>1</v>
      </c>
      <c r="H262" s="142">
        <v>0.72222220000000004</v>
      </c>
      <c r="I262" s="142">
        <v>0.55434779999999995</v>
      </c>
      <c r="J262" s="142">
        <v>0.58250000000000002</v>
      </c>
      <c r="K262" s="155"/>
      <c r="L262" s="141" t="s">
        <v>788</v>
      </c>
      <c r="M262" s="141" t="s">
        <v>766</v>
      </c>
      <c r="N262" s="141">
        <v>2341</v>
      </c>
      <c r="O262" s="141" t="s">
        <v>680</v>
      </c>
      <c r="P262" s="141">
        <v>4</v>
      </c>
      <c r="Q262" s="142">
        <v>0.43243239999999999</v>
      </c>
      <c r="R262" s="142">
        <v>7.3684200000000005E-2</v>
      </c>
      <c r="S262" s="142">
        <v>0.38333329999999999</v>
      </c>
      <c r="T262" s="142">
        <v>7.8947400000000001E-2</v>
      </c>
      <c r="U262" s="142">
        <v>9.375E-2</v>
      </c>
      <c r="V262" s="142">
        <v>0.22500000000000001</v>
      </c>
    </row>
    <row r="263" spans="1:22" ht="18.75" x14ac:dyDescent="0.25">
      <c r="A263" s="141" t="s">
        <v>788</v>
      </c>
      <c r="B263" s="141" t="s">
        <v>766</v>
      </c>
      <c r="C263" s="141">
        <v>2770</v>
      </c>
      <c r="D263" s="141" t="s">
        <v>680</v>
      </c>
      <c r="E263" s="141">
        <v>1</v>
      </c>
      <c r="F263" s="142">
        <v>0.28000000000000003</v>
      </c>
      <c r="G263" s="141">
        <v>1</v>
      </c>
      <c r="H263" s="142">
        <v>0.94444439999999996</v>
      </c>
      <c r="I263" s="142">
        <v>0.70652170000000003</v>
      </c>
      <c r="J263" s="142">
        <v>0.5575</v>
      </c>
      <c r="K263" s="155"/>
      <c r="L263" s="141" t="s">
        <v>788</v>
      </c>
      <c r="M263" s="141" t="s">
        <v>766</v>
      </c>
      <c r="N263" s="141">
        <v>2770</v>
      </c>
      <c r="O263" s="141" t="s">
        <v>680</v>
      </c>
      <c r="P263" s="141">
        <v>4</v>
      </c>
      <c r="Q263" s="142">
        <v>0.34375</v>
      </c>
      <c r="R263" s="142">
        <v>0.2758621</v>
      </c>
      <c r="S263" s="142">
        <v>0.5625</v>
      </c>
      <c r="T263" s="142">
        <v>0.21666669999999999</v>
      </c>
      <c r="U263" s="142">
        <v>8.6021500000000001E-2</v>
      </c>
      <c r="V263" s="142">
        <v>0.29375000000000001</v>
      </c>
    </row>
    <row r="264" spans="1:22" ht="18.75" x14ac:dyDescent="0.25">
      <c r="A264" s="141" t="s">
        <v>788</v>
      </c>
      <c r="B264" s="141" t="s">
        <v>766</v>
      </c>
      <c r="C264" s="141">
        <v>2790</v>
      </c>
      <c r="D264" s="141" t="s">
        <v>680</v>
      </c>
      <c r="E264" s="141">
        <v>1</v>
      </c>
      <c r="F264" s="142">
        <v>0.42</v>
      </c>
      <c r="G264" s="141">
        <v>1</v>
      </c>
      <c r="H264" s="142">
        <v>0.66666669999999995</v>
      </c>
      <c r="I264" s="142">
        <v>0.61956520000000004</v>
      </c>
      <c r="J264" s="142">
        <v>0.53249999999999997</v>
      </c>
      <c r="K264" s="155"/>
      <c r="L264" s="141" t="s">
        <v>788</v>
      </c>
      <c r="M264" s="141" t="s">
        <v>766</v>
      </c>
      <c r="N264" s="141">
        <v>2790</v>
      </c>
      <c r="O264" s="141" t="s">
        <v>680</v>
      </c>
      <c r="P264" s="141">
        <v>4</v>
      </c>
      <c r="Q264" s="142">
        <v>0.45294119999999999</v>
      </c>
      <c r="R264" s="142">
        <v>0.62222219999999995</v>
      </c>
      <c r="S264" s="142">
        <v>0.97222220000000004</v>
      </c>
      <c r="T264" s="142">
        <v>0.29310350000000002</v>
      </c>
      <c r="U264" s="142">
        <v>0.32631579999999999</v>
      </c>
      <c r="V264" s="142">
        <v>0.53125</v>
      </c>
    </row>
    <row r="265" spans="1:22" ht="18.75" x14ac:dyDescent="0.25">
      <c r="A265" s="141" t="s">
        <v>788</v>
      </c>
      <c r="B265" s="141" t="s">
        <v>766</v>
      </c>
      <c r="C265" s="141">
        <v>2967</v>
      </c>
      <c r="D265" s="141" t="s">
        <v>680</v>
      </c>
      <c r="E265" s="141">
        <v>1</v>
      </c>
      <c r="F265" s="142">
        <v>0.44</v>
      </c>
      <c r="G265" s="141">
        <v>1</v>
      </c>
      <c r="H265" s="142">
        <v>0.77777779999999996</v>
      </c>
      <c r="I265" s="142">
        <v>0.52173910000000001</v>
      </c>
      <c r="J265" s="142">
        <v>0.55000000000000004</v>
      </c>
      <c r="K265" s="155"/>
      <c r="L265" s="141" t="s">
        <v>788</v>
      </c>
      <c r="M265" s="141" t="s">
        <v>766</v>
      </c>
      <c r="N265" s="141">
        <v>2967</v>
      </c>
      <c r="O265" s="141" t="s">
        <v>680</v>
      </c>
      <c r="P265" s="141">
        <v>2</v>
      </c>
      <c r="Q265" s="142">
        <v>0.05</v>
      </c>
      <c r="R265" s="142">
        <v>0</v>
      </c>
      <c r="S265" s="142">
        <v>0</v>
      </c>
      <c r="T265" s="142">
        <v>0</v>
      </c>
      <c r="U265" s="142">
        <v>0</v>
      </c>
      <c r="V265" s="142">
        <v>0.01</v>
      </c>
    </row>
    <row r="266" spans="1:22" ht="18.75" x14ac:dyDescent="0.25">
      <c r="A266" s="141" t="s">
        <v>789</v>
      </c>
      <c r="B266" s="141" t="s">
        <v>790</v>
      </c>
      <c r="C266" s="141">
        <v>532</v>
      </c>
      <c r="D266" s="141" t="s">
        <v>729</v>
      </c>
      <c r="E266" s="141">
        <v>1</v>
      </c>
      <c r="F266" s="142">
        <v>0.4</v>
      </c>
      <c r="G266" s="141">
        <v>1</v>
      </c>
      <c r="H266" s="142">
        <v>0.94444439999999996</v>
      </c>
      <c r="I266" s="142">
        <v>1</v>
      </c>
      <c r="J266" s="142">
        <v>0.68500000000000005</v>
      </c>
      <c r="K266" s="155"/>
      <c r="L266" s="141" t="s">
        <v>789</v>
      </c>
      <c r="M266" s="141" t="s">
        <v>790</v>
      </c>
      <c r="N266" s="141">
        <v>532</v>
      </c>
      <c r="O266" s="141" t="s">
        <v>729</v>
      </c>
      <c r="P266" s="141">
        <v>4</v>
      </c>
      <c r="Q266" s="142">
        <v>0.75242719999999996</v>
      </c>
      <c r="R266" s="142">
        <v>0.27368419999999999</v>
      </c>
      <c r="S266" s="142">
        <v>0.6</v>
      </c>
      <c r="T266" s="142">
        <v>0.9</v>
      </c>
      <c r="U266" s="142">
        <v>0.3457944</v>
      </c>
      <c r="V266" s="142">
        <v>0.50875000000000004</v>
      </c>
    </row>
    <row r="267" spans="1:22" ht="18.75" x14ac:dyDescent="0.25">
      <c r="A267" s="141" t="s">
        <v>789</v>
      </c>
      <c r="B267" s="141" t="s">
        <v>790</v>
      </c>
      <c r="C267" s="141">
        <v>538</v>
      </c>
      <c r="D267" s="141" t="s">
        <v>727</v>
      </c>
      <c r="E267" s="141">
        <v>1</v>
      </c>
      <c r="F267" s="142">
        <v>0.56999999999999995</v>
      </c>
      <c r="G267" s="141">
        <v>1</v>
      </c>
      <c r="H267" s="142">
        <v>0.88888889999999998</v>
      </c>
      <c r="I267" s="142">
        <v>0.65217389999999997</v>
      </c>
      <c r="J267" s="142">
        <v>0.67500000000000004</v>
      </c>
      <c r="K267" s="155"/>
      <c r="L267" s="141" t="s">
        <v>789</v>
      </c>
      <c r="M267" s="141" t="s">
        <v>790</v>
      </c>
      <c r="N267" s="141">
        <v>538</v>
      </c>
      <c r="O267" s="141" t="s">
        <v>727</v>
      </c>
      <c r="P267" s="141">
        <v>4</v>
      </c>
      <c r="Q267" s="142">
        <v>0.37037039999999999</v>
      </c>
      <c r="R267" s="142">
        <v>0.46511629999999998</v>
      </c>
      <c r="S267" s="142">
        <v>0.625</v>
      </c>
      <c r="T267" s="142">
        <v>0.17948720000000001</v>
      </c>
      <c r="U267" s="142">
        <v>0.18072289999999999</v>
      </c>
      <c r="V267" s="142">
        <v>0.36</v>
      </c>
    </row>
    <row r="268" spans="1:22" ht="18.75" x14ac:dyDescent="0.25">
      <c r="A268" s="141" t="s">
        <v>789</v>
      </c>
      <c r="B268" s="141" t="s">
        <v>790</v>
      </c>
      <c r="C268" s="141">
        <v>1885</v>
      </c>
      <c r="D268" s="141" t="s">
        <v>728</v>
      </c>
      <c r="E268" s="141">
        <v>1</v>
      </c>
      <c r="F268" s="142">
        <v>0.5</v>
      </c>
      <c r="G268" s="141">
        <v>1</v>
      </c>
      <c r="H268" s="142">
        <v>0.77777779999999996</v>
      </c>
      <c r="I268" s="142">
        <v>0.63043479999999996</v>
      </c>
      <c r="J268" s="142">
        <v>0.60499999999999998</v>
      </c>
      <c r="K268" s="155"/>
      <c r="L268" s="141" t="s">
        <v>789</v>
      </c>
      <c r="M268" s="141" t="s">
        <v>790</v>
      </c>
      <c r="N268" s="141">
        <v>1885</v>
      </c>
      <c r="O268" s="141" t="s">
        <v>728</v>
      </c>
      <c r="P268" s="141">
        <v>4</v>
      </c>
      <c r="Q268" s="142">
        <v>0.5606061</v>
      </c>
      <c r="R268" s="142">
        <v>0.3058824</v>
      </c>
      <c r="S268" s="142">
        <v>0.3333333</v>
      </c>
      <c r="T268" s="142">
        <v>0.1666667</v>
      </c>
      <c r="U268" s="142">
        <v>7.5268799999999997E-2</v>
      </c>
      <c r="V268" s="142">
        <v>0.33</v>
      </c>
    </row>
    <row r="269" spans="1:22" ht="18.75" x14ac:dyDescent="0.25">
      <c r="A269" s="141" t="s">
        <v>789</v>
      </c>
      <c r="B269" s="141" t="s">
        <v>790</v>
      </c>
      <c r="C269" s="141">
        <v>1886</v>
      </c>
      <c r="D269" s="141" t="s">
        <v>728</v>
      </c>
      <c r="E269" s="141">
        <v>1</v>
      </c>
      <c r="F269" s="142">
        <v>0.46</v>
      </c>
      <c r="G269" s="141">
        <v>1</v>
      </c>
      <c r="H269" s="142">
        <v>0.5</v>
      </c>
      <c r="I269" s="142">
        <v>0.94565220000000005</v>
      </c>
      <c r="J269" s="142">
        <v>0.58250000000000002</v>
      </c>
      <c r="K269" s="155"/>
      <c r="L269" s="141" t="s">
        <v>789</v>
      </c>
      <c r="M269" s="141" t="s">
        <v>790</v>
      </c>
      <c r="N269" s="141">
        <v>1886</v>
      </c>
      <c r="O269" s="141" t="s">
        <v>728</v>
      </c>
      <c r="P269" s="141">
        <v>4</v>
      </c>
      <c r="Q269" s="142">
        <v>0.74468080000000003</v>
      </c>
      <c r="R269" s="142">
        <v>0.49541289999999999</v>
      </c>
      <c r="S269" s="142">
        <v>0.41818179999999999</v>
      </c>
      <c r="T269" s="142">
        <v>0</v>
      </c>
      <c r="U269" s="142">
        <v>0.44354840000000001</v>
      </c>
      <c r="V269" s="142">
        <v>0.505</v>
      </c>
    </row>
    <row r="270" spans="1:22" ht="18.75" x14ac:dyDescent="0.25">
      <c r="A270" s="141" t="s">
        <v>789</v>
      </c>
      <c r="B270" s="141" t="s">
        <v>790</v>
      </c>
      <c r="C270" s="141">
        <v>1923</v>
      </c>
      <c r="D270" s="141" t="s">
        <v>728</v>
      </c>
      <c r="E270" s="141">
        <v>1</v>
      </c>
      <c r="F270" s="142">
        <v>0.51</v>
      </c>
      <c r="G270" s="141">
        <v>1</v>
      </c>
      <c r="H270" s="142">
        <v>0.72222220000000004</v>
      </c>
      <c r="I270" s="142">
        <v>0.76086960000000003</v>
      </c>
      <c r="J270" s="142">
        <v>0.625</v>
      </c>
      <c r="K270" s="155"/>
      <c r="L270" s="141" t="s">
        <v>789</v>
      </c>
      <c r="M270" s="141" t="s">
        <v>790</v>
      </c>
      <c r="N270" s="141">
        <v>1923</v>
      </c>
      <c r="O270" s="141" t="s">
        <v>728</v>
      </c>
      <c r="P270" s="141">
        <v>4</v>
      </c>
      <c r="Q270" s="142">
        <v>0.61111110000000002</v>
      </c>
      <c r="R270" s="142">
        <v>0.46226420000000001</v>
      </c>
      <c r="S270" s="142">
        <v>0.69090910000000005</v>
      </c>
      <c r="T270" s="142">
        <v>0.1052632</v>
      </c>
      <c r="U270" s="142">
        <v>0.55855860000000002</v>
      </c>
      <c r="V270" s="142">
        <v>0.52</v>
      </c>
    </row>
    <row r="271" spans="1:22" ht="18.75" x14ac:dyDescent="0.25">
      <c r="A271" s="141" t="s">
        <v>789</v>
      </c>
      <c r="B271" s="141" t="s">
        <v>790</v>
      </c>
      <c r="C271" s="141">
        <v>2226</v>
      </c>
      <c r="D271" s="141" t="s">
        <v>728</v>
      </c>
      <c r="E271" s="141">
        <v>2</v>
      </c>
      <c r="F271" s="142">
        <v>0.375</v>
      </c>
      <c r="G271" s="141">
        <v>0</v>
      </c>
      <c r="H271" s="142"/>
      <c r="I271" s="142"/>
      <c r="J271" s="142">
        <v>0.375</v>
      </c>
      <c r="K271" s="155"/>
      <c r="L271" s="141" t="s">
        <v>789</v>
      </c>
      <c r="M271" s="141" t="s">
        <v>790</v>
      </c>
      <c r="N271" s="141">
        <v>2226</v>
      </c>
      <c r="O271" s="141" t="s">
        <v>728</v>
      </c>
      <c r="P271" s="141">
        <v>4</v>
      </c>
      <c r="Q271" s="142">
        <v>0.75268820000000003</v>
      </c>
      <c r="R271" s="142">
        <v>0.68</v>
      </c>
      <c r="S271" s="142">
        <v>0.75</v>
      </c>
      <c r="T271" s="142">
        <v>0.5789474</v>
      </c>
      <c r="U271" s="142">
        <v>0.61467890000000003</v>
      </c>
      <c r="V271" s="142">
        <v>0.68</v>
      </c>
    </row>
    <row r="272" spans="1:22" ht="18.75" x14ac:dyDescent="0.25">
      <c r="A272" s="141" t="s">
        <v>789</v>
      </c>
      <c r="B272" s="141" t="s">
        <v>790</v>
      </c>
      <c r="C272" s="141">
        <v>2229</v>
      </c>
      <c r="D272" s="141" t="s">
        <v>680</v>
      </c>
      <c r="E272" s="141">
        <v>1</v>
      </c>
      <c r="F272" s="142">
        <v>0.48</v>
      </c>
      <c r="G272" s="141">
        <v>1</v>
      </c>
      <c r="H272" s="142">
        <v>0.72222220000000004</v>
      </c>
      <c r="I272" s="142">
        <v>0.78260870000000005</v>
      </c>
      <c r="J272" s="142">
        <v>0.61499999999999999</v>
      </c>
      <c r="K272" s="155"/>
      <c r="L272" s="141" t="s">
        <v>789</v>
      </c>
      <c r="M272" s="141" t="s">
        <v>790</v>
      </c>
      <c r="N272" s="141">
        <v>2229</v>
      </c>
      <c r="O272" s="141" t="s">
        <v>680</v>
      </c>
      <c r="P272" s="141">
        <v>4</v>
      </c>
      <c r="Q272" s="142">
        <v>0.47272730000000002</v>
      </c>
      <c r="R272" s="142">
        <v>0.44318180000000001</v>
      </c>
      <c r="S272" s="142">
        <v>0.83333330000000005</v>
      </c>
      <c r="T272" s="142">
        <v>0.28000000000000003</v>
      </c>
      <c r="U272" s="142">
        <v>0.28260869999999999</v>
      </c>
      <c r="V272" s="142">
        <v>0.45250000000000001</v>
      </c>
    </row>
    <row r="273" spans="1:22" ht="18.75" x14ac:dyDescent="0.25">
      <c r="A273" s="141" t="s">
        <v>789</v>
      </c>
      <c r="B273" s="141" t="s">
        <v>790</v>
      </c>
      <c r="C273" s="141">
        <v>2331</v>
      </c>
      <c r="D273" s="141" t="s">
        <v>680</v>
      </c>
      <c r="E273" s="141">
        <v>1</v>
      </c>
      <c r="F273" s="142">
        <v>0.41</v>
      </c>
      <c r="G273" s="141">
        <v>1</v>
      </c>
      <c r="H273" s="142">
        <v>0.77777779999999996</v>
      </c>
      <c r="I273" s="142">
        <v>0.69565220000000005</v>
      </c>
      <c r="J273" s="142">
        <v>0.57499999999999996</v>
      </c>
      <c r="K273" s="155"/>
      <c r="L273" s="141" t="s">
        <v>789</v>
      </c>
      <c r="M273" s="141" t="s">
        <v>790</v>
      </c>
      <c r="N273" s="141">
        <v>2331</v>
      </c>
      <c r="O273" s="141" t="s">
        <v>680</v>
      </c>
      <c r="P273" s="141">
        <v>4</v>
      </c>
      <c r="Q273" s="142">
        <v>0.46590910000000002</v>
      </c>
      <c r="R273" s="142">
        <v>0.39795920000000001</v>
      </c>
      <c r="S273" s="142">
        <v>0.48529410000000001</v>
      </c>
      <c r="T273" s="142">
        <v>0.27500000000000002</v>
      </c>
      <c r="U273" s="142">
        <v>0.18867919999999999</v>
      </c>
      <c r="V273" s="142">
        <v>0.36</v>
      </c>
    </row>
    <row r="274" spans="1:22" ht="18.75" x14ac:dyDescent="0.25">
      <c r="A274" s="141" t="s">
        <v>789</v>
      </c>
      <c r="B274" s="141" t="s">
        <v>790</v>
      </c>
      <c r="C274" s="141">
        <v>3186</v>
      </c>
      <c r="D274" s="141" t="s">
        <v>680</v>
      </c>
      <c r="E274" s="141">
        <v>2</v>
      </c>
      <c r="F274" s="142">
        <v>0.57999999999999996</v>
      </c>
      <c r="G274" s="141">
        <v>0</v>
      </c>
      <c r="H274" s="142"/>
      <c r="I274" s="142"/>
      <c r="J274" s="142">
        <v>0.57999999999999996</v>
      </c>
      <c r="K274" s="155"/>
      <c r="L274" s="141" t="s">
        <v>789</v>
      </c>
      <c r="M274" s="141" t="s">
        <v>790</v>
      </c>
      <c r="N274" s="141">
        <v>3186</v>
      </c>
      <c r="O274" s="141" t="s">
        <v>680</v>
      </c>
      <c r="P274" s="141">
        <v>4</v>
      </c>
      <c r="Q274" s="142">
        <v>0.7584746</v>
      </c>
      <c r="R274" s="142">
        <v>0.65463919999999998</v>
      </c>
      <c r="S274" s="142">
        <v>1</v>
      </c>
      <c r="T274" s="142">
        <v>0.2</v>
      </c>
      <c r="U274" s="142">
        <v>0.56074769999999996</v>
      </c>
      <c r="V274" s="142">
        <v>0.66749999999999998</v>
      </c>
    </row>
    <row r="275" spans="1:22" ht="18.75" x14ac:dyDescent="0.25">
      <c r="A275" s="141" t="s">
        <v>789</v>
      </c>
      <c r="B275" s="141" t="s">
        <v>790</v>
      </c>
      <c r="C275" s="141">
        <v>3387</v>
      </c>
      <c r="D275" s="141" t="s">
        <v>680</v>
      </c>
      <c r="E275" s="141">
        <v>1</v>
      </c>
      <c r="F275" s="142">
        <v>0.6</v>
      </c>
      <c r="G275" s="141">
        <v>1</v>
      </c>
      <c r="H275" s="142">
        <v>1</v>
      </c>
      <c r="I275" s="142">
        <v>1</v>
      </c>
      <c r="J275" s="142">
        <v>0.8</v>
      </c>
      <c r="K275" s="155"/>
      <c r="L275" s="141" t="s">
        <v>789</v>
      </c>
      <c r="M275" s="141" t="s">
        <v>790</v>
      </c>
      <c r="N275" s="141">
        <v>3387</v>
      </c>
      <c r="O275" s="141" t="s">
        <v>680</v>
      </c>
      <c r="P275" s="141">
        <v>4</v>
      </c>
      <c r="Q275" s="142">
        <v>0.70930230000000005</v>
      </c>
      <c r="R275" s="142">
        <v>0.56000000000000005</v>
      </c>
      <c r="S275" s="142">
        <v>0.22388060000000001</v>
      </c>
      <c r="T275" s="142">
        <v>0.4473684</v>
      </c>
      <c r="U275" s="142">
        <v>0.44036700000000001</v>
      </c>
      <c r="V275" s="142">
        <v>0.49249999999999999</v>
      </c>
    </row>
    <row r="276" spans="1:22" ht="18.75" x14ac:dyDescent="0.25">
      <c r="A276" s="141" t="s">
        <v>789</v>
      </c>
      <c r="B276" s="141" t="s">
        <v>790</v>
      </c>
      <c r="C276" s="141">
        <v>3791</v>
      </c>
      <c r="D276" s="141" t="s">
        <v>680</v>
      </c>
      <c r="E276" s="141">
        <v>1</v>
      </c>
      <c r="F276" s="142">
        <v>0.37</v>
      </c>
      <c r="G276" s="141">
        <v>1</v>
      </c>
      <c r="H276" s="142">
        <v>0.83333330000000005</v>
      </c>
      <c r="I276" s="142">
        <v>0.72826089999999999</v>
      </c>
      <c r="J276" s="142">
        <v>0.57750000000000001</v>
      </c>
      <c r="K276" s="155"/>
      <c r="L276" s="141" t="s">
        <v>789</v>
      </c>
      <c r="M276" s="141" t="s">
        <v>790</v>
      </c>
      <c r="N276" s="141">
        <v>3791</v>
      </c>
      <c r="O276" s="141" t="s">
        <v>680</v>
      </c>
      <c r="P276" s="141">
        <v>4</v>
      </c>
      <c r="Q276" s="142">
        <v>0.4719101</v>
      </c>
      <c r="R276" s="142">
        <v>0.4742268</v>
      </c>
      <c r="S276" s="142">
        <v>0.71666660000000004</v>
      </c>
      <c r="T276" s="142">
        <v>0.17241380000000001</v>
      </c>
      <c r="U276" s="142">
        <v>0.2395833</v>
      </c>
      <c r="V276" s="142">
        <v>0.41</v>
      </c>
    </row>
    <row r="277" spans="1:22" ht="18.75" x14ac:dyDescent="0.25">
      <c r="A277" s="141" t="s">
        <v>791</v>
      </c>
      <c r="B277" s="141" t="s">
        <v>790</v>
      </c>
      <c r="C277" s="141">
        <v>857</v>
      </c>
      <c r="D277" s="141" t="s">
        <v>729</v>
      </c>
      <c r="E277" s="141">
        <v>1</v>
      </c>
      <c r="F277" s="142">
        <v>0.54</v>
      </c>
      <c r="G277" s="141">
        <v>1</v>
      </c>
      <c r="H277" s="142">
        <v>0.83333330000000005</v>
      </c>
      <c r="I277" s="142">
        <v>0.5</v>
      </c>
      <c r="J277" s="142">
        <v>0.61</v>
      </c>
      <c r="K277" s="155"/>
      <c r="L277" s="141" t="s">
        <v>791</v>
      </c>
      <c r="M277" s="141" t="s">
        <v>790</v>
      </c>
      <c r="N277" s="141">
        <v>857</v>
      </c>
      <c r="O277" s="141" t="s">
        <v>729</v>
      </c>
      <c r="P277" s="141">
        <v>4</v>
      </c>
      <c r="Q277" s="142">
        <v>0.43367349999999999</v>
      </c>
      <c r="R277" s="142">
        <v>0.40243899999999999</v>
      </c>
      <c r="S277" s="142">
        <v>0.4375</v>
      </c>
      <c r="T277" s="142">
        <v>0.2</v>
      </c>
      <c r="U277" s="142">
        <v>0.1875</v>
      </c>
      <c r="V277" s="142">
        <v>0.34375</v>
      </c>
    </row>
    <row r="278" spans="1:22" ht="18.75" x14ac:dyDescent="0.25">
      <c r="A278" s="141" t="s">
        <v>791</v>
      </c>
      <c r="B278" s="141" t="s">
        <v>790</v>
      </c>
      <c r="C278" s="141">
        <v>1731</v>
      </c>
      <c r="D278" s="141" t="s">
        <v>728</v>
      </c>
      <c r="E278" s="141">
        <v>1</v>
      </c>
      <c r="F278" s="142">
        <v>0.56000000000000005</v>
      </c>
      <c r="G278" s="141">
        <v>1</v>
      </c>
      <c r="H278" s="142">
        <v>0.44444440000000002</v>
      </c>
      <c r="I278" s="142">
        <v>0.67391310000000004</v>
      </c>
      <c r="J278" s="142">
        <v>0.55500000000000005</v>
      </c>
      <c r="K278" s="155"/>
      <c r="L278" s="141" t="s">
        <v>791</v>
      </c>
      <c r="M278" s="141" t="s">
        <v>790</v>
      </c>
      <c r="N278" s="141">
        <v>1731</v>
      </c>
      <c r="O278" s="141" t="s">
        <v>728</v>
      </c>
      <c r="P278" s="141">
        <v>4</v>
      </c>
      <c r="Q278" s="142">
        <v>0.68269230000000003</v>
      </c>
      <c r="R278" s="142">
        <v>0.41489359999999997</v>
      </c>
      <c r="S278" s="142">
        <v>0.67164179999999996</v>
      </c>
      <c r="T278" s="142">
        <v>0.1842105</v>
      </c>
      <c r="U278" s="142">
        <v>0.28865980000000002</v>
      </c>
      <c r="V278" s="142">
        <v>0.47499999999999998</v>
      </c>
    </row>
    <row r="279" spans="1:22" ht="18.75" x14ac:dyDescent="0.25">
      <c r="A279" s="141" t="s">
        <v>791</v>
      </c>
      <c r="B279" s="141" t="s">
        <v>790</v>
      </c>
      <c r="C279" s="141">
        <v>1732</v>
      </c>
      <c r="D279" s="141" t="s">
        <v>727</v>
      </c>
      <c r="E279" s="141">
        <v>1</v>
      </c>
      <c r="F279" s="142">
        <v>0.57999999999999996</v>
      </c>
      <c r="G279" s="141">
        <v>1</v>
      </c>
      <c r="H279" s="142">
        <v>0.55555560000000004</v>
      </c>
      <c r="I279" s="142">
        <v>0.51086960000000003</v>
      </c>
      <c r="J279" s="142">
        <v>0.5575</v>
      </c>
      <c r="K279" s="155"/>
      <c r="L279" s="141" t="s">
        <v>791</v>
      </c>
      <c r="M279" s="141" t="s">
        <v>790</v>
      </c>
      <c r="N279" s="141">
        <v>1732</v>
      </c>
      <c r="O279" s="141" t="s">
        <v>727</v>
      </c>
      <c r="P279" s="141">
        <v>4</v>
      </c>
      <c r="Q279" s="142">
        <v>0.4</v>
      </c>
      <c r="R279" s="142">
        <v>0.70786519999999997</v>
      </c>
      <c r="S279" s="142">
        <v>0.23076920000000001</v>
      </c>
      <c r="T279" s="142">
        <v>0.1458333</v>
      </c>
      <c r="U279" s="142">
        <v>0.3229167</v>
      </c>
      <c r="V279" s="142">
        <v>0.39750000000000002</v>
      </c>
    </row>
    <row r="280" spans="1:22" ht="18.75" x14ac:dyDescent="0.25">
      <c r="A280" s="141" t="s">
        <v>791</v>
      </c>
      <c r="B280" s="141" t="s">
        <v>790</v>
      </c>
      <c r="C280" s="141">
        <v>1839</v>
      </c>
      <c r="D280" s="141" t="s">
        <v>728</v>
      </c>
      <c r="E280" s="141">
        <v>1</v>
      </c>
      <c r="F280" s="142">
        <v>0.63</v>
      </c>
      <c r="G280" s="141">
        <v>1</v>
      </c>
      <c r="H280" s="142">
        <v>0.94444439999999996</v>
      </c>
      <c r="I280" s="142">
        <v>0.6086956</v>
      </c>
      <c r="J280" s="142">
        <v>0.71</v>
      </c>
      <c r="K280" s="155"/>
      <c r="L280" s="141" t="s">
        <v>791</v>
      </c>
      <c r="M280" s="141" t="s">
        <v>790</v>
      </c>
      <c r="N280" s="141">
        <v>1839</v>
      </c>
      <c r="O280" s="141" t="s">
        <v>728</v>
      </c>
      <c r="P280" s="141">
        <v>4</v>
      </c>
      <c r="Q280" s="142">
        <v>0.70967740000000001</v>
      </c>
      <c r="R280" s="142">
        <v>0.44444440000000002</v>
      </c>
      <c r="S280" s="142">
        <v>0.83333330000000005</v>
      </c>
      <c r="T280" s="142">
        <v>0.63157890000000005</v>
      </c>
      <c r="U280" s="142">
        <v>0.48181819999999997</v>
      </c>
      <c r="V280" s="142">
        <v>0.59250000000000003</v>
      </c>
    </row>
    <row r="281" spans="1:22" ht="18.75" x14ac:dyDescent="0.25">
      <c r="A281" s="141" t="s">
        <v>791</v>
      </c>
      <c r="B281" s="141" t="s">
        <v>790</v>
      </c>
      <c r="C281" s="141">
        <v>1897</v>
      </c>
      <c r="D281" s="141" t="s">
        <v>728</v>
      </c>
      <c r="E281" s="141">
        <v>1</v>
      </c>
      <c r="F281" s="142">
        <v>0.48</v>
      </c>
      <c r="G281" s="141">
        <v>1</v>
      </c>
      <c r="H281" s="142">
        <v>0.94444439999999996</v>
      </c>
      <c r="I281" s="142">
        <v>0.54347829999999997</v>
      </c>
      <c r="J281" s="142">
        <v>0.62</v>
      </c>
      <c r="K281" s="155"/>
      <c r="L281" s="141" t="s">
        <v>791</v>
      </c>
      <c r="M281" s="141" t="s">
        <v>790</v>
      </c>
      <c r="N281" s="141">
        <v>1897</v>
      </c>
      <c r="O281" s="141" t="s">
        <v>728</v>
      </c>
      <c r="P281" s="141">
        <v>4</v>
      </c>
      <c r="Q281" s="142">
        <v>0.47058820000000001</v>
      </c>
      <c r="R281" s="142">
        <v>0.31460680000000002</v>
      </c>
      <c r="S281" s="142">
        <v>0.27777780000000002</v>
      </c>
      <c r="T281" s="142">
        <v>0.32758619999999999</v>
      </c>
      <c r="U281" s="142">
        <v>0.28125</v>
      </c>
      <c r="V281" s="142">
        <v>0.33500000000000002</v>
      </c>
    </row>
    <row r="282" spans="1:22" ht="18.75" x14ac:dyDescent="0.25">
      <c r="A282" s="141" t="s">
        <v>791</v>
      </c>
      <c r="B282" s="141" t="s">
        <v>790</v>
      </c>
      <c r="C282" s="141">
        <v>2241</v>
      </c>
      <c r="D282" s="141" t="s">
        <v>680</v>
      </c>
      <c r="E282" s="141">
        <v>1</v>
      </c>
      <c r="F282" s="142">
        <v>0.56000000000000005</v>
      </c>
      <c r="G282" s="141">
        <v>1</v>
      </c>
      <c r="H282" s="142">
        <v>1</v>
      </c>
      <c r="I282" s="142">
        <v>0.54347829999999997</v>
      </c>
      <c r="J282" s="142">
        <v>0.67500000000000004</v>
      </c>
      <c r="K282" s="155"/>
      <c r="L282" s="141" t="s">
        <v>791</v>
      </c>
      <c r="M282" s="141" t="s">
        <v>790</v>
      </c>
      <c r="N282" s="141">
        <v>2241</v>
      </c>
      <c r="O282" s="141" t="s">
        <v>680</v>
      </c>
      <c r="P282" s="141">
        <v>4</v>
      </c>
      <c r="Q282" s="142">
        <v>0.23655909999999999</v>
      </c>
      <c r="R282" s="142">
        <v>0.18</v>
      </c>
      <c r="S282" s="142">
        <v>0.05</v>
      </c>
      <c r="T282" s="142">
        <v>0</v>
      </c>
      <c r="U282" s="142">
        <v>5.5045900000000002E-2</v>
      </c>
      <c r="V282" s="142">
        <v>0.1225</v>
      </c>
    </row>
    <row r="283" spans="1:22" ht="18.75" x14ac:dyDescent="0.25">
      <c r="A283" s="141" t="s">
        <v>791</v>
      </c>
      <c r="B283" s="141" t="s">
        <v>790</v>
      </c>
      <c r="C283" s="141">
        <v>2246</v>
      </c>
      <c r="D283" s="141" t="s">
        <v>680</v>
      </c>
      <c r="E283" s="141">
        <v>1</v>
      </c>
      <c r="F283" s="142">
        <v>0.36</v>
      </c>
      <c r="G283" s="141">
        <v>1</v>
      </c>
      <c r="H283" s="142">
        <v>0.88888889999999998</v>
      </c>
      <c r="I283" s="142">
        <v>0.57608689999999996</v>
      </c>
      <c r="J283" s="142">
        <v>0.55249999999999999</v>
      </c>
      <c r="K283" s="155"/>
      <c r="L283" s="141" t="s">
        <v>791</v>
      </c>
      <c r="M283" s="141" t="s">
        <v>790</v>
      </c>
      <c r="N283" s="141">
        <v>2246</v>
      </c>
      <c r="O283" s="141" t="s">
        <v>680</v>
      </c>
      <c r="P283" s="141">
        <v>4</v>
      </c>
      <c r="Q283" s="142">
        <v>0.3470588</v>
      </c>
      <c r="R283" s="142">
        <v>0.37078650000000002</v>
      </c>
      <c r="S283" s="142">
        <v>0.13888890000000001</v>
      </c>
      <c r="T283" s="142">
        <v>0.1206897</v>
      </c>
      <c r="U283" s="142">
        <v>0.1145833</v>
      </c>
      <c r="V283" s="142">
        <v>0.22625000000000001</v>
      </c>
    </row>
    <row r="284" spans="1:22" ht="18.75" x14ac:dyDescent="0.25">
      <c r="A284" s="141" t="s">
        <v>791</v>
      </c>
      <c r="B284" s="141" t="s">
        <v>790</v>
      </c>
      <c r="C284" s="141">
        <v>2248</v>
      </c>
      <c r="D284" s="141" t="s">
        <v>680</v>
      </c>
      <c r="E284" s="141">
        <v>1</v>
      </c>
      <c r="F284" s="142">
        <v>0.64</v>
      </c>
      <c r="G284" s="141">
        <v>1</v>
      </c>
      <c r="H284" s="142">
        <v>1</v>
      </c>
      <c r="I284" s="142">
        <v>0.61956520000000004</v>
      </c>
      <c r="J284" s="142">
        <v>0.73250000000000004</v>
      </c>
      <c r="K284" s="155"/>
      <c r="L284" s="141" t="s">
        <v>791</v>
      </c>
      <c r="M284" s="141" t="s">
        <v>790</v>
      </c>
      <c r="N284" s="141">
        <v>2248</v>
      </c>
      <c r="O284" s="141" t="s">
        <v>680</v>
      </c>
      <c r="P284" s="141">
        <v>4</v>
      </c>
      <c r="Q284" s="142">
        <v>0.62365590000000004</v>
      </c>
      <c r="R284" s="142">
        <v>0.76</v>
      </c>
      <c r="S284" s="142">
        <v>0.25</v>
      </c>
      <c r="T284" s="142">
        <v>0.4736842</v>
      </c>
      <c r="U284" s="142">
        <v>0.44954129999999998</v>
      </c>
      <c r="V284" s="142">
        <v>0.54</v>
      </c>
    </row>
    <row r="285" spans="1:22" ht="18.75" x14ac:dyDescent="0.25">
      <c r="A285" s="141" t="s">
        <v>791</v>
      </c>
      <c r="B285" s="141" t="s">
        <v>790</v>
      </c>
      <c r="C285" s="141">
        <v>2852</v>
      </c>
      <c r="D285" s="141" t="s">
        <v>680</v>
      </c>
      <c r="E285" s="141">
        <v>1</v>
      </c>
      <c r="F285" s="142">
        <v>0.52</v>
      </c>
      <c r="G285" s="141">
        <v>1</v>
      </c>
      <c r="H285" s="142">
        <v>0.83333330000000005</v>
      </c>
      <c r="I285" s="142">
        <v>0.53260870000000005</v>
      </c>
      <c r="J285" s="142">
        <v>0.60750000000000004</v>
      </c>
      <c r="K285" s="155"/>
      <c r="L285" s="141" t="s">
        <v>791</v>
      </c>
      <c r="M285" s="141" t="s">
        <v>790</v>
      </c>
      <c r="N285" s="141">
        <v>2852</v>
      </c>
      <c r="O285" s="141" t="s">
        <v>680</v>
      </c>
      <c r="P285" s="141">
        <v>4</v>
      </c>
      <c r="Q285" s="142">
        <v>0.27941179999999999</v>
      </c>
      <c r="R285" s="142">
        <v>0.36956519999999998</v>
      </c>
      <c r="S285" s="142">
        <v>0.375</v>
      </c>
      <c r="T285" s="142">
        <v>0.1</v>
      </c>
      <c r="U285" s="142">
        <v>0.15957450000000001</v>
      </c>
      <c r="V285" s="142">
        <v>0.27</v>
      </c>
    </row>
    <row r="286" spans="1:22" ht="18.75" x14ac:dyDescent="0.25">
      <c r="A286" s="141" t="s">
        <v>791</v>
      </c>
      <c r="B286" s="141" t="s">
        <v>790</v>
      </c>
      <c r="C286" s="141">
        <v>3841</v>
      </c>
      <c r="D286" s="141" t="s">
        <v>680</v>
      </c>
      <c r="E286" s="141">
        <v>1</v>
      </c>
      <c r="F286" s="142">
        <v>0.41</v>
      </c>
      <c r="G286" s="141">
        <v>1</v>
      </c>
      <c r="H286" s="142">
        <v>0.77777779999999996</v>
      </c>
      <c r="I286" s="142">
        <v>0.59782610000000003</v>
      </c>
      <c r="J286" s="142">
        <v>0.55249999999999999</v>
      </c>
      <c r="K286" s="155"/>
      <c r="L286" s="141" t="s">
        <v>791</v>
      </c>
      <c r="M286" s="141" t="s">
        <v>790</v>
      </c>
      <c r="N286" s="141">
        <v>3841</v>
      </c>
      <c r="O286" s="141" t="s">
        <v>680</v>
      </c>
      <c r="P286" s="141">
        <v>4</v>
      </c>
      <c r="Q286" s="142">
        <v>0.28089890000000001</v>
      </c>
      <c r="R286" s="142">
        <v>0.1979167</v>
      </c>
      <c r="S286" s="142">
        <v>8.3333299999999999E-2</v>
      </c>
      <c r="T286" s="142">
        <v>0.1206897</v>
      </c>
      <c r="U286" s="142">
        <v>5.1546399999999999E-2</v>
      </c>
      <c r="V286" s="142">
        <v>0.1525</v>
      </c>
    </row>
    <row r="287" spans="1:22" ht="18.75" x14ac:dyDescent="0.25">
      <c r="A287" s="141" t="s">
        <v>791</v>
      </c>
      <c r="B287" s="141" t="s">
        <v>790</v>
      </c>
      <c r="C287" s="141">
        <v>3845</v>
      </c>
      <c r="D287" s="141" t="s">
        <v>680</v>
      </c>
      <c r="E287" s="141">
        <v>1</v>
      </c>
      <c r="F287" s="142">
        <v>0.54</v>
      </c>
      <c r="G287" s="141">
        <v>1</v>
      </c>
      <c r="H287" s="142">
        <v>0.5</v>
      </c>
      <c r="I287" s="142">
        <v>0.1956522</v>
      </c>
      <c r="J287" s="142">
        <v>0.45</v>
      </c>
      <c r="K287" s="155"/>
      <c r="L287" s="141" t="s">
        <v>791</v>
      </c>
      <c r="M287" s="141" t="s">
        <v>790</v>
      </c>
      <c r="N287" s="141">
        <v>3845</v>
      </c>
      <c r="O287" s="141" t="s">
        <v>680</v>
      </c>
      <c r="P287" s="141">
        <v>4</v>
      </c>
      <c r="Q287" s="142">
        <v>0.36363640000000003</v>
      </c>
      <c r="R287" s="142">
        <v>0.34693879999999999</v>
      </c>
      <c r="S287" s="142">
        <v>0.29411769999999998</v>
      </c>
      <c r="T287" s="142">
        <v>0.05</v>
      </c>
      <c r="U287" s="142">
        <v>0.20754719999999999</v>
      </c>
      <c r="V287" s="142">
        <v>0.27500000000000002</v>
      </c>
    </row>
    <row r="288" spans="1:22" ht="18.75" x14ac:dyDescent="0.25">
      <c r="A288" s="141" t="s">
        <v>792</v>
      </c>
      <c r="B288" s="141" t="s">
        <v>758</v>
      </c>
      <c r="C288" s="141">
        <v>432</v>
      </c>
      <c r="D288" s="141" t="s">
        <v>728</v>
      </c>
      <c r="E288" s="141">
        <v>1</v>
      </c>
      <c r="F288" s="142">
        <v>0.62</v>
      </c>
      <c r="G288" s="141">
        <v>1</v>
      </c>
      <c r="H288" s="142">
        <v>0.3333333</v>
      </c>
      <c r="I288" s="142">
        <v>0.75</v>
      </c>
      <c r="J288" s="142">
        <v>0.57250000000000001</v>
      </c>
      <c r="K288" s="155"/>
      <c r="L288" s="141" t="s">
        <v>792</v>
      </c>
      <c r="M288" s="141" t="s">
        <v>758</v>
      </c>
      <c r="N288" s="141">
        <v>432</v>
      </c>
      <c r="O288" s="141" t="s">
        <v>728</v>
      </c>
      <c r="P288" s="141">
        <v>4</v>
      </c>
      <c r="Q288" s="142">
        <v>0.70370370000000004</v>
      </c>
      <c r="R288" s="142">
        <v>0.57731960000000004</v>
      </c>
      <c r="S288" s="142">
        <v>0.66666669999999995</v>
      </c>
      <c r="T288" s="142">
        <v>0.25</v>
      </c>
      <c r="U288" s="142">
        <v>0.40186909999999998</v>
      </c>
      <c r="V288" s="142">
        <v>0.54</v>
      </c>
    </row>
    <row r="289" spans="1:22" ht="18.75" x14ac:dyDescent="0.25">
      <c r="A289" s="141" t="s">
        <v>792</v>
      </c>
      <c r="B289" s="141" t="s">
        <v>758</v>
      </c>
      <c r="C289" s="141">
        <v>437</v>
      </c>
      <c r="D289" s="141" t="s">
        <v>727</v>
      </c>
      <c r="E289" s="141">
        <v>2</v>
      </c>
      <c r="F289" s="142">
        <v>0.69</v>
      </c>
      <c r="G289" s="141">
        <v>0</v>
      </c>
      <c r="H289" s="142"/>
      <c r="I289" s="142"/>
      <c r="J289" s="142">
        <v>0.69</v>
      </c>
      <c r="K289" s="155"/>
      <c r="L289" s="141" t="s">
        <v>792</v>
      </c>
      <c r="M289" s="141" t="s">
        <v>758</v>
      </c>
      <c r="N289" s="141">
        <v>437</v>
      </c>
      <c r="O289" s="141" t="s">
        <v>727</v>
      </c>
      <c r="P289" s="141">
        <v>4</v>
      </c>
      <c r="Q289" s="142">
        <v>0.73456790000000005</v>
      </c>
      <c r="R289" s="142">
        <v>0.8139535</v>
      </c>
      <c r="S289" s="142">
        <v>0.72222220000000004</v>
      </c>
      <c r="T289" s="142">
        <v>0.62820509999999996</v>
      </c>
      <c r="U289" s="142">
        <v>0.44578309999999999</v>
      </c>
      <c r="V289" s="142">
        <v>0.66874999999999996</v>
      </c>
    </row>
    <row r="290" spans="1:22" ht="18.75" x14ac:dyDescent="0.25">
      <c r="A290" s="141" t="s">
        <v>792</v>
      </c>
      <c r="B290" s="141" t="s">
        <v>758</v>
      </c>
      <c r="C290" s="141">
        <v>439</v>
      </c>
      <c r="D290" s="141" t="s">
        <v>729</v>
      </c>
      <c r="E290" s="141">
        <v>1</v>
      </c>
      <c r="F290" s="142">
        <v>0.53</v>
      </c>
      <c r="G290" s="141">
        <v>1</v>
      </c>
      <c r="H290" s="142">
        <v>0.94444439999999996</v>
      </c>
      <c r="I290" s="142">
        <v>0.52173910000000001</v>
      </c>
      <c r="J290" s="142">
        <v>0.64</v>
      </c>
      <c r="K290" s="155"/>
      <c r="L290" s="141" t="s">
        <v>792</v>
      </c>
      <c r="M290" s="141" t="s">
        <v>758</v>
      </c>
      <c r="N290" s="141">
        <v>439</v>
      </c>
      <c r="O290" s="141" t="s">
        <v>729</v>
      </c>
      <c r="P290" s="141">
        <v>4</v>
      </c>
      <c r="Q290" s="142">
        <v>0.84269660000000002</v>
      </c>
      <c r="R290" s="142">
        <v>0.91588780000000003</v>
      </c>
      <c r="S290" s="142">
        <v>0.92063490000000003</v>
      </c>
      <c r="T290" s="142">
        <v>0.3</v>
      </c>
      <c r="U290" s="142">
        <v>0.83471070000000003</v>
      </c>
      <c r="V290" s="142">
        <v>0.84499999999999997</v>
      </c>
    </row>
    <row r="291" spans="1:22" ht="18.75" x14ac:dyDescent="0.25">
      <c r="A291" s="141" t="s">
        <v>792</v>
      </c>
      <c r="B291" s="141" t="s">
        <v>758</v>
      </c>
      <c r="C291" s="141">
        <v>454</v>
      </c>
      <c r="D291" s="141" t="s">
        <v>727</v>
      </c>
      <c r="E291" s="141">
        <v>1</v>
      </c>
      <c r="F291" s="142">
        <v>0.57999999999999996</v>
      </c>
      <c r="G291" s="141">
        <v>1</v>
      </c>
      <c r="H291" s="142">
        <v>1</v>
      </c>
      <c r="I291" s="142">
        <v>0.54347829999999997</v>
      </c>
      <c r="J291" s="142">
        <v>0.68500000000000005</v>
      </c>
      <c r="K291" s="155"/>
      <c r="L291" s="141" t="s">
        <v>792</v>
      </c>
      <c r="M291" s="141" t="s">
        <v>758</v>
      </c>
      <c r="N291" s="141">
        <v>454</v>
      </c>
      <c r="O291" s="141" t="s">
        <v>727</v>
      </c>
      <c r="P291" s="141">
        <v>4</v>
      </c>
      <c r="Q291" s="142">
        <v>0.55769230000000003</v>
      </c>
      <c r="R291" s="142">
        <v>0.39361699999999999</v>
      </c>
      <c r="S291" s="142">
        <v>0.70149249999999996</v>
      </c>
      <c r="T291" s="142">
        <v>0.1842105</v>
      </c>
      <c r="U291" s="142">
        <v>0.1958763</v>
      </c>
      <c r="V291" s="142">
        <v>0.42</v>
      </c>
    </row>
    <row r="292" spans="1:22" ht="18.75" x14ac:dyDescent="0.25">
      <c r="A292" s="141" t="s">
        <v>792</v>
      </c>
      <c r="B292" s="141" t="s">
        <v>758</v>
      </c>
      <c r="C292" s="141">
        <v>1617</v>
      </c>
      <c r="D292" s="141" t="s">
        <v>728</v>
      </c>
      <c r="E292" s="141">
        <v>1</v>
      </c>
      <c r="F292" s="142">
        <v>0.56999999999999995</v>
      </c>
      <c r="G292" s="141">
        <v>1</v>
      </c>
      <c r="H292" s="142">
        <v>0.88888889999999998</v>
      </c>
      <c r="I292" s="142">
        <v>0.54347829999999997</v>
      </c>
      <c r="J292" s="142">
        <v>0.65</v>
      </c>
      <c r="K292" s="155"/>
      <c r="L292" s="141" t="s">
        <v>792</v>
      </c>
      <c r="M292" s="141" t="s">
        <v>758</v>
      </c>
      <c r="N292" s="141">
        <v>1617</v>
      </c>
      <c r="O292" s="141" t="s">
        <v>728</v>
      </c>
      <c r="P292" s="141">
        <v>4</v>
      </c>
      <c r="Q292" s="142">
        <v>0.92222219999999999</v>
      </c>
      <c r="R292" s="142">
        <v>0.75471699999999997</v>
      </c>
      <c r="S292" s="142">
        <v>0.85454549999999996</v>
      </c>
      <c r="T292" s="142">
        <v>0.4210526</v>
      </c>
      <c r="U292" s="142">
        <v>0.70270270000000001</v>
      </c>
      <c r="V292" s="142">
        <v>0.76</v>
      </c>
    </row>
    <row r="293" spans="1:22" ht="18.75" x14ac:dyDescent="0.25">
      <c r="A293" s="141" t="s">
        <v>792</v>
      </c>
      <c r="B293" s="141" t="s">
        <v>758</v>
      </c>
      <c r="C293" s="141">
        <v>1685</v>
      </c>
      <c r="D293" s="141" t="s">
        <v>728</v>
      </c>
      <c r="E293" s="141">
        <v>1</v>
      </c>
      <c r="F293" s="142">
        <v>0.57999999999999996</v>
      </c>
      <c r="G293" s="141">
        <v>1</v>
      </c>
      <c r="H293" s="142">
        <v>1</v>
      </c>
      <c r="I293" s="142">
        <v>0.6086956</v>
      </c>
      <c r="J293" s="142">
        <v>0.7</v>
      </c>
      <c r="K293" s="155"/>
      <c r="L293" s="141" t="s">
        <v>792</v>
      </c>
      <c r="M293" s="141" t="s">
        <v>758</v>
      </c>
      <c r="N293" s="141">
        <v>1685</v>
      </c>
      <c r="O293" s="141" t="s">
        <v>728</v>
      </c>
      <c r="P293" s="141">
        <v>4</v>
      </c>
      <c r="Q293" s="142">
        <v>0.97478989999999999</v>
      </c>
      <c r="R293" s="142">
        <v>0.78125</v>
      </c>
      <c r="S293" s="142">
        <v>1</v>
      </c>
      <c r="T293" s="142">
        <v>0.58333330000000005</v>
      </c>
      <c r="U293" s="142">
        <v>0.63917520000000005</v>
      </c>
      <c r="V293" s="142">
        <v>0.80249999999999999</v>
      </c>
    </row>
    <row r="294" spans="1:22" ht="18.75" x14ac:dyDescent="0.25">
      <c r="A294" s="141" t="s">
        <v>792</v>
      </c>
      <c r="B294" s="141" t="s">
        <v>758</v>
      </c>
      <c r="C294" s="141">
        <v>1929</v>
      </c>
      <c r="D294" s="141" t="s">
        <v>728</v>
      </c>
      <c r="E294" s="141">
        <v>1</v>
      </c>
      <c r="F294" s="142">
        <v>0.43</v>
      </c>
      <c r="G294" s="141">
        <v>1</v>
      </c>
      <c r="H294" s="142">
        <v>0.94444439999999996</v>
      </c>
      <c r="I294" s="142">
        <v>0.53260870000000005</v>
      </c>
      <c r="J294" s="142">
        <v>0.59250000000000003</v>
      </c>
      <c r="K294" s="155"/>
      <c r="L294" s="141" t="s">
        <v>792</v>
      </c>
      <c r="M294" s="141" t="s">
        <v>758</v>
      </c>
      <c r="N294" s="141">
        <v>1929</v>
      </c>
      <c r="O294" s="141" t="s">
        <v>728</v>
      </c>
      <c r="P294" s="141">
        <v>4</v>
      </c>
      <c r="Q294" s="142">
        <v>0.63207550000000001</v>
      </c>
      <c r="R294" s="142">
        <v>0.5</v>
      </c>
      <c r="S294" s="142">
        <v>0.70588240000000002</v>
      </c>
      <c r="T294" s="142">
        <v>0.25</v>
      </c>
      <c r="U294" s="142">
        <v>0.28723399999999999</v>
      </c>
      <c r="V294" s="142">
        <v>0.495</v>
      </c>
    </row>
    <row r="295" spans="1:22" ht="18.75" x14ac:dyDescent="0.25">
      <c r="A295" s="141" t="s">
        <v>792</v>
      </c>
      <c r="B295" s="141" t="s">
        <v>758</v>
      </c>
      <c r="C295" s="141">
        <v>4213</v>
      </c>
      <c r="D295" s="141" t="s">
        <v>680</v>
      </c>
      <c r="E295" s="141">
        <v>1</v>
      </c>
      <c r="F295" s="142">
        <v>0.51</v>
      </c>
      <c r="G295" s="141">
        <v>1</v>
      </c>
      <c r="H295" s="142">
        <v>0.83333330000000005</v>
      </c>
      <c r="I295" s="142">
        <v>0.56521739999999998</v>
      </c>
      <c r="J295" s="142">
        <v>0.61</v>
      </c>
      <c r="K295" s="155"/>
      <c r="L295" s="141" t="s">
        <v>792</v>
      </c>
      <c r="M295" s="141" t="s">
        <v>758</v>
      </c>
      <c r="N295" s="141">
        <v>4213</v>
      </c>
      <c r="O295" s="141" t="s">
        <v>680</v>
      </c>
      <c r="P295" s="141">
        <v>4</v>
      </c>
      <c r="Q295" s="142">
        <v>0.59821429999999998</v>
      </c>
      <c r="R295" s="142">
        <v>0.4903846</v>
      </c>
      <c r="S295" s="142">
        <v>0.6</v>
      </c>
      <c r="T295" s="142">
        <v>0</v>
      </c>
      <c r="U295" s="142">
        <v>0.3333333</v>
      </c>
      <c r="V295" s="142">
        <v>0.47</v>
      </c>
    </row>
    <row r="296" spans="1:22" ht="18.75" x14ac:dyDescent="0.25">
      <c r="A296" s="141" t="s">
        <v>792</v>
      </c>
      <c r="B296" s="141" t="s">
        <v>758</v>
      </c>
      <c r="C296" s="141">
        <v>4217</v>
      </c>
      <c r="D296" s="141" t="s">
        <v>680</v>
      </c>
      <c r="E296" s="141">
        <v>1</v>
      </c>
      <c r="F296" s="142">
        <v>0.46</v>
      </c>
      <c r="G296" s="141">
        <v>1</v>
      </c>
      <c r="H296" s="142">
        <v>0.88888889999999998</v>
      </c>
      <c r="I296" s="142">
        <v>0.54347829999999997</v>
      </c>
      <c r="J296" s="142">
        <v>0.59499999999999997</v>
      </c>
      <c r="K296" s="155"/>
      <c r="L296" s="141" t="s">
        <v>792</v>
      </c>
      <c r="M296" s="141" t="s">
        <v>758</v>
      </c>
      <c r="N296" s="141">
        <v>4217</v>
      </c>
      <c r="O296" s="141" t="s">
        <v>680</v>
      </c>
      <c r="P296" s="141">
        <v>4</v>
      </c>
      <c r="Q296" s="142">
        <v>0.97849459999999999</v>
      </c>
      <c r="R296" s="142">
        <v>1</v>
      </c>
      <c r="S296" s="142">
        <v>1</v>
      </c>
      <c r="T296" s="142">
        <v>0.9473684</v>
      </c>
      <c r="U296" s="142">
        <v>0.9174312</v>
      </c>
      <c r="V296" s="142">
        <v>0.96750000000000003</v>
      </c>
    </row>
    <row r="297" spans="1:22" ht="18.75" x14ac:dyDescent="0.25">
      <c r="A297" s="141" t="s">
        <v>792</v>
      </c>
      <c r="B297" s="141" t="s">
        <v>758</v>
      </c>
      <c r="C297" s="141">
        <v>4219</v>
      </c>
      <c r="D297" s="141" t="s">
        <v>680</v>
      </c>
      <c r="E297" s="141">
        <v>1</v>
      </c>
      <c r="F297" s="142">
        <v>0.69</v>
      </c>
      <c r="G297" s="141">
        <v>1</v>
      </c>
      <c r="H297" s="142">
        <v>1</v>
      </c>
      <c r="I297" s="142">
        <v>0.67391310000000004</v>
      </c>
      <c r="J297" s="142">
        <v>0.77</v>
      </c>
      <c r="K297" s="155"/>
      <c r="L297" s="141" t="s">
        <v>792</v>
      </c>
      <c r="M297" s="141" t="s">
        <v>758</v>
      </c>
      <c r="N297" s="141">
        <v>4219</v>
      </c>
      <c r="O297" s="141" t="s">
        <v>680</v>
      </c>
      <c r="P297" s="141">
        <v>4</v>
      </c>
      <c r="Q297" s="142">
        <v>0.6</v>
      </c>
      <c r="R297" s="142">
        <v>0.74736840000000004</v>
      </c>
      <c r="S297" s="142">
        <v>1</v>
      </c>
      <c r="T297" s="142">
        <v>0</v>
      </c>
      <c r="U297" s="142">
        <v>0.59813079999999996</v>
      </c>
      <c r="V297" s="142">
        <v>0.66749999999999998</v>
      </c>
    </row>
    <row r="298" spans="1:22" ht="18.75" x14ac:dyDescent="0.25">
      <c r="A298" s="141" t="s">
        <v>792</v>
      </c>
      <c r="B298" s="141" t="s">
        <v>758</v>
      </c>
      <c r="C298" s="141">
        <v>4229</v>
      </c>
      <c r="D298" s="141" t="s">
        <v>680</v>
      </c>
      <c r="E298" s="141">
        <v>1</v>
      </c>
      <c r="F298" s="142">
        <v>0.52</v>
      </c>
      <c r="G298" s="141">
        <v>1</v>
      </c>
      <c r="H298" s="142">
        <v>0.88888889999999998</v>
      </c>
      <c r="I298" s="142">
        <v>0.54347829999999997</v>
      </c>
      <c r="J298" s="142">
        <v>0.625</v>
      </c>
      <c r="K298" s="155"/>
      <c r="L298" s="141" t="s">
        <v>792</v>
      </c>
      <c r="M298" s="141" t="s">
        <v>758</v>
      </c>
      <c r="N298" s="141">
        <v>4229</v>
      </c>
      <c r="O298" s="141" t="s">
        <v>680</v>
      </c>
      <c r="P298" s="141">
        <v>4</v>
      </c>
      <c r="Q298" s="142">
        <v>0.77477479999999999</v>
      </c>
      <c r="R298" s="142">
        <v>0.86627909999999997</v>
      </c>
      <c r="S298" s="142">
        <v>1</v>
      </c>
      <c r="T298" s="142">
        <v>0.72058820000000001</v>
      </c>
      <c r="U298" s="142">
        <v>0.54216869999999995</v>
      </c>
      <c r="V298" s="142">
        <v>0.76624999999999999</v>
      </c>
    </row>
    <row r="299" spans="1:22" ht="18.75" x14ac:dyDescent="0.25">
      <c r="A299" s="141" t="s">
        <v>793</v>
      </c>
      <c r="B299" s="141" t="s">
        <v>794</v>
      </c>
      <c r="C299" s="141">
        <v>781</v>
      </c>
      <c r="D299" s="141" t="s">
        <v>729</v>
      </c>
      <c r="E299" s="141">
        <v>1</v>
      </c>
      <c r="F299" s="142">
        <v>0.57999999999999996</v>
      </c>
      <c r="G299" s="141">
        <v>1</v>
      </c>
      <c r="H299" s="142">
        <v>0.88888889999999998</v>
      </c>
      <c r="I299" s="142">
        <v>0.71739129999999995</v>
      </c>
      <c r="J299" s="142">
        <v>0.69499999999999995</v>
      </c>
      <c r="K299" s="155"/>
      <c r="L299" s="141" t="s">
        <v>793</v>
      </c>
      <c r="M299" s="141" t="s">
        <v>794</v>
      </c>
      <c r="N299" s="141">
        <v>781</v>
      </c>
      <c r="O299" s="141" t="s">
        <v>729</v>
      </c>
      <c r="P299" s="141">
        <v>4</v>
      </c>
      <c r="Q299" s="142">
        <v>0.46875</v>
      </c>
      <c r="R299" s="142">
        <v>0.28048780000000001</v>
      </c>
      <c r="S299" s="142">
        <v>0.83333330000000005</v>
      </c>
      <c r="T299" s="142">
        <v>0.2</v>
      </c>
      <c r="U299" s="142">
        <v>0.4375</v>
      </c>
      <c r="V299" s="142">
        <v>0.44500000000000001</v>
      </c>
    </row>
    <row r="300" spans="1:22" ht="18.75" x14ac:dyDescent="0.25">
      <c r="A300" s="141" t="s">
        <v>793</v>
      </c>
      <c r="B300" s="141" t="s">
        <v>794</v>
      </c>
      <c r="C300" s="141">
        <v>2097</v>
      </c>
      <c r="D300" s="141" t="s">
        <v>727</v>
      </c>
      <c r="E300" s="141">
        <v>1</v>
      </c>
      <c r="F300" s="142">
        <v>0.6</v>
      </c>
      <c r="G300" s="141">
        <v>1</v>
      </c>
      <c r="H300" s="142">
        <v>1</v>
      </c>
      <c r="I300" s="142">
        <v>0.78260870000000005</v>
      </c>
      <c r="J300" s="142">
        <v>0.75</v>
      </c>
      <c r="K300" s="155"/>
      <c r="L300" s="141" t="s">
        <v>793</v>
      </c>
      <c r="M300" s="141" t="s">
        <v>794</v>
      </c>
      <c r="N300" s="141">
        <v>2097</v>
      </c>
      <c r="O300" s="141" t="s">
        <v>727</v>
      </c>
      <c r="P300" s="141">
        <v>4</v>
      </c>
      <c r="Q300" s="142">
        <v>0.4329268</v>
      </c>
      <c r="R300" s="142">
        <v>0.4270833</v>
      </c>
      <c r="S300" s="142">
        <v>0.40298509999999998</v>
      </c>
      <c r="T300" s="142">
        <v>3.4482800000000001E-2</v>
      </c>
      <c r="U300" s="142">
        <v>0.2474227</v>
      </c>
      <c r="V300" s="142">
        <v>0.32374999999999998</v>
      </c>
    </row>
    <row r="301" spans="1:22" ht="18.75" x14ac:dyDescent="0.25">
      <c r="A301" s="141" t="s">
        <v>793</v>
      </c>
      <c r="B301" s="141" t="s">
        <v>794</v>
      </c>
      <c r="C301" s="141">
        <v>3461</v>
      </c>
      <c r="D301" s="141" t="s">
        <v>728</v>
      </c>
      <c r="E301" s="141">
        <v>1</v>
      </c>
      <c r="F301" s="142">
        <v>0.65</v>
      </c>
      <c r="G301" s="141">
        <v>1</v>
      </c>
      <c r="H301" s="142">
        <v>0.72222220000000004</v>
      </c>
      <c r="I301" s="142">
        <v>0.72826089999999999</v>
      </c>
      <c r="J301" s="142">
        <v>0.6875</v>
      </c>
      <c r="K301" s="155"/>
      <c r="L301" s="141" t="s">
        <v>793</v>
      </c>
      <c r="M301" s="141" t="s">
        <v>794</v>
      </c>
      <c r="N301" s="141">
        <v>3461</v>
      </c>
      <c r="O301" s="141" t="s">
        <v>728</v>
      </c>
      <c r="P301" s="141">
        <v>4</v>
      </c>
      <c r="Q301" s="142">
        <v>0.43902439999999998</v>
      </c>
      <c r="R301" s="142">
        <v>0.55208330000000005</v>
      </c>
      <c r="S301" s="142">
        <v>0.85074629999999996</v>
      </c>
      <c r="T301" s="142">
        <v>0.65517239999999999</v>
      </c>
      <c r="U301" s="142">
        <v>0.38144329999999999</v>
      </c>
      <c r="V301" s="142">
        <v>0.55249999999999999</v>
      </c>
    </row>
    <row r="302" spans="1:22" ht="18.75" x14ac:dyDescent="0.25">
      <c r="A302" s="141" t="s">
        <v>793</v>
      </c>
      <c r="B302" s="141" t="s">
        <v>794</v>
      </c>
      <c r="C302" s="141">
        <v>3859</v>
      </c>
      <c r="D302" s="141" t="s">
        <v>680</v>
      </c>
      <c r="E302" s="141">
        <v>1</v>
      </c>
      <c r="F302" s="142">
        <v>0.43</v>
      </c>
      <c r="G302" s="141">
        <v>1</v>
      </c>
      <c r="H302" s="142">
        <v>0.72222220000000004</v>
      </c>
      <c r="I302" s="142">
        <v>0.68478260000000002</v>
      </c>
      <c r="J302" s="142">
        <v>0.5675</v>
      </c>
      <c r="K302" s="155"/>
      <c r="L302" s="141" t="s">
        <v>793</v>
      </c>
      <c r="M302" s="141" t="s">
        <v>794</v>
      </c>
      <c r="N302" s="141">
        <v>3859</v>
      </c>
      <c r="O302" s="141" t="s">
        <v>680</v>
      </c>
      <c r="P302" s="141">
        <v>4</v>
      </c>
      <c r="Q302" s="142">
        <v>0.28409089999999998</v>
      </c>
      <c r="R302" s="142">
        <v>0.22352939999999999</v>
      </c>
      <c r="S302" s="142">
        <v>0</v>
      </c>
      <c r="T302" s="142">
        <v>0.13333329999999999</v>
      </c>
      <c r="U302" s="142">
        <v>0.3333333</v>
      </c>
      <c r="V302" s="142">
        <v>0.22875000000000001</v>
      </c>
    </row>
    <row r="303" spans="1:22" ht="18.75" x14ac:dyDescent="0.25">
      <c r="A303" s="141" t="s">
        <v>793</v>
      </c>
      <c r="B303" s="141" t="s">
        <v>794</v>
      </c>
      <c r="C303" s="141">
        <v>3861</v>
      </c>
      <c r="D303" s="141" t="s">
        <v>680</v>
      </c>
      <c r="E303" s="141">
        <v>1</v>
      </c>
      <c r="F303" s="142">
        <v>0.67</v>
      </c>
      <c r="G303" s="141">
        <v>1</v>
      </c>
      <c r="H303" s="142">
        <v>0.88888889999999998</v>
      </c>
      <c r="I303" s="142">
        <v>0.81521739999999998</v>
      </c>
      <c r="J303" s="142">
        <v>0.76249999999999996</v>
      </c>
      <c r="K303" s="155"/>
      <c r="L303" s="141" t="s">
        <v>793</v>
      </c>
      <c r="M303" s="141" t="s">
        <v>794</v>
      </c>
      <c r="N303" s="141">
        <v>3861</v>
      </c>
      <c r="O303" s="141" t="s">
        <v>680</v>
      </c>
      <c r="P303" s="141">
        <v>4</v>
      </c>
      <c r="Q303" s="142">
        <v>0.25225229999999998</v>
      </c>
      <c r="R303" s="142">
        <v>0.25581399999999999</v>
      </c>
      <c r="S303" s="142">
        <v>0.86538459999999995</v>
      </c>
      <c r="T303" s="142">
        <v>0.22058820000000001</v>
      </c>
      <c r="U303" s="142">
        <v>0.18072289999999999</v>
      </c>
      <c r="V303" s="142">
        <v>0.3125</v>
      </c>
    </row>
    <row r="304" spans="1:22" ht="18.75" x14ac:dyDescent="0.25">
      <c r="A304" s="141" t="s">
        <v>793</v>
      </c>
      <c r="B304" s="141" t="s">
        <v>794</v>
      </c>
      <c r="C304" s="141">
        <v>3862</v>
      </c>
      <c r="D304" s="141" t="s">
        <v>680</v>
      </c>
      <c r="E304" s="141">
        <v>1</v>
      </c>
      <c r="F304" s="142">
        <v>0.56999999999999995</v>
      </c>
      <c r="G304" s="141">
        <v>1</v>
      </c>
      <c r="H304" s="142">
        <v>0.77777779999999996</v>
      </c>
      <c r="I304" s="142">
        <v>0.76086960000000003</v>
      </c>
      <c r="J304" s="142">
        <v>0.67</v>
      </c>
      <c r="K304" s="155"/>
      <c r="L304" s="141" t="s">
        <v>793</v>
      </c>
      <c r="M304" s="141" t="s">
        <v>794</v>
      </c>
      <c r="N304" s="141">
        <v>3862</v>
      </c>
      <c r="O304" s="141" t="s">
        <v>680</v>
      </c>
      <c r="P304" s="141">
        <v>4</v>
      </c>
      <c r="Q304" s="142">
        <v>0.3125</v>
      </c>
      <c r="R304" s="142">
        <v>0.17241380000000001</v>
      </c>
      <c r="S304" s="142">
        <v>0.75</v>
      </c>
      <c r="T304" s="142">
        <v>0.1833333</v>
      </c>
      <c r="U304" s="142">
        <v>0.1182796</v>
      </c>
      <c r="V304" s="142">
        <v>0.30499999999999999</v>
      </c>
    </row>
    <row r="305" spans="1:22" ht="18.75" x14ac:dyDescent="0.25">
      <c r="A305" s="141" t="s">
        <v>793</v>
      </c>
      <c r="B305" s="141" t="s">
        <v>794</v>
      </c>
      <c r="C305" s="141">
        <v>3950</v>
      </c>
      <c r="D305" s="141" t="s">
        <v>680</v>
      </c>
      <c r="E305" s="141">
        <v>1</v>
      </c>
      <c r="F305" s="142">
        <v>0.67</v>
      </c>
      <c r="G305" s="141">
        <v>1</v>
      </c>
      <c r="H305" s="142">
        <v>0.77777779999999996</v>
      </c>
      <c r="I305" s="142">
        <v>0.81521739999999998</v>
      </c>
      <c r="J305" s="142">
        <v>0.73250000000000004</v>
      </c>
      <c r="K305" s="155"/>
      <c r="L305" s="141" t="s">
        <v>793</v>
      </c>
      <c r="M305" s="141" t="s">
        <v>794</v>
      </c>
      <c r="N305" s="141">
        <v>3950</v>
      </c>
      <c r="O305" s="141" t="s">
        <v>680</v>
      </c>
      <c r="P305" s="141">
        <v>4</v>
      </c>
      <c r="Q305" s="142">
        <v>0.66071429999999998</v>
      </c>
      <c r="R305" s="142">
        <v>0.1153846</v>
      </c>
      <c r="S305" s="142">
        <v>0.6</v>
      </c>
      <c r="T305" s="142">
        <v>-0.1111111</v>
      </c>
      <c r="U305" s="142">
        <v>0.38738739999999999</v>
      </c>
      <c r="V305" s="142">
        <v>0.4</v>
      </c>
    </row>
    <row r="306" spans="1:22" ht="18.75" x14ac:dyDescent="0.25">
      <c r="A306" s="141" t="s">
        <v>793</v>
      </c>
      <c r="B306" s="141" t="s">
        <v>794</v>
      </c>
      <c r="C306" s="141">
        <v>4103</v>
      </c>
      <c r="D306" s="141" t="s">
        <v>680</v>
      </c>
      <c r="E306" s="141">
        <v>1</v>
      </c>
      <c r="F306" s="142">
        <v>0.47</v>
      </c>
      <c r="G306" s="141">
        <v>1</v>
      </c>
      <c r="H306" s="142">
        <v>0.72222220000000004</v>
      </c>
      <c r="I306" s="142">
        <v>0.61956520000000004</v>
      </c>
      <c r="J306" s="142">
        <v>0.57250000000000001</v>
      </c>
      <c r="K306" s="155"/>
      <c r="L306" s="141" t="s">
        <v>793</v>
      </c>
      <c r="M306" s="141" t="s">
        <v>794</v>
      </c>
      <c r="N306" s="141">
        <v>4103</v>
      </c>
      <c r="O306" s="141" t="s">
        <v>680</v>
      </c>
      <c r="P306" s="141">
        <v>4</v>
      </c>
      <c r="Q306" s="142">
        <v>0.26363639999999999</v>
      </c>
      <c r="R306" s="142">
        <v>0.3333333</v>
      </c>
      <c r="S306" s="142">
        <v>0.66666669999999995</v>
      </c>
      <c r="T306" s="142">
        <v>0.12</v>
      </c>
      <c r="U306" s="142">
        <v>0.26881719999999998</v>
      </c>
      <c r="V306" s="142">
        <v>0.32250000000000001</v>
      </c>
    </row>
    <row r="307" spans="1:22" ht="18.75" x14ac:dyDescent="0.25">
      <c r="A307" s="141" t="s">
        <v>793</v>
      </c>
      <c r="B307" s="141" t="s">
        <v>794</v>
      </c>
      <c r="C307" s="141">
        <v>4104</v>
      </c>
      <c r="D307" s="141" t="s">
        <v>680</v>
      </c>
      <c r="E307" s="141">
        <v>1</v>
      </c>
      <c r="F307" s="142">
        <v>0.67</v>
      </c>
      <c r="G307" s="141">
        <v>1</v>
      </c>
      <c r="H307" s="142">
        <v>0.94444439999999996</v>
      </c>
      <c r="I307" s="142">
        <v>0.70652170000000003</v>
      </c>
      <c r="J307" s="142">
        <v>0.75249999999999995</v>
      </c>
      <c r="K307" s="155"/>
      <c r="L307" s="141" t="s">
        <v>793</v>
      </c>
      <c r="M307" s="141" t="s">
        <v>794</v>
      </c>
      <c r="N307" s="141">
        <v>4104</v>
      </c>
      <c r="O307" s="141" t="s">
        <v>680</v>
      </c>
      <c r="P307" s="141">
        <v>4</v>
      </c>
      <c r="Q307" s="142">
        <v>0.3421053</v>
      </c>
      <c r="R307" s="142">
        <v>0.51578939999999995</v>
      </c>
      <c r="S307" s="142">
        <v>0.81818179999999996</v>
      </c>
      <c r="T307" s="142">
        <v>0</v>
      </c>
      <c r="U307" s="142">
        <v>0.5514019</v>
      </c>
      <c r="V307" s="142">
        <v>0.49625000000000002</v>
      </c>
    </row>
    <row r="308" spans="1:22" ht="18.75" x14ac:dyDescent="0.25">
      <c r="A308" s="141" t="s">
        <v>793</v>
      </c>
      <c r="B308" s="141" t="s">
        <v>794</v>
      </c>
      <c r="C308" s="141">
        <v>10307</v>
      </c>
      <c r="D308" s="141" t="s">
        <v>728</v>
      </c>
      <c r="E308" s="141">
        <v>1</v>
      </c>
      <c r="F308" s="142">
        <v>0.61</v>
      </c>
      <c r="G308" s="141">
        <v>1</v>
      </c>
      <c r="H308" s="142">
        <v>0.72222220000000004</v>
      </c>
      <c r="I308" s="142">
        <v>0.75</v>
      </c>
      <c r="J308" s="142">
        <v>0.67249999999999999</v>
      </c>
      <c r="K308" s="155"/>
      <c r="L308" s="141" t="s">
        <v>793</v>
      </c>
      <c r="M308" s="141" t="s">
        <v>794</v>
      </c>
      <c r="N308" s="141">
        <v>10307</v>
      </c>
      <c r="O308" s="141" t="s">
        <v>728</v>
      </c>
      <c r="P308" s="141">
        <v>4</v>
      </c>
      <c r="Q308" s="142">
        <v>0.30496450000000003</v>
      </c>
      <c r="R308" s="142">
        <v>0.47872340000000002</v>
      </c>
      <c r="S308" s="142">
        <v>0.75</v>
      </c>
      <c r="T308" s="142">
        <v>0.42857139999999999</v>
      </c>
      <c r="U308" s="142">
        <v>0.38144329999999999</v>
      </c>
      <c r="V308" s="142">
        <v>0.41749999999999998</v>
      </c>
    </row>
    <row r="309" spans="1:22" ht="18.75" x14ac:dyDescent="0.25">
      <c r="A309" s="141" t="s">
        <v>793</v>
      </c>
      <c r="B309" s="141" t="s">
        <v>794</v>
      </c>
      <c r="C309" s="141">
        <v>10310</v>
      </c>
      <c r="D309" s="141" t="s">
        <v>728</v>
      </c>
      <c r="E309" s="141">
        <v>1</v>
      </c>
      <c r="F309" s="142">
        <v>0.7</v>
      </c>
      <c r="G309" s="141">
        <v>1</v>
      </c>
      <c r="H309" s="142">
        <v>0.88888889999999998</v>
      </c>
      <c r="I309" s="142">
        <v>0.88043479999999996</v>
      </c>
      <c r="J309" s="142">
        <v>0.79249999999999998</v>
      </c>
      <c r="K309" s="155"/>
      <c r="L309" s="141" t="s">
        <v>793</v>
      </c>
      <c r="M309" s="141" t="s">
        <v>794</v>
      </c>
      <c r="N309" s="141">
        <v>10310</v>
      </c>
      <c r="O309" s="141" t="s">
        <v>728</v>
      </c>
      <c r="P309" s="141">
        <v>4</v>
      </c>
      <c r="Q309" s="142">
        <v>0.1616541</v>
      </c>
      <c r="R309" s="142">
        <v>0.4166667</v>
      </c>
      <c r="S309" s="142">
        <v>0.76923079999999999</v>
      </c>
      <c r="T309" s="142">
        <v>0.125</v>
      </c>
      <c r="U309" s="142">
        <v>0.40963860000000002</v>
      </c>
      <c r="V309" s="142">
        <v>0.34125</v>
      </c>
    </row>
    <row r="310" spans="1:22" ht="18.75" x14ac:dyDescent="0.25">
      <c r="A310" s="141" t="s">
        <v>795</v>
      </c>
      <c r="B310" s="141" t="s">
        <v>761</v>
      </c>
      <c r="C310" s="141">
        <v>204</v>
      </c>
      <c r="D310" s="141" t="s">
        <v>728</v>
      </c>
      <c r="E310" s="141">
        <v>1</v>
      </c>
      <c r="F310" s="142">
        <v>0.57999999999999996</v>
      </c>
      <c r="G310" s="141">
        <v>1</v>
      </c>
      <c r="H310" s="142">
        <v>0.66666669999999995</v>
      </c>
      <c r="I310" s="142">
        <v>0.52173910000000001</v>
      </c>
      <c r="J310" s="142">
        <v>0.59</v>
      </c>
      <c r="K310" s="155"/>
      <c r="L310" s="141" t="s">
        <v>795</v>
      </c>
      <c r="M310" s="141" t="s">
        <v>761</v>
      </c>
      <c r="N310" s="141">
        <v>204</v>
      </c>
      <c r="O310" s="141" t="s">
        <v>728</v>
      </c>
      <c r="P310" s="141">
        <v>4</v>
      </c>
      <c r="Q310" s="142">
        <v>0.43181819999999999</v>
      </c>
      <c r="R310" s="142">
        <v>0.3367347</v>
      </c>
      <c r="S310" s="142">
        <v>0.41176469999999998</v>
      </c>
      <c r="T310" s="142">
        <v>0.15</v>
      </c>
      <c r="U310" s="142">
        <v>0.1792453</v>
      </c>
      <c r="V310" s="142">
        <v>0.31</v>
      </c>
    </row>
    <row r="311" spans="1:22" ht="18.75" x14ac:dyDescent="0.25">
      <c r="A311" s="141" t="s">
        <v>795</v>
      </c>
      <c r="B311" s="141" t="s">
        <v>761</v>
      </c>
      <c r="C311" s="141">
        <v>213</v>
      </c>
      <c r="D311" s="141" t="s">
        <v>729</v>
      </c>
      <c r="E311" s="141">
        <v>1</v>
      </c>
      <c r="F311" s="142">
        <v>0.46</v>
      </c>
      <c r="G311" s="141">
        <v>1</v>
      </c>
      <c r="H311" s="142">
        <v>0.94444439999999996</v>
      </c>
      <c r="I311" s="142">
        <v>0.57608689999999996</v>
      </c>
      <c r="J311" s="142">
        <v>0.61750000000000005</v>
      </c>
      <c r="K311" s="155"/>
      <c r="L311" s="141" t="s">
        <v>795</v>
      </c>
      <c r="M311" s="141" t="s">
        <v>761</v>
      </c>
      <c r="N311" s="141">
        <v>213</v>
      </c>
      <c r="O311" s="141" t="s">
        <v>729</v>
      </c>
      <c r="P311" s="141">
        <v>4</v>
      </c>
      <c r="Q311" s="142">
        <v>0.87777780000000005</v>
      </c>
      <c r="R311" s="142">
        <v>0.6698113</v>
      </c>
      <c r="S311" s="142">
        <v>0.90909090000000004</v>
      </c>
      <c r="T311" s="142">
        <v>0.5263158</v>
      </c>
      <c r="U311" s="142">
        <v>0.64864860000000002</v>
      </c>
      <c r="V311" s="142">
        <v>0.73</v>
      </c>
    </row>
    <row r="312" spans="1:22" ht="18.75" x14ac:dyDescent="0.25">
      <c r="A312" s="141" t="s">
        <v>795</v>
      </c>
      <c r="B312" s="141" t="s">
        <v>761</v>
      </c>
      <c r="C312" s="141">
        <v>223</v>
      </c>
      <c r="D312" s="141" t="s">
        <v>727</v>
      </c>
      <c r="E312" s="141">
        <v>1</v>
      </c>
      <c r="F312" s="142">
        <v>0.47</v>
      </c>
      <c r="G312" s="141">
        <v>1</v>
      </c>
      <c r="H312" s="142">
        <v>0.77777779999999996</v>
      </c>
      <c r="I312" s="142">
        <v>0.54347829999999997</v>
      </c>
      <c r="J312" s="142">
        <v>0.56999999999999995</v>
      </c>
      <c r="K312" s="155"/>
      <c r="L312" s="141" t="s">
        <v>795</v>
      </c>
      <c r="M312" s="141" t="s">
        <v>761</v>
      </c>
      <c r="N312" s="141">
        <v>223</v>
      </c>
      <c r="O312" s="141" t="s">
        <v>727</v>
      </c>
      <c r="P312" s="141">
        <v>4</v>
      </c>
      <c r="Q312" s="142">
        <v>0.5</v>
      </c>
      <c r="R312" s="142">
        <v>9.6153799999999998E-2</v>
      </c>
      <c r="S312" s="142">
        <v>0.63636360000000003</v>
      </c>
      <c r="T312" s="142">
        <v>0.77777779999999996</v>
      </c>
      <c r="U312" s="142">
        <v>0.27027030000000002</v>
      </c>
      <c r="V312" s="142">
        <v>0.36249999999999999</v>
      </c>
    </row>
    <row r="313" spans="1:22" ht="18.75" x14ac:dyDescent="0.25">
      <c r="A313" s="141" t="s">
        <v>795</v>
      </c>
      <c r="B313" s="141" t="s">
        <v>761</v>
      </c>
      <c r="C313" s="141">
        <v>1060</v>
      </c>
      <c r="D313" s="141" t="s">
        <v>728</v>
      </c>
      <c r="E313" s="141">
        <v>1</v>
      </c>
      <c r="F313" s="142">
        <v>0.36</v>
      </c>
      <c r="G313" s="141">
        <v>1</v>
      </c>
      <c r="H313" s="142">
        <v>0.61111110000000002</v>
      </c>
      <c r="I313" s="142">
        <v>0.56521739999999998</v>
      </c>
      <c r="J313" s="142">
        <v>0.47499999999999998</v>
      </c>
      <c r="K313" s="155"/>
      <c r="L313" s="141" t="s">
        <v>795</v>
      </c>
      <c r="M313" s="141" t="s">
        <v>761</v>
      </c>
      <c r="N313" s="141">
        <v>1060</v>
      </c>
      <c r="O313" s="141" t="s">
        <v>728</v>
      </c>
      <c r="P313" s="141">
        <v>4</v>
      </c>
      <c r="Q313" s="142">
        <v>0.4235294</v>
      </c>
      <c r="R313" s="142">
        <v>0.3595506</v>
      </c>
      <c r="S313" s="142">
        <v>0.72222220000000004</v>
      </c>
      <c r="T313" s="142">
        <v>0.74137929999999996</v>
      </c>
      <c r="U313" s="142">
        <v>0.3541667</v>
      </c>
      <c r="V313" s="142">
        <v>0.49249999999999999</v>
      </c>
    </row>
    <row r="314" spans="1:22" ht="18.75" x14ac:dyDescent="0.25">
      <c r="A314" s="141" t="s">
        <v>795</v>
      </c>
      <c r="B314" s="141" t="s">
        <v>761</v>
      </c>
      <c r="C314" s="141">
        <v>1812</v>
      </c>
      <c r="D314" s="141" t="s">
        <v>728</v>
      </c>
      <c r="E314" s="141">
        <v>2</v>
      </c>
      <c r="F314" s="142">
        <v>0.35499999999999998</v>
      </c>
      <c r="G314" s="141">
        <v>0</v>
      </c>
      <c r="H314" s="142"/>
      <c r="I314" s="142"/>
      <c r="J314" s="142">
        <v>0.35499999999999998</v>
      </c>
      <c r="K314" s="155"/>
      <c r="L314" s="141" t="s">
        <v>795</v>
      </c>
      <c r="M314" s="141" t="s">
        <v>761</v>
      </c>
      <c r="N314" s="141">
        <v>1812</v>
      </c>
      <c r="O314" s="141" t="s">
        <v>728</v>
      </c>
      <c r="P314" s="141">
        <v>4</v>
      </c>
      <c r="Q314" s="142">
        <v>0.54081630000000003</v>
      </c>
      <c r="R314" s="142">
        <v>0.39759040000000001</v>
      </c>
      <c r="S314" s="142">
        <v>0.9375</v>
      </c>
      <c r="T314" s="142">
        <v>0.68333330000000003</v>
      </c>
      <c r="U314" s="142">
        <v>0.3797468</v>
      </c>
      <c r="V314" s="142">
        <v>0.57999999999999996</v>
      </c>
    </row>
    <row r="315" spans="1:22" ht="18.75" x14ac:dyDescent="0.25">
      <c r="A315" s="141" t="s">
        <v>795</v>
      </c>
      <c r="B315" s="141" t="s">
        <v>761</v>
      </c>
      <c r="C315" s="141">
        <v>1814</v>
      </c>
      <c r="D315" s="141" t="s">
        <v>680</v>
      </c>
      <c r="E315" s="141">
        <v>1</v>
      </c>
      <c r="F315" s="142">
        <v>0.79</v>
      </c>
      <c r="G315" s="141">
        <v>1</v>
      </c>
      <c r="H315" s="142">
        <v>0.94444439999999996</v>
      </c>
      <c r="I315" s="142">
        <v>0.6086956</v>
      </c>
      <c r="J315" s="142">
        <v>0.79</v>
      </c>
      <c r="K315" s="155"/>
      <c r="L315" s="141" t="s">
        <v>795</v>
      </c>
      <c r="M315" s="141" t="s">
        <v>761</v>
      </c>
      <c r="N315" s="141">
        <v>1814</v>
      </c>
      <c r="O315" s="141" t="s">
        <v>680</v>
      </c>
      <c r="P315" s="141">
        <v>4</v>
      </c>
      <c r="Q315" s="142">
        <v>0.54545460000000001</v>
      </c>
      <c r="R315" s="142">
        <v>0.62886600000000004</v>
      </c>
      <c r="S315" s="142">
        <v>0.8823529</v>
      </c>
      <c r="T315" s="142">
        <v>0.25</v>
      </c>
      <c r="U315" s="142">
        <v>0.1869159</v>
      </c>
      <c r="V315" s="142">
        <v>0.4975</v>
      </c>
    </row>
    <row r="316" spans="1:22" ht="18.75" x14ac:dyDescent="0.25">
      <c r="A316" s="141" t="s">
        <v>795</v>
      </c>
      <c r="B316" s="141" t="s">
        <v>761</v>
      </c>
      <c r="C316" s="141">
        <v>2349</v>
      </c>
      <c r="D316" s="141" t="s">
        <v>680</v>
      </c>
      <c r="E316" s="141">
        <v>2</v>
      </c>
      <c r="F316" s="142">
        <v>0.38</v>
      </c>
      <c r="G316" s="141">
        <v>0</v>
      </c>
      <c r="H316" s="142"/>
      <c r="I316" s="142"/>
      <c r="J316" s="142">
        <v>0.38</v>
      </c>
      <c r="K316" s="155"/>
      <c r="L316" s="141" t="s">
        <v>795</v>
      </c>
      <c r="M316" s="141" t="s">
        <v>761</v>
      </c>
      <c r="N316" s="141">
        <v>2349</v>
      </c>
      <c r="O316" s="141" t="s">
        <v>680</v>
      </c>
      <c r="P316" s="141">
        <v>4</v>
      </c>
      <c r="Q316" s="142">
        <v>0.24621209999999999</v>
      </c>
      <c r="R316" s="142">
        <v>0.2470588</v>
      </c>
      <c r="S316" s="142">
        <v>1</v>
      </c>
      <c r="T316" s="142">
        <v>0.3333333</v>
      </c>
      <c r="U316" s="142">
        <v>9.6774200000000005E-2</v>
      </c>
      <c r="V316" s="142">
        <v>0.33124999999999999</v>
      </c>
    </row>
    <row r="317" spans="1:22" ht="18.75" x14ac:dyDescent="0.25">
      <c r="A317" s="141" t="s">
        <v>795</v>
      </c>
      <c r="B317" s="141" t="s">
        <v>761</v>
      </c>
      <c r="C317" s="141">
        <v>2356</v>
      </c>
      <c r="D317" s="141" t="s">
        <v>680</v>
      </c>
      <c r="E317" s="141">
        <v>1</v>
      </c>
      <c r="F317" s="142">
        <v>0.6</v>
      </c>
      <c r="G317" s="141">
        <v>1</v>
      </c>
      <c r="H317" s="142">
        <v>0.61111110000000002</v>
      </c>
      <c r="I317" s="142">
        <v>0.71739129999999995</v>
      </c>
      <c r="J317" s="142">
        <v>0.63</v>
      </c>
      <c r="K317" s="155"/>
      <c r="L317" s="141" t="s">
        <v>795</v>
      </c>
      <c r="M317" s="141" t="s">
        <v>761</v>
      </c>
      <c r="N317" s="141">
        <v>2356</v>
      </c>
      <c r="O317" s="141" t="s">
        <v>680</v>
      </c>
      <c r="P317" s="141">
        <v>2</v>
      </c>
      <c r="Q317" s="142">
        <v>0.8661972</v>
      </c>
      <c r="R317" s="142">
        <v>0.47</v>
      </c>
      <c r="S317" s="142">
        <v>1</v>
      </c>
      <c r="T317" s="142">
        <v>0.3</v>
      </c>
      <c r="U317" s="142">
        <v>0.83333330000000005</v>
      </c>
      <c r="V317" s="142">
        <v>0.74</v>
      </c>
    </row>
    <row r="318" spans="1:22" ht="18.75" x14ac:dyDescent="0.25">
      <c r="A318" s="141" t="s">
        <v>795</v>
      </c>
      <c r="B318" s="141" t="s">
        <v>761</v>
      </c>
      <c r="C318" s="141">
        <v>2936</v>
      </c>
      <c r="D318" s="141" t="s">
        <v>728</v>
      </c>
      <c r="E318" s="141">
        <v>1</v>
      </c>
      <c r="F318" s="142">
        <v>0.14000000000000001</v>
      </c>
      <c r="G318" s="141">
        <v>1</v>
      </c>
      <c r="H318" s="142">
        <v>0.55555560000000004</v>
      </c>
      <c r="I318" s="142">
        <v>0.66304350000000001</v>
      </c>
      <c r="J318" s="142">
        <v>0.3725</v>
      </c>
      <c r="K318" s="155"/>
      <c r="L318" s="141" t="s">
        <v>795</v>
      </c>
      <c r="M318" s="141" t="s">
        <v>761</v>
      </c>
      <c r="N318" s="141">
        <v>2936</v>
      </c>
      <c r="O318" s="141" t="s">
        <v>728</v>
      </c>
      <c r="P318" s="141">
        <v>4</v>
      </c>
      <c r="Q318" s="142">
        <v>0.48039219999999999</v>
      </c>
      <c r="R318" s="142">
        <v>0.34117649999999999</v>
      </c>
      <c r="S318" s="142">
        <v>1</v>
      </c>
      <c r="T318" s="142">
        <v>0.55000000000000004</v>
      </c>
      <c r="U318" s="142">
        <v>0.25806449999999997</v>
      </c>
      <c r="V318" s="142">
        <v>0.51</v>
      </c>
    </row>
    <row r="319" spans="1:22" ht="18.75" x14ac:dyDescent="0.25">
      <c r="A319" s="141" t="s">
        <v>795</v>
      </c>
      <c r="B319" s="141" t="s">
        <v>761</v>
      </c>
      <c r="C319" s="141">
        <v>2938</v>
      </c>
      <c r="D319" s="141" t="s">
        <v>680</v>
      </c>
      <c r="E319" s="141">
        <v>1</v>
      </c>
      <c r="F319" s="142">
        <v>0.33</v>
      </c>
      <c r="G319" s="141">
        <v>1</v>
      </c>
      <c r="H319" s="142">
        <v>0.66666669999999995</v>
      </c>
      <c r="I319" s="142">
        <v>0.6086956</v>
      </c>
      <c r="J319" s="142">
        <v>0.48499999999999999</v>
      </c>
      <c r="K319" s="155"/>
      <c r="L319" s="141" t="s">
        <v>795</v>
      </c>
      <c r="M319" s="141" t="s">
        <v>761</v>
      </c>
      <c r="N319" s="141">
        <v>2938</v>
      </c>
      <c r="O319" s="141" t="s">
        <v>680</v>
      </c>
      <c r="P319" s="141">
        <v>4</v>
      </c>
      <c r="Q319" s="142">
        <v>0.77477479999999999</v>
      </c>
      <c r="R319" s="142">
        <v>0.48837209999999998</v>
      </c>
      <c r="S319" s="142">
        <v>0.67307689999999998</v>
      </c>
      <c r="T319" s="142">
        <v>0.1911765</v>
      </c>
      <c r="U319" s="142">
        <v>0.39759040000000001</v>
      </c>
      <c r="V319" s="142">
        <v>0.52249999999999996</v>
      </c>
    </row>
    <row r="320" spans="1:22" ht="18.75" x14ac:dyDescent="0.25">
      <c r="A320" s="141" t="s">
        <v>795</v>
      </c>
      <c r="B320" s="141" t="s">
        <v>761</v>
      </c>
      <c r="C320" s="141">
        <v>3282</v>
      </c>
      <c r="D320" s="141" t="s">
        <v>680</v>
      </c>
      <c r="E320" s="141">
        <v>1</v>
      </c>
      <c r="F320" s="142">
        <v>0.62</v>
      </c>
      <c r="G320" s="141">
        <v>1</v>
      </c>
      <c r="H320" s="142">
        <v>0.83333330000000005</v>
      </c>
      <c r="I320" s="142">
        <v>0.58695649999999999</v>
      </c>
      <c r="J320" s="142">
        <v>0.67</v>
      </c>
      <c r="K320" s="155"/>
      <c r="L320" s="141" t="s">
        <v>795</v>
      </c>
      <c r="M320" s="141" t="s">
        <v>761</v>
      </c>
      <c r="N320" s="141">
        <v>3282</v>
      </c>
      <c r="O320" s="141" t="s">
        <v>680</v>
      </c>
      <c r="P320" s="141">
        <v>4</v>
      </c>
      <c r="Q320" s="142">
        <v>0.66956519999999997</v>
      </c>
      <c r="R320" s="142">
        <v>0.48314610000000002</v>
      </c>
      <c r="S320" s="142">
        <v>0.96153840000000002</v>
      </c>
      <c r="T320" s="142">
        <v>0.52083330000000005</v>
      </c>
      <c r="U320" s="142">
        <v>0.4895833</v>
      </c>
      <c r="V320" s="142">
        <v>0.60499999999999998</v>
      </c>
    </row>
    <row r="321" spans="1:22" ht="18.75" x14ac:dyDescent="0.25">
      <c r="A321" s="141"/>
      <c r="B321" s="141"/>
      <c r="C321" s="141"/>
      <c r="D321" s="141"/>
      <c r="E321" s="141"/>
      <c r="F321" s="142"/>
      <c r="G321" s="141"/>
      <c r="H321" s="142"/>
      <c r="I321" s="142"/>
      <c r="J321" s="142"/>
      <c r="K321" s="155"/>
      <c r="L321" s="141"/>
      <c r="M321" s="141"/>
      <c r="N321" s="141"/>
      <c r="O321" s="141"/>
      <c r="P321" s="141"/>
      <c r="Q321" s="142"/>
      <c r="R321" s="142"/>
      <c r="S321" s="142"/>
      <c r="T321" s="142"/>
      <c r="U321" s="142"/>
      <c r="V321" s="142"/>
    </row>
    <row r="322" spans="1:22" ht="18.75" x14ac:dyDescent="0.25">
      <c r="A322" s="141"/>
      <c r="B322" s="141"/>
      <c r="C322" s="141"/>
      <c r="D322" s="141"/>
      <c r="E322" s="141"/>
      <c r="F322" s="142"/>
      <c r="G322" s="141"/>
      <c r="H322" s="142"/>
      <c r="I322" s="142"/>
      <c r="J322" s="142"/>
      <c r="K322" s="155"/>
      <c r="L322" s="141"/>
      <c r="M322" s="141"/>
      <c r="N322" s="141"/>
      <c r="O322" s="141"/>
      <c r="P322" s="141"/>
      <c r="Q322" s="142"/>
      <c r="R322" s="142"/>
      <c r="S322" s="142"/>
      <c r="T322" s="142"/>
      <c r="U322" s="142"/>
      <c r="V322" s="142"/>
    </row>
    <row r="323" spans="1:22" ht="18.75" x14ac:dyDescent="0.25">
      <c r="A323" s="141"/>
      <c r="B323" s="141"/>
      <c r="C323" s="141"/>
      <c r="D323" s="141"/>
      <c r="E323" s="141"/>
      <c r="F323" s="142"/>
      <c r="G323" s="141"/>
      <c r="H323" s="142"/>
      <c r="I323" s="142"/>
      <c r="J323" s="142"/>
      <c r="K323" s="155"/>
      <c r="L323" s="141"/>
      <c r="M323" s="141"/>
      <c r="N323" s="141"/>
      <c r="O323" s="141"/>
      <c r="P323" s="141"/>
      <c r="Q323" s="142"/>
      <c r="R323" s="142"/>
      <c r="S323" s="142"/>
      <c r="T323" s="142"/>
      <c r="U323" s="142"/>
      <c r="V323" s="142"/>
    </row>
    <row r="324" spans="1:22" ht="18.75" x14ac:dyDescent="0.25">
      <c r="A324" s="141"/>
      <c r="B324" s="141"/>
      <c r="C324" s="141"/>
      <c r="D324" s="141"/>
      <c r="E324" s="141"/>
      <c r="F324" s="142"/>
      <c r="G324" s="141"/>
      <c r="H324" s="142"/>
      <c r="I324" s="142"/>
      <c r="J324" s="142"/>
      <c r="K324" s="155"/>
      <c r="L324" s="141"/>
      <c r="M324" s="141"/>
      <c r="N324" s="141"/>
      <c r="O324" s="141"/>
      <c r="P324" s="141"/>
      <c r="Q324" s="142"/>
      <c r="R324" s="142"/>
      <c r="S324" s="142"/>
      <c r="T324" s="142"/>
      <c r="U324" s="142"/>
      <c r="V324" s="142"/>
    </row>
    <row r="325" spans="1:22" ht="18.75" x14ac:dyDescent="0.25">
      <c r="A325" s="141"/>
      <c r="B325" s="141"/>
      <c r="C325" s="141"/>
      <c r="D325" s="141"/>
      <c r="E325" s="141"/>
      <c r="F325" s="142"/>
      <c r="G325" s="141"/>
      <c r="H325" s="142"/>
      <c r="I325" s="142"/>
      <c r="J325" s="142"/>
      <c r="K325" s="155"/>
      <c r="L325" s="141"/>
      <c r="M325" s="141"/>
      <c r="N325" s="141"/>
      <c r="O325" s="141"/>
      <c r="P325" s="141"/>
      <c r="Q325" s="142"/>
      <c r="R325" s="142"/>
      <c r="S325" s="142"/>
      <c r="T325" s="142"/>
      <c r="U325" s="142"/>
      <c r="V325" s="142"/>
    </row>
    <row r="326" spans="1:22" ht="18.75" x14ac:dyDescent="0.25">
      <c r="A326" s="141"/>
      <c r="B326" s="141"/>
      <c r="C326" s="141"/>
      <c r="D326" s="141"/>
      <c r="E326" s="141"/>
      <c r="F326" s="142"/>
      <c r="G326" s="141"/>
      <c r="H326" s="142"/>
      <c r="I326" s="142"/>
      <c r="J326" s="142"/>
      <c r="K326" s="155"/>
      <c r="L326" s="141"/>
      <c r="M326" s="141"/>
      <c r="N326" s="141"/>
      <c r="O326" s="141"/>
      <c r="P326" s="141"/>
      <c r="Q326" s="142"/>
      <c r="R326" s="142"/>
      <c r="S326" s="142"/>
      <c r="T326" s="142"/>
      <c r="U326" s="142"/>
      <c r="V326" s="142"/>
    </row>
    <row r="327" spans="1:22" ht="18.75" x14ac:dyDescent="0.25">
      <c r="A327" s="141"/>
      <c r="B327" s="141"/>
      <c r="C327" s="141"/>
      <c r="D327" s="141"/>
      <c r="E327" s="141"/>
      <c r="F327" s="142"/>
      <c r="G327" s="141"/>
      <c r="H327" s="142"/>
      <c r="I327" s="142"/>
      <c r="J327" s="142"/>
      <c r="K327" s="155"/>
      <c r="L327" s="141"/>
      <c r="M327" s="141"/>
      <c r="N327" s="141"/>
      <c r="O327" s="141"/>
      <c r="P327" s="141"/>
      <c r="Q327" s="142"/>
      <c r="R327" s="142"/>
      <c r="S327" s="142"/>
      <c r="T327" s="142"/>
      <c r="U327" s="142"/>
      <c r="V327" s="142"/>
    </row>
    <row r="328" spans="1:22" ht="18.75" x14ac:dyDescent="0.25">
      <c r="A328" s="141"/>
      <c r="B328" s="141"/>
      <c r="C328" s="141"/>
      <c r="D328" s="141"/>
      <c r="E328" s="141"/>
      <c r="F328" s="142"/>
      <c r="G328" s="141"/>
      <c r="H328" s="142"/>
      <c r="I328" s="142"/>
      <c r="J328" s="142"/>
      <c r="K328" s="155"/>
      <c r="L328" s="141"/>
      <c r="M328" s="141"/>
      <c r="N328" s="141"/>
      <c r="O328" s="141"/>
      <c r="P328" s="141"/>
      <c r="Q328" s="142"/>
      <c r="R328" s="142"/>
      <c r="S328" s="142"/>
      <c r="T328" s="142"/>
      <c r="U328" s="142"/>
      <c r="V328" s="142"/>
    </row>
    <row r="329" spans="1:22" ht="18.75" x14ac:dyDescent="0.25">
      <c r="A329" s="141"/>
      <c r="B329" s="141"/>
      <c r="C329" s="141"/>
      <c r="D329" s="141"/>
      <c r="E329" s="141"/>
      <c r="F329" s="142"/>
      <c r="G329" s="141"/>
      <c r="H329" s="142"/>
      <c r="I329" s="142"/>
      <c r="J329" s="142"/>
      <c r="K329" s="155"/>
      <c r="L329" s="141"/>
      <c r="M329" s="141"/>
      <c r="N329" s="141"/>
      <c r="O329" s="141"/>
      <c r="P329" s="141"/>
      <c r="Q329" s="142"/>
      <c r="R329" s="142"/>
      <c r="S329" s="142"/>
      <c r="T329" s="142"/>
      <c r="U329" s="142"/>
      <c r="V329" s="142"/>
    </row>
    <row r="330" spans="1:22" ht="18.75" x14ac:dyDescent="0.25">
      <c r="A330" s="141"/>
      <c r="B330" s="141"/>
      <c r="C330" s="141"/>
      <c r="D330" s="141"/>
      <c r="E330" s="141"/>
      <c r="F330" s="142"/>
      <c r="G330" s="141"/>
      <c r="H330" s="142"/>
      <c r="I330" s="142"/>
      <c r="J330" s="142"/>
      <c r="K330" s="155"/>
      <c r="L330" s="141"/>
      <c r="M330" s="141"/>
      <c r="N330" s="141"/>
      <c r="O330" s="141"/>
      <c r="P330" s="141"/>
      <c r="Q330" s="142"/>
      <c r="R330" s="142"/>
      <c r="S330" s="142"/>
      <c r="T330" s="142"/>
      <c r="U330" s="142"/>
      <c r="V330" s="142"/>
    </row>
    <row r="331" spans="1:22" ht="18.75" x14ac:dyDescent="0.25">
      <c r="A331" s="141"/>
      <c r="B331" s="141"/>
      <c r="C331" s="141"/>
      <c r="D331" s="141"/>
      <c r="E331" s="141"/>
      <c r="F331" s="142"/>
      <c r="G331" s="141"/>
      <c r="H331" s="142"/>
      <c r="I331" s="142"/>
      <c r="J331" s="142"/>
      <c r="K331" s="155"/>
      <c r="L331" s="141"/>
      <c r="M331" s="141"/>
      <c r="N331" s="141"/>
      <c r="O331" s="141"/>
      <c r="P331" s="141"/>
      <c r="Q331" s="142"/>
      <c r="R331" s="142"/>
      <c r="S331" s="142"/>
      <c r="T331" s="142"/>
      <c r="U331" s="142"/>
      <c r="V331" s="142"/>
    </row>
    <row r="332" spans="1:22" ht="18.75" x14ac:dyDescent="0.25">
      <c r="A332" s="141"/>
      <c r="B332" s="141"/>
      <c r="C332" s="141"/>
      <c r="D332" s="141"/>
      <c r="E332" s="141"/>
      <c r="F332" s="142"/>
      <c r="G332" s="141"/>
      <c r="H332" s="142"/>
      <c r="I332" s="142"/>
      <c r="J332" s="142"/>
      <c r="K332" s="155"/>
      <c r="L332" s="141"/>
      <c r="M332" s="141"/>
      <c r="N332" s="141"/>
      <c r="O332" s="141"/>
      <c r="P332" s="141"/>
      <c r="Q332" s="142"/>
      <c r="R332" s="142"/>
      <c r="S332" s="142"/>
      <c r="T332" s="142"/>
      <c r="U332" s="142"/>
      <c r="V332" s="142"/>
    </row>
    <row r="333" spans="1:22" ht="18.75" x14ac:dyDescent="0.25">
      <c r="A333" s="141"/>
      <c r="B333" s="141"/>
      <c r="C333" s="141"/>
      <c r="D333" s="141"/>
      <c r="E333" s="141"/>
      <c r="F333" s="142"/>
      <c r="G333" s="141"/>
      <c r="H333" s="142"/>
      <c r="I333" s="142"/>
      <c r="J333" s="142"/>
      <c r="K333" s="155"/>
      <c r="L333" s="141"/>
      <c r="M333" s="141"/>
      <c r="N333" s="141"/>
      <c r="O333" s="141"/>
      <c r="P333" s="141"/>
      <c r="Q333" s="142"/>
      <c r="R333" s="142"/>
      <c r="S333" s="142"/>
      <c r="T333" s="142"/>
      <c r="U333" s="142"/>
      <c r="V333" s="142"/>
    </row>
    <row r="334" spans="1:22" ht="18.75" x14ac:dyDescent="0.25">
      <c r="A334" s="141"/>
      <c r="B334" s="141"/>
      <c r="C334" s="141"/>
      <c r="D334" s="141"/>
      <c r="E334" s="141"/>
      <c r="F334" s="142"/>
      <c r="G334" s="141"/>
      <c r="H334" s="142"/>
      <c r="I334" s="142"/>
      <c r="J334" s="142"/>
      <c r="K334" s="155"/>
      <c r="L334" s="141"/>
      <c r="M334" s="141"/>
      <c r="N334" s="141"/>
      <c r="O334" s="141"/>
      <c r="P334" s="141"/>
      <c r="Q334" s="142"/>
      <c r="R334" s="142"/>
      <c r="S334" s="142"/>
      <c r="T334" s="142"/>
      <c r="U334" s="142"/>
      <c r="V334" s="142"/>
    </row>
    <row r="335" spans="1:22" ht="18.75" x14ac:dyDescent="0.25">
      <c r="A335" s="141"/>
      <c r="B335" s="141"/>
      <c r="C335" s="141"/>
      <c r="D335" s="141"/>
      <c r="E335" s="141"/>
      <c r="F335" s="142"/>
      <c r="G335" s="141"/>
      <c r="H335" s="142"/>
      <c r="I335" s="142"/>
      <c r="J335" s="142"/>
      <c r="K335" s="155"/>
      <c r="L335" s="141"/>
      <c r="M335" s="141"/>
      <c r="N335" s="141"/>
      <c r="O335" s="141"/>
      <c r="P335" s="141"/>
      <c r="Q335" s="142"/>
      <c r="R335" s="142"/>
      <c r="S335" s="142"/>
      <c r="T335" s="142"/>
      <c r="U335" s="142"/>
      <c r="V335" s="142"/>
    </row>
    <row r="336" spans="1:22" ht="18.75" x14ac:dyDescent="0.25">
      <c r="A336" s="141"/>
      <c r="B336" s="141"/>
      <c r="C336" s="141"/>
      <c r="D336" s="141"/>
      <c r="E336" s="141"/>
      <c r="F336" s="142"/>
      <c r="G336" s="141"/>
      <c r="H336" s="142"/>
      <c r="I336" s="142"/>
      <c r="J336" s="142"/>
      <c r="K336" s="155"/>
      <c r="L336" s="141"/>
      <c r="M336" s="141"/>
      <c r="N336" s="141"/>
      <c r="O336" s="141"/>
      <c r="P336" s="141"/>
      <c r="Q336" s="142"/>
      <c r="R336" s="142"/>
      <c r="S336" s="142"/>
      <c r="T336" s="142"/>
      <c r="U336" s="142"/>
      <c r="V336" s="142"/>
    </row>
    <row r="337" spans="1:22" ht="18.75" x14ac:dyDescent="0.25">
      <c r="A337" s="141"/>
      <c r="B337" s="141"/>
      <c r="C337" s="141"/>
      <c r="D337" s="141"/>
      <c r="E337" s="141"/>
      <c r="F337" s="142"/>
      <c r="G337" s="141"/>
      <c r="H337" s="142"/>
      <c r="I337" s="142"/>
      <c r="J337" s="142"/>
      <c r="K337" s="155"/>
      <c r="L337" s="141"/>
      <c r="M337" s="141"/>
      <c r="N337" s="141"/>
      <c r="O337" s="141"/>
      <c r="P337" s="141"/>
      <c r="Q337" s="142"/>
      <c r="R337" s="142"/>
      <c r="S337" s="142"/>
      <c r="T337" s="142"/>
      <c r="U337" s="142"/>
      <c r="V337" s="142"/>
    </row>
    <row r="338" spans="1:22" ht="18.75" x14ac:dyDescent="0.25">
      <c r="A338" s="141"/>
      <c r="B338" s="141"/>
      <c r="C338" s="141"/>
      <c r="D338" s="141"/>
      <c r="E338" s="141"/>
      <c r="F338" s="142"/>
      <c r="G338" s="141"/>
      <c r="H338" s="142"/>
      <c r="I338" s="142"/>
      <c r="J338" s="142"/>
      <c r="K338" s="155"/>
      <c r="L338" s="141"/>
      <c r="M338" s="141"/>
      <c r="N338" s="141"/>
      <c r="O338" s="141"/>
      <c r="P338" s="141"/>
      <c r="Q338" s="142"/>
      <c r="R338" s="142"/>
      <c r="S338" s="142"/>
      <c r="T338" s="142"/>
      <c r="U338" s="142"/>
      <c r="V338" s="142"/>
    </row>
    <row r="339" spans="1:22" ht="18.75" x14ac:dyDescent="0.25">
      <c r="A339" s="141"/>
      <c r="B339" s="141"/>
      <c r="C339" s="141"/>
      <c r="D339" s="141"/>
      <c r="E339" s="141"/>
      <c r="F339" s="142"/>
      <c r="G339" s="141"/>
      <c r="H339" s="142"/>
      <c r="I339" s="142"/>
      <c r="J339" s="142"/>
      <c r="K339" s="155"/>
      <c r="L339" s="141"/>
      <c r="M339" s="141"/>
      <c r="N339" s="141"/>
      <c r="O339" s="141"/>
      <c r="P339" s="141"/>
      <c r="Q339" s="142"/>
      <c r="R339" s="142"/>
      <c r="S339" s="142"/>
      <c r="T339" s="142"/>
      <c r="U339" s="142"/>
      <c r="V339" s="142"/>
    </row>
    <row r="340" spans="1:22" ht="18.75" x14ac:dyDescent="0.25">
      <c r="A340" s="141"/>
      <c r="B340" s="141"/>
      <c r="C340" s="141"/>
      <c r="D340" s="141"/>
      <c r="E340" s="141"/>
      <c r="F340" s="142"/>
      <c r="G340" s="141"/>
      <c r="H340" s="142"/>
      <c r="I340" s="142"/>
      <c r="J340" s="142"/>
      <c r="K340" s="155"/>
      <c r="L340" s="141"/>
      <c r="M340" s="141"/>
      <c r="N340" s="141"/>
      <c r="O340" s="141"/>
      <c r="P340" s="141"/>
      <c r="Q340" s="142"/>
      <c r="R340" s="142"/>
      <c r="S340" s="142"/>
      <c r="T340" s="142"/>
      <c r="U340" s="142"/>
      <c r="V340" s="142"/>
    </row>
    <row r="341" spans="1:22" ht="18.75" x14ac:dyDescent="0.25">
      <c r="A341" s="141"/>
      <c r="B341" s="141"/>
      <c r="C341" s="141"/>
      <c r="D341" s="141"/>
      <c r="E341" s="141"/>
      <c r="F341" s="142"/>
      <c r="G341" s="141"/>
      <c r="H341" s="142"/>
      <c r="I341" s="142"/>
      <c r="J341" s="142"/>
      <c r="K341" s="155"/>
      <c r="L341" s="141"/>
      <c r="M341" s="141"/>
      <c r="N341" s="141"/>
      <c r="O341" s="141"/>
      <c r="P341" s="141"/>
      <c r="Q341" s="142"/>
      <c r="R341" s="142"/>
      <c r="S341" s="142"/>
      <c r="T341" s="142"/>
      <c r="U341" s="142"/>
      <c r="V341" s="142"/>
    </row>
    <row r="342" spans="1:22" ht="18.75" x14ac:dyDescent="0.25">
      <c r="A342" s="141"/>
      <c r="B342" s="141"/>
      <c r="C342" s="141"/>
      <c r="D342" s="141"/>
      <c r="E342" s="141"/>
      <c r="F342" s="142"/>
      <c r="G342" s="141"/>
      <c r="H342" s="142"/>
      <c r="I342" s="142"/>
      <c r="J342" s="142"/>
      <c r="K342" s="155"/>
      <c r="L342" s="141"/>
      <c r="M342" s="141"/>
      <c r="N342" s="141"/>
      <c r="O342" s="141"/>
      <c r="P342" s="141"/>
      <c r="Q342" s="142"/>
      <c r="R342" s="142"/>
      <c r="S342" s="142"/>
      <c r="T342" s="142"/>
      <c r="U342" s="142"/>
      <c r="V342" s="142"/>
    </row>
    <row r="343" spans="1:22" ht="18.75" x14ac:dyDescent="0.25">
      <c r="A343" s="141"/>
      <c r="B343" s="141"/>
      <c r="C343" s="141"/>
      <c r="D343" s="141"/>
      <c r="E343" s="141"/>
      <c r="F343" s="142"/>
      <c r="G343" s="141"/>
      <c r="H343" s="142"/>
      <c r="I343" s="142"/>
      <c r="J343" s="142"/>
      <c r="K343" s="155"/>
      <c r="L343" s="141"/>
      <c r="M343" s="141"/>
      <c r="N343" s="141"/>
      <c r="O343" s="141"/>
      <c r="P343" s="141"/>
      <c r="Q343" s="142"/>
      <c r="R343" s="142"/>
      <c r="S343" s="142"/>
      <c r="T343" s="142"/>
      <c r="U343" s="142"/>
      <c r="V343" s="142"/>
    </row>
    <row r="344" spans="1:22" ht="18.75" x14ac:dyDescent="0.25">
      <c r="A344" s="141"/>
      <c r="B344" s="141"/>
      <c r="C344" s="141"/>
      <c r="D344" s="141"/>
      <c r="E344" s="141"/>
      <c r="F344" s="142"/>
      <c r="G344" s="141"/>
      <c r="H344" s="142"/>
      <c r="I344" s="142"/>
      <c r="J344" s="142"/>
      <c r="K344" s="155"/>
      <c r="L344" s="141"/>
      <c r="M344" s="141"/>
      <c r="N344" s="141"/>
      <c r="O344" s="141"/>
      <c r="P344" s="141"/>
      <c r="Q344" s="142"/>
      <c r="R344" s="142"/>
      <c r="S344" s="142"/>
      <c r="T344" s="142"/>
      <c r="U344" s="142"/>
      <c r="V344" s="142"/>
    </row>
    <row r="345" spans="1:22" ht="18.75" x14ac:dyDescent="0.25">
      <c r="A345" s="141"/>
      <c r="B345" s="141"/>
      <c r="C345" s="141"/>
      <c r="D345" s="141"/>
      <c r="E345" s="141"/>
      <c r="F345" s="142"/>
      <c r="G345" s="141"/>
      <c r="H345" s="142"/>
      <c r="I345" s="142"/>
      <c r="J345" s="142"/>
      <c r="K345" s="155"/>
      <c r="L345" s="141"/>
      <c r="M345" s="141"/>
      <c r="N345" s="141"/>
      <c r="O345" s="141"/>
      <c r="P345" s="141"/>
      <c r="Q345" s="142"/>
      <c r="R345" s="142"/>
      <c r="S345" s="142"/>
      <c r="T345" s="142"/>
      <c r="U345" s="142"/>
      <c r="V345" s="142"/>
    </row>
    <row r="346" spans="1:22" ht="18.75" x14ac:dyDescent="0.25">
      <c r="A346" s="141"/>
      <c r="B346" s="141"/>
      <c r="C346" s="141"/>
      <c r="D346" s="141"/>
      <c r="E346" s="141"/>
      <c r="F346" s="142"/>
      <c r="G346" s="141"/>
      <c r="H346" s="142"/>
      <c r="I346" s="142"/>
      <c r="J346" s="142"/>
      <c r="K346" s="155"/>
      <c r="L346" s="141"/>
      <c r="M346" s="141"/>
      <c r="N346" s="141"/>
      <c r="O346" s="141"/>
      <c r="P346" s="141"/>
      <c r="Q346" s="142"/>
      <c r="R346" s="142"/>
      <c r="S346" s="142"/>
      <c r="T346" s="142"/>
      <c r="U346" s="142"/>
      <c r="V346" s="142"/>
    </row>
    <row r="347" spans="1:22" ht="18.75" x14ac:dyDescent="0.25">
      <c r="A347" s="141"/>
      <c r="B347" s="141"/>
      <c r="C347" s="141"/>
      <c r="D347" s="141"/>
      <c r="E347" s="141"/>
      <c r="F347" s="142"/>
      <c r="G347" s="141"/>
      <c r="H347" s="142"/>
      <c r="I347" s="142"/>
      <c r="J347" s="142"/>
      <c r="K347" s="155"/>
      <c r="L347" s="141"/>
      <c r="M347" s="141"/>
      <c r="N347" s="141"/>
      <c r="O347" s="141"/>
      <c r="P347" s="141"/>
      <c r="Q347" s="142"/>
      <c r="R347" s="142"/>
      <c r="S347" s="142"/>
      <c r="T347" s="142"/>
      <c r="U347" s="142"/>
      <c r="V347" s="142"/>
    </row>
    <row r="348" spans="1:22" ht="18.75" x14ac:dyDescent="0.25">
      <c r="A348" s="141"/>
      <c r="B348" s="141"/>
      <c r="C348" s="141"/>
      <c r="D348" s="141"/>
      <c r="E348" s="141"/>
      <c r="F348" s="142"/>
      <c r="G348" s="141"/>
      <c r="H348" s="142"/>
      <c r="I348" s="142"/>
      <c r="J348" s="142"/>
      <c r="K348" s="155"/>
      <c r="L348" s="141"/>
      <c r="M348" s="141"/>
      <c r="N348" s="141"/>
      <c r="O348" s="141"/>
      <c r="P348" s="141"/>
      <c r="Q348" s="142"/>
      <c r="R348" s="142"/>
      <c r="S348" s="142"/>
      <c r="T348" s="142"/>
      <c r="U348" s="142"/>
      <c r="V348" s="142"/>
    </row>
    <row r="349" spans="1:22" ht="18.75" x14ac:dyDescent="0.25">
      <c r="A349" s="141"/>
      <c r="B349" s="141"/>
      <c r="C349" s="141"/>
      <c r="D349" s="141"/>
      <c r="E349" s="141"/>
      <c r="F349" s="142"/>
      <c r="G349" s="141"/>
      <c r="H349" s="142"/>
      <c r="I349" s="142"/>
      <c r="J349" s="142"/>
      <c r="K349" s="155"/>
      <c r="L349" s="141"/>
      <c r="M349" s="141"/>
      <c r="N349" s="141"/>
      <c r="O349" s="141"/>
      <c r="P349" s="141"/>
      <c r="Q349" s="142"/>
      <c r="R349" s="142"/>
      <c r="S349" s="142"/>
      <c r="T349" s="142"/>
      <c r="U349" s="142"/>
      <c r="V349" s="142"/>
    </row>
    <row r="350" spans="1:22" ht="18.75" x14ac:dyDescent="0.25">
      <c r="A350" s="141"/>
      <c r="B350" s="141"/>
      <c r="C350" s="141"/>
      <c r="D350" s="141"/>
      <c r="E350" s="141"/>
      <c r="F350" s="142"/>
      <c r="G350" s="141"/>
      <c r="H350" s="142"/>
      <c r="I350" s="142"/>
      <c r="J350" s="142"/>
      <c r="K350" s="155"/>
      <c r="L350" s="141"/>
      <c r="M350" s="141"/>
      <c r="N350" s="141"/>
      <c r="O350" s="141"/>
      <c r="P350" s="141"/>
      <c r="Q350" s="142"/>
      <c r="R350" s="142"/>
      <c r="S350" s="142"/>
      <c r="T350" s="142"/>
      <c r="U350" s="142"/>
      <c r="V350" s="142"/>
    </row>
    <row r="351" spans="1:22" ht="18.75" x14ac:dyDescent="0.25">
      <c r="A351" s="141"/>
      <c r="B351" s="141"/>
      <c r="C351" s="141"/>
      <c r="D351" s="141"/>
      <c r="E351" s="141"/>
      <c r="F351" s="142"/>
      <c r="G351" s="141"/>
      <c r="H351" s="142"/>
      <c r="I351" s="142"/>
      <c r="J351" s="142"/>
      <c r="K351" s="155"/>
      <c r="L351" s="141"/>
      <c r="M351" s="141"/>
      <c r="N351" s="141"/>
      <c r="O351" s="141"/>
      <c r="P351" s="141"/>
      <c r="Q351" s="142"/>
      <c r="R351" s="142"/>
      <c r="S351" s="142"/>
      <c r="T351" s="142"/>
      <c r="U351" s="142"/>
      <c r="V351" s="142"/>
    </row>
    <row r="352" spans="1:22" ht="18.75" x14ac:dyDescent="0.25">
      <c r="A352" s="141"/>
      <c r="B352" s="141"/>
      <c r="C352" s="141"/>
      <c r="D352" s="141"/>
      <c r="E352" s="141"/>
      <c r="F352" s="142"/>
      <c r="G352" s="141"/>
      <c r="H352" s="142"/>
      <c r="I352" s="142"/>
      <c r="J352" s="142"/>
      <c r="K352" s="155"/>
      <c r="L352" s="141"/>
      <c r="M352" s="141"/>
      <c r="N352" s="141"/>
      <c r="O352" s="141"/>
      <c r="P352" s="141"/>
      <c r="Q352" s="142"/>
      <c r="R352" s="142"/>
      <c r="S352" s="142"/>
      <c r="T352" s="142"/>
      <c r="U352" s="142"/>
      <c r="V352" s="142"/>
    </row>
    <row r="353" spans="1:22" ht="18.75" x14ac:dyDescent="0.25">
      <c r="A353" s="141"/>
      <c r="B353" s="141"/>
      <c r="C353" s="141"/>
      <c r="D353" s="141"/>
      <c r="E353" s="141"/>
      <c r="F353" s="142"/>
      <c r="G353" s="141"/>
      <c r="H353" s="142"/>
      <c r="I353" s="142"/>
      <c r="J353" s="142"/>
      <c r="K353" s="155"/>
      <c r="L353" s="141"/>
      <c r="M353" s="141"/>
      <c r="N353" s="141"/>
      <c r="O353" s="141"/>
      <c r="P353" s="141"/>
      <c r="Q353" s="142"/>
      <c r="R353" s="142"/>
      <c r="S353" s="142"/>
      <c r="T353" s="142"/>
      <c r="U353" s="142"/>
      <c r="V353" s="142"/>
    </row>
    <row r="354" spans="1:22" ht="18.75" x14ac:dyDescent="0.25">
      <c r="A354" s="141"/>
      <c r="B354" s="141"/>
      <c r="C354" s="141"/>
      <c r="D354" s="141"/>
      <c r="E354" s="141"/>
      <c r="F354" s="142"/>
      <c r="G354" s="141"/>
      <c r="H354" s="142"/>
      <c r="I354" s="142"/>
      <c r="J354" s="142"/>
      <c r="K354" s="155"/>
      <c r="L354" s="141"/>
      <c r="M354" s="141"/>
      <c r="N354" s="141"/>
      <c r="O354" s="141"/>
      <c r="P354" s="141"/>
      <c r="Q354" s="142"/>
      <c r="R354" s="142"/>
      <c r="S354" s="142"/>
      <c r="T354" s="142"/>
      <c r="U354" s="142"/>
      <c r="V354" s="142"/>
    </row>
    <row r="355" spans="1:22" ht="18.75" x14ac:dyDescent="0.25">
      <c r="A355" s="141"/>
      <c r="B355" s="141"/>
      <c r="C355" s="141"/>
      <c r="D355" s="141"/>
      <c r="E355" s="141"/>
      <c r="F355" s="142"/>
      <c r="G355" s="141"/>
      <c r="H355" s="142"/>
      <c r="I355" s="142"/>
      <c r="J355" s="142"/>
      <c r="K355" s="155"/>
      <c r="L355" s="141"/>
      <c r="M355" s="141"/>
      <c r="N355" s="141"/>
      <c r="O355" s="141"/>
      <c r="P355" s="141"/>
      <c r="Q355" s="142"/>
      <c r="R355" s="142"/>
      <c r="S355" s="142"/>
      <c r="T355" s="142"/>
      <c r="U355" s="142"/>
      <c r="V355" s="142"/>
    </row>
    <row r="356" spans="1:22" ht="18.75" x14ac:dyDescent="0.25">
      <c r="A356" s="141"/>
      <c r="B356" s="141"/>
      <c r="C356" s="141"/>
      <c r="D356" s="141"/>
      <c r="E356" s="141"/>
      <c r="F356" s="142"/>
      <c r="G356" s="141"/>
      <c r="H356" s="142"/>
      <c r="I356" s="142"/>
      <c r="J356" s="142"/>
      <c r="K356" s="155"/>
      <c r="L356" s="141"/>
      <c r="M356" s="141"/>
      <c r="N356" s="141"/>
      <c r="O356" s="141"/>
      <c r="P356" s="141"/>
      <c r="Q356" s="142"/>
      <c r="R356" s="142"/>
      <c r="S356" s="142"/>
      <c r="T356" s="142"/>
      <c r="U356" s="142"/>
      <c r="V356" s="142"/>
    </row>
    <row r="357" spans="1:22" ht="18.75" x14ac:dyDescent="0.25">
      <c r="A357" s="141"/>
      <c r="B357" s="141"/>
      <c r="C357" s="141"/>
      <c r="D357" s="141"/>
      <c r="E357" s="141"/>
      <c r="F357" s="142"/>
      <c r="G357" s="141"/>
      <c r="H357" s="142"/>
      <c r="I357" s="142"/>
      <c r="J357" s="142"/>
      <c r="K357" s="155"/>
      <c r="L357" s="141"/>
      <c r="M357" s="141"/>
      <c r="N357" s="141"/>
      <c r="O357" s="141"/>
      <c r="P357" s="141"/>
      <c r="Q357" s="142"/>
      <c r="R357" s="142"/>
      <c r="S357" s="142"/>
      <c r="T357" s="142"/>
      <c r="U357" s="142"/>
      <c r="V357" s="142"/>
    </row>
    <row r="358" spans="1:22" ht="18.75" x14ac:dyDescent="0.25">
      <c r="A358" s="141"/>
      <c r="B358" s="141"/>
      <c r="C358" s="141"/>
      <c r="D358" s="141"/>
      <c r="E358" s="141"/>
      <c r="F358" s="142"/>
      <c r="G358" s="141"/>
      <c r="H358" s="142"/>
      <c r="I358" s="142"/>
      <c r="J358" s="142"/>
      <c r="K358" s="155"/>
      <c r="L358" s="141"/>
      <c r="M358" s="141"/>
      <c r="N358" s="141"/>
      <c r="O358" s="141"/>
      <c r="P358" s="141"/>
      <c r="Q358" s="142"/>
      <c r="R358" s="142"/>
      <c r="S358" s="142"/>
      <c r="T358" s="142"/>
      <c r="U358" s="142"/>
      <c r="V358" s="142"/>
    </row>
    <row r="359" spans="1:22" ht="18.75" x14ac:dyDescent="0.25">
      <c r="A359" s="141"/>
      <c r="B359" s="141"/>
      <c r="C359" s="141"/>
      <c r="D359" s="141"/>
      <c r="E359" s="141"/>
      <c r="F359" s="142"/>
      <c r="G359" s="141"/>
      <c r="H359" s="142"/>
      <c r="I359" s="142"/>
      <c r="J359" s="142"/>
      <c r="K359" s="155"/>
      <c r="L359" s="141"/>
      <c r="M359" s="141"/>
      <c r="N359" s="141"/>
      <c r="O359" s="141"/>
      <c r="P359" s="141"/>
      <c r="Q359" s="142"/>
      <c r="R359" s="142"/>
      <c r="S359" s="142"/>
      <c r="T359" s="142"/>
      <c r="U359" s="142"/>
      <c r="V359" s="142"/>
    </row>
    <row r="360" spans="1:22" ht="18.75" x14ac:dyDescent="0.25">
      <c r="A360" s="141"/>
      <c r="B360" s="141"/>
      <c r="C360" s="141"/>
      <c r="D360" s="141"/>
      <c r="E360" s="141"/>
      <c r="F360" s="142"/>
      <c r="G360" s="141"/>
      <c r="H360" s="142"/>
      <c r="I360" s="142"/>
      <c r="J360" s="142"/>
      <c r="K360" s="155"/>
      <c r="L360" s="141"/>
      <c r="M360" s="141"/>
      <c r="N360" s="141"/>
      <c r="O360" s="141"/>
      <c r="P360" s="141"/>
      <c r="Q360" s="142"/>
      <c r="R360" s="142"/>
      <c r="S360" s="142"/>
      <c r="T360" s="142"/>
      <c r="U360" s="142"/>
      <c r="V360" s="142"/>
    </row>
    <row r="361" spans="1:22" ht="18.75" x14ac:dyDescent="0.25">
      <c r="A361" s="141"/>
      <c r="B361" s="141"/>
      <c r="C361" s="141"/>
      <c r="D361" s="141"/>
      <c r="E361" s="141"/>
      <c r="F361" s="142"/>
      <c r="G361" s="141"/>
      <c r="H361" s="142"/>
      <c r="I361" s="142"/>
      <c r="J361" s="142"/>
      <c r="K361" s="155"/>
      <c r="L361" s="141"/>
      <c r="M361" s="141"/>
      <c r="N361" s="141"/>
      <c r="O361" s="141"/>
      <c r="P361" s="141"/>
      <c r="Q361" s="142"/>
      <c r="R361" s="142"/>
      <c r="S361" s="142"/>
      <c r="T361" s="142"/>
      <c r="U361" s="142"/>
      <c r="V361" s="142"/>
    </row>
    <row r="362" spans="1:22" ht="18.75" x14ac:dyDescent="0.25">
      <c r="A362" s="141"/>
      <c r="B362" s="141"/>
      <c r="C362" s="141"/>
      <c r="D362" s="141"/>
      <c r="E362" s="141"/>
      <c r="F362" s="142"/>
      <c r="G362" s="141"/>
      <c r="H362" s="142"/>
      <c r="I362" s="142"/>
      <c r="J362" s="142"/>
      <c r="K362" s="155"/>
      <c r="L362" s="141"/>
      <c r="M362" s="141"/>
      <c r="N362" s="141"/>
      <c r="O362" s="141"/>
      <c r="P362" s="141"/>
      <c r="Q362" s="142"/>
      <c r="R362" s="142"/>
      <c r="S362" s="142"/>
      <c r="T362" s="142"/>
      <c r="U362" s="142"/>
      <c r="V362" s="142"/>
    </row>
    <row r="363" spans="1:22" ht="18.75" x14ac:dyDescent="0.25">
      <c r="A363" s="141"/>
      <c r="B363" s="141"/>
      <c r="C363" s="141"/>
      <c r="D363" s="141"/>
      <c r="E363" s="141"/>
      <c r="F363" s="142"/>
      <c r="G363" s="141"/>
      <c r="H363" s="142"/>
      <c r="I363" s="142"/>
      <c r="J363" s="142"/>
      <c r="K363" s="155"/>
      <c r="L363" s="141"/>
      <c r="M363" s="141"/>
      <c r="N363" s="141"/>
      <c r="O363" s="141"/>
      <c r="P363" s="141"/>
      <c r="Q363" s="142"/>
      <c r="R363" s="142"/>
      <c r="S363" s="142"/>
      <c r="T363" s="142"/>
      <c r="U363" s="142"/>
      <c r="V363" s="142"/>
    </row>
    <row r="364" spans="1:22" ht="18.75" x14ac:dyDescent="0.25">
      <c r="A364" s="141"/>
      <c r="B364" s="141"/>
      <c r="C364" s="141"/>
      <c r="D364" s="141"/>
      <c r="E364" s="141"/>
      <c r="F364" s="142"/>
      <c r="G364" s="141"/>
      <c r="H364" s="142"/>
      <c r="I364" s="142"/>
      <c r="J364" s="142"/>
      <c r="K364" s="155"/>
      <c r="L364" s="141"/>
      <c r="M364" s="141"/>
      <c r="N364" s="141"/>
      <c r="O364" s="141"/>
      <c r="P364" s="141"/>
      <c r="Q364" s="142"/>
      <c r="R364" s="142"/>
      <c r="S364" s="142"/>
      <c r="T364" s="142"/>
      <c r="U364" s="142"/>
      <c r="V364" s="142"/>
    </row>
    <row r="365" spans="1:22" ht="18.75" x14ac:dyDescent="0.25">
      <c r="A365" s="141"/>
      <c r="B365" s="141"/>
      <c r="C365" s="141"/>
      <c r="D365" s="141"/>
      <c r="E365" s="141"/>
      <c r="F365" s="142"/>
      <c r="G365" s="141"/>
      <c r="H365" s="142"/>
      <c r="I365" s="142"/>
      <c r="J365" s="142"/>
      <c r="K365" s="155"/>
      <c r="L365" s="141"/>
      <c r="M365" s="141"/>
      <c r="N365" s="141"/>
      <c r="O365" s="141"/>
      <c r="P365" s="141"/>
      <c r="Q365" s="142"/>
      <c r="R365" s="142"/>
      <c r="S365" s="142"/>
      <c r="T365" s="142"/>
      <c r="U365" s="142"/>
      <c r="V365" s="142"/>
    </row>
    <row r="366" spans="1:22" ht="18.75" x14ac:dyDescent="0.25">
      <c r="A366" s="141"/>
      <c r="B366" s="141"/>
      <c r="C366" s="141"/>
      <c r="D366" s="141"/>
      <c r="E366" s="141"/>
      <c r="F366" s="142"/>
      <c r="G366" s="141"/>
      <c r="H366" s="142"/>
      <c r="I366" s="142"/>
      <c r="J366" s="142"/>
      <c r="K366" s="155"/>
      <c r="L366" s="141"/>
      <c r="M366" s="141"/>
      <c r="N366" s="141"/>
      <c r="O366" s="141"/>
      <c r="P366" s="141"/>
      <c r="Q366" s="142"/>
      <c r="R366" s="142"/>
      <c r="S366" s="142"/>
      <c r="T366" s="142"/>
      <c r="U366" s="142"/>
      <c r="V366" s="142"/>
    </row>
    <row r="367" spans="1:22" ht="18.75" x14ac:dyDescent="0.25">
      <c r="A367" s="141"/>
      <c r="B367" s="141"/>
      <c r="C367" s="141"/>
      <c r="D367" s="141"/>
      <c r="E367" s="141"/>
      <c r="F367" s="142"/>
      <c r="G367" s="141"/>
      <c r="H367" s="142"/>
      <c r="I367" s="142"/>
      <c r="J367" s="142"/>
      <c r="K367" s="155"/>
      <c r="L367" s="141"/>
      <c r="M367" s="141"/>
      <c r="N367" s="141"/>
      <c r="O367" s="141"/>
      <c r="P367" s="141"/>
      <c r="Q367" s="142"/>
      <c r="R367" s="142"/>
      <c r="S367" s="142"/>
      <c r="T367" s="142"/>
      <c r="U367" s="142"/>
      <c r="V367" s="142"/>
    </row>
    <row r="368" spans="1:22" ht="18.75" x14ac:dyDescent="0.25">
      <c r="A368" s="141"/>
      <c r="B368" s="141"/>
      <c r="C368" s="141"/>
      <c r="D368" s="141"/>
      <c r="E368" s="141"/>
      <c r="F368" s="142"/>
      <c r="G368" s="141"/>
      <c r="H368" s="142"/>
      <c r="I368" s="142"/>
      <c r="J368" s="142"/>
      <c r="K368" s="155"/>
      <c r="L368" s="141"/>
      <c r="M368" s="141"/>
      <c r="N368" s="141"/>
      <c r="O368" s="141"/>
      <c r="P368" s="141"/>
      <c r="Q368" s="142"/>
      <c r="R368" s="142"/>
      <c r="S368" s="142"/>
      <c r="T368" s="142"/>
      <c r="U368" s="142"/>
      <c r="V368" s="142"/>
    </row>
    <row r="369" spans="1:22" ht="18.75" x14ac:dyDescent="0.25">
      <c r="A369" s="141"/>
      <c r="B369" s="141"/>
      <c r="C369" s="141"/>
      <c r="D369" s="141"/>
      <c r="E369" s="141"/>
      <c r="F369" s="142"/>
      <c r="G369" s="141"/>
      <c r="H369" s="142"/>
      <c r="I369" s="142"/>
      <c r="J369" s="142"/>
      <c r="K369" s="155"/>
      <c r="L369" s="141"/>
      <c r="M369" s="141"/>
      <c r="N369" s="141"/>
      <c r="O369" s="141"/>
      <c r="P369" s="141"/>
      <c r="Q369" s="142"/>
      <c r="R369" s="142"/>
      <c r="S369" s="142"/>
      <c r="T369" s="142"/>
      <c r="U369" s="142"/>
      <c r="V369" s="142"/>
    </row>
    <row r="370" spans="1:22" ht="18.75" x14ac:dyDescent="0.25">
      <c r="A370" s="141"/>
      <c r="B370" s="141"/>
      <c r="C370" s="141"/>
      <c r="D370" s="141"/>
      <c r="E370" s="141"/>
      <c r="F370" s="142"/>
      <c r="G370" s="141"/>
      <c r="H370" s="142"/>
      <c r="I370" s="142"/>
      <c r="J370" s="142"/>
      <c r="K370" s="155"/>
      <c r="L370" s="141"/>
      <c r="M370" s="141"/>
      <c r="N370" s="141"/>
      <c r="O370" s="141"/>
      <c r="P370" s="141"/>
      <c r="Q370" s="142"/>
      <c r="R370" s="142"/>
      <c r="S370" s="142"/>
      <c r="T370" s="142"/>
      <c r="U370" s="142"/>
      <c r="V370" s="142"/>
    </row>
    <row r="371" spans="1:22" ht="18.75" x14ac:dyDescent="0.25">
      <c r="A371" s="141"/>
      <c r="B371" s="141"/>
      <c r="C371" s="141"/>
      <c r="D371" s="141"/>
      <c r="E371" s="141"/>
      <c r="F371" s="142"/>
      <c r="G371" s="141"/>
      <c r="H371" s="142"/>
      <c r="I371" s="142"/>
      <c r="J371" s="142"/>
      <c r="K371" s="155"/>
      <c r="L371" s="141"/>
      <c r="M371" s="141"/>
      <c r="N371" s="141"/>
      <c r="O371" s="141"/>
      <c r="P371" s="141"/>
      <c r="Q371" s="142"/>
      <c r="R371" s="142"/>
      <c r="S371" s="142"/>
      <c r="T371" s="142"/>
      <c r="U371" s="142"/>
      <c r="V371" s="142"/>
    </row>
    <row r="372" spans="1:22" ht="18.75" x14ac:dyDescent="0.25">
      <c r="A372" s="141"/>
      <c r="B372" s="141"/>
      <c r="C372" s="141"/>
      <c r="D372" s="141"/>
      <c r="E372" s="141"/>
      <c r="F372" s="142"/>
      <c r="G372" s="141"/>
      <c r="H372" s="142"/>
      <c r="I372" s="142"/>
      <c r="J372" s="142"/>
      <c r="K372" s="155"/>
      <c r="L372" s="141"/>
      <c r="M372" s="141"/>
      <c r="N372" s="141"/>
      <c r="O372" s="141"/>
      <c r="P372" s="141"/>
      <c r="Q372" s="142"/>
      <c r="R372" s="142"/>
      <c r="S372" s="142"/>
      <c r="T372" s="142"/>
      <c r="U372" s="142"/>
      <c r="V372" s="142"/>
    </row>
    <row r="373" spans="1:22" ht="18.75" x14ac:dyDescent="0.25">
      <c r="A373" s="141"/>
      <c r="B373" s="141"/>
      <c r="C373" s="141"/>
      <c r="D373" s="141"/>
      <c r="E373" s="141"/>
      <c r="F373" s="142"/>
      <c r="G373" s="141"/>
      <c r="H373" s="142"/>
      <c r="I373" s="142"/>
      <c r="J373" s="142"/>
      <c r="K373" s="155"/>
      <c r="L373" s="141"/>
      <c r="M373" s="141"/>
      <c r="N373" s="141"/>
      <c r="O373" s="141"/>
      <c r="P373" s="141"/>
      <c r="Q373" s="142"/>
      <c r="R373" s="142"/>
      <c r="S373" s="142"/>
      <c r="T373" s="142"/>
      <c r="U373" s="142"/>
      <c r="V373" s="142"/>
    </row>
    <row r="374" spans="1:22" ht="18.75" x14ac:dyDescent="0.25">
      <c r="A374" s="141"/>
      <c r="B374" s="141"/>
      <c r="C374" s="141"/>
      <c r="D374" s="141"/>
      <c r="E374" s="141"/>
      <c r="F374" s="142"/>
      <c r="G374" s="141"/>
      <c r="H374" s="142"/>
      <c r="I374" s="142"/>
      <c r="J374" s="142"/>
      <c r="K374" s="155"/>
      <c r="L374" s="141"/>
      <c r="M374" s="141"/>
      <c r="N374" s="141"/>
      <c r="O374" s="141"/>
      <c r="P374" s="141"/>
      <c r="Q374" s="142"/>
      <c r="R374" s="142"/>
      <c r="S374" s="142"/>
      <c r="T374" s="142"/>
      <c r="U374" s="142"/>
      <c r="V374" s="142"/>
    </row>
    <row r="375" spans="1:22" ht="18.75" x14ac:dyDescent="0.25">
      <c r="A375" s="141"/>
      <c r="B375" s="141"/>
      <c r="C375" s="141"/>
      <c r="D375" s="141"/>
      <c r="E375" s="141"/>
      <c r="F375" s="142"/>
      <c r="G375" s="141"/>
      <c r="H375" s="142"/>
      <c r="I375" s="142"/>
      <c r="J375" s="142"/>
      <c r="K375" s="155"/>
      <c r="L375" s="141"/>
      <c r="M375" s="141"/>
      <c r="N375" s="141"/>
      <c r="O375" s="141"/>
      <c r="P375" s="141"/>
      <c r="Q375" s="142"/>
      <c r="R375" s="142"/>
      <c r="S375" s="142"/>
      <c r="T375" s="142"/>
      <c r="U375" s="142"/>
      <c r="V375" s="142"/>
    </row>
    <row r="376" spans="1:22" ht="18.75" x14ac:dyDescent="0.25">
      <c r="A376" s="141"/>
      <c r="B376" s="141"/>
      <c r="C376" s="141"/>
      <c r="D376" s="141"/>
      <c r="E376" s="141"/>
      <c r="F376" s="142"/>
      <c r="G376" s="141"/>
      <c r="H376" s="142"/>
      <c r="I376" s="142"/>
      <c r="J376" s="142"/>
      <c r="K376" s="155"/>
      <c r="L376" s="141"/>
      <c r="M376" s="141"/>
      <c r="N376" s="141"/>
      <c r="O376" s="141"/>
      <c r="P376" s="141"/>
      <c r="Q376" s="142"/>
      <c r="R376" s="142"/>
      <c r="S376" s="142"/>
      <c r="T376" s="142"/>
      <c r="U376" s="142"/>
      <c r="V376" s="142"/>
    </row>
    <row r="377" spans="1:22" ht="18.75" x14ac:dyDescent="0.25">
      <c r="A377" s="141"/>
      <c r="B377" s="141"/>
      <c r="C377" s="141"/>
      <c r="D377" s="141"/>
      <c r="E377" s="141"/>
      <c r="F377" s="142"/>
      <c r="G377" s="141"/>
      <c r="H377" s="142"/>
      <c r="I377" s="142"/>
      <c r="J377" s="142"/>
      <c r="K377" s="155"/>
      <c r="L377" s="141"/>
      <c r="M377" s="141"/>
      <c r="N377" s="141"/>
      <c r="O377" s="141"/>
      <c r="P377" s="141"/>
      <c r="Q377" s="142"/>
      <c r="R377" s="142"/>
      <c r="S377" s="142"/>
      <c r="T377" s="142"/>
      <c r="U377" s="142"/>
      <c r="V377" s="142"/>
    </row>
    <row r="378" spans="1:22" ht="18.75" x14ac:dyDescent="0.25">
      <c r="A378" s="141"/>
      <c r="B378" s="141"/>
      <c r="C378" s="141"/>
      <c r="D378" s="141"/>
      <c r="E378" s="141"/>
      <c r="F378" s="142"/>
      <c r="G378" s="141"/>
      <c r="H378" s="142"/>
      <c r="I378" s="142"/>
      <c r="J378" s="142"/>
      <c r="K378" s="155"/>
      <c r="L378" s="141"/>
      <c r="M378" s="141"/>
      <c r="N378" s="141"/>
      <c r="O378" s="141"/>
      <c r="P378" s="141"/>
      <c r="Q378" s="142"/>
      <c r="R378" s="142"/>
      <c r="S378" s="142"/>
      <c r="T378" s="142"/>
      <c r="U378" s="142"/>
      <c r="V378" s="142"/>
    </row>
    <row r="379" spans="1:22" ht="18.75" x14ac:dyDescent="0.25">
      <c r="A379" s="141"/>
      <c r="B379" s="141"/>
      <c r="C379" s="141"/>
      <c r="D379" s="141"/>
      <c r="E379" s="141"/>
      <c r="F379" s="142"/>
      <c r="G379" s="141"/>
      <c r="H379" s="142"/>
      <c r="I379" s="142"/>
      <c r="J379" s="142"/>
      <c r="K379" s="155"/>
      <c r="L379" s="141"/>
      <c r="M379" s="141"/>
      <c r="N379" s="141"/>
      <c r="O379" s="141"/>
      <c r="P379" s="141"/>
      <c r="Q379" s="142"/>
      <c r="R379" s="142"/>
      <c r="S379" s="142"/>
      <c r="T379" s="142"/>
      <c r="U379" s="142"/>
      <c r="V379" s="142"/>
    </row>
    <row r="380" spans="1:22" ht="18.75" x14ac:dyDescent="0.25">
      <c r="A380" s="141"/>
      <c r="B380" s="141"/>
      <c r="C380" s="141"/>
      <c r="D380" s="141"/>
      <c r="E380" s="141"/>
      <c r="F380" s="142"/>
      <c r="G380" s="141"/>
      <c r="H380" s="142"/>
      <c r="I380" s="142"/>
      <c r="J380" s="142"/>
      <c r="K380" s="155"/>
      <c r="L380" s="141"/>
      <c r="M380" s="141"/>
      <c r="N380" s="141"/>
      <c r="O380" s="141"/>
      <c r="P380" s="141"/>
      <c r="Q380" s="142"/>
      <c r="R380" s="142"/>
      <c r="S380" s="142"/>
      <c r="T380" s="142"/>
      <c r="U380" s="142"/>
      <c r="V380" s="142"/>
    </row>
    <row r="381" spans="1:22" ht="18.75" x14ac:dyDescent="0.25">
      <c r="A381" s="141"/>
      <c r="B381" s="141"/>
      <c r="C381" s="141"/>
      <c r="D381" s="141"/>
      <c r="E381" s="141"/>
      <c r="F381" s="142"/>
      <c r="G381" s="141"/>
      <c r="H381" s="142"/>
      <c r="I381" s="142"/>
      <c r="J381" s="142"/>
      <c r="K381" s="155"/>
      <c r="L381" s="141"/>
      <c r="M381" s="141"/>
      <c r="N381" s="141"/>
      <c r="O381" s="141"/>
      <c r="P381" s="141"/>
      <c r="Q381" s="142"/>
      <c r="R381" s="142"/>
      <c r="S381" s="142"/>
      <c r="T381" s="142"/>
      <c r="U381" s="142"/>
      <c r="V381" s="142"/>
    </row>
    <row r="382" spans="1:22" ht="18.75" x14ac:dyDescent="0.25">
      <c r="A382" s="141"/>
      <c r="B382" s="141"/>
      <c r="C382" s="141"/>
      <c r="D382" s="141"/>
      <c r="E382" s="141"/>
      <c r="F382" s="142"/>
      <c r="G382" s="141"/>
      <c r="H382" s="142"/>
      <c r="I382" s="142"/>
      <c r="J382" s="142"/>
      <c r="K382" s="155"/>
      <c r="L382" s="141"/>
      <c r="M382" s="141"/>
      <c r="N382" s="141"/>
      <c r="O382" s="141"/>
      <c r="P382" s="141"/>
      <c r="Q382" s="142"/>
      <c r="R382" s="142"/>
      <c r="S382" s="142"/>
      <c r="T382" s="142"/>
      <c r="U382" s="142"/>
      <c r="V382" s="142"/>
    </row>
    <row r="383" spans="1:22" ht="18.75" x14ac:dyDescent="0.25">
      <c r="A383" s="141"/>
      <c r="B383" s="141"/>
      <c r="C383" s="141"/>
      <c r="D383" s="141"/>
      <c r="E383" s="141"/>
      <c r="F383" s="142"/>
      <c r="G383" s="141"/>
      <c r="H383" s="142"/>
      <c r="I383" s="142"/>
      <c r="J383" s="142"/>
      <c r="K383" s="155"/>
      <c r="L383" s="141"/>
      <c r="M383" s="141"/>
      <c r="N383" s="141"/>
      <c r="O383" s="141"/>
      <c r="P383" s="141"/>
      <c r="Q383" s="142"/>
      <c r="R383" s="142"/>
      <c r="S383" s="142"/>
      <c r="T383" s="142"/>
      <c r="U383" s="142"/>
      <c r="V383" s="142"/>
    </row>
    <row r="384" spans="1:22" ht="18.75" x14ac:dyDescent="0.25">
      <c r="A384" s="141"/>
      <c r="B384" s="141"/>
      <c r="C384" s="141"/>
      <c r="D384" s="141"/>
      <c r="E384" s="141"/>
      <c r="F384" s="142"/>
      <c r="G384" s="141"/>
      <c r="H384" s="142"/>
      <c r="I384" s="142"/>
      <c r="J384" s="142"/>
      <c r="K384" s="155"/>
      <c r="L384" s="141"/>
      <c r="M384" s="141"/>
      <c r="N384" s="141"/>
      <c r="O384" s="141"/>
      <c r="P384" s="141"/>
      <c r="Q384" s="142"/>
      <c r="R384" s="142"/>
      <c r="S384" s="142"/>
      <c r="T384" s="142"/>
      <c r="U384" s="142"/>
      <c r="V384" s="142"/>
    </row>
    <row r="385" spans="1:22" ht="18.75" x14ac:dyDescent="0.25">
      <c r="A385" s="141"/>
      <c r="B385" s="141"/>
      <c r="C385" s="141"/>
      <c r="D385" s="141"/>
      <c r="E385" s="141"/>
      <c r="F385" s="142"/>
      <c r="G385" s="141"/>
      <c r="H385" s="142"/>
      <c r="I385" s="142"/>
      <c r="J385" s="142"/>
      <c r="K385" s="155"/>
      <c r="L385" s="141"/>
      <c r="M385" s="141"/>
      <c r="N385" s="141"/>
      <c r="O385" s="141"/>
      <c r="P385" s="141"/>
      <c r="Q385" s="142"/>
      <c r="R385" s="142"/>
      <c r="S385" s="142"/>
      <c r="T385" s="142"/>
      <c r="U385" s="142"/>
      <c r="V385" s="142"/>
    </row>
    <row r="386" spans="1:22" ht="18.75" x14ac:dyDescent="0.25">
      <c r="A386" s="141"/>
      <c r="B386" s="141"/>
      <c r="C386" s="141"/>
      <c r="D386" s="141"/>
      <c r="E386" s="141"/>
      <c r="F386" s="142"/>
      <c r="G386" s="141"/>
      <c r="H386" s="142"/>
      <c r="I386" s="142"/>
      <c r="J386" s="142"/>
      <c r="K386" s="155"/>
      <c r="L386" s="141"/>
      <c r="M386" s="141"/>
      <c r="N386" s="141"/>
      <c r="O386" s="141"/>
      <c r="P386" s="141"/>
      <c r="Q386" s="142"/>
      <c r="R386" s="142"/>
      <c r="S386" s="142"/>
      <c r="T386" s="142"/>
      <c r="U386" s="142"/>
      <c r="V386" s="142"/>
    </row>
    <row r="387" spans="1:22" ht="18.75" x14ac:dyDescent="0.25">
      <c r="A387" s="141"/>
      <c r="B387" s="141"/>
      <c r="C387" s="141"/>
      <c r="D387" s="141"/>
      <c r="E387" s="141"/>
      <c r="F387" s="142"/>
      <c r="G387" s="141"/>
      <c r="H387" s="142"/>
      <c r="I387" s="142"/>
      <c r="J387" s="142"/>
      <c r="K387" s="155"/>
      <c r="L387" s="141"/>
      <c r="M387" s="141"/>
      <c r="N387" s="141"/>
      <c r="O387" s="141"/>
      <c r="P387" s="141"/>
      <c r="Q387" s="142"/>
      <c r="R387" s="142"/>
      <c r="S387" s="142"/>
      <c r="T387" s="142"/>
      <c r="U387" s="142"/>
      <c r="V387" s="142"/>
    </row>
    <row r="388" spans="1:22" ht="18.75" x14ac:dyDescent="0.25">
      <c r="A388" s="141"/>
      <c r="B388" s="141"/>
      <c r="C388" s="141"/>
      <c r="D388" s="141"/>
      <c r="E388" s="141"/>
      <c r="F388" s="142"/>
      <c r="G388" s="141"/>
      <c r="H388" s="142"/>
      <c r="I388" s="142"/>
      <c r="J388" s="142"/>
      <c r="K388" s="155"/>
      <c r="L388" s="141"/>
      <c r="M388" s="141"/>
      <c r="N388" s="141"/>
      <c r="O388" s="141"/>
      <c r="P388" s="141"/>
      <c r="Q388" s="142"/>
      <c r="R388" s="142"/>
      <c r="S388" s="142"/>
      <c r="T388" s="142"/>
      <c r="U388" s="142"/>
      <c r="V388" s="142"/>
    </row>
    <row r="389" spans="1:22" ht="18.75" x14ac:dyDescent="0.25">
      <c r="A389" s="141"/>
      <c r="B389" s="141"/>
      <c r="C389" s="141"/>
      <c r="D389" s="141"/>
      <c r="E389" s="141"/>
      <c r="F389" s="142"/>
      <c r="G389" s="141"/>
      <c r="H389" s="142"/>
      <c r="I389" s="142"/>
      <c r="J389" s="142"/>
      <c r="K389" s="155"/>
      <c r="L389" s="141"/>
      <c r="M389" s="141"/>
      <c r="N389" s="141"/>
      <c r="O389" s="141"/>
      <c r="P389" s="141"/>
      <c r="Q389" s="142"/>
      <c r="R389" s="142"/>
      <c r="S389" s="142"/>
      <c r="T389" s="142"/>
      <c r="U389" s="142"/>
      <c r="V389" s="142"/>
    </row>
    <row r="390" spans="1:22" ht="18.75" x14ac:dyDescent="0.25">
      <c r="A390" s="141"/>
      <c r="B390" s="141"/>
      <c r="C390" s="141"/>
      <c r="D390" s="141"/>
      <c r="E390" s="141"/>
      <c r="F390" s="142"/>
      <c r="G390" s="141"/>
      <c r="H390" s="142"/>
      <c r="I390" s="142"/>
      <c r="J390" s="142"/>
      <c r="K390" s="155"/>
      <c r="L390" s="141"/>
      <c r="M390" s="141"/>
      <c r="N390" s="141"/>
      <c r="O390" s="141"/>
      <c r="P390" s="141"/>
      <c r="Q390" s="142"/>
      <c r="R390" s="142"/>
      <c r="S390" s="142"/>
      <c r="T390" s="142"/>
      <c r="U390" s="142"/>
      <c r="V390" s="142"/>
    </row>
    <row r="391" spans="1:22" ht="18.75" x14ac:dyDescent="0.25">
      <c r="A391" s="141"/>
      <c r="B391" s="141"/>
      <c r="C391" s="141"/>
      <c r="D391" s="141"/>
      <c r="E391" s="141"/>
      <c r="F391" s="142"/>
      <c r="G391" s="141"/>
      <c r="H391" s="142"/>
      <c r="I391" s="142"/>
      <c r="J391" s="142"/>
      <c r="K391" s="155"/>
      <c r="L391" s="141"/>
      <c r="M391" s="141"/>
      <c r="N391" s="141"/>
      <c r="O391" s="141"/>
      <c r="P391" s="141"/>
      <c r="Q391" s="142"/>
      <c r="R391" s="142"/>
      <c r="S391" s="142"/>
      <c r="T391" s="142"/>
      <c r="U391" s="142"/>
      <c r="V391" s="142"/>
    </row>
    <row r="392" spans="1:22" ht="18.75" x14ac:dyDescent="0.25">
      <c r="A392" s="141"/>
      <c r="B392" s="141"/>
      <c r="C392" s="141"/>
      <c r="D392" s="141"/>
      <c r="E392" s="141"/>
      <c r="F392" s="142"/>
      <c r="G392" s="141"/>
      <c r="H392" s="142"/>
      <c r="I392" s="142"/>
      <c r="J392" s="142"/>
      <c r="K392" s="155"/>
      <c r="L392" s="141"/>
      <c r="M392" s="141"/>
      <c r="N392" s="141"/>
      <c r="O392" s="141"/>
      <c r="P392" s="141"/>
      <c r="Q392" s="142"/>
      <c r="R392" s="142"/>
      <c r="S392" s="142"/>
      <c r="T392" s="142"/>
      <c r="U392" s="142"/>
      <c r="V392" s="142"/>
    </row>
    <row r="393" spans="1:22" ht="18.75" x14ac:dyDescent="0.25">
      <c r="A393" s="141"/>
      <c r="B393" s="141"/>
      <c r="C393" s="141"/>
      <c r="D393" s="141"/>
      <c r="E393" s="141"/>
      <c r="F393" s="142"/>
      <c r="G393" s="141"/>
      <c r="H393" s="142"/>
      <c r="I393" s="142"/>
      <c r="J393" s="142"/>
      <c r="K393" s="155"/>
      <c r="L393" s="141"/>
      <c r="M393" s="141"/>
      <c r="N393" s="141"/>
      <c r="O393" s="141"/>
      <c r="P393" s="141"/>
      <c r="Q393" s="142"/>
      <c r="R393" s="142"/>
      <c r="S393" s="142"/>
      <c r="T393" s="142"/>
      <c r="U393" s="142"/>
      <c r="V393" s="142"/>
    </row>
    <row r="394" spans="1:22" ht="18.75" x14ac:dyDescent="0.25">
      <c r="A394" s="141"/>
      <c r="B394" s="141"/>
      <c r="C394" s="141"/>
      <c r="D394" s="141"/>
      <c r="E394" s="141"/>
      <c r="F394" s="142"/>
      <c r="G394" s="141"/>
      <c r="H394" s="142"/>
      <c r="I394" s="142"/>
      <c r="J394" s="142"/>
      <c r="K394" s="155"/>
      <c r="L394" s="141"/>
      <c r="M394" s="141"/>
      <c r="N394" s="141"/>
      <c r="O394" s="141"/>
      <c r="P394" s="141"/>
      <c r="Q394" s="142"/>
      <c r="R394" s="142"/>
      <c r="S394" s="142"/>
      <c r="T394" s="142"/>
      <c r="U394" s="142"/>
      <c r="V394" s="142"/>
    </row>
    <row r="395" spans="1:22" ht="18.75" x14ac:dyDescent="0.25">
      <c r="A395" s="141"/>
      <c r="B395" s="141"/>
      <c r="C395" s="141"/>
      <c r="D395" s="141"/>
      <c r="E395" s="141"/>
      <c r="F395" s="142"/>
      <c r="G395" s="141"/>
      <c r="H395" s="142"/>
      <c r="I395" s="142"/>
      <c r="J395" s="142"/>
      <c r="K395" s="155"/>
      <c r="L395" s="141"/>
      <c r="M395" s="141"/>
      <c r="N395" s="141"/>
      <c r="O395" s="141"/>
      <c r="P395" s="141"/>
      <c r="Q395" s="142"/>
      <c r="R395" s="142"/>
      <c r="S395" s="142"/>
      <c r="T395" s="142"/>
      <c r="U395" s="142"/>
      <c r="V395" s="142"/>
    </row>
    <row r="396" spans="1:22" ht="18.75" x14ac:dyDescent="0.25">
      <c r="A396" s="141"/>
      <c r="B396" s="141"/>
      <c r="C396" s="141"/>
      <c r="D396" s="141"/>
      <c r="E396" s="141"/>
      <c r="F396" s="142"/>
      <c r="G396" s="141"/>
      <c r="H396" s="142"/>
      <c r="I396" s="142"/>
      <c r="J396" s="142"/>
      <c r="K396" s="155"/>
      <c r="L396" s="141"/>
      <c r="M396" s="141"/>
      <c r="N396" s="141"/>
      <c r="O396" s="141"/>
      <c r="P396" s="141"/>
      <c r="Q396" s="142"/>
      <c r="R396" s="142"/>
      <c r="S396" s="142"/>
      <c r="T396" s="142"/>
      <c r="U396" s="142"/>
      <c r="V396" s="142"/>
    </row>
    <row r="397" spans="1:22" ht="18.75" x14ac:dyDescent="0.25">
      <c r="A397" s="141"/>
      <c r="B397" s="141"/>
      <c r="C397" s="141"/>
      <c r="D397" s="141"/>
      <c r="E397" s="141"/>
      <c r="F397" s="142"/>
      <c r="G397" s="141"/>
      <c r="H397" s="142"/>
      <c r="I397" s="142"/>
      <c r="J397" s="142"/>
      <c r="K397" s="155"/>
      <c r="L397" s="141"/>
      <c r="M397" s="141"/>
      <c r="N397" s="141"/>
      <c r="O397" s="141"/>
      <c r="P397" s="141"/>
      <c r="Q397" s="142"/>
      <c r="R397" s="142"/>
      <c r="S397" s="142"/>
      <c r="T397" s="142"/>
      <c r="U397" s="142"/>
      <c r="V397" s="142"/>
    </row>
    <row r="398" spans="1:22" ht="18.75" x14ac:dyDescent="0.25">
      <c r="A398" s="141"/>
      <c r="B398" s="141"/>
      <c r="C398" s="141"/>
      <c r="D398" s="141"/>
      <c r="E398" s="141"/>
      <c r="F398" s="142"/>
      <c r="G398" s="141"/>
      <c r="H398" s="142"/>
      <c r="I398" s="142"/>
      <c r="J398" s="142"/>
      <c r="K398" s="155"/>
      <c r="L398" s="141"/>
      <c r="M398" s="141"/>
      <c r="N398" s="141"/>
      <c r="O398" s="141"/>
      <c r="P398" s="141"/>
      <c r="Q398" s="142"/>
      <c r="R398" s="142"/>
      <c r="S398" s="142"/>
      <c r="T398" s="142"/>
      <c r="U398" s="142"/>
      <c r="V398" s="142"/>
    </row>
    <row r="399" spans="1:22" ht="18.75" x14ac:dyDescent="0.25">
      <c r="A399" s="141"/>
      <c r="B399" s="141"/>
      <c r="C399" s="141"/>
      <c r="D399" s="141"/>
      <c r="E399" s="141"/>
      <c r="F399" s="142"/>
      <c r="G399" s="141"/>
      <c r="H399" s="142"/>
      <c r="I399" s="142"/>
      <c r="J399" s="142"/>
      <c r="K399" s="155"/>
      <c r="L399" s="141"/>
      <c r="M399" s="141"/>
      <c r="N399" s="141"/>
      <c r="O399" s="141"/>
      <c r="P399" s="141"/>
      <c r="Q399" s="142"/>
      <c r="R399" s="142"/>
      <c r="S399" s="142"/>
      <c r="T399" s="142"/>
      <c r="U399" s="142"/>
      <c r="V399" s="142"/>
    </row>
    <row r="400" spans="1:22" ht="18.75" x14ac:dyDescent="0.25">
      <c r="A400" s="141"/>
      <c r="B400" s="141"/>
      <c r="C400" s="141"/>
      <c r="D400" s="141"/>
      <c r="E400" s="141"/>
      <c r="F400" s="142"/>
      <c r="G400" s="141"/>
      <c r="H400" s="142"/>
      <c r="I400" s="142"/>
      <c r="J400" s="142"/>
      <c r="K400" s="155"/>
      <c r="L400" s="141"/>
      <c r="M400" s="141"/>
      <c r="N400" s="141"/>
      <c r="O400" s="141"/>
      <c r="P400" s="141"/>
      <c r="Q400" s="142"/>
      <c r="R400" s="142"/>
      <c r="S400" s="142"/>
      <c r="T400" s="142"/>
      <c r="U400" s="142"/>
      <c r="V400" s="142"/>
    </row>
    <row r="401" spans="1:22" ht="18.75" x14ac:dyDescent="0.25">
      <c r="A401" s="141"/>
      <c r="B401" s="141"/>
      <c r="C401" s="141"/>
      <c r="D401" s="141"/>
      <c r="E401" s="141"/>
      <c r="F401" s="142"/>
      <c r="G401" s="141"/>
      <c r="H401" s="142"/>
      <c r="I401" s="142"/>
      <c r="J401" s="142"/>
      <c r="K401" s="155"/>
      <c r="L401" s="141"/>
      <c r="M401" s="141"/>
      <c r="N401" s="141"/>
      <c r="O401" s="141"/>
      <c r="P401" s="141"/>
      <c r="Q401" s="142"/>
      <c r="R401" s="142"/>
      <c r="S401" s="142"/>
      <c r="T401" s="142"/>
      <c r="U401" s="142"/>
      <c r="V401" s="142"/>
    </row>
    <row r="402" spans="1:22" ht="18.75" x14ac:dyDescent="0.25">
      <c r="A402" s="141"/>
      <c r="B402" s="141"/>
      <c r="C402" s="141"/>
      <c r="D402" s="141"/>
      <c r="E402" s="141"/>
      <c r="F402" s="142"/>
      <c r="G402" s="141"/>
      <c r="H402" s="142"/>
      <c r="I402" s="142"/>
      <c r="J402" s="142"/>
      <c r="K402" s="155"/>
      <c r="L402" s="141"/>
      <c r="M402" s="141"/>
      <c r="N402" s="141"/>
      <c r="O402" s="141"/>
      <c r="P402" s="141"/>
      <c r="Q402" s="142"/>
      <c r="R402" s="142"/>
      <c r="S402" s="142"/>
      <c r="T402" s="142"/>
      <c r="U402" s="142"/>
      <c r="V402" s="142"/>
    </row>
    <row r="403" spans="1:22" ht="18.75" x14ac:dyDescent="0.25">
      <c r="A403" s="141"/>
      <c r="B403" s="141"/>
      <c r="C403" s="141"/>
      <c r="D403" s="141"/>
      <c r="E403" s="141"/>
      <c r="F403" s="142"/>
      <c r="G403" s="141"/>
      <c r="H403" s="142"/>
      <c r="I403" s="142"/>
      <c r="J403" s="142"/>
      <c r="K403" s="155"/>
      <c r="L403" s="141"/>
      <c r="M403" s="141"/>
      <c r="N403" s="141"/>
      <c r="O403" s="141"/>
      <c r="P403" s="141"/>
      <c r="Q403" s="142"/>
      <c r="R403" s="142"/>
      <c r="S403" s="142"/>
      <c r="T403" s="142"/>
      <c r="U403" s="142"/>
      <c r="V403" s="142"/>
    </row>
    <row r="404" spans="1:22" ht="18.75" x14ac:dyDescent="0.25">
      <c r="A404" s="141"/>
      <c r="B404" s="141"/>
      <c r="C404" s="141"/>
      <c r="D404" s="141"/>
      <c r="E404" s="141"/>
      <c r="F404" s="142"/>
      <c r="G404" s="141"/>
      <c r="H404" s="142"/>
      <c r="I404" s="142"/>
      <c r="J404" s="142"/>
      <c r="K404" s="155"/>
      <c r="L404" s="141"/>
      <c r="M404" s="141"/>
      <c r="N404" s="141"/>
      <c r="O404" s="141"/>
      <c r="P404" s="141"/>
      <c r="Q404" s="142"/>
      <c r="R404" s="142"/>
      <c r="S404" s="142"/>
      <c r="T404" s="142"/>
      <c r="U404" s="142"/>
      <c r="V404" s="142"/>
    </row>
    <row r="405" spans="1:22" ht="18.75" x14ac:dyDescent="0.25">
      <c r="A405" s="141"/>
      <c r="B405" s="141"/>
      <c r="C405" s="141"/>
      <c r="D405" s="141"/>
      <c r="E405" s="141"/>
      <c r="F405" s="142"/>
      <c r="G405" s="141"/>
      <c r="H405" s="142"/>
      <c r="I405" s="142"/>
      <c r="J405" s="142"/>
      <c r="K405" s="155"/>
      <c r="L405" s="141"/>
      <c r="M405" s="141"/>
      <c r="N405" s="141"/>
      <c r="O405" s="141"/>
      <c r="P405" s="141"/>
      <c r="Q405" s="142"/>
      <c r="R405" s="142"/>
      <c r="S405" s="142"/>
      <c r="T405" s="142"/>
      <c r="U405" s="142"/>
      <c r="V405" s="142"/>
    </row>
    <row r="406" spans="1:22" ht="18.75" x14ac:dyDescent="0.25">
      <c r="A406" s="141"/>
      <c r="B406" s="141"/>
      <c r="C406" s="141"/>
      <c r="D406" s="141"/>
      <c r="E406" s="141"/>
      <c r="F406" s="142"/>
      <c r="G406" s="141"/>
      <c r="H406" s="142"/>
      <c r="I406" s="142"/>
      <c r="J406" s="142"/>
      <c r="K406" s="155"/>
      <c r="L406" s="141"/>
      <c r="M406" s="141"/>
      <c r="N406" s="141"/>
      <c r="O406" s="141"/>
      <c r="P406" s="141"/>
      <c r="Q406" s="142"/>
      <c r="R406" s="142"/>
      <c r="S406" s="142"/>
      <c r="T406" s="142"/>
      <c r="U406" s="142"/>
      <c r="V406" s="142"/>
    </row>
    <row r="407" spans="1:22" ht="18.75" x14ac:dyDescent="0.25">
      <c r="A407" s="141"/>
      <c r="B407" s="141"/>
      <c r="C407" s="141"/>
      <c r="D407" s="141"/>
      <c r="E407" s="141"/>
      <c r="F407" s="142"/>
      <c r="G407" s="141"/>
      <c r="H407" s="142"/>
      <c r="I407" s="142"/>
      <c r="J407" s="142"/>
      <c r="K407" s="155"/>
      <c r="L407" s="141"/>
      <c r="M407" s="141"/>
      <c r="N407" s="141"/>
      <c r="O407" s="141"/>
      <c r="P407" s="141"/>
      <c r="Q407" s="142"/>
      <c r="R407" s="142"/>
      <c r="S407" s="142"/>
      <c r="T407" s="142"/>
      <c r="U407" s="142"/>
      <c r="V407" s="142"/>
    </row>
    <row r="408" spans="1:22" ht="18.75" x14ac:dyDescent="0.25">
      <c r="A408" s="141"/>
      <c r="B408" s="141"/>
      <c r="C408" s="141"/>
      <c r="D408" s="141"/>
      <c r="E408" s="141"/>
      <c r="F408" s="142"/>
      <c r="G408" s="141"/>
      <c r="H408" s="142"/>
      <c r="I408" s="142"/>
      <c r="J408" s="142"/>
      <c r="K408" s="155"/>
      <c r="L408" s="141"/>
      <c r="M408" s="141"/>
      <c r="N408" s="141"/>
      <c r="O408" s="141"/>
      <c r="P408" s="141"/>
      <c r="Q408" s="142"/>
      <c r="R408" s="142"/>
      <c r="S408" s="142"/>
      <c r="T408" s="142"/>
      <c r="U408" s="142"/>
      <c r="V408" s="142"/>
    </row>
    <row r="409" spans="1:22" ht="18.75" x14ac:dyDescent="0.25">
      <c r="A409" s="141"/>
      <c r="B409" s="141"/>
      <c r="C409" s="141"/>
      <c r="D409" s="141"/>
      <c r="E409" s="141"/>
      <c r="F409" s="142"/>
      <c r="G409" s="141"/>
      <c r="H409" s="142"/>
      <c r="I409" s="142"/>
      <c r="J409" s="142"/>
      <c r="K409" s="155"/>
      <c r="L409" s="141"/>
      <c r="M409" s="141"/>
      <c r="N409" s="141"/>
      <c r="O409" s="141"/>
      <c r="P409" s="141"/>
      <c r="Q409" s="142"/>
      <c r="R409" s="142"/>
      <c r="S409" s="142"/>
      <c r="T409" s="142"/>
      <c r="U409" s="142"/>
      <c r="V409" s="142"/>
    </row>
    <row r="410" spans="1:22" ht="18.75" x14ac:dyDescent="0.25">
      <c r="A410" s="141"/>
      <c r="B410" s="141"/>
      <c r="C410" s="141"/>
      <c r="D410" s="141"/>
      <c r="E410" s="141"/>
      <c r="F410" s="142"/>
      <c r="G410" s="141"/>
      <c r="H410" s="142"/>
      <c r="I410" s="142"/>
      <c r="J410" s="142"/>
      <c r="K410" s="155"/>
      <c r="L410" s="141"/>
      <c r="M410" s="141"/>
      <c r="N410" s="141"/>
      <c r="O410" s="141"/>
      <c r="P410" s="141"/>
      <c r="Q410" s="142"/>
      <c r="R410" s="142"/>
      <c r="S410" s="142"/>
      <c r="T410" s="142"/>
      <c r="U410" s="142"/>
      <c r="V410" s="142"/>
    </row>
    <row r="411" spans="1:22" ht="18.75" x14ac:dyDescent="0.25">
      <c r="A411" s="141"/>
      <c r="B411" s="141"/>
      <c r="C411" s="141"/>
      <c r="D411" s="141"/>
      <c r="E411" s="141"/>
      <c r="F411" s="142"/>
      <c r="G411" s="141"/>
      <c r="H411" s="142"/>
      <c r="I411" s="142"/>
      <c r="J411" s="142"/>
      <c r="K411" s="155"/>
      <c r="L411" s="141"/>
      <c r="M411" s="141"/>
      <c r="N411" s="141"/>
      <c r="O411" s="141"/>
      <c r="P411" s="141"/>
      <c r="Q411" s="142"/>
      <c r="R411" s="142"/>
      <c r="S411" s="142"/>
      <c r="T411" s="142"/>
      <c r="U411" s="142"/>
      <c r="V411" s="142"/>
    </row>
    <row r="412" spans="1:22" ht="18.75" x14ac:dyDescent="0.25">
      <c r="A412" s="141"/>
      <c r="B412" s="141"/>
      <c r="C412" s="141"/>
      <c r="D412" s="141"/>
      <c r="E412" s="141"/>
      <c r="F412" s="142"/>
      <c r="G412" s="141"/>
      <c r="H412" s="142"/>
      <c r="I412" s="142"/>
      <c r="J412" s="142"/>
      <c r="K412" s="155"/>
      <c r="L412" s="141"/>
      <c r="M412" s="141"/>
      <c r="N412" s="141"/>
      <c r="O412" s="141"/>
      <c r="P412" s="141"/>
      <c r="Q412" s="142"/>
      <c r="R412" s="142"/>
      <c r="S412" s="142"/>
      <c r="T412" s="142"/>
      <c r="U412" s="142"/>
      <c r="V412" s="142"/>
    </row>
    <row r="413" spans="1:22" ht="18.75" x14ac:dyDescent="0.25">
      <c r="A413" s="141"/>
      <c r="B413" s="141"/>
      <c r="C413" s="141"/>
      <c r="D413" s="141"/>
      <c r="E413" s="141"/>
      <c r="F413" s="142"/>
      <c r="G413" s="141"/>
      <c r="H413" s="142"/>
      <c r="I413" s="142"/>
      <c r="J413" s="142"/>
      <c r="K413" s="155"/>
      <c r="L413" s="141"/>
      <c r="M413" s="141"/>
      <c r="N413" s="141"/>
      <c r="O413" s="141"/>
      <c r="P413" s="141"/>
      <c r="Q413" s="142"/>
      <c r="R413" s="142"/>
      <c r="S413" s="142"/>
      <c r="T413" s="142"/>
      <c r="U413" s="142"/>
      <c r="V413" s="142"/>
    </row>
    <row r="414" spans="1:22" ht="18.75" x14ac:dyDescent="0.25">
      <c r="A414" s="141"/>
      <c r="B414" s="141"/>
      <c r="C414" s="141"/>
      <c r="D414" s="141"/>
      <c r="E414" s="141"/>
      <c r="F414" s="142"/>
      <c r="G414" s="141"/>
      <c r="H414" s="142"/>
      <c r="I414" s="142"/>
      <c r="J414" s="142"/>
      <c r="K414" s="155"/>
      <c r="L414" s="141"/>
      <c r="M414" s="141"/>
      <c r="N414" s="141"/>
      <c r="O414" s="141"/>
      <c r="P414" s="141"/>
      <c r="Q414" s="142"/>
      <c r="R414" s="142"/>
      <c r="S414" s="142"/>
      <c r="T414" s="142"/>
      <c r="U414" s="142"/>
      <c r="V414" s="142"/>
    </row>
  </sheetData>
  <autoFilter ref="A3:W507" xr:uid="{00000000-0009-0000-0000-000009000000}"/>
  <mergeCells count="5">
    <mergeCell ref="E2:F2"/>
    <mergeCell ref="G2:I2"/>
    <mergeCell ref="J2:J3"/>
    <mergeCell ref="E1:J1"/>
    <mergeCell ref="Q1:V2"/>
  </mergeCells>
  <conditionalFormatting sqref="C5:C1048576 C1:C2">
    <cfRule type="duplicateValues" dxfId="3" priority="5"/>
  </conditionalFormatting>
  <conditionalFormatting sqref="D3:D4">
    <cfRule type="duplicateValues" dxfId="2" priority="78"/>
  </conditionalFormatting>
  <conditionalFormatting sqref="N1:N2">
    <cfRule type="duplicateValues" dxfId="1" priority="1"/>
  </conditionalFormatting>
  <conditionalFormatting sqref="O3:O4">
    <cfRule type="duplicateValues" dxfId="0" priority="79"/>
  </conditionalFormatting>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39997558519241921"/>
  </sheetPr>
  <dimension ref="A1:AU52"/>
  <sheetViews>
    <sheetView zoomScale="60" zoomScaleNormal="60" workbookViewId="0">
      <pane ySplit="8" topLeftCell="A9" activePane="bottomLeft" state="frozen"/>
      <selection activeCell="V1" sqref="V1"/>
      <selection pane="bottomLeft" activeCell="A9" sqref="A9:XFD9"/>
    </sheetView>
  </sheetViews>
  <sheetFormatPr defaultColWidth="20.5" defaultRowHeight="15.75" x14ac:dyDescent="0.25"/>
  <cols>
    <col min="1" max="4" width="20.5" style="143"/>
    <col min="5" max="7" width="20.5" style="78"/>
    <col min="8" max="8" width="20.875" style="78" customWidth="1"/>
    <col min="9" max="9" width="6" style="78" customWidth="1"/>
    <col min="10" max="14" width="20.875" style="78" customWidth="1"/>
    <col min="15" max="15" width="6" style="78" customWidth="1"/>
    <col min="16" max="18" width="20.5" style="143"/>
    <col min="19" max="25" width="20.5" style="137"/>
    <col min="26" max="26" width="6" style="78" customWidth="1"/>
    <col min="27" max="30" width="20.5" style="143"/>
    <col min="31" max="34" width="20.5" style="137"/>
    <col min="35" max="35" width="5.625" style="78" customWidth="1"/>
    <col min="36" max="36" width="24.75" style="143" bestFit="1" customWidth="1"/>
    <col min="37" max="39" width="20.5" style="143"/>
    <col min="40" max="46" width="20.5" style="156"/>
    <col min="47" max="16384" width="20.5" style="78"/>
  </cols>
  <sheetData>
    <row r="1" spans="1:47" s="120" customFormat="1" ht="93.75" customHeight="1" x14ac:dyDescent="0.25">
      <c r="A1" s="296"/>
      <c r="B1" s="296"/>
      <c r="C1" s="296"/>
      <c r="D1" s="296"/>
      <c r="E1" s="541" t="s">
        <v>3118</v>
      </c>
      <c r="F1" s="541"/>
      <c r="G1" s="541"/>
      <c r="H1" s="541"/>
      <c r="J1" s="296"/>
      <c r="K1" s="296"/>
      <c r="L1" s="541" t="s">
        <v>3119</v>
      </c>
      <c r="M1" s="541"/>
      <c r="N1" s="541"/>
      <c r="P1" s="296"/>
      <c r="Q1" s="296"/>
      <c r="R1" s="296"/>
      <c r="S1" s="545" t="s">
        <v>3120</v>
      </c>
      <c r="T1" s="546"/>
      <c r="U1" s="546"/>
      <c r="V1" s="546"/>
      <c r="W1" s="546"/>
      <c r="X1" s="546"/>
      <c r="Y1" s="546"/>
      <c r="AA1" s="296"/>
      <c r="AB1" s="296"/>
      <c r="AC1" s="296"/>
      <c r="AD1" s="296"/>
      <c r="AE1" s="545" t="s">
        <v>3121</v>
      </c>
      <c r="AF1" s="545"/>
      <c r="AG1" s="545"/>
      <c r="AH1" s="545"/>
      <c r="AJ1" s="296"/>
      <c r="AK1" s="303"/>
      <c r="AL1" s="303"/>
      <c r="AM1" s="305"/>
      <c r="AN1" s="579" t="s">
        <v>3122</v>
      </c>
      <c r="AO1" s="579"/>
      <c r="AP1" s="579"/>
      <c r="AQ1" s="579"/>
      <c r="AR1" s="579"/>
      <c r="AS1" s="579"/>
      <c r="AT1" s="579"/>
      <c r="AU1" s="579"/>
    </row>
    <row r="2" spans="1:47" s="120" customFormat="1" ht="27" customHeight="1" x14ac:dyDescent="0.25">
      <c r="A2" s="297"/>
      <c r="B2" s="297"/>
      <c r="C2" s="297"/>
      <c r="D2" s="297"/>
      <c r="E2" s="293"/>
      <c r="F2" s="293"/>
      <c r="G2" s="293"/>
      <c r="H2" s="293"/>
      <c r="J2" s="297"/>
      <c r="K2" s="297"/>
      <c r="L2" s="293"/>
      <c r="M2" s="293"/>
      <c r="N2" s="293"/>
      <c r="P2" s="297"/>
      <c r="Q2" s="297"/>
      <c r="R2" s="297"/>
      <c r="S2" s="546" t="s">
        <v>3123</v>
      </c>
      <c r="T2" s="546"/>
      <c r="U2" s="546"/>
      <c r="V2" s="546"/>
      <c r="W2" s="545" t="s">
        <v>3124</v>
      </c>
      <c r="X2" s="545"/>
      <c r="Y2" s="545"/>
      <c r="AA2" s="297"/>
      <c r="AB2" s="297"/>
      <c r="AC2" s="297"/>
      <c r="AD2" s="297"/>
      <c r="AE2" s="545" t="s">
        <v>3125</v>
      </c>
      <c r="AF2" s="545"/>
      <c r="AG2" s="545" t="s">
        <v>3126</v>
      </c>
      <c r="AH2" s="545"/>
      <c r="AJ2" s="297"/>
      <c r="AK2" s="304"/>
      <c r="AL2" s="304"/>
      <c r="AM2" s="306"/>
      <c r="AN2" s="298"/>
      <c r="AO2" s="298"/>
      <c r="AP2" s="298"/>
      <c r="AQ2" s="298"/>
      <c r="AR2" s="298"/>
      <c r="AS2" s="298"/>
      <c r="AT2" s="299"/>
      <c r="AU2" s="299"/>
    </row>
    <row r="3" spans="1:47" s="110" customFormat="1" ht="156" customHeight="1" x14ac:dyDescent="0.25">
      <c r="A3" s="282" t="s">
        <v>721</v>
      </c>
      <c r="B3" s="282" t="s">
        <v>1456</v>
      </c>
      <c r="C3" s="289" t="s">
        <v>3059</v>
      </c>
      <c r="D3" s="289" t="s">
        <v>3127</v>
      </c>
      <c r="E3" s="290" t="s">
        <v>3813</v>
      </c>
      <c r="F3" s="290" t="s">
        <v>3814</v>
      </c>
      <c r="G3" s="290" t="s">
        <v>3815</v>
      </c>
      <c r="H3" s="290" t="s">
        <v>3128</v>
      </c>
      <c r="J3" s="282" t="s">
        <v>721</v>
      </c>
      <c r="K3" s="282" t="s">
        <v>1456</v>
      </c>
      <c r="L3" s="290" t="s">
        <v>3810</v>
      </c>
      <c r="M3" s="290" t="s">
        <v>3811</v>
      </c>
      <c r="N3" s="290" t="s">
        <v>3812</v>
      </c>
      <c r="P3" s="282" t="s">
        <v>721</v>
      </c>
      <c r="Q3" s="282" t="s">
        <v>1456</v>
      </c>
      <c r="R3" s="289" t="s">
        <v>3059</v>
      </c>
      <c r="S3" s="291" t="s">
        <v>3129</v>
      </c>
      <c r="T3" s="291" t="s">
        <v>3130</v>
      </c>
      <c r="U3" s="292" t="s">
        <v>3131</v>
      </c>
      <c r="V3" s="292" t="s">
        <v>3132</v>
      </c>
      <c r="W3" s="291" t="s">
        <v>3133</v>
      </c>
      <c r="X3" s="292" t="s">
        <v>3134</v>
      </c>
      <c r="Y3" s="292" t="s">
        <v>3135</v>
      </c>
      <c r="AA3" s="282" t="s">
        <v>721</v>
      </c>
      <c r="AB3" s="282" t="s">
        <v>1456</v>
      </c>
      <c r="AC3" s="289" t="s">
        <v>3059</v>
      </c>
      <c r="AD3" s="289" t="s">
        <v>3136</v>
      </c>
      <c r="AE3" s="291" t="s">
        <v>3137</v>
      </c>
      <c r="AF3" s="291" t="s">
        <v>3138</v>
      </c>
      <c r="AG3" s="291" t="s">
        <v>3137</v>
      </c>
      <c r="AH3" s="291" t="s">
        <v>3138</v>
      </c>
      <c r="AJ3" s="282" t="s">
        <v>721</v>
      </c>
      <c r="AK3" s="289" t="s">
        <v>1456</v>
      </c>
      <c r="AL3" s="289" t="s">
        <v>3059</v>
      </c>
      <c r="AM3" s="307" t="s">
        <v>3136</v>
      </c>
      <c r="AN3" s="300" t="s">
        <v>513</v>
      </c>
      <c r="AO3" s="300" t="s">
        <v>517</v>
      </c>
      <c r="AP3" s="300" t="s">
        <v>520</v>
      </c>
      <c r="AQ3" s="300" t="s">
        <v>523</v>
      </c>
      <c r="AR3" s="300" t="s">
        <v>526</v>
      </c>
      <c r="AS3" s="300" t="s">
        <v>529</v>
      </c>
      <c r="AT3" s="300" t="s">
        <v>532</v>
      </c>
      <c r="AU3" s="301" t="s">
        <v>3139</v>
      </c>
    </row>
    <row r="4" spans="1:47" s="190" customFormat="1" ht="18.75" customHeight="1" x14ac:dyDescent="0.25">
      <c r="A4" s="224" t="s">
        <v>832</v>
      </c>
      <c r="B4" s="224"/>
      <c r="C4" s="224"/>
      <c r="D4" s="224"/>
      <c r="E4" s="479"/>
      <c r="F4" s="479"/>
      <c r="G4" s="479"/>
      <c r="H4" s="479"/>
      <c r="J4" s="224" t="s">
        <v>832</v>
      </c>
      <c r="K4" s="224"/>
      <c r="L4" s="479"/>
      <c r="M4" s="479"/>
      <c r="N4" s="479"/>
      <c r="P4" s="224" t="s">
        <v>832</v>
      </c>
      <c r="Q4" s="224"/>
      <c r="R4" s="224"/>
      <c r="S4" s="479"/>
      <c r="T4" s="479"/>
      <c r="U4" s="479"/>
      <c r="V4" s="479"/>
      <c r="W4" s="479"/>
      <c r="X4" s="479"/>
      <c r="Y4" s="479"/>
      <c r="AA4" s="224" t="s">
        <v>832</v>
      </c>
      <c r="AB4" s="224"/>
      <c r="AC4" s="224"/>
      <c r="AD4" s="224"/>
      <c r="AE4" s="479"/>
      <c r="AF4" s="479"/>
      <c r="AG4" s="479"/>
      <c r="AH4" s="479"/>
      <c r="AJ4" s="224" t="s">
        <v>832</v>
      </c>
      <c r="AK4" s="224"/>
      <c r="AL4" s="224"/>
      <c r="AM4" s="224"/>
      <c r="AN4" s="481"/>
      <c r="AO4" s="481"/>
      <c r="AP4" s="481"/>
      <c r="AQ4" s="481"/>
      <c r="AR4" s="481"/>
      <c r="AS4" s="481"/>
      <c r="AT4" s="481"/>
      <c r="AU4" s="482"/>
    </row>
    <row r="5" spans="1:47" s="190" customFormat="1" ht="18.75" customHeight="1" x14ac:dyDescent="0.25">
      <c r="A5" s="226" t="s">
        <v>1428</v>
      </c>
      <c r="B5" s="224"/>
      <c r="C5" s="224"/>
      <c r="D5" s="224"/>
      <c r="E5" s="479">
        <f>AVERAGE(E10:E95)</f>
        <v>0.89739947307692303</v>
      </c>
      <c r="F5" s="479">
        <f>AVERAGE(F10:F95)</f>
        <v>0.89656176923076925</v>
      </c>
      <c r="G5" s="479">
        <f>AVERAGE(G10:G95)</f>
        <v>0.88217511153846151</v>
      </c>
      <c r="H5" s="479">
        <f>AVERAGE(H10:H95)</f>
        <v>0.14413061153846154</v>
      </c>
      <c r="J5" s="226" t="s">
        <v>1428</v>
      </c>
      <c r="K5" s="224"/>
      <c r="L5" s="479"/>
      <c r="M5" s="479"/>
      <c r="N5" s="479"/>
      <c r="O5" s="225"/>
      <c r="P5" s="226" t="s">
        <v>1428</v>
      </c>
      <c r="Q5" s="224"/>
      <c r="R5" s="224"/>
      <c r="S5" s="479">
        <f t="shared" ref="S5:Y5" si="0">AVERAGE(S10:S95)</f>
        <v>0.39107878846153848</v>
      </c>
      <c r="T5" s="479">
        <f t="shared" si="0"/>
        <v>0.57485849230769226</v>
      </c>
      <c r="U5" s="479">
        <f t="shared" si="0"/>
        <v>0.96593727692307674</v>
      </c>
      <c r="V5" s="479">
        <f t="shared" si="0"/>
        <v>0.67526223846153854</v>
      </c>
      <c r="W5" s="479">
        <f t="shared" si="0"/>
        <v>0.52977463461538454</v>
      </c>
      <c r="X5" s="479">
        <f t="shared" si="0"/>
        <v>0.9704982499999999</v>
      </c>
      <c r="Y5" s="479">
        <f t="shared" si="0"/>
        <v>0.95595238076923073</v>
      </c>
      <c r="AA5" s="226" t="s">
        <v>1428</v>
      </c>
      <c r="AB5" s="224"/>
      <c r="AC5" s="224"/>
      <c r="AD5" s="224"/>
      <c r="AE5" s="479">
        <f>AVERAGE(AE10:AE95)</f>
        <v>0.33365384615384619</v>
      </c>
      <c r="AF5" s="479">
        <f>AVERAGE(AF10:AF95)</f>
        <v>9.9762424999999988E-2</v>
      </c>
      <c r="AG5" s="479">
        <f>AVERAGE(AG10:AG95)</f>
        <v>0.18176475769230768</v>
      </c>
      <c r="AH5" s="479">
        <f>AVERAGE(AH10:AH95)</f>
        <v>0.11388141153846158</v>
      </c>
      <c r="AJ5" s="577" t="s">
        <v>3140</v>
      </c>
      <c r="AK5" s="224"/>
      <c r="AL5" s="224"/>
      <c r="AM5" s="224"/>
      <c r="AN5" s="576">
        <f t="shared" ref="AN5:AU5" si="1">AVERAGE(AN10:AN46)</f>
        <v>1.8569128925983731</v>
      </c>
      <c r="AO5" s="576">
        <f t="shared" si="1"/>
        <v>3.3325575406734762</v>
      </c>
      <c r="AP5" s="576">
        <f t="shared" si="1"/>
        <v>3.1722738284331102</v>
      </c>
      <c r="AQ5" s="576">
        <f t="shared" si="1"/>
        <v>3.0914791088837856</v>
      </c>
      <c r="AR5" s="576">
        <f t="shared" si="1"/>
        <v>2.6430252194404602</v>
      </c>
      <c r="AS5" s="576">
        <f t="shared" si="1"/>
        <v>3.0672785593913163</v>
      </c>
      <c r="AT5" s="576">
        <f t="shared" si="1"/>
        <v>3.355390447836657</v>
      </c>
      <c r="AU5" s="576">
        <f t="shared" si="1"/>
        <v>3.1248314615384625</v>
      </c>
    </row>
    <row r="6" spans="1:47" s="190" customFormat="1" ht="18.75" customHeight="1" x14ac:dyDescent="0.25">
      <c r="A6" s="226" t="s">
        <v>1429</v>
      </c>
      <c r="B6" s="224"/>
      <c r="C6" s="224"/>
      <c r="D6" s="224"/>
      <c r="E6" s="479">
        <f>MEDIAN(E10:E95)</f>
        <v>1</v>
      </c>
      <c r="F6" s="479">
        <f>MEDIAN(F10:F95)</f>
        <v>1</v>
      </c>
      <c r="G6" s="479">
        <f>MEDIAN(G10:G95)</f>
        <v>1</v>
      </c>
      <c r="H6" s="479">
        <f>MEDIAN(H10:H95)</f>
        <v>0</v>
      </c>
      <c r="J6" s="226" t="s">
        <v>1429</v>
      </c>
      <c r="K6" s="224"/>
      <c r="L6" s="479"/>
      <c r="M6" s="479"/>
      <c r="N6" s="479"/>
      <c r="O6" s="225"/>
      <c r="P6" s="226" t="s">
        <v>1429</v>
      </c>
      <c r="Q6" s="224"/>
      <c r="R6" s="224"/>
      <c r="S6" s="479">
        <f t="shared" ref="S6:Y6" si="2">MEDIAN(S10:S95)</f>
        <v>0.3955726</v>
      </c>
      <c r="T6" s="479">
        <f t="shared" si="2"/>
        <v>0.58010015000000004</v>
      </c>
      <c r="U6" s="479">
        <f t="shared" si="2"/>
        <v>0.97491150000000004</v>
      </c>
      <c r="V6" s="479">
        <f t="shared" si="2"/>
        <v>0.70738634999999994</v>
      </c>
      <c r="W6" s="479">
        <f t="shared" si="2"/>
        <v>0.53570410000000002</v>
      </c>
      <c r="X6" s="479">
        <f t="shared" si="2"/>
        <v>1</v>
      </c>
      <c r="Y6" s="479">
        <f t="shared" si="2"/>
        <v>1</v>
      </c>
      <c r="AA6" s="226" t="s">
        <v>1429</v>
      </c>
      <c r="AB6" s="224"/>
      <c r="AC6" s="224"/>
      <c r="AD6" s="224"/>
      <c r="AE6" s="479">
        <f>MEDIAN(AE10:AE95)</f>
        <v>0.25</v>
      </c>
      <c r="AF6" s="479">
        <f>MEDIAN(AF10:AF95)</f>
        <v>0</v>
      </c>
      <c r="AG6" s="479">
        <f>MEDIAN(AG10:AG95)</f>
        <v>0.1061272</v>
      </c>
      <c r="AH6" s="479">
        <f>MEDIAN(AH10:AH95)</f>
        <v>9.8443900000000001E-2</v>
      </c>
      <c r="AJ6" s="577"/>
      <c r="AK6" s="224"/>
      <c r="AL6" s="224"/>
      <c r="AM6" s="224"/>
      <c r="AN6" s="576"/>
      <c r="AO6" s="576"/>
      <c r="AP6" s="576"/>
      <c r="AQ6" s="576"/>
      <c r="AR6" s="576"/>
      <c r="AS6" s="576"/>
      <c r="AT6" s="576"/>
      <c r="AU6" s="576"/>
    </row>
    <row r="7" spans="1:47" s="190" customFormat="1" ht="18.75" customHeight="1" x14ac:dyDescent="0.25">
      <c r="A7" s="226" t="s">
        <v>3141</v>
      </c>
      <c r="B7" s="224"/>
      <c r="C7" s="224"/>
      <c r="D7" s="224"/>
      <c r="E7" s="479">
        <f>MIN(E10:E95)</f>
        <v>0</v>
      </c>
      <c r="F7" s="479">
        <f>MIN(F10:F95)</f>
        <v>2.0833299999999999E-2</v>
      </c>
      <c r="G7" s="479">
        <f>MIN(G10:G95)</f>
        <v>0</v>
      </c>
      <c r="H7" s="479">
        <f>MIN(H10:H95)</f>
        <v>0</v>
      </c>
      <c r="J7" s="226" t="s">
        <v>3141</v>
      </c>
      <c r="K7" s="224"/>
      <c r="L7" s="479"/>
      <c r="M7" s="479"/>
      <c r="N7" s="479"/>
      <c r="O7" s="225"/>
      <c r="P7" s="226" t="s">
        <v>3141</v>
      </c>
      <c r="Q7" s="224"/>
      <c r="R7" s="224"/>
      <c r="S7" s="479">
        <f t="shared" ref="S7:Y7" si="3">MIN(S10:S95)</f>
        <v>0.35059030000000002</v>
      </c>
      <c r="T7" s="479">
        <f t="shared" si="3"/>
        <v>0.52500000000000002</v>
      </c>
      <c r="U7" s="479">
        <f t="shared" si="3"/>
        <v>0.90549279999999999</v>
      </c>
      <c r="V7" s="479">
        <f t="shared" si="3"/>
        <v>0.36363640000000003</v>
      </c>
      <c r="W7" s="479">
        <f t="shared" si="3"/>
        <v>0.40473009999999998</v>
      </c>
      <c r="X7" s="479">
        <f t="shared" si="3"/>
        <v>0.8125</v>
      </c>
      <c r="Y7" s="479">
        <f t="shared" si="3"/>
        <v>0.71428570000000002</v>
      </c>
      <c r="AA7" s="226" t="s">
        <v>3141</v>
      </c>
      <c r="AB7" s="224"/>
      <c r="AC7" s="224"/>
      <c r="AD7" s="224"/>
      <c r="AE7" s="479">
        <f>MIN(AE10:AE95)</f>
        <v>0</v>
      </c>
      <c r="AF7" s="479">
        <f>MIN(AF10:AF95)</f>
        <v>0</v>
      </c>
      <c r="AG7" s="479">
        <f>MIN(AG10:AG95)</f>
        <v>0</v>
      </c>
      <c r="AH7" s="479">
        <f>MIN(AH10:AH95)</f>
        <v>0</v>
      </c>
      <c r="AJ7" s="577"/>
      <c r="AK7" s="224"/>
      <c r="AL7" s="224"/>
      <c r="AM7" s="224"/>
      <c r="AN7" s="576"/>
      <c r="AO7" s="576"/>
      <c r="AP7" s="576"/>
      <c r="AQ7" s="576"/>
      <c r="AR7" s="576"/>
      <c r="AS7" s="576"/>
      <c r="AT7" s="576"/>
      <c r="AU7" s="576"/>
    </row>
    <row r="8" spans="1:47" s="190" customFormat="1" ht="18.75" customHeight="1" x14ac:dyDescent="0.25">
      <c r="A8" s="227" t="s">
        <v>3142</v>
      </c>
      <c r="B8" s="192"/>
      <c r="C8" s="192"/>
      <c r="D8" s="192"/>
      <c r="E8" s="480">
        <f>MAX(E10:E95)</f>
        <v>1</v>
      </c>
      <c r="F8" s="480">
        <f>MAX(F10:F95)</f>
        <v>1</v>
      </c>
      <c r="G8" s="480">
        <f>MAX(G10:G95)</f>
        <v>1</v>
      </c>
      <c r="H8" s="480">
        <f>MAX(H10:H95)</f>
        <v>1</v>
      </c>
      <c r="J8" s="227" t="s">
        <v>3142</v>
      </c>
      <c r="K8" s="192"/>
      <c r="L8" s="480"/>
      <c r="M8" s="480"/>
      <c r="N8" s="480"/>
      <c r="O8" s="191"/>
      <c r="P8" s="227" t="s">
        <v>3142</v>
      </c>
      <c r="Q8" s="192"/>
      <c r="R8" s="192"/>
      <c r="S8" s="480">
        <f t="shared" ref="S8:Y8" si="4">MAX(S10:S95)</f>
        <v>0.4</v>
      </c>
      <c r="T8" s="480">
        <f t="shared" si="4"/>
        <v>0.6</v>
      </c>
      <c r="U8" s="480">
        <f t="shared" si="4"/>
        <v>1</v>
      </c>
      <c r="V8" s="480">
        <f t="shared" si="4"/>
        <v>1</v>
      </c>
      <c r="W8" s="480">
        <f t="shared" si="4"/>
        <v>0.6325288</v>
      </c>
      <c r="X8" s="480">
        <f t="shared" si="4"/>
        <v>1</v>
      </c>
      <c r="Y8" s="480">
        <f t="shared" si="4"/>
        <v>1</v>
      </c>
      <c r="AA8" s="227" t="s">
        <v>3142</v>
      </c>
      <c r="AB8" s="192"/>
      <c r="AC8" s="192"/>
      <c r="AD8" s="192"/>
      <c r="AE8" s="480">
        <f>MAX(AE10:AE95)</f>
        <v>1</v>
      </c>
      <c r="AF8" s="480">
        <f>MAX(AF10:AF95)</f>
        <v>0.5</v>
      </c>
      <c r="AG8" s="480">
        <f>MAX(AG10:AG95)</f>
        <v>1.0333330000000001</v>
      </c>
      <c r="AH8" s="480">
        <f>MAX(AH10:AH95)</f>
        <v>0.46598000000000001</v>
      </c>
      <c r="AJ8" s="578"/>
      <c r="AK8" s="192"/>
      <c r="AL8" s="192"/>
      <c r="AM8" s="192"/>
      <c r="AN8" s="576"/>
      <c r="AO8" s="576"/>
      <c r="AP8" s="576"/>
      <c r="AQ8" s="576"/>
      <c r="AR8" s="576"/>
      <c r="AS8" s="576"/>
      <c r="AT8" s="576"/>
      <c r="AU8" s="576"/>
    </row>
    <row r="9" spans="1:47" hidden="1" x14ac:dyDescent="0.25">
      <c r="A9" s="143" t="s">
        <v>815</v>
      </c>
      <c r="B9" s="143" t="s">
        <v>816</v>
      </c>
      <c r="C9" s="143" t="s">
        <v>3143</v>
      </c>
      <c r="D9" s="143" t="s">
        <v>3144</v>
      </c>
      <c r="E9" s="137" t="s">
        <v>3145</v>
      </c>
      <c r="F9" s="137" t="s">
        <v>3146</v>
      </c>
      <c r="G9" s="137" t="s">
        <v>3147</v>
      </c>
      <c r="H9" s="137" t="s">
        <v>3148</v>
      </c>
      <c r="I9" s="78" t="s">
        <v>3149</v>
      </c>
      <c r="J9" s="143" t="s">
        <v>3150</v>
      </c>
      <c r="K9" s="143" t="s">
        <v>3151</v>
      </c>
      <c r="L9" s="137" t="s">
        <v>3152</v>
      </c>
      <c r="M9" s="137" t="s">
        <v>3153</v>
      </c>
      <c r="N9" s="137" t="s">
        <v>3154</v>
      </c>
      <c r="O9" s="78" t="s">
        <v>741</v>
      </c>
      <c r="P9" s="143" t="s">
        <v>3155</v>
      </c>
      <c r="Q9" s="143" t="s">
        <v>3156</v>
      </c>
      <c r="R9" s="143" t="s">
        <v>3157</v>
      </c>
      <c r="S9" s="137" t="s">
        <v>3158</v>
      </c>
      <c r="T9" s="137" t="s">
        <v>3159</v>
      </c>
      <c r="U9" s="137" t="s">
        <v>3160</v>
      </c>
      <c r="V9" s="137" t="s">
        <v>3161</v>
      </c>
      <c r="W9" s="137" t="s">
        <v>3162</v>
      </c>
      <c r="X9" s="137" t="s">
        <v>3163</v>
      </c>
      <c r="Y9" s="137" t="s">
        <v>3164</v>
      </c>
      <c r="Z9" s="78" t="s">
        <v>746</v>
      </c>
      <c r="AA9" s="143" t="s">
        <v>1772</v>
      </c>
      <c r="AB9" s="143" t="s">
        <v>1773</v>
      </c>
      <c r="AC9" s="143" t="s">
        <v>3165</v>
      </c>
      <c r="AD9" s="143" t="s">
        <v>3166</v>
      </c>
      <c r="AE9" s="137" t="s">
        <v>3167</v>
      </c>
      <c r="AF9" s="137" t="s">
        <v>3168</v>
      </c>
      <c r="AG9" s="137" t="s">
        <v>3169</v>
      </c>
      <c r="AH9" s="137" t="s">
        <v>3170</v>
      </c>
      <c r="AI9" s="78" t="s">
        <v>3171</v>
      </c>
      <c r="AJ9" s="143" t="s">
        <v>3172</v>
      </c>
      <c r="AK9" s="143" t="s">
        <v>3173</v>
      </c>
      <c r="AL9" s="143" t="s">
        <v>3174</v>
      </c>
      <c r="AM9" s="143" t="s">
        <v>3175</v>
      </c>
      <c r="AN9" s="156" t="s">
        <v>3176</v>
      </c>
      <c r="AO9" s="156" t="s">
        <v>3177</v>
      </c>
      <c r="AP9" s="156" t="s">
        <v>3178</v>
      </c>
      <c r="AQ9" s="156" t="s">
        <v>3179</v>
      </c>
      <c r="AR9" s="156" t="s">
        <v>3180</v>
      </c>
      <c r="AS9" s="156" t="s">
        <v>3181</v>
      </c>
      <c r="AT9" s="156" t="s">
        <v>3182</v>
      </c>
      <c r="AU9" s="78" t="s">
        <v>3183</v>
      </c>
    </row>
    <row r="10" spans="1:47" x14ac:dyDescent="0.25">
      <c r="A10" s="143" t="s">
        <v>757</v>
      </c>
      <c r="B10" s="143" t="s">
        <v>758</v>
      </c>
      <c r="C10" s="143">
        <v>16</v>
      </c>
      <c r="D10" s="143">
        <v>52</v>
      </c>
      <c r="E10" s="137">
        <v>1</v>
      </c>
      <c r="F10" s="137">
        <v>0.96875</v>
      </c>
      <c r="G10" s="137">
        <v>1</v>
      </c>
      <c r="H10" s="137">
        <v>0.3541667</v>
      </c>
      <c r="J10" s="143" t="s">
        <v>757</v>
      </c>
      <c r="K10" s="143" t="s">
        <v>758</v>
      </c>
      <c r="L10" s="137" t="s">
        <v>3184</v>
      </c>
      <c r="M10" s="137" t="s">
        <v>3184</v>
      </c>
      <c r="N10" s="137" t="s">
        <v>3184</v>
      </c>
      <c r="P10" s="143" t="s">
        <v>757</v>
      </c>
      <c r="Q10" s="143" t="s">
        <v>758</v>
      </c>
      <c r="R10" s="143">
        <v>16</v>
      </c>
      <c r="S10" s="137">
        <v>0.39927849999999998</v>
      </c>
      <c r="T10" s="137">
        <v>0.58065480000000003</v>
      </c>
      <c r="U10" s="137">
        <v>0.97993330000000001</v>
      </c>
      <c r="V10" s="137">
        <v>0.8125</v>
      </c>
      <c r="W10" s="137">
        <v>0.5259395</v>
      </c>
      <c r="X10" s="137">
        <v>0.9375</v>
      </c>
      <c r="Y10" s="137">
        <v>1</v>
      </c>
      <c r="AA10" s="143" t="s">
        <v>757</v>
      </c>
      <c r="AB10" s="143" t="s">
        <v>758</v>
      </c>
      <c r="AC10" s="143">
        <v>16</v>
      </c>
      <c r="AD10" s="143">
        <v>20</v>
      </c>
      <c r="AE10" s="137">
        <v>0.05</v>
      </c>
      <c r="AF10" s="137">
        <v>5.2631600000000001E-2</v>
      </c>
      <c r="AG10" s="137">
        <v>0</v>
      </c>
      <c r="AH10" s="137">
        <v>0.46598000000000001</v>
      </c>
      <c r="AJ10" s="143" t="s">
        <v>757</v>
      </c>
      <c r="AK10" s="143" t="s">
        <v>758</v>
      </c>
      <c r="AL10" s="143">
        <v>16</v>
      </c>
      <c r="AM10" s="143">
        <v>52</v>
      </c>
      <c r="AN10" s="156">
        <v>1.92916667461395</v>
      </c>
      <c r="AO10" s="156">
        <v>3.10208344459534</v>
      </c>
      <c r="AP10" s="156">
        <v>2.9822916984558101</v>
      </c>
      <c r="AQ10" s="156">
        <v>2.94479179382324</v>
      </c>
      <c r="AR10" s="156">
        <v>2.6041667461395299</v>
      </c>
      <c r="AS10" s="156">
        <v>3.1187500953674299</v>
      </c>
      <c r="AT10" s="156">
        <v>3.2177083492279102</v>
      </c>
      <c r="AU10" s="156">
        <v>3.0325890000000002</v>
      </c>
    </row>
    <row r="11" spans="1:47" x14ac:dyDescent="0.25">
      <c r="A11" s="143" t="s">
        <v>759</v>
      </c>
      <c r="B11" s="143" t="s">
        <v>758</v>
      </c>
      <c r="C11" s="143">
        <v>11</v>
      </c>
      <c r="D11" s="143">
        <v>30</v>
      </c>
      <c r="E11" s="137">
        <v>1</v>
      </c>
      <c r="F11" s="137">
        <v>1</v>
      </c>
      <c r="G11" s="137">
        <v>1</v>
      </c>
      <c r="H11" s="137">
        <v>0.45454549999999999</v>
      </c>
      <c r="J11" s="143" t="s">
        <v>759</v>
      </c>
      <c r="K11" s="143" t="s">
        <v>758</v>
      </c>
      <c r="L11" s="137" t="s">
        <v>3184</v>
      </c>
      <c r="M11" s="137" t="s">
        <v>3184</v>
      </c>
      <c r="N11" s="137" t="s">
        <v>3184</v>
      </c>
      <c r="P11" s="143" t="s">
        <v>759</v>
      </c>
      <c r="Q11" s="143" t="s">
        <v>758</v>
      </c>
      <c r="R11" s="143">
        <v>11</v>
      </c>
      <c r="S11" s="137">
        <v>0.3959858</v>
      </c>
      <c r="T11" s="137">
        <v>0.6</v>
      </c>
      <c r="U11" s="137">
        <v>0.99598589999999998</v>
      </c>
      <c r="V11" s="137">
        <v>0.45454549999999999</v>
      </c>
      <c r="W11" s="137">
        <v>0.54858859999999998</v>
      </c>
      <c r="X11" s="137">
        <v>1</v>
      </c>
      <c r="Y11" s="137">
        <v>1</v>
      </c>
      <c r="AA11" s="143" t="s">
        <v>759</v>
      </c>
      <c r="AB11" s="143" t="s">
        <v>758</v>
      </c>
      <c r="AC11" s="143">
        <v>11</v>
      </c>
      <c r="AD11" s="143">
        <v>8</v>
      </c>
      <c r="AE11" s="137">
        <v>0.5</v>
      </c>
      <c r="AF11" s="137">
        <v>0</v>
      </c>
      <c r="AG11" s="137">
        <v>8.5137099999999993E-2</v>
      </c>
      <c r="AH11" s="137">
        <v>0</v>
      </c>
      <c r="AJ11" s="143" t="s">
        <v>759</v>
      </c>
      <c r="AK11" s="143" t="s">
        <v>758</v>
      </c>
      <c r="AL11" s="143">
        <v>11</v>
      </c>
      <c r="AM11" s="143">
        <v>30</v>
      </c>
      <c r="AN11" s="156">
        <v>1.5871212482452399</v>
      </c>
      <c r="AO11" s="156">
        <v>3.8143939971923801</v>
      </c>
      <c r="AP11" s="156">
        <v>3.60227274894714</v>
      </c>
      <c r="AQ11" s="156">
        <v>3.5</v>
      </c>
      <c r="AR11" s="156">
        <v>3.0416667461395299</v>
      </c>
      <c r="AS11" s="156">
        <v>3.0606060028076199</v>
      </c>
      <c r="AT11" s="156">
        <v>3.8484847545623802</v>
      </c>
      <c r="AU11" s="156">
        <v>3.4734850000000002</v>
      </c>
    </row>
    <row r="12" spans="1:47" x14ac:dyDescent="0.25">
      <c r="A12" s="143" t="s">
        <v>760</v>
      </c>
      <c r="B12" s="143" t="s">
        <v>761</v>
      </c>
      <c r="C12" s="143">
        <v>16</v>
      </c>
      <c r="D12" s="143">
        <v>40</v>
      </c>
      <c r="E12" s="137">
        <v>1</v>
      </c>
      <c r="F12" s="137">
        <v>1</v>
      </c>
      <c r="G12" s="137">
        <v>1</v>
      </c>
      <c r="H12" s="137">
        <v>0</v>
      </c>
      <c r="J12" s="143" t="s">
        <v>760</v>
      </c>
      <c r="K12" s="143" t="s">
        <v>761</v>
      </c>
      <c r="L12" s="137" t="s">
        <v>3184</v>
      </c>
      <c r="M12" s="137" t="s">
        <v>3184</v>
      </c>
      <c r="N12" s="137" t="s">
        <v>3184</v>
      </c>
      <c r="P12" s="143" t="s">
        <v>760</v>
      </c>
      <c r="Q12" s="143" t="s">
        <v>761</v>
      </c>
      <c r="R12" s="143">
        <v>16</v>
      </c>
      <c r="S12" s="137">
        <v>0.38928570000000001</v>
      </c>
      <c r="T12" s="137">
        <v>0.6</v>
      </c>
      <c r="U12" s="137">
        <v>0.98928570000000005</v>
      </c>
      <c r="V12" s="137">
        <v>0.5625</v>
      </c>
      <c r="W12" s="137">
        <v>0.62643740000000003</v>
      </c>
      <c r="X12" s="137">
        <v>1</v>
      </c>
      <c r="Y12" s="137">
        <v>1</v>
      </c>
      <c r="AA12" s="143" t="s">
        <v>760</v>
      </c>
      <c r="AB12" s="143" t="s">
        <v>761</v>
      </c>
      <c r="AC12" s="143">
        <v>16</v>
      </c>
      <c r="AD12" s="143">
        <v>8</v>
      </c>
      <c r="AE12" s="137">
        <v>0.625</v>
      </c>
      <c r="AF12" s="137">
        <v>0.3333333</v>
      </c>
      <c r="AG12" s="137">
        <v>8.26823E-2</v>
      </c>
      <c r="AH12" s="137">
        <v>2.3809500000000001E-2</v>
      </c>
      <c r="AJ12" s="143" t="s">
        <v>760</v>
      </c>
      <c r="AK12" s="143" t="s">
        <v>761</v>
      </c>
      <c r="AL12" s="143">
        <v>16</v>
      </c>
      <c r="AM12" s="143">
        <v>40</v>
      </c>
      <c r="AN12" s="156">
        <v>1.8229166269302399</v>
      </c>
      <c r="AO12" s="156">
        <v>3.3125</v>
      </c>
      <c r="AP12" s="156">
        <v>3.3229167461395299</v>
      </c>
      <c r="AQ12" s="156">
        <v>3.6015625</v>
      </c>
      <c r="AR12" s="156">
        <v>2.3072917461395299</v>
      </c>
      <c r="AS12" s="156">
        <v>3.4036457538604701</v>
      </c>
      <c r="AT12" s="156">
        <v>3.5208332538604701</v>
      </c>
      <c r="AU12" s="156">
        <v>3.2485119999999998</v>
      </c>
    </row>
    <row r="13" spans="1:47" x14ac:dyDescent="0.25">
      <c r="A13" s="143" t="s">
        <v>762</v>
      </c>
      <c r="B13" s="143" t="s">
        <v>758</v>
      </c>
      <c r="C13" s="143">
        <v>11</v>
      </c>
      <c r="D13" s="143">
        <v>29</v>
      </c>
      <c r="E13" s="137">
        <v>1</v>
      </c>
      <c r="F13" s="137">
        <v>1</v>
      </c>
      <c r="G13" s="137">
        <v>1</v>
      </c>
      <c r="H13" s="137">
        <v>0.61363639999999997</v>
      </c>
      <c r="J13" s="143" t="s">
        <v>762</v>
      </c>
      <c r="K13" s="143" t="s">
        <v>758</v>
      </c>
      <c r="L13" s="137" t="s">
        <v>3184</v>
      </c>
      <c r="M13" s="137" t="s">
        <v>3184</v>
      </c>
      <c r="N13" s="137" t="s">
        <v>3184</v>
      </c>
      <c r="P13" s="143" t="s">
        <v>762</v>
      </c>
      <c r="Q13" s="143" t="s">
        <v>758</v>
      </c>
      <c r="R13" s="143">
        <v>11</v>
      </c>
      <c r="S13" s="137">
        <v>0.39952779999999999</v>
      </c>
      <c r="T13" s="137">
        <v>0.57272730000000005</v>
      </c>
      <c r="U13" s="137">
        <v>0.97225510000000004</v>
      </c>
      <c r="V13" s="137">
        <v>0.81818179999999996</v>
      </c>
      <c r="W13" s="137">
        <v>0.6325288</v>
      </c>
      <c r="X13" s="137">
        <v>1</v>
      </c>
      <c r="Y13" s="137">
        <v>1</v>
      </c>
      <c r="AA13" s="143" t="s">
        <v>762</v>
      </c>
      <c r="AB13" s="143" t="s">
        <v>758</v>
      </c>
      <c r="AC13" s="143">
        <v>11</v>
      </c>
      <c r="AD13" s="143">
        <v>8</v>
      </c>
      <c r="AE13" s="137">
        <v>0.25</v>
      </c>
      <c r="AF13" s="137">
        <v>0.5</v>
      </c>
      <c r="AG13" s="137">
        <v>0.2425505</v>
      </c>
      <c r="AH13" s="137">
        <v>0.1285714</v>
      </c>
      <c r="AJ13" s="143" t="s">
        <v>762</v>
      </c>
      <c r="AK13" s="143" t="s">
        <v>758</v>
      </c>
      <c r="AL13" s="143">
        <v>11</v>
      </c>
      <c r="AM13" s="143">
        <v>29</v>
      </c>
      <c r="AN13" s="156">
        <v>2.4090909957885698</v>
      </c>
      <c r="AO13" s="156">
        <v>3.48863625526428</v>
      </c>
      <c r="AP13" s="156">
        <v>3.2840909957885698</v>
      </c>
      <c r="AQ13" s="156">
        <v>3.3257575035095202</v>
      </c>
      <c r="AR13" s="156">
        <v>2.9583332538604701</v>
      </c>
      <c r="AS13" s="156">
        <v>3.8333332538604701</v>
      </c>
      <c r="AT13" s="156">
        <v>3.375</v>
      </c>
      <c r="AU13" s="156">
        <v>3.2846320000000002</v>
      </c>
    </row>
    <row r="14" spans="1:47" x14ac:dyDescent="0.25">
      <c r="A14" s="143" t="s">
        <v>763</v>
      </c>
      <c r="B14" s="143" t="s">
        <v>764</v>
      </c>
      <c r="C14" s="143">
        <v>11</v>
      </c>
      <c r="D14" s="143">
        <v>31</v>
      </c>
      <c r="E14" s="137">
        <v>0.47727269999999999</v>
      </c>
      <c r="F14" s="137">
        <v>0.47727269999999999</v>
      </c>
      <c r="G14" s="137">
        <v>0.47727269999999999</v>
      </c>
      <c r="H14" s="137">
        <v>0</v>
      </c>
      <c r="J14" s="143" t="s">
        <v>763</v>
      </c>
      <c r="K14" s="143" t="s">
        <v>764</v>
      </c>
      <c r="L14" s="137" t="s">
        <v>3184</v>
      </c>
      <c r="M14" s="137" t="s">
        <v>3184</v>
      </c>
      <c r="N14" s="137" t="s">
        <v>3184</v>
      </c>
      <c r="P14" s="143" t="s">
        <v>763</v>
      </c>
      <c r="Q14" s="143" t="s">
        <v>764</v>
      </c>
      <c r="R14" s="143">
        <v>11</v>
      </c>
      <c r="S14" s="137">
        <v>0.37567889999999998</v>
      </c>
      <c r="T14" s="137">
        <v>0.5363637</v>
      </c>
      <c r="U14" s="137">
        <v>0.91204249999999998</v>
      </c>
      <c r="V14" s="137">
        <v>0.72727269999999999</v>
      </c>
      <c r="W14" s="137">
        <v>0.56719090000000005</v>
      </c>
      <c r="X14" s="137">
        <v>1</v>
      </c>
      <c r="Y14" s="137">
        <v>0.71428570000000002</v>
      </c>
      <c r="AA14" s="143" t="s">
        <v>763</v>
      </c>
      <c r="AB14" s="143" t="s">
        <v>764</v>
      </c>
      <c r="AC14" s="143">
        <v>11</v>
      </c>
      <c r="AD14" s="143">
        <v>8</v>
      </c>
      <c r="AE14" s="137">
        <v>0.25</v>
      </c>
      <c r="AF14" s="137">
        <v>0</v>
      </c>
      <c r="AG14" s="137">
        <v>0.22149369999999999</v>
      </c>
      <c r="AH14" s="137">
        <v>0.17283950000000001</v>
      </c>
      <c r="AJ14" s="143" t="s">
        <v>763</v>
      </c>
      <c r="AK14" s="143" t="s">
        <v>764</v>
      </c>
      <c r="AL14" s="143">
        <v>11</v>
      </c>
      <c r="AM14" s="143">
        <v>31</v>
      </c>
      <c r="AN14" s="156">
        <v>1.8446969985961901</v>
      </c>
      <c r="AO14" s="156">
        <v>3.2992424964904798</v>
      </c>
      <c r="AP14" s="156">
        <v>3.2651515007018999</v>
      </c>
      <c r="AQ14" s="156">
        <v>2.625</v>
      </c>
      <c r="AR14" s="156">
        <v>2.5871212482452401</v>
      </c>
      <c r="AS14" s="156">
        <v>2.9318182468414302</v>
      </c>
      <c r="AT14" s="156">
        <v>3.2954545021057098</v>
      </c>
      <c r="AU14" s="156">
        <v>3.045455</v>
      </c>
    </row>
    <row r="15" spans="1:47" x14ac:dyDescent="0.25">
      <c r="A15" s="143" t="s">
        <v>765</v>
      </c>
      <c r="B15" s="143" t="s">
        <v>766</v>
      </c>
      <c r="C15" s="143">
        <v>16</v>
      </c>
      <c r="D15" s="143">
        <v>41</v>
      </c>
      <c r="E15" s="137">
        <v>0.59375</v>
      </c>
      <c r="F15" s="137">
        <v>0.59375</v>
      </c>
      <c r="G15" s="137">
        <v>0.90625</v>
      </c>
      <c r="H15" s="137">
        <v>0</v>
      </c>
      <c r="J15" s="143" t="s">
        <v>765</v>
      </c>
      <c r="K15" s="143" t="s">
        <v>766</v>
      </c>
      <c r="L15" s="137" t="s">
        <v>3184</v>
      </c>
      <c r="M15" s="137" t="s">
        <v>3184</v>
      </c>
      <c r="N15" s="137" t="s">
        <v>3184</v>
      </c>
      <c r="P15" s="143" t="s">
        <v>765</v>
      </c>
      <c r="Q15" s="143" t="s">
        <v>766</v>
      </c>
      <c r="R15" s="143">
        <v>16</v>
      </c>
      <c r="S15" s="137">
        <v>0.39837660000000003</v>
      </c>
      <c r="T15" s="137">
        <v>0.58125000000000004</v>
      </c>
      <c r="U15" s="137">
        <v>0.97962669999999996</v>
      </c>
      <c r="V15" s="137">
        <v>0.625</v>
      </c>
      <c r="W15" s="137">
        <v>0.52849699999999999</v>
      </c>
      <c r="X15" s="137">
        <v>0.9375</v>
      </c>
      <c r="Y15" s="137">
        <v>0.9</v>
      </c>
      <c r="AA15" s="143" t="s">
        <v>765</v>
      </c>
      <c r="AB15" s="143" t="s">
        <v>766</v>
      </c>
      <c r="AC15" s="143">
        <v>16</v>
      </c>
      <c r="AD15" s="143">
        <v>8</v>
      </c>
      <c r="AE15" s="137">
        <v>0.125</v>
      </c>
      <c r="AF15" s="137">
        <v>0</v>
      </c>
      <c r="AG15" s="137">
        <v>6.8154800000000001E-2</v>
      </c>
      <c r="AH15" s="137">
        <v>0</v>
      </c>
      <c r="AJ15" s="143" t="s">
        <v>765</v>
      </c>
      <c r="AK15" s="143" t="s">
        <v>766</v>
      </c>
      <c r="AL15" s="143">
        <v>16</v>
      </c>
      <c r="AM15" s="143">
        <v>41</v>
      </c>
      <c r="AN15" s="156">
        <v>1.9296875</v>
      </c>
      <c r="AO15" s="156">
        <v>3.0286457538604701</v>
      </c>
      <c r="AP15" s="156">
        <v>3.3463542461395299</v>
      </c>
      <c r="AQ15" s="156">
        <v>3.3463542461395299</v>
      </c>
      <c r="AR15" s="156">
        <v>2.9192707538604701</v>
      </c>
      <c r="AS15" s="156">
        <v>2.71875</v>
      </c>
      <c r="AT15" s="156">
        <v>3.3567707538604701</v>
      </c>
      <c r="AU15" s="156">
        <v>3.1302080000000001</v>
      </c>
    </row>
    <row r="16" spans="1:47" x14ac:dyDescent="0.25">
      <c r="A16" s="143" t="s">
        <v>767</v>
      </c>
      <c r="B16" s="143" t="s">
        <v>768</v>
      </c>
      <c r="C16" s="143">
        <v>11</v>
      </c>
      <c r="D16" s="143">
        <v>29</v>
      </c>
      <c r="E16" s="137">
        <v>1</v>
      </c>
      <c r="F16" s="137">
        <v>1</v>
      </c>
      <c r="G16" s="137">
        <v>1</v>
      </c>
      <c r="H16" s="137">
        <v>0.1666667</v>
      </c>
      <c r="J16" s="143" t="s">
        <v>767</v>
      </c>
      <c r="K16" s="143" t="s">
        <v>768</v>
      </c>
      <c r="L16" s="137" t="s">
        <v>3184</v>
      </c>
      <c r="M16" s="137" t="s">
        <v>3184</v>
      </c>
      <c r="N16" s="137" t="s">
        <v>3184</v>
      </c>
      <c r="P16" s="143" t="s">
        <v>767</v>
      </c>
      <c r="Q16" s="143" t="s">
        <v>768</v>
      </c>
      <c r="R16" s="143">
        <v>11</v>
      </c>
      <c r="S16" s="137">
        <v>0.3874262</v>
      </c>
      <c r="T16" s="137">
        <v>0.56590910000000005</v>
      </c>
      <c r="U16" s="137">
        <v>0.9533353</v>
      </c>
      <c r="V16" s="137">
        <v>0.54545460000000001</v>
      </c>
      <c r="W16" s="137">
        <v>0.61277150000000002</v>
      </c>
      <c r="X16" s="137">
        <v>1</v>
      </c>
      <c r="Y16" s="137">
        <v>0.8</v>
      </c>
      <c r="AA16" s="143" t="s">
        <v>767</v>
      </c>
      <c r="AB16" s="143" t="s">
        <v>768</v>
      </c>
      <c r="AC16" s="143">
        <v>11</v>
      </c>
      <c r="AD16" s="143">
        <v>8</v>
      </c>
      <c r="AE16" s="137">
        <v>0.125</v>
      </c>
      <c r="AF16" s="137">
        <v>0</v>
      </c>
      <c r="AG16" s="137">
        <v>0</v>
      </c>
      <c r="AH16" s="137">
        <v>2.5641000000000001E-2</v>
      </c>
      <c r="AJ16" s="143" t="s">
        <v>767</v>
      </c>
      <c r="AK16" s="143" t="s">
        <v>768</v>
      </c>
      <c r="AL16" s="143">
        <v>11</v>
      </c>
      <c r="AM16" s="143">
        <v>29</v>
      </c>
      <c r="AN16" s="156">
        <v>1.94318187236786</v>
      </c>
      <c r="AO16" s="156">
        <v>3.3068182468414302</v>
      </c>
      <c r="AP16" s="156">
        <v>3.0909090042114298</v>
      </c>
      <c r="AQ16" s="156">
        <v>2.9166667461395299</v>
      </c>
      <c r="AR16" s="156">
        <v>2.2575757503509499</v>
      </c>
      <c r="AS16" s="156">
        <v>3.1174242496490501</v>
      </c>
      <c r="AT16" s="156">
        <v>3.4128787517547599</v>
      </c>
      <c r="AU16" s="156">
        <v>3.0227270000000002</v>
      </c>
    </row>
    <row r="17" spans="1:47" x14ac:dyDescent="0.25">
      <c r="A17" s="143" t="s">
        <v>769</v>
      </c>
      <c r="B17" s="143" t="s">
        <v>770</v>
      </c>
      <c r="C17" s="143">
        <v>16</v>
      </c>
      <c r="D17" s="143">
        <v>40</v>
      </c>
      <c r="E17" s="137">
        <v>0</v>
      </c>
      <c r="F17" s="137">
        <v>2.0833299999999999E-2</v>
      </c>
      <c r="G17" s="137">
        <v>0</v>
      </c>
      <c r="H17" s="137">
        <v>1</v>
      </c>
      <c r="J17" s="143" t="s">
        <v>769</v>
      </c>
      <c r="K17" s="143" t="s">
        <v>770</v>
      </c>
      <c r="L17" s="137" t="s">
        <v>3184</v>
      </c>
      <c r="M17" s="137" t="s">
        <v>3184</v>
      </c>
      <c r="N17" s="137" t="s">
        <v>3184</v>
      </c>
      <c r="P17" s="143" t="s">
        <v>769</v>
      </c>
      <c r="Q17" s="143" t="s">
        <v>770</v>
      </c>
      <c r="R17" s="143">
        <v>16</v>
      </c>
      <c r="S17" s="137">
        <v>0.38620130000000003</v>
      </c>
      <c r="T17" s="137">
        <v>0.52500000000000002</v>
      </c>
      <c r="U17" s="137">
        <v>0.91120129999999999</v>
      </c>
      <c r="V17" s="137">
        <v>0.6875</v>
      </c>
      <c r="W17" s="137">
        <v>0.52073409999999998</v>
      </c>
      <c r="X17" s="137">
        <v>0.8125</v>
      </c>
      <c r="Y17" s="137">
        <v>1</v>
      </c>
      <c r="AA17" s="143" t="s">
        <v>769</v>
      </c>
      <c r="AB17" s="143" t="s">
        <v>770</v>
      </c>
      <c r="AC17" s="143">
        <v>16</v>
      </c>
      <c r="AD17" s="143">
        <v>8</v>
      </c>
      <c r="AE17" s="137">
        <v>0</v>
      </c>
      <c r="AF17" s="137">
        <v>0</v>
      </c>
      <c r="AG17" s="137">
        <v>0.1125</v>
      </c>
      <c r="AH17" s="137">
        <v>6.25E-2</v>
      </c>
      <c r="AJ17" s="143" t="s">
        <v>769</v>
      </c>
      <c r="AK17" s="143" t="s">
        <v>770</v>
      </c>
      <c r="AL17" s="143">
        <v>16</v>
      </c>
      <c r="AM17" s="143">
        <v>40</v>
      </c>
      <c r="AN17" s="156">
        <v>1.8541666269302399</v>
      </c>
      <c r="AO17" s="156">
        <v>2.96875</v>
      </c>
      <c r="AP17" s="156">
        <v>2.4921875</v>
      </c>
      <c r="AQ17" s="156">
        <v>2.5026042461395299</v>
      </c>
      <c r="AR17" s="156">
        <v>2.5625</v>
      </c>
      <c r="AS17" s="156">
        <v>2.4505207538604701</v>
      </c>
      <c r="AT17" s="156">
        <v>2.9375</v>
      </c>
      <c r="AU17" s="156">
        <v>2.722842</v>
      </c>
    </row>
    <row r="18" spans="1:47" x14ac:dyDescent="0.25">
      <c r="A18" s="143" t="s">
        <v>771</v>
      </c>
      <c r="B18" s="143" t="s">
        <v>772</v>
      </c>
      <c r="C18" s="143">
        <v>16</v>
      </c>
      <c r="D18" s="143">
        <v>42</v>
      </c>
      <c r="E18" s="137">
        <v>1</v>
      </c>
      <c r="F18" s="137">
        <v>1</v>
      </c>
      <c r="G18" s="137">
        <v>1</v>
      </c>
      <c r="H18" s="137">
        <v>3.125E-2</v>
      </c>
      <c r="J18" s="143" t="s">
        <v>771</v>
      </c>
      <c r="K18" s="143" t="s">
        <v>772</v>
      </c>
      <c r="L18" s="137" t="s">
        <v>3184</v>
      </c>
      <c r="M18" s="137" t="s">
        <v>3184</v>
      </c>
      <c r="N18" s="137" t="s">
        <v>3184</v>
      </c>
      <c r="P18" s="143" t="s">
        <v>771</v>
      </c>
      <c r="Q18" s="143" t="s">
        <v>772</v>
      </c>
      <c r="R18" s="143">
        <v>16</v>
      </c>
      <c r="S18" s="137">
        <v>0.3993506</v>
      </c>
      <c r="T18" s="137">
        <v>0.6</v>
      </c>
      <c r="U18" s="137">
        <v>0.99935070000000004</v>
      </c>
      <c r="V18" s="137">
        <v>0.8125</v>
      </c>
      <c r="W18" s="137">
        <v>0.59181309999999998</v>
      </c>
      <c r="X18" s="137">
        <v>1</v>
      </c>
      <c r="Y18" s="137">
        <v>1</v>
      </c>
      <c r="AA18" s="143" t="s">
        <v>771</v>
      </c>
      <c r="AB18" s="143" t="s">
        <v>772</v>
      </c>
      <c r="AC18" s="143">
        <v>16</v>
      </c>
      <c r="AD18" s="143">
        <v>8</v>
      </c>
      <c r="AE18" s="137">
        <v>0</v>
      </c>
      <c r="AF18" s="137">
        <v>0</v>
      </c>
      <c r="AG18" s="137">
        <v>0</v>
      </c>
      <c r="AH18" s="137">
        <v>0.14460780000000001</v>
      </c>
      <c r="AJ18" s="143" t="s">
        <v>771</v>
      </c>
      <c r="AK18" s="143" t="s">
        <v>772</v>
      </c>
      <c r="AL18" s="143">
        <v>16</v>
      </c>
      <c r="AM18" s="143">
        <v>42</v>
      </c>
      <c r="AN18" s="156">
        <v>1.96875</v>
      </c>
      <c r="AO18" s="156">
        <v>3.0729167461395299</v>
      </c>
      <c r="AP18" s="156">
        <v>2.7083332538604701</v>
      </c>
      <c r="AQ18" s="156">
        <v>2.8880207538604701</v>
      </c>
      <c r="AR18" s="156">
        <v>2.46875</v>
      </c>
      <c r="AS18" s="156">
        <v>3</v>
      </c>
      <c r="AT18" s="156">
        <v>3.0729167461395299</v>
      </c>
      <c r="AU18" s="156">
        <v>2.8917410000000001</v>
      </c>
    </row>
    <row r="19" spans="1:47" x14ac:dyDescent="0.25">
      <c r="A19" s="143" t="s">
        <v>773</v>
      </c>
      <c r="B19" s="143" t="s">
        <v>764</v>
      </c>
      <c r="C19" s="143">
        <v>11</v>
      </c>
      <c r="D19" s="143">
        <v>29</v>
      </c>
      <c r="E19" s="137">
        <v>1</v>
      </c>
      <c r="F19" s="137">
        <v>1</v>
      </c>
      <c r="G19" s="137">
        <v>1</v>
      </c>
      <c r="H19" s="137">
        <v>0</v>
      </c>
      <c r="J19" s="143" t="s">
        <v>773</v>
      </c>
      <c r="K19" s="143" t="s">
        <v>764</v>
      </c>
      <c r="L19" s="137" t="s">
        <v>3184</v>
      </c>
      <c r="M19" s="137" t="s">
        <v>3184</v>
      </c>
      <c r="N19" s="137" t="s">
        <v>3184</v>
      </c>
      <c r="P19" s="143" t="s">
        <v>773</v>
      </c>
      <c r="Q19" s="143" t="s">
        <v>764</v>
      </c>
      <c r="R19" s="143">
        <v>11</v>
      </c>
      <c r="S19" s="137">
        <v>0.39539550000000001</v>
      </c>
      <c r="T19" s="137">
        <v>0.59318179999999998</v>
      </c>
      <c r="U19" s="137">
        <v>0.98857729999999999</v>
      </c>
      <c r="V19" s="137">
        <v>0.90909090000000004</v>
      </c>
      <c r="W19" s="137">
        <v>0.59552950000000004</v>
      </c>
      <c r="X19" s="137">
        <v>1</v>
      </c>
      <c r="Y19" s="137">
        <v>1</v>
      </c>
      <c r="AA19" s="143" t="s">
        <v>773</v>
      </c>
      <c r="AB19" s="143" t="s">
        <v>764</v>
      </c>
      <c r="AC19" s="143">
        <v>11</v>
      </c>
      <c r="AD19" s="143">
        <v>8</v>
      </c>
      <c r="AE19" s="137">
        <v>1</v>
      </c>
      <c r="AG19" s="137">
        <v>0.38624710000000001</v>
      </c>
      <c r="AH19" s="137">
        <v>9.2640700000000006E-2</v>
      </c>
      <c r="AJ19" s="143" t="s">
        <v>773</v>
      </c>
      <c r="AK19" s="143" t="s">
        <v>764</v>
      </c>
      <c r="AL19" s="143">
        <v>11</v>
      </c>
      <c r="AM19" s="143">
        <v>29</v>
      </c>
      <c r="AN19" s="156">
        <v>2.1439394950866699</v>
      </c>
      <c r="AO19" s="156">
        <v>3</v>
      </c>
      <c r="AP19" s="156">
        <v>2.7803030014038099</v>
      </c>
      <c r="AQ19" s="156">
        <v>2.35227274894714</v>
      </c>
      <c r="AR19" s="156">
        <v>2.22727274894714</v>
      </c>
      <c r="AS19" s="156">
        <v>2.4242424964904798</v>
      </c>
      <c r="AT19" s="156">
        <v>2.4659090042114298</v>
      </c>
      <c r="AU19" s="156">
        <v>2.5865800000000001</v>
      </c>
    </row>
    <row r="20" spans="1:47" ht="15.6" customHeight="1" x14ac:dyDescent="0.25">
      <c r="A20" s="143" t="s">
        <v>774</v>
      </c>
      <c r="B20" s="143" t="s">
        <v>758</v>
      </c>
      <c r="C20" s="143">
        <v>11</v>
      </c>
      <c r="D20" s="143">
        <v>30</v>
      </c>
      <c r="E20" s="137">
        <v>1</v>
      </c>
      <c r="F20" s="137">
        <v>1</v>
      </c>
      <c r="G20" s="137">
        <v>1</v>
      </c>
      <c r="H20" s="137">
        <v>0</v>
      </c>
      <c r="J20" s="143" t="s">
        <v>774</v>
      </c>
      <c r="K20" s="143" t="s">
        <v>758</v>
      </c>
      <c r="L20" s="137" t="s">
        <v>3184</v>
      </c>
      <c r="M20" s="137" t="s">
        <v>3184</v>
      </c>
      <c r="N20" s="137" t="s">
        <v>3184</v>
      </c>
      <c r="P20" s="143" t="s">
        <v>774</v>
      </c>
      <c r="Q20" s="143" t="s">
        <v>758</v>
      </c>
      <c r="R20" s="143">
        <v>11</v>
      </c>
      <c r="S20" s="137">
        <v>0.39876030000000001</v>
      </c>
      <c r="T20" s="137">
        <v>0.6</v>
      </c>
      <c r="U20" s="137">
        <v>0.99876030000000005</v>
      </c>
      <c r="V20" s="137">
        <v>0.72727269999999999</v>
      </c>
      <c r="W20" s="137">
        <v>0.52763070000000001</v>
      </c>
      <c r="X20" s="137">
        <v>1</v>
      </c>
      <c r="Y20" s="137">
        <v>1</v>
      </c>
      <c r="AA20" s="143" t="s">
        <v>774</v>
      </c>
      <c r="AB20" s="143" t="s">
        <v>758</v>
      </c>
      <c r="AC20" s="143">
        <v>11</v>
      </c>
      <c r="AD20" s="143">
        <v>8</v>
      </c>
      <c r="AE20" s="137">
        <v>0.5</v>
      </c>
      <c r="AF20" s="137">
        <v>0.5</v>
      </c>
      <c r="AG20" s="137">
        <v>0.2565268</v>
      </c>
      <c r="AH20" s="137">
        <v>2.7777799999999998E-2</v>
      </c>
      <c r="AJ20" s="143" t="s">
        <v>774</v>
      </c>
      <c r="AK20" s="143" t="s">
        <v>758</v>
      </c>
      <c r="AL20" s="143">
        <v>11</v>
      </c>
      <c r="AM20" s="143">
        <v>30</v>
      </c>
      <c r="AN20" s="156">
        <v>1.53409087657928</v>
      </c>
      <c r="AO20" s="156">
        <v>3.22727274894714</v>
      </c>
      <c r="AP20" s="156">
        <v>3.0568182468414302</v>
      </c>
      <c r="AQ20" s="156">
        <v>2.9696969985961901</v>
      </c>
      <c r="AR20" s="156">
        <v>2.9545454978942902</v>
      </c>
      <c r="AS20" s="156">
        <v>3.0530302524566699</v>
      </c>
      <c r="AT20" s="156">
        <v>3.13636374473572</v>
      </c>
      <c r="AU20" s="156">
        <v>3.1233770000000001</v>
      </c>
    </row>
    <row r="21" spans="1:47" x14ac:dyDescent="0.25">
      <c r="A21" s="143" t="s">
        <v>775</v>
      </c>
      <c r="B21" s="143" t="s">
        <v>766</v>
      </c>
      <c r="C21" s="143">
        <v>16</v>
      </c>
      <c r="D21" s="143">
        <v>41</v>
      </c>
      <c r="E21" s="137">
        <v>1</v>
      </c>
      <c r="F21" s="137">
        <v>1</v>
      </c>
      <c r="G21" s="137">
        <v>1</v>
      </c>
      <c r="H21" s="137">
        <v>7.03125E-2</v>
      </c>
      <c r="J21" s="143" t="s">
        <v>775</v>
      </c>
      <c r="K21" s="143" t="s">
        <v>766</v>
      </c>
      <c r="L21" s="137" t="s">
        <v>3184</v>
      </c>
      <c r="M21" s="137" t="s">
        <v>3184</v>
      </c>
      <c r="N21" s="137" t="s">
        <v>3184</v>
      </c>
      <c r="P21" s="143" t="s">
        <v>775</v>
      </c>
      <c r="Q21" s="143" t="s">
        <v>766</v>
      </c>
      <c r="R21" s="143">
        <v>16</v>
      </c>
      <c r="S21" s="137">
        <v>0.39350649999999998</v>
      </c>
      <c r="T21" s="137">
        <v>0.6</v>
      </c>
      <c r="U21" s="137">
        <v>0.99350649999999996</v>
      </c>
      <c r="V21" s="137">
        <v>0.875</v>
      </c>
      <c r="W21" s="137">
        <v>0.54908749999999995</v>
      </c>
      <c r="X21" s="137">
        <v>1</v>
      </c>
      <c r="Y21" s="137">
        <v>1</v>
      </c>
      <c r="AA21" s="143" t="s">
        <v>775</v>
      </c>
      <c r="AB21" s="143" t="s">
        <v>766</v>
      </c>
      <c r="AC21" s="143">
        <v>16</v>
      </c>
      <c r="AD21" s="143">
        <v>8</v>
      </c>
      <c r="AE21" s="137">
        <v>0</v>
      </c>
      <c r="AF21" s="137">
        <v>0</v>
      </c>
      <c r="AG21" s="137">
        <v>0</v>
      </c>
      <c r="AH21" s="137">
        <v>0.1833333</v>
      </c>
      <c r="AJ21" s="143" t="s">
        <v>775</v>
      </c>
      <c r="AK21" s="143" t="s">
        <v>766</v>
      </c>
      <c r="AL21" s="143">
        <v>16</v>
      </c>
      <c r="AM21" s="143">
        <v>41</v>
      </c>
      <c r="AN21" s="156">
        <v>1.6015625</v>
      </c>
      <c r="AO21" s="156">
        <v>3.6328125</v>
      </c>
      <c r="AP21" s="156">
        <v>3.2838542461395299</v>
      </c>
      <c r="AQ21" s="156">
        <v>3.4140625</v>
      </c>
      <c r="AR21" s="156">
        <v>2.9036457538604701</v>
      </c>
      <c r="AS21" s="156">
        <v>3.5833332538604701</v>
      </c>
      <c r="AT21" s="156">
        <v>3.5026042461395299</v>
      </c>
      <c r="AU21" s="156">
        <v>3.4151790000000002</v>
      </c>
    </row>
    <row r="22" spans="1:47" ht="15.6" customHeight="1" x14ac:dyDescent="0.25">
      <c r="A22" s="143" t="s">
        <v>776</v>
      </c>
      <c r="B22" s="143" t="s">
        <v>777</v>
      </c>
      <c r="C22" s="143">
        <v>11</v>
      </c>
      <c r="D22" s="143">
        <v>29</v>
      </c>
      <c r="E22" s="137">
        <v>1</v>
      </c>
      <c r="F22" s="137">
        <v>1</v>
      </c>
      <c r="G22" s="137">
        <v>1</v>
      </c>
      <c r="H22" s="137">
        <v>0</v>
      </c>
      <c r="J22" s="143" t="s">
        <v>776</v>
      </c>
      <c r="K22" s="143" t="s">
        <v>777</v>
      </c>
      <c r="L22" s="137" t="s">
        <v>3184</v>
      </c>
      <c r="M22" s="137" t="s">
        <v>3184</v>
      </c>
      <c r="N22" s="137" t="s">
        <v>3184</v>
      </c>
      <c r="P22" s="143" t="s">
        <v>776</v>
      </c>
      <c r="Q22" s="143" t="s">
        <v>777</v>
      </c>
      <c r="R22" s="143">
        <v>11</v>
      </c>
      <c r="S22" s="137">
        <v>0.4</v>
      </c>
      <c r="T22" s="137">
        <v>0.6</v>
      </c>
      <c r="U22" s="137">
        <v>1</v>
      </c>
      <c r="V22" s="137">
        <v>1</v>
      </c>
      <c r="W22" s="137">
        <v>0.49876169999999997</v>
      </c>
      <c r="X22" s="137">
        <v>1</v>
      </c>
      <c r="Y22" s="137">
        <v>1</v>
      </c>
      <c r="AA22" s="143" t="s">
        <v>776</v>
      </c>
      <c r="AB22" s="143" t="s">
        <v>777</v>
      </c>
      <c r="AC22" s="143">
        <v>11</v>
      </c>
      <c r="AD22" s="143">
        <v>8</v>
      </c>
      <c r="AE22" s="137">
        <v>0.25</v>
      </c>
      <c r="AF22" s="137">
        <v>0.3333333</v>
      </c>
      <c r="AG22" s="137">
        <v>0.10489510000000001</v>
      </c>
      <c r="AH22" s="137">
        <v>0.26851849999999999</v>
      </c>
      <c r="AJ22" s="143" t="s">
        <v>776</v>
      </c>
      <c r="AK22" s="143" t="s">
        <v>777</v>
      </c>
      <c r="AL22" s="143">
        <v>11</v>
      </c>
      <c r="AM22" s="143">
        <v>29</v>
      </c>
      <c r="AN22" s="156">
        <v>1.81818187236786</v>
      </c>
      <c r="AO22" s="156">
        <v>3.39772725105286</v>
      </c>
      <c r="AP22" s="156">
        <v>3.4090909957885698</v>
      </c>
      <c r="AQ22" s="156">
        <v>3.4318182468414302</v>
      </c>
      <c r="AR22" s="156">
        <v>3.0189394950866699</v>
      </c>
      <c r="AS22" s="156">
        <v>3.3030302524566699</v>
      </c>
      <c r="AT22" s="156">
        <v>3.5075757503509499</v>
      </c>
      <c r="AU22" s="156">
        <v>3.3214290000000002</v>
      </c>
    </row>
    <row r="23" spans="1:47" x14ac:dyDescent="0.25">
      <c r="A23" s="143" t="s">
        <v>778</v>
      </c>
      <c r="B23" s="143" t="s">
        <v>766</v>
      </c>
      <c r="C23" s="143">
        <v>11</v>
      </c>
      <c r="D23" s="143">
        <v>30</v>
      </c>
      <c r="E23" s="137">
        <v>1</v>
      </c>
      <c r="F23" s="137">
        <v>1</v>
      </c>
      <c r="G23" s="137">
        <v>1</v>
      </c>
      <c r="H23" s="137">
        <v>0</v>
      </c>
      <c r="J23" s="143" t="s">
        <v>778</v>
      </c>
      <c r="K23" s="143" t="s">
        <v>766</v>
      </c>
      <c r="L23" s="137" t="s">
        <v>3184</v>
      </c>
      <c r="M23" s="137" t="s">
        <v>3184</v>
      </c>
      <c r="N23" s="137" t="s">
        <v>3184</v>
      </c>
      <c r="P23" s="143" t="s">
        <v>778</v>
      </c>
      <c r="Q23" s="143" t="s">
        <v>766</v>
      </c>
      <c r="R23" s="143">
        <v>11</v>
      </c>
      <c r="S23" s="137">
        <v>0.39395910000000001</v>
      </c>
      <c r="T23" s="137">
        <v>0.54545460000000001</v>
      </c>
      <c r="U23" s="137">
        <v>0.93941359999999996</v>
      </c>
      <c r="V23" s="137">
        <v>0.45454549999999999</v>
      </c>
      <c r="W23" s="137">
        <v>0.56192050000000004</v>
      </c>
      <c r="X23" s="137">
        <v>0.90909090000000004</v>
      </c>
      <c r="Y23" s="137">
        <v>1</v>
      </c>
      <c r="AA23" s="143" t="s">
        <v>778</v>
      </c>
      <c r="AB23" s="143" t="s">
        <v>766</v>
      </c>
      <c r="AC23" s="143">
        <v>11</v>
      </c>
      <c r="AD23" s="143">
        <v>8</v>
      </c>
      <c r="AE23" s="137">
        <v>0</v>
      </c>
      <c r="AF23" s="137">
        <v>0</v>
      </c>
      <c r="AG23" s="137">
        <v>1.8181800000000001E-2</v>
      </c>
      <c r="AH23" s="137">
        <v>0.1042471</v>
      </c>
      <c r="AJ23" s="143" t="s">
        <v>778</v>
      </c>
      <c r="AK23" s="143" t="s">
        <v>766</v>
      </c>
      <c r="AL23" s="143">
        <v>11</v>
      </c>
      <c r="AM23" s="143">
        <v>30</v>
      </c>
      <c r="AN23" s="156">
        <v>1.6439393758773799</v>
      </c>
      <c r="AO23" s="156">
        <v>3.5492424964904798</v>
      </c>
      <c r="AP23" s="156">
        <v>3.0530302524566699</v>
      </c>
      <c r="AQ23" s="156">
        <v>3.0303030014038099</v>
      </c>
      <c r="AR23" s="156">
        <v>2.4621212482452401</v>
      </c>
      <c r="AS23" s="156">
        <v>3.3939394950866699</v>
      </c>
      <c r="AT23" s="156">
        <v>3.4242424964904798</v>
      </c>
      <c r="AU23" s="156">
        <v>3.1812770000000001</v>
      </c>
    </row>
    <row r="24" spans="1:47" x14ac:dyDescent="0.25">
      <c r="A24" s="143" t="s">
        <v>779</v>
      </c>
      <c r="B24" s="143" t="s">
        <v>780</v>
      </c>
      <c r="C24" s="143">
        <v>11</v>
      </c>
      <c r="D24" s="143">
        <v>30</v>
      </c>
      <c r="E24" s="137">
        <v>1</v>
      </c>
      <c r="F24" s="137">
        <v>1</v>
      </c>
      <c r="G24" s="137">
        <v>0</v>
      </c>
      <c r="H24" s="137">
        <v>0</v>
      </c>
      <c r="J24" s="143" t="s">
        <v>779</v>
      </c>
      <c r="K24" s="143" t="s">
        <v>780</v>
      </c>
      <c r="L24" s="137" t="s">
        <v>3184</v>
      </c>
      <c r="M24" s="137" t="s">
        <v>3184</v>
      </c>
      <c r="N24" s="137" t="s">
        <v>3185</v>
      </c>
      <c r="P24" s="143" t="s">
        <v>779</v>
      </c>
      <c r="Q24" s="143" t="s">
        <v>780</v>
      </c>
      <c r="R24" s="143">
        <v>11</v>
      </c>
      <c r="S24" s="137">
        <v>0.39899649999999998</v>
      </c>
      <c r="T24" s="137">
        <v>0.6</v>
      </c>
      <c r="U24" s="137">
        <v>0.99899640000000001</v>
      </c>
      <c r="V24" s="137">
        <v>0.72727269999999999</v>
      </c>
      <c r="W24" s="137">
        <v>0.43738890000000002</v>
      </c>
      <c r="X24" s="137">
        <v>1</v>
      </c>
      <c r="Y24" s="137">
        <v>0.75</v>
      </c>
      <c r="AA24" s="143" t="s">
        <v>779</v>
      </c>
      <c r="AB24" s="143" t="s">
        <v>780</v>
      </c>
      <c r="AC24" s="143">
        <v>11</v>
      </c>
      <c r="AD24" s="143">
        <v>8</v>
      </c>
      <c r="AE24" s="137">
        <v>0.125</v>
      </c>
      <c r="AF24" s="137">
        <v>0</v>
      </c>
      <c r="AG24" s="137">
        <v>0.10389610000000001</v>
      </c>
      <c r="AH24" s="137">
        <v>6.6995600000000002E-2</v>
      </c>
      <c r="AJ24" s="143" t="s">
        <v>779</v>
      </c>
      <c r="AK24" s="143" t="s">
        <v>780</v>
      </c>
      <c r="AL24" s="143">
        <v>11</v>
      </c>
      <c r="AM24" s="143">
        <v>30</v>
      </c>
      <c r="AN24" s="156">
        <v>2.2992424964904798</v>
      </c>
      <c r="AO24" s="156">
        <v>3.3901515007018999</v>
      </c>
      <c r="AP24" s="156">
        <v>3.4356060028076199</v>
      </c>
      <c r="AQ24" s="156">
        <v>3.5037879943847701</v>
      </c>
      <c r="AR24" s="156">
        <v>2.3674242496490501</v>
      </c>
      <c r="AS24" s="156">
        <v>2.88636374473572</v>
      </c>
      <c r="AT24" s="156">
        <v>3.4924242496490501</v>
      </c>
      <c r="AU24" s="156">
        <v>3.1109309999999999</v>
      </c>
    </row>
    <row r="25" spans="1:47" x14ac:dyDescent="0.25">
      <c r="A25" s="143" t="s">
        <v>781</v>
      </c>
      <c r="B25" s="143" t="s">
        <v>782</v>
      </c>
      <c r="C25" s="143">
        <v>11</v>
      </c>
      <c r="D25" s="143">
        <v>42</v>
      </c>
      <c r="E25" s="137">
        <v>1</v>
      </c>
      <c r="F25" s="137">
        <v>1</v>
      </c>
      <c r="G25" s="137">
        <v>1</v>
      </c>
      <c r="H25" s="137">
        <v>0</v>
      </c>
      <c r="J25" s="143" t="s">
        <v>781</v>
      </c>
      <c r="K25" s="143" t="s">
        <v>782</v>
      </c>
      <c r="L25" s="137" t="s">
        <v>3184</v>
      </c>
      <c r="M25" s="137" t="s">
        <v>3184</v>
      </c>
      <c r="N25" s="137" t="s">
        <v>3184</v>
      </c>
      <c r="P25" s="143" t="s">
        <v>781</v>
      </c>
      <c r="Q25" s="143" t="s">
        <v>782</v>
      </c>
      <c r="R25" s="143">
        <v>11</v>
      </c>
      <c r="S25" s="137">
        <v>0.39630070000000001</v>
      </c>
      <c r="T25" s="137">
        <v>0.56839830000000002</v>
      </c>
      <c r="U25" s="137">
        <v>0.96469899999999997</v>
      </c>
      <c r="V25" s="137">
        <v>0.72727269999999999</v>
      </c>
      <c r="W25" s="137">
        <v>0.5678571</v>
      </c>
      <c r="X25" s="137">
        <v>1</v>
      </c>
      <c r="Y25" s="137">
        <v>0.83333330000000005</v>
      </c>
      <c r="AA25" s="143" t="s">
        <v>781</v>
      </c>
      <c r="AB25" s="143" t="s">
        <v>782</v>
      </c>
      <c r="AC25" s="143">
        <v>11</v>
      </c>
      <c r="AD25" s="143">
        <v>20</v>
      </c>
      <c r="AE25" s="137">
        <v>0</v>
      </c>
      <c r="AF25" s="137">
        <v>0</v>
      </c>
      <c r="AG25" s="137">
        <v>0</v>
      </c>
      <c r="AH25" s="137">
        <v>0.14801590000000001</v>
      </c>
      <c r="AJ25" s="143" t="s">
        <v>781</v>
      </c>
      <c r="AK25" s="143" t="s">
        <v>782</v>
      </c>
      <c r="AL25" s="143">
        <v>11</v>
      </c>
      <c r="AM25" s="143">
        <v>42</v>
      </c>
      <c r="AN25" s="156">
        <v>1.2212121486663801</v>
      </c>
      <c r="AO25" s="156">
        <v>3.6424243450164799</v>
      </c>
      <c r="AP25" s="156">
        <v>3.7999999523162802</v>
      </c>
      <c r="AQ25" s="156">
        <v>3.7166666984558101</v>
      </c>
      <c r="AR25" s="156">
        <v>3.1727273464202899</v>
      </c>
      <c r="AS25" s="156">
        <v>3.1530303955078098</v>
      </c>
      <c r="AT25" s="156">
        <v>3.8757574558258101</v>
      </c>
      <c r="AU25" s="156">
        <v>3.591342</v>
      </c>
    </row>
    <row r="26" spans="1:47" x14ac:dyDescent="0.25">
      <c r="A26" s="143" t="s">
        <v>783</v>
      </c>
      <c r="B26" s="143" t="s">
        <v>772</v>
      </c>
      <c r="C26" s="143">
        <v>11</v>
      </c>
      <c r="D26" s="143">
        <v>29</v>
      </c>
      <c r="E26" s="137">
        <v>0.88636360000000003</v>
      </c>
      <c r="F26" s="137">
        <v>0.88636360000000003</v>
      </c>
      <c r="G26" s="137">
        <v>0.88636360000000003</v>
      </c>
      <c r="H26" s="137">
        <v>0</v>
      </c>
      <c r="J26" s="143" t="s">
        <v>783</v>
      </c>
      <c r="K26" s="143" t="s">
        <v>772</v>
      </c>
      <c r="L26" s="137" t="s">
        <v>3184</v>
      </c>
      <c r="M26" s="137" t="s">
        <v>3184</v>
      </c>
      <c r="N26" s="137" t="s">
        <v>3184</v>
      </c>
      <c r="P26" s="143" t="s">
        <v>783</v>
      </c>
      <c r="Q26" s="143" t="s">
        <v>772</v>
      </c>
      <c r="R26" s="143">
        <v>11</v>
      </c>
      <c r="S26" s="137">
        <v>0.39574969999999998</v>
      </c>
      <c r="T26" s="137">
        <v>0.58181819999999995</v>
      </c>
      <c r="U26" s="137">
        <v>0.97756790000000005</v>
      </c>
      <c r="V26" s="137">
        <v>0.63636360000000003</v>
      </c>
      <c r="W26" s="137">
        <v>0.43138530000000003</v>
      </c>
      <c r="X26" s="137">
        <v>1</v>
      </c>
      <c r="Y26" s="137">
        <v>1</v>
      </c>
      <c r="AA26" s="143" t="s">
        <v>783</v>
      </c>
      <c r="AB26" s="143" t="s">
        <v>772</v>
      </c>
      <c r="AC26" s="143">
        <v>11</v>
      </c>
      <c r="AD26" s="143">
        <v>8</v>
      </c>
      <c r="AE26" s="137">
        <v>0.625</v>
      </c>
      <c r="AF26" s="137">
        <v>0</v>
      </c>
      <c r="AG26" s="137">
        <v>0.1073593</v>
      </c>
      <c r="AH26" s="137">
        <v>2.85714E-2</v>
      </c>
      <c r="AJ26" s="143" t="s">
        <v>783</v>
      </c>
      <c r="AK26" s="143" t="s">
        <v>772</v>
      </c>
      <c r="AL26" s="143">
        <v>11</v>
      </c>
      <c r="AM26" s="143">
        <v>29</v>
      </c>
      <c r="AN26" s="156">
        <v>1.4810606241226201</v>
      </c>
      <c r="AO26" s="156">
        <v>3.5075757503509499</v>
      </c>
      <c r="AP26" s="156">
        <v>3.5416667461395299</v>
      </c>
      <c r="AQ26" s="156">
        <v>3.4128787517547599</v>
      </c>
      <c r="AR26" s="156">
        <v>2.2840909957885698</v>
      </c>
      <c r="AS26" s="156">
        <v>3.0909090042114298</v>
      </c>
      <c r="AT26" s="156">
        <v>3.7765152454376198</v>
      </c>
      <c r="AU26" s="156">
        <v>3.3241339999999999</v>
      </c>
    </row>
    <row r="27" spans="1:47" ht="15.6" customHeight="1" x14ac:dyDescent="0.25">
      <c r="A27" s="143" t="s">
        <v>784</v>
      </c>
      <c r="B27" s="143" t="s">
        <v>768</v>
      </c>
      <c r="C27" s="143">
        <v>11</v>
      </c>
      <c r="D27" s="143">
        <v>30</v>
      </c>
      <c r="E27" s="137">
        <v>0.82954539999999999</v>
      </c>
      <c r="F27" s="137">
        <v>0.81818179999999996</v>
      </c>
      <c r="G27" s="137">
        <v>0.81818179999999996</v>
      </c>
      <c r="H27" s="137">
        <v>4.5454500000000002E-2</v>
      </c>
      <c r="J27" s="143" t="s">
        <v>784</v>
      </c>
      <c r="K27" s="143" t="s">
        <v>768</v>
      </c>
      <c r="L27" s="137" t="s">
        <v>3184</v>
      </c>
      <c r="M27" s="137" t="s">
        <v>3184</v>
      </c>
      <c r="N27" s="137" t="s">
        <v>3184</v>
      </c>
      <c r="P27" s="143" t="s">
        <v>784</v>
      </c>
      <c r="Q27" s="143" t="s">
        <v>768</v>
      </c>
      <c r="R27" s="143">
        <v>11</v>
      </c>
      <c r="S27" s="137">
        <v>0.39421489999999998</v>
      </c>
      <c r="T27" s="137">
        <v>0.53863640000000002</v>
      </c>
      <c r="U27" s="137">
        <v>0.93285130000000005</v>
      </c>
      <c r="V27" s="137">
        <v>0.45454549999999999</v>
      </c>
      <c r="W27" s="137">
        <v>0.40473009999999998</v>
      </c>
      <c r="X27" s="137">
        <v>0.90909090000000004</v>
      </c>
      <c r="Y27" s="137">
        <v>1</v>
      </c>
      <c r="AA27" s="143" t="s">
        <v>784</v>
      </c>
      <c r="AB27" s="143" t="s">
        <v>768</v>
      </c>
      <c r="AC27" s="143">
        <v>11</v>
      </c>
      <c r="AD27" s="143">
        <v>8</v>
      </c>
      <c r="AE27" s="137">
        <v>0.25</v>
      </c>
      <c r="AF27" s="137">
        <v>0</v>
      </c>
      <c r="AG27" s="137">
        <v>0.13419909999999999</v>
      </c>
      <c r="AH27" s="137">
        <v>0</v>
      </c>
      <c r="AJ27" s="143" t="s">
        <v>784</v>
      </c>
      <c r="AK27" s="143" t="s">
        <v>768</v>
      </c>
      <c r="AL27" s="143">
        <v>11</v>
      </c>
      <c r="AM27" s="143">
        <v>30</v>
      </c>
      <c r="AN27" s="156">
        <v>2.14772725105286</v>
      </c>
      <c r="AO27" s="156">
        <v>3</v>
      </c>
      <c r="AP27" s="156">
        <v>3.0303030014038099</v>
      </c>
      <c r="AQ27" s="156">
        <v>2.9659090042114298</v>
      </c>
      <c r="AR27" s="156">
        <v>1.9810606241226201</v>
      </c>
      <c r="AS27" s="156">
        <v>2.8598484992981001</v>
      </c>
      <c r="AT27" s="156">
        <v>3.3409090042114298</v>
      </c>
      <c r="AU27" s="156">
        <v>2.900433</v>
      </c>
    </row>
    <row r="28" spans="1:47" x14ac:dyDescent="0.25">
      <c r="A28" s="143" t="s">
        <v>785</v>
      </c>
      <c r="B28" s="143" t="s">
        <v>772</v>
      </c>
      <c r="C28" s="143">
        <v>11</v>
      </c>
      <c r="D28" s="143">
        <v>30</v>
      </c>
      <c r="E28" s="137">
        <v>0.54545460000000001</v>
      </c>
      <c r="F28" s="137">
        <v>0.54545460000000001</v>
      </c>
      <c r="G28" s="137">
        <v>0.9393939</v>
      </c>
      <c r="H28" s="137">
        <v>1.13636E-2</v>
      </c>
      <c r="J28" s="143" t="s">
        <v>785</v>
      </c>
      <c r="K28" s="143" t="s">
        <v>772</v>
      </c>
      <c r="L28" s="137" t="s">
        <v>3184</v>
      </c>
      <c r="M28" s="137" t="s">
        <v>3184</v>
      </c>
      <c r="N28" s="137" t="s">
        <v>3184</v>
      </c>
      <c r="P28" s="143" t="s">
        <v>785</v>
      </c>
      <c r="Q28" s="143" t="s">
        <v>772</v>
      </c>
      <c r="R28" s="143">
        <v>11</v>
      </c>
      <c r="S28" s="137">
        <v>0.37491150000000001</v>
      </c>
      <c r="T28" s="137">
        <v>0.56590910000000005</v>
      </c>
      <c r="U28" s="137">
        <v>0.94082060000000001</v>
      </c>
      <c r="V28" s="137">
        <v>0.54545460000000001</v>
      </c>
      <c r="W28" s="137">
        <v>0.42404330000000001</v>
      </c>
      <c r="X28" s="137">
        <v>1</v>
      </c>
      <c r="Y28" s="137">
        <v>0.85714290000000004</v>
      </c>
      <c r="AA28" s="143" t="s">
        <v>785</v>
      </c>
      <c r="AB28" s="143" t="s">
        <v>772</v>
      </c>
      <c r="AC28" s="143">
        <v>11</v>
      </c>
      <c r="AD28" s="143">
        <v>8</v>
      </c>
      <c r="AE28" s="137">
        <v>0.5</v>
      </c>
      <c r="AF28" s="137">
        <v>0.25</v>
      </c>
      <c r="AG28" s="137">
        <v>0.33215869999999997</v>
      </c>
      <c r="AH28" s="137">
        <v>0.15348290000000001</v>
      </c>
      <c r="AJ28" s="143" t="s">
        <v>785</v>
      </c>
      <c r="AK28" s="143" t="s">
        <v>772</v>
      </c>
      <c r="AL28" s="143">
        <v>11</v>
      </c>
      <c r="AM28" s="143">
        <v>30</v>
      </c>
      <c r="AN28" s="156">
        <v>1.8560606241226201</v>
      </c>
      <c r="AO28" s="156">
        <v>3.3446969985961901</v>
      </c>
      <c r="AP28" s="156">
        <v>2.7689394950866699</v>
      </c>
      <c r="AQ28" s="156">
        <v>2.6287879943847701</v>
      </c>
      <c r="AR28" s="156">
        <v>2.5606060028076199</v>
      </c>
      <c r="AS28" s="156">
        <v>2.4810605049133301</v>
      </c>
      <c r="AT28" s="156">
        <v>3.2689394950866699</v>
      </c>
      <c r="AU28" s="156">
        <v>2.885281</v>
      </c>
    </row>
    <row r="29" spans="1:47" x14ac:dyDescent="0.25">
      <c r="A29" s="143" t="s">
        <v>786</v>
      </c>
      <c r="B29" s="143" t="s">
        <v>787</v>
      </c>
      <c r="C29" s="143">
        <v>11</v>
      </c>
      <c r="D29" s="143">
        <v>29</v>
      </c>
      <c r="E29" s="137">
        <v>1</v>
      </c>
      <c r="F29" s="137">
        <v>1</v>
      </c>
      <c r="G29" s="137">
        <v>1</v>
      </c>
      <c r="H29" s="137">
        <v>1</v>
      </c>
      <c r="J29" s="143" t="s">
        <v>786</v>
      </c>
      <c r="K29" s="143" t="s">
        <v>787</v>
      </c>
      <c r="L29" s="137" t="s">
        <v>3184</v>
      </c>
      <c r="M29" s="137" t="s">
        <v>3184</v>
      </c>
      <c r="N29" s="137" t="s">
        <v>3184</v>
      </c>
      <c r="P29" s="143" t="s">
        <v>786</v>
      </c>
      <c r="Q29" s="143" t="s">
        <v>787</v>
      </c>
      <c r="R29" s="143">
        <v>11</v>
      </c>
      <c r="S29" s="137">
        <v>0.39946870000000001</v>
      </c>
      <c r="T29" s="137">
        <v>0.57954550000000005</v>
      </c>
      <c r="U29" s="137">
        <v>0.97901419999999995</v>
      </c>
      <c r="V29" s="137">
        <v>0.72727269999999999</v>
      </c>
      <c r="W29" s="137">
        <v>0.45389109999999999</v>
      </c>
      <c r="X29" s="137">
        <v>1</v>
      </c>
      <c r="Y29" s="137">
        <v>1</v>
      </c>
      <c r="AA29" s="143" t="s">
        <v>786</v>
      </c>
      <c r="AB29" s="143" t="s">
        <v>787</v>
      </c>
      <c r="AC29" s="143">
        <v>11</v>
      </c>
      <c r="AD29" s="143">
        <v>8</v>
      </c>
      <c r="AE29" s="137">
        <v>0</v>
      </c>
      <c r="AF29" s="137">
        <v>0.125</v>
      </c>
      <c r="AG29" s="137">
        <v>1.8181800000000001E-2</v>
      </c>
      <c r="AH29" s="137">
        <v>0.26176630000000001</v>
      </c>
      <c r="AJ29" s="143" t="s">
        <v>786</v>
      </c>
      <c r="AK29" s="143" t="s">
        <v>787</v>
      </c>
      <c r="AL29" s="143">
        <v>11</v>
      </c>
      <c r="AM29" s="143">
        <v>29</v>
      </c>
      <c r="AN29" s="156">
        <v>1.8446969985961901</v>
      </c>
      <c r="AO29" s="156">
        <v>3.4810605049133301</v>
      </c>
      <c r="AP29" s="156">
        <v>3.2651515007018999</v>
      </c>
      <c r="AQ29" s="156">
        <v>3.0757575035095202</v>
      </c>
      <c r="AR29" s="156">
        <v>2.7992424964904798</v>
      </c>
      <c r="AS29" s="156">
        <v>3.2537879943847701</v>
      </c>
      <c r="AT29" s="156">
        <v>3.5909090042114298</v>
      </c>
      <c r="AU29" s="156">
        <v>3.2316020000000001</v>
      </c>
    </row>
    <row r="30" spans="1:47" x14ac:dyDescent="0.25">
      <c r="A30" s="143" t="s">
        <v>788</v>
      </c>
      <c r="B30" s="143" t="s">
        <v>766</v>
      </c>
      <c r="C30" s="143">
        <v>11</v>
      </c>
      <c r="D30" s="143">
        <v>41</v>
      </c>
      <c r="E30" s="137">
        <v>1</v>
      </c>
      <c r="F30" s="137">
        <v>1</v>
      </c>
      <c r="G30" s="137">
        <v>1</v>
      </c>
      <c r="H30" s="137">
        <v>0</v>
      </c>
      <c r="J30" s="143" t="s">
        <v>788</v>
      </c>
      <c r="K30" s="143" t="s">
        <v>766</v>
      </c>
      <c r="L30" s="137" t="s">
        <v>3184</v>
      </c>
      <c r="M30" s="137" t="s">
        <v>3184</v>
      </c>
      <c r="N30" s="137" t="s">
        <v>3184</v>
      </c>
      <c r="P30" s="143" t="s">
        <v>788</v>
      </c>
      <c r="Q30" s="143" t="s">
        <v>766</v>
      </c>
      <c r="R30" s="143">
        <v>11</v>
      </c>
      <c r="S30" s="137">
        <v>0.3712936</v>
      </c>
      <c r="T30" s="137">
        <v>0.53419919999999999</v>
      </c>
      <c r="U30" s="137">
        <v>0.90549279999999999</v>
      </c>
      <c r="V30" s="137">
        <v>0.36363640000000003</v>
      </c>
      <c r="W30" s="137">
        <v>0.54291120000000004</v>
      </c>
      <c r="X30" s="137">
        <v>0.90909090000000004</v>
      </c>
      <c r="Y30" s="137">
        <v>1</v>
      </c>
      <c r="AA30" s="143" t="s">
        <v>788</v>
      </c>
      <c r="AB30" s="143" t="s">
        <v>766</v>
      </c>
      <c r="AC30" s="143">
        <v>11</v>
      </c>
      <c r="AD30" s="143">
        <v>20</v>
      </c>
      <c r="AE30" s="137">
        <v>0.5</v>
      </c>
      <c r="AF30" s="137">
        <v>0.3</v>
      </c>
      <c r="AG30" s="137">
        <v>0.23923159999999999</v>
      </c>
      <c r="AH30" s="137">
        <v>4.2857100000000002E-2</v>
      </c>
      <c r="AJ30" s="143" t="s">
        <v>788</v>
      </c>
      <c r="AK30" s="143" t="s">
        <v>766</v>
      </c>
      <c r="AL30" s="143">
        <v>11</v>
      </c>
      <c r="AM30" s="143">
        <v>41</v>
      </c>
      <c r="AN30" s="156">
        <v>2.00151515007019</v>
      </c>
      <c r="AO30" s="156">
        <v>3.22727274894714</v>
      </c>
      <c r="AP30" s="156">
        <v>3.0924241542816202</v>
      </c>
      <c r="AQ30" s="156">
        <v>3.0590908527374299</v>
      </c>
      <c r="AR30" s="156">
        <v>2.5151515007018999</v>
      </c>
      <c r="AS30" s="156">
        <v>2.6848485469818102</v>
      </c>
      <c r="AT30" s="156">
        <v>3.3090908527374299</v>
      </c>
      <c r="AU30" s="156">
        <v>3.003247</v>
      </c>
    </row>
    <row r="31" spans="1:47" x14ac:dyDescent="0.25">
      <c r="A31" s="143" t="s">
        <v>789</v>
      </c>
      <c r="B31" s="143" t="s">
        <v>790</v>
      </c>
      <c r="C31" s="143">
        <v>11</v>
      </c>
      <c r="D31" s="143">
        <v>29</v>
      </c>
      <c r="E31" s="137">
        <v>1</v>
      </c>
      <c r="F31" s="137">
        <v>1</v>
      </c>
      <c r="G31" s="137">
        <v>1</v>
      </c>
      <c r="H31" s="137">
        <v>0</v>
      </c>
      <c r="J31" s="143" t="s">
        <v>789</v>
      </c>
      <c r="K31" s="143" t="s">
        <v>790</v>
      </c>
      <c r="L31" s="137" t="s">
        <v>3184</v>
      </c>
      <c r="M31" s="137" t="s">
        <v>3184</v>
      </c>
      <c r="N31" s="137" t="s">
        <v>3184</v>
      </c>
      <c r="P31" s="143" t="s">
        <v>789</v>
      </c>
      <c r="Q31" s="143" t="s">
        <v>790</v>
      </c>
      <c r="R31" s="143">
        <v>11</v>
      </c>
      <c r="S31" s="137">
        <v>0.4</v>
      </c>
      <c r="T31" s="137">
        <v>0.6</v>
      </c>
      <c r="U31" s="137">
        <v>1</v>
      </c>
      <c r="V31" s="137">
        <v>1</v>
      </c>
      <c r="W31" s="137">
        <v>0.56688919999999998</v>
      </c>
      <c r="X31" s="137">
        <v>1</v>
      </c>
      <c r="Y31" s="137">
        <v>1</v>
      </c>
      <c r="AA31" s="143" t="s">
        <v>789</v>
      </c>
      <c r="AB31" s="143" t="s">
        <v>790</v>
      </c>
      <c r="AC31" s="143">
        <v>11</v>
      </c>
      <c r="AD31" s="143">
        <v>8</v>
      </c>
      <c r="AE31" s="137">
        <v>1</v>
      </c>
      <c r="AG31" s="137">
        <v>1.0333330000000001</v>
      </c>
      <c r="AH31" s="137">
        <v>0.1060606</v>
      </c>
      <c r="AJ31" s="143" t="s">
        <v>789</v>
      </c>
      <c r="AK31" s="143" t="s">
        <v>790</v>
      </c>
      <c r="AL31" s="143">
        <v>11</v>
      </c>
      <c r="AM31" s="143">
        <v>29</v>
      </c>
      <c r="AN31" s="156">
        <v>1.7537878751754801</v>
      </c>
      <c r="AO31" s="156">
        <v>3.4583332538604701</v>
      </c>
      <c r="AP31" s="156">
        <v>3.5151515007018999</v>
      </c>
      <c r="AQ31" s="156">
        <v>3.0416667461395299</v>
      </c>
      <c r="AR31" s="156">
        <v>3.2159090042114298</v>
      </c>
      <c r="AS31" s="156">
        <v>3.6666667461395299</v>
      </c>
      <c r="AT31" s="156">
        <v>3.7765152454376198</v>
      </c>
      <c r="AU31" s="156">
        <v>3.4431820000000002</v>
      </c>
    </row>
    <row r="32" spans="1:47" x14ac:dyDescent="0.25">
      <c r="A32" s="143" t="s">
        <v>791</v>
      </c>
      <c r="B32" s="143" t="s">
        <v>790</v>
      </c>
      <c r="C32" s="143">
        <v>11</v>
      </c>
      <c r="D32" s="143">
        <v>29</v>
      </c>
      <c r="E32" s="137">
        <v>1</v>
      </c>
      <c r="F32" s="137">
        <v>1</v>
      </c>
      <c r="G32" s="137">
        <v>1</v>
      </c>
      <c r="H32" s="137">
        <v>0</v>
      </c>
      <c r="J32" s="143" t="s">
        <v>791</v>
      </c>
      <c r="K32" s="143" t="s">
        <v>790</v>
      </c>
      <c r="L32" s="137" t="s">
        <v>3184</v>
      </c>
      <c r="M32" s="137" t="s">
        <v>3184</v>
      </c>
      <c r="N32" s="137" t="s">
        <v>3184</v>
      </c>
      <c r="P32" s="143" t="s">
        <v>791</v>
      </c>
      <c r="Q32" s="143" t="s">
        <v>790</v>
      </c>
      <c r="R32" s="143">
        <v>11</v>
      </c>
      <c r="S32" s="137">
        <v>0.383353</v>
      </c>
      <c r="T32" s="137">
        <v>0.56590910000000005</v>
      </c>
      <c r="U32" s="137">
        <v>0.9492621</v>
      </c>
      <c r="V32" s="137">
        <v>0.63636360000000003</v>
      </c>
      <c r="W32" s="137">
        <v>0.50757580000000002</v>
      </c>
      <c r="X32" s="137">
        <v>0.90909090000000004</v>
      </c>
      <c r="Y32" s="137">
        <v>1</v>
      </c>
      <c r="AA32" s="143" t="s">
        <v>791</v>
      </c>
      <c r="AB32" s="143" t="s">
        <v>790</v>
      </c>
      <c r="AC32" s="143">
        <v>11</v>
      </c>
      <c r="AD32" s="143">
        <v>8</v>
      </c>
      <c r="AE32" s="137">
        <v>0.625</v>
      </c>
      <c r="AF32" s="137">
        <v>0</v>
      </c>
      <c r="AG32" s="137">
        <v>0.63419910000000002</v>
      </c>
      <c r="AH32" s="137">
        <v>0.1623377</v>
      </c>
      <c r="AJ32" s="143" t="s">
        <v>791</v>
      </c>
      <c r="AK32" s="143" t="s">
        <v>790</v>
      </c>
      <c r="AL32" s="143">
        <v>11</v>
      </c>
      <c r="AM32" s="143">
        <v>29</v>
      </c>
      <c r="AN32" s="156">
        <v>1.5492423772811901</v>
      </c>
      <c r="AO32" s="156">
        <v>3.73863625526428</v>
      </c>
      <c r="AP32" s="156">
        <v>3.375</v>
      </c>
      <c r="AQ32" s="156">
        <v>3.02272725105286</v>
      </c>
      <c r="AR32" s="156">
        <v>2.8219697475433398</v>
      </c>
      <c r="AS32" s="156">
        <v>3.6553030014038099</v>
      </c>
      <c r="AT32" s="156">
        <v>3.6287879943847701</v>
      </c>
      <c r="AU32" s="156">
        <v>3.3847399999999999</v>
      </c>
    </row>
    <row r="33" spans="1:47" x14ac:dyDescent="0.25">
      <c r="A33" s="143" t="s">
        <v>792</v>
      </c>
      <c r="B33" s="143" t="s">
        <v>758</v>
      </c>
      <c r="C33" s="143">
        <v>11</v>
      </c>
      <c r="D33" s="143">
        <v>30</v>
      </c>
      <c r="E33" s="137">
        <v>1</v>
      </c>
      <c r="F33" s="137">
        <v>1</v>
      </c>
      <c r="G33" s="137">
        <v>1</v>
      </c>
      <c r="H33" s="137">
        <v>0</v>
      </c>
      <c r="J33" s="143" t="s">
        <v>792</v>
      </c>
      <c r="K33" s="143" t="s">
        <v>758</v>
      </c>
      <c r="L33" s="137" t="s">
        <v>3184</v>
      </c>
      <c r="M33" s="137" t="s">
        <v>3184</v>
      </c>
      <c r="N33" s="137" t="s">
        <v>3184</v>
      </c>
      <c r="P33" s="143" t="s">
        <v>792</v>
      </c>
      <c r="Q33" s="143" t="s">
        <v>758</v>
      </c>
      <c r="R33" s="143">
        <v>11</v>
      </c>
      <c r="S33" s="137">
        <v>0.39693030000000001</v>
      </c>
      <c r="T33" s="137">
        <v>0.57272730000000005</v>
      </c>
      <c r="U33" s="137">
        <v>0.96965760000000001</v>
      </c>
      <c r="V33" s="137">
        <v>0.63636360000000003</v>
      </c>
      <c r="W33" s="137">
        <v>0.52095409999999998</v>
      </c>
      <c r="X33" s="137">
        <v>0.90909090000000004</v>
      </c>
      <c r="Y33" s="137">
        <v>1</v>
      </c>
      <c r="AA33" s="143" t="s">
        <v>792</v>
      </c>
      <c r="AB33" s="143" t="s">
        <v>758</v>
      </c>
      <c r="AC33" s="143">
        <v>11</v>
      </c>
      <c r="AD33" s="143">
        <v>8</v>
      </c>
      <c r="AE33" s="137">
        <v>0.375</v>
      </c>
      <c r="AF33" s="137">
        <v>0</v>
      </c>
      <c r="AG33" s="137">
        <v>0.2691364</v>
      </c>
      <c r="AH33" s="137">
        <v>3.0303E-2</v>
      </c>
      <c r="AJ33" s="143" t="s">
        <v>792</v>
      </c>
      <c r="AK33" s="143" t="s">
        <v>758</v>
      </c>
      <c r="AL33" s="143">
        <v>11</v>
      </c>
      <c r="AM33" s="143">
        <v>30</v>
      </c>
      <c r="AN33" s="156">
        <v>2</v>
      </c>
      <c r="AO33" s="156">
        <v>3.3333332538604701</v>
      </c>
      <c r="AP33" s="156">
        <v>3.0606060028076199</v>
      </c>
      <c r="AQ33" s="156">
        <v>3.0568182468414302</v>
      </c>
      <c r="AR33" s="156">
        <v>2.47727274894714</v>
      </c>
      <c r="AS33" s="156">
        <v>3.02272725105286</v>
      </c>
      <c r="AT33" s="156">
        <v>2.9015152454376198</v>
      </c>
      <c r="AU33" s="156">
        <v>2.9983770000000001</v>
      </c>
    </row>
    <row r="34" spans="1:47" x14ac:dyDescent="0.25">
      <c r="A34" s="143" t="s">
        <v>793</v>
      </c>
      <c r="B34" s="143" t="s">
        <v>794</v>
      </c>
      <c r="C34" s="143">
        <v>11</v>
      </c>
      <c r="D34" s="143">
        <v>29</v>
      </c>
      <c r="E34" s="137">
        <v>1</v>
      </c>
      <c r="F34" s="137">
        <v>1</v>
      </c>
      <c r="G34" s="137">
        <v>1</v>
      </c>
      <c r="H34" s="137">
        <v>0</v>
      </c>
      <c r="J34" s="143" t="s">
        <v>793</v>
      </c>
      <c r="K34" s="143" t="s">
        <v>794</v>
      </c>
      <c r="L34" s="137" t="s">
        <v>3184</v>
      </c>
      <c r="M34" s="137" t="s">
        <v>3184</v>
      </c>
      <c r="N34" s="137" t="s">
        <v>3184</v>
      </c>
      <c r="P34" s="143" t="s">
        <v>793</v>
      </c>
      <c r="Q34" s="143" t="s">
        <v>794</v>
      </c>
      <c r="R34" s="143">
        <v>11</v>
      </c>
      <c r="S34" s="137">
        <v>0.35059030000000002</v>
      </c>
      <c r="T34" s="137">
        <v>0.59318179999999998</v>
      </c>
      <c r="U34" s="137">
        <v>0.9437721</v>
      </c>
      <c r="V34" s="137">
        <v>0.36363640000000003</v>
      </c>
      <c r="W34" s="137">
        <v>0.47458450000000002</v>
      </c>
      <c r="X34" s="137">
        <v>1</v>
      </c>
      <c r="Y34" s="137">
        <v>1</v>
      </c>
      <c r="AA34" s="143" t="s">
        <v>793</v>
      </c>
      <c r="AB34" s="143" t="s">
        <v>794</v>
      </c>
      <c r="AC34" s="143">
        <v>11</v>
      </c>
      <c r="AD34" s="143">
        <v>8</v>
      </c>
      <c r="AE34" s="137">
        <v>0.125</v>
      </c>
      <c r="AF34" s="137">
        <v>0</v>
      </c>
      <c r="AG34" s="137">
        <v>0</v>
      </c>
      <c r="AH34" s="137">
        <v>0.1966667</v>
      </c>
      <c r="AJ34" s="143" t="s">
        <v>793</v>
      </c>
      <c r="AK34" s="143" t="s">
        <v>794</v>
      </c>
      <c r="AL34" s="143">
        <v>11</v>
      </c>
      <c r="AM34" s="143">
        <v>29</v>
      </c>
      <c r="AN34" s="156">
        <v>2.2916667461395299</v>
      </c>
      <c r="AO34" s="156">
        <v>3.2310605049133301</v>
      </c>
      <c r="AP34" s="156">
        <v>3.0303030014038099</v>
      </c>
      <c r="AQ34" s="156">
        <v>3.0795454978942902</v>
      </c>
      <c r="AR34" s="156">
        <v>2.63636374473572</v>
      </c>
      <c r="AS34" s="156">
        <v>2.7916667461395299</v>
      </c>
      <c r="AT34" s="156">
        <v>3.1590909957885698</v>
      </c>
      <c r="AU34" s="156">
        <v>2.9480520000000001</v>
      </c>
    </row>
    <row r="35" spans="1:47" x14ac:dyDescent="0.25">
      <c r="A35" s="143" t="s">
        <v>795</v>
      </c>
      <c r="B35" s="143" t="s">
        <v>761</v>
      </c>
      <c r="C35" s="143">
        <v>11</v>
      </c>
      <c r="D35" s="143">
        <v>29</v>
      </c>
      <c r="E35" s="137">
        <v>1</v>
      </c>
      <c r="F35" s="137">
        <v>1</v>
      </c>
      <c r="G35" s="137">
        <v>0.90909090000000004</v>
      </c>
      <c r="H35" s="137">
        <v>0</v>
      </c>
      <c r="J35" s="143" t="s">
        <v>795</v>
      </c>
      <c r="K35" s="143" t="s">
        <v>761</v>
      </c>
      <c r="L35" s="137" t="s">
        <v>3184</v>
      </c>
      <c r="M35" s="137" t="s">
        <v>3184</v>
      </c>
      <c r="N35" s="137" t="s">
        <v>3184</v>
      </c>
      <c r="P35" s="143" t="s">
        <v>795</v>
      </c>
      <c r="Q35" s="143" t="s">
        <v>761</v>
      </c>
      <c r="R35" s="143">
        <v>11</v>
      </c>
      <c r="S35" s="137">
        <v>0.39350649999999998</v>
      </c>
      <c r="T35" s="137">
        <v>0.54545460000000001</v>
      </c>
      <c r="U35" s="137">
        <v>0.93896100000000005</v>
      </c>
      <c r="V35" s="137">
        <v>0.72727269999999999</v>
      </c>
      <c r="W35" s="137">
        <v>0.55449910000000002</v>
      </c>
      <c r="X35" s="137">
        <v>1</v>
      </c>
      <c r="Y35" s="137">
        <v>1</v>
      </c>
      <c r="AA35" s="143" t="s">
        <v>795</v>
      </c>
      <c r="AB35" s="143" t="s">
        <v>761</v>
      </c>
      <c r="AC35" s="143">
        <v>11</v>
      </c>
      <c r="AD35" s="143">
        <v>8</v>
      </c>
      <c r="AE35" s="137">
        <v>0.875</v>
      </c>
      <c r="AF35" s="137">
        <v>0</v>
      </c>
      <c r="AG35" s="137">
        <v>0.27581939999999999</v>
      </c>
      <c r="AH35" s="137">
        <v>6.3392900000000002E-2</v>
      </c>
      <c r="AJ35" s="143" t="s">
        <v>795</v>
      </c>
      <c r="AK35" s="143" t="s">
        <v>761</v>
      </c>
      <c r="AL35" s="143">
        <v>11</v>
      </c>
      <c r="AM35" s="143">
        <v>29</v>
      </c>
      <c r="AN35" s="156">
        <v>1.8030302524566699</v>
      </c>
      <c r="AO35" s="156">
        <v>3.0909090042114298</v>
      </c>
      <c r="AP35" s="156">
        <v>2.88636374473572</v>
      </c>
      <c r="AQ35" s="156">
        <v>2.9659090042114298</v>
      </c>
      <c r="AR35" s="156">
        <v>2.61363625526428</v>
      </c>
      <c r="AS35" s="156">
        <v>2.8106060028076199</v>
      </c>
      <c r="AT35" s="156">
        <v>3.0454545021057098</v>
      </c>
      <c r="AU35" s="156">
        <v>2.944264</v>
      </c>
    </row>
    <row r="36" spans="1:47" x14ac:dyDescent="0.25">
      <c r="E36" s="137"/>
      <c r="F36" s="137"/>
      <c r="G36" s="137"/>
      <c r="H36" s="137"/>
      <c r="J36" s="143"/>
      <c r="K36" s="143"/>
      <c r="L36" s="137"/>
      <c r="M36" s="137"/>
      <c r="N36" s="137"/>
      <c r="AU36" s="156"/>
    </row>
    <row r="37" spans="1:47" x14ac:dyDescent="0.25">
      <c r="E37" s="137"/>
      <c r="F37" s="137"/>
      <c r="G37" s="137"/>
      <c r="H37" s="137"/>
      <c r="J37" s="143"/>
      <c r="K37" s="143"/>
      <c r="L37" s="137"/>
      <c r="M37" s="137"/>
      <c r="N37" s="137"/>
      <c r="AU37" s="156"/>
    </row>
    <row r="38" spans="1:47" x14ac:dyDescent="0.25">
      <c r="E38" s="137"/>
      <c r="F38" s="137"/>
      <c r="G38" s="137"/>
      <c r="H38" s="137"/>
      <c r="J38" s="143"/>
      <c r="K38" s="143"/>
      <c r="L38" s="137"/>
      <c r="M38" s="137"/>
      <c r="N38" s="137"/>
      <c r="AU38" s="156"/>
    </row>
    <row r="39" spans="1:47" x14ac:dyDescent="0.25">
      <c r="E39" s="137"/>
      <c r="F39" s="137"/>
      <c r="G39" s="137"/>
      <c r="H39" s="137"/>
      <c r="J39" s="143"/>
      <c r="K39" s="143"/>
      <c r="L39" s="137"/>
      <c r="M39" s="137"/>
      <c r="N39" s="137"/>
      <c r="AU39" s="156"/>
    </row>
    <row r="40" spans="1:47" x14ac:dyDescent="0.25">
      <c r="E40" s="137"/>
      <c r="F40" s="137"/>
      <c r="G40" s="137"/>
      <c r="H40" s="137"/>
      <c r="J40" s="143"/>
      <c r="K40" s="143"/>
      <c r="L40" s="137"/>
      <c r="M40" s="137"/>
      <c r="N40" s="137"/>
      <c r="AU40" s="156"/>
    </row>
    <row r="41" spans="1:47" x14ac:dyDescent="0.25">
      <c r="E41" s="137"/>
      <c r="F41" s="137"/>
      <c r="G41" s="137"/>
      <c r="H41" s="137"/>
      <c r="J41" s="143"/>
      <c r="K41" s="143"/>
      <c r="L41" s="137"/>
      <c r="M41" s="137"/>
      <c r="N41" s="137"/>
      <c r="AU41" s="156"/>
    </row>
    <row r="42" spans="1:47" x14ac:dyDescent="0.25">
      <c r="E42" s="137"/>
      <c r="F42" s="137"/>
      <c r="G42" s="137"/>
      <c r="H42" s="137"/>
      <c r="J42" s="143"/>
      <c r="K42" s="143"/>
      <c r="L42" s="137"/>
      <c r="M42" s="137"/>
      <c r="N42" s="137"/>
      <c r="AU42" s="156"/>
    </row>
    <row r="43" spans="1:47" x14ac:dyDescent="0.25">
      <c r="E43" s="137"/>
      <c r="F43" s="137"/>
      <c r="G43" s="137"/>
      <c r="H43" s="137"/>
      <c r="J43" s="143"/>
      <c r="K43" s="143"/>
      <c r="L43" s="137"/>
      <c r="M43" s="137"/>
      <c r="N43" s="137"/>
      <c r="AU43" s="156"/>
    </row>
    <row r="44" spans="1:47" x14ac:dyDescent="0.25">
      <c r="E44" s="137"/>
      <c r="F44" s="137"/>
      <c r="G44" s="137"/>
      <c r="H44" s="137"/>
      <c r="J44" s="143"/>
      <c r="K44" s="143"/>
      <c r="L44" s="137"/>
      <c r="M44" s="137"/>
      <c r="N44" s="137"/>
      <c r="AU44" s="156"/>
    </row>
    <row r="45" spans="1:47" x14ac:dyDescent="0.25">
      <c r="E45" s="137"/>
      <c r="F45" s="137"/>
      <c r="G45" s="137"/>
      <c r="H45" s="137"/>
      <c r="J45" s="143"/>
      <c r="K45" s="143"/>
      <c r="L45" s="137"/>
      <c r="M45" s="137"/>
      <c r="N45" s="137"/>
      <c r="AU45" s="156"/>
    </row>
    <row r="46" spans="1:47" x14ac:dyDescent="0.25">
      <c r="E46" s="137"/>
      <c r="F46" s="137"/>
      <c r="G46" s="137"/>
      <c r="H46" s="137"/>
      <c r="J46" s="143"/>
      <c r="K46" s="143"/>
      <c r="L46" s="137"/>
      <c r="M46" s="137"/>
      <c r="N46" s="137"/>
      <c r="AU46" s="156"/>
    </row>
    <row r="47" spans="1:47" x14ac:dyDescent="0.25">
      <c r="E47" s="137"/>
      <c r="F47" s="137"/>
      <c r="G47" s="137"/>
      <c r="H47" s="137"/>
      <c r="J47" s="143"/>
      <c r="K47" s="143"/>
      <c r="L47" s="137"/>
      <c r="M47" s="137"/>
      <c r="N47" s="137"/>
      <c r="AU47" s="156"/>
    </row>
    <row r="48" spans="1:47" x14ac:dyDescent="0.25">
      <c r="E48" s="137"/>
      <c r="F48" s="137"/>
      <c r="G48" s="137"/>
      <c r="H48" s="137"/>
      <c r="J48" s="143"/>
      <c r="K48" s="143"/>
      <c r="L48" s="137"/>
      <c r="M48" s="137"/>
      <c r="N48" s="137"/>
      <c r="AU48" s="156"/>
    </row>
    <row r="49" spans="5:47" x14ac:dyDescent="0.25">
      <c r="E49" s="137"/>
      <c r="F49" s="137"/>
      <c r="G49" s="137"/>
      <c r="H49" s="137"/>
      <c r="J49" s="143"/>
      <c r="K49" s="143"/>
      <c r="L49" s="137"/>
      <c r="M49" s="137"/>
      <c r="N49" s="137"/>
      <c r="AU49" s="156"/>
    </row>
    <row r="50" spans="5:47" x14ac:dyDescent="0.25">
      <c r="E50" s="137"/>
      <c r="F50" s="137"/>
      <c r="G50" s="137"/>
      <c r="H50" s="137"/>
      <c r="J50" s="143"/>
      <c r="K50" s="143"/>
      <c r="L50" s="137"/>
      <c r="M50" s="137"/>
      <c r="N50" s="137"/>
      <c r="AU50" s="156"/>
    </row>
    <row r="51" spans="5:47" x14ac:dyDescent="0.25">
      <c r="E51" s="137"/>
      <c r="F51" s="137"/>
      <c r="G51" s="137"/>
      <c r="H51" s="137"/>
      <c r="J51" s="143"/>
      <c r="K51" s="143"/>
      <c r="L51" s="137"/>
      <c r="M51" s="137"/>
      <c r="N51" s="137"/>
      <c r="AU51" s="156"/>
    </row>
    <row r="52" spans="5:47" x14ac:dyDescent="0.25">
      <c r="E52" s="137"/>
      <c r="F52" s="137"/>
      <c r="G52" s="137"/>
      <c r="H52" s="137"/>
      <c r="J52" s="143"/>
      <c r="K52" s="143"/>
      <c r="L52" s="137"/>
      <c r="M52" s="137"/>
      <c r="N52" s="137"/>
      <c r="AU52" s="156"/>
    </row>
  </sheetData>
  <autoFilter ref="A3:AT46" xr:uid="{00000000-0001-0000-1100-000000000000}"/>
  <mergeCells count="18">
    <mergeCell ref="AN1:AU1"/>
    <mergeCell ref="W2:Y2"/>
    <mergeCell ref="AE1:AH1"/>
    <mergeCell ref="E1:H1"/>
    <mergeCell ref="L1:N1"/>
    <mergeCell ref="S1:Y1"/>
    <mergeCell ref="AE2:AF2"/>
    <mergeCell ref="AG2:AH2"/>
    <mergeCell ref="S2:V2"/>
    <mergeCell ref="AS5:AS8"/>
    <mergeCell ref="AT5:AT8"/>
    <mergeCell ref="AU5:AU8"/>
    <mergeCell ref="AJ5:AJ8"/>
    <mergeCell ref="AN5:AN8"/>
    <mergeCell ref="AO5:AO8"/>
    <mergeCell ref="AP5:AP8"/>
    <mergeCell ref="AQ5:AQ8"/>
    <mergeCell ref="AR5:AR8"/>
  </mergeCell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474-D4FB-43F8-B271-69EACEA4761D}">
  <sheetPr>
    <tabColor theme="5" tint="0.39997558519241921"/>
  </sheetPr>
  <dimension ref="A1:AS532"/>
  <sheetViews>
    <sheetView zoomScale="70" zoomScaleNormal="70" workbookViewId="0">
      <selection activeCell="I4" sqref="A4:XFD4"/>
    </sheetView>
  </sheetViews>
  <sheetFormatPr defaultColWidth="20.5" defaultRowHeight="15.75" x14ac:dyDescent="0.25"/>
  <cols>
    <col min="1" max="5" width="20.5" style="143"/>
    <col min="6" max="8" width="20.5" style="78"/>
    <col min="9" max="9" width="20.875" style="78" customWidth="1"/>
    <col min="10" max="10" width="6" style="78" customWidth="1"/>
    <col min="11" max="14" width="20.5" style="143"/>
    <col min="15" max="17" width="20.5" style="354"/>
    <col min="18" max="21" width="20.5" style="137"/>
    <col min="22" max="22" width="6" style="78" customWidth="1"/>
    <col min="23" max="27" width="20.5" style="143"/>
    <col min="28" max="31" width="20.5" style="137"/>
    <col min="32" max="32" width="5.625" style="78" customWidth="1"/>
    <col min="33" max="37" width="20.5" style="143"/>
    <col min="38" max="44" width="20.5" style="156"/>
    <col min="45" max="45" width="20.5" style="169"/>
    <col min="46" max="16384" width="20.5" style="78"/>
  </cols>
  <sheetData>
    <row r="1" spans="1:45" s="120" customFormat="1" ht="93.75" customHeight="1" x14ac:dyDescent="0.25">
      <c r="A1" s="296"/>
      <c r="B1" s="296"/>
      <c r="C1" s="296"/>
      <c r="D1" s="296"/>
      <c r="E1" s="305"/>
      <c r="F1" s="541" t="s">
        <v>3186</v>
      </c>
      <c r="G1" s="541"/>
      <c r="H1" s="541"/>
      <c r="I1" s="541"/>
      <c r="K1" s="296"/>
      <c r="L1" s="296"/>
      <c r="M1" s="296"/>
      <c r="N1" s="294"/>
      <c r="O1" s="545" t="s">
        <v>3120</v>
      </c>
      <c r="P1" s="546"/>
      <c r="Q1" s="580"/>
      <c r="R1" s="546"/>
      <c r="S1" s="546"/>
      <c r="T1" s="546"/>
      <c r="U1" s="546"/>
      <c r="W1" s="296"/>
      <c r="X1" s="296"/>
      <c r="Y1" s="296"/>
      <c r="Z1" s="294"/>
      <c r="AA1" s="305"/>
      <c r="AB1" s="545" t="s">
        <v>3121</v>
      </c>
      <c r="AC1" s="545"/>
      <c r="AD1" s="545"/>
      <c r="AE1" s="545"/>
      <c r="AG1" s="296"/>
      <c r="AH1" s="296"/>
      <c r="AI1" s="296"/>
      <c r="AJ1" s="294"/>
      <c r="AK1" s="305"/>
      <c r="AL1" s="579" t="s">
        <v>3187</v>
      </c>
      <c r="AM1" s="579"/>
      <c r="AN1" s="579"/>
      <c r="AO1" s="579"/>
      <c r="AP1" s="579"/>
      <c r="AQ1" s="579"/>
      <c r="AR1" s="579"/>
      <c r="AS1" s="579"/>
    </row>
    <row r="2" spans="1:45" s="120" customFormat="1" ht="27" customHeight="1" x14ac:dyDescent="0.25">
      <c r="A2" s="297"/>
      <c r="B2" s="297"/>
      <c r="C2" s="297"/>
      <c r="D2" s="297"/>
      <c r="E2" s="306"/>
      <c r="F2" s="293"/>
      <c r="G2" s="293"/>
      <c r="H2" s="293"/>
      <c r="I2" s="293"/>
      <c r="K2" s="297"/>
      <c r="L2" s="297"/>
      <c r="M2" s="297"/>
      <c r="N2" s="295"/>
      <c r="O2" s="546" t="s">
        <v>3123</v>
      </c>
      <c r="P2" s="546"/>
      <c r="Q2" s="580"/>
      <c r="R2" s="546"/>
      <c r="S2" s="545" t="s">
        <v>3124</v>
      </c>
      <c r="T2" s="545"/>
      <c r="U2" s="545"/>
      <c r="W2" s="297"/>
      <c r="X2" s="297"/>
      <c r="Y2" s="297"/>
      <c r="Z2" s="295"/>
      <c r="AA2" s="306"/>
      <c r="AB2" s="545" t="s">
        <v>3125</v>
      </c>
      <c r="AC2" s="545"/>
      <c r="AD2" s="545" t="s">
        <v>3126</v>
      </c>
      <c r="AE2" s="545"/>
      <c r="AG2" s="297"/>
      <c r="AH2" s="297"/>
      <c r="AI2" s="297"/>
      <c r="AJ2" s="295"/>
      <c r="AK2" s="306"/>
      <c r="AL2" s="298"/>
      <c r="AM2" s="298"/>
      <c r="AN2" s="298"/>
      <c r="AO2" s="298"/>
      <c r="AP2" s="298"/>
      <c r="AQ2" s="298"/>
      <c r="AR2" s="298"/>
      <c r="AS2" s="298"/>
    </row>
    <row r="3" spans="1:45" s="110" customFormat="1" ht="156" customHeight="1" x14ac:dyDescent="0.25">
      <c r="A3" s="282" t="s">
        <v>721</v>
      </c>
      <c r="B3" s="282" t="s">
        <v>1456</v>
      </c>
      <c r="C3" s="282" t="s">
        <v>1457</v>
      </c>
      <c r="D3" s="282" t="s">
        <v>1458</v>
      </c>
      <c r="E3" s="307" t="s">
        <v>3127</v>
      </c>
      <c r="F3" s="290" t="s">
        <v>3813</v>
      </c>
      <c r="G3" s="290" t="s">
        <v>3814</v>
      </c>
      <c r="H3" s="290" t="s">
        <v>3815</v>
      </c>
      <c r="I3" s="290" t="s">
        <v>3128</v>
      </c>
      <c r="K3" s="282" t="s">
        <v>721</v>
      </c>
      <c r="L3" s="282" t="s">
        <v>1456</v>
      </c>
      <c r="M3" s="282" t="s">
        <v>1457</v>
      </c>
      <c r="N3" s="283" t="s">
        <v>1458</v>
      </c>
      <c r="O3" s="355" t="s">
        <v>3188</v>
      </c>
      <c r="P3" s="355" t="s">
        <v>3189</v>
      </c>
      <c r="Q3" s="353" t="s">
        <v>3190</v>
      </c>
      <c r="R3" s="292" t="s">
        <v>3191</v>
      </c>
      <c r="S3" s="291" t="s">
        <v>3133</v>
      </c>
      <c r="T3" s="291" t="s">
        <v>3134</v>
      </c>
      <c r="U3" s="291" t="s">
        <v>3135</v>
      </c>
      <c r="W3" s="282" t="s">
        <v>721</v>
      </c>
      <c r="X3" s="282" t="s">
        <v>1456</v>
      </c>
      <c r="Y3" s="282" t="s">
        <v>1457</v>
      </c>
      <c r="Z3" s="283" t="s">
        <v>1458</v>
      </c>
      <c r="AA3" s="307" t="s">
        <v>3136</v>
      </c>
      <c r="AB3" s="291" t="s">
        <v>3137</v>
      </c>
      <c r="AC3" s="291" t="s">
        <v>3138</v>
      </c>
      <c r="AD3" s="291" t="s">
        <v>3137</v>
      </c>
      <c r="AE3" s="291" t="s">
        <v>3138</v>
      </c>
      <c r="AG3" s="282" t="s">
        <v>721</v>
      </c>
      <c r="AH3" s="282" t="s">
        <v>1456</v>
      </c>
      <c r="AI3" s="282" t="s">
        <v>1457</v>
      </c>
      <c r="AJ3" s="283" t="s">
        <v>1458</v>
      </c>
      <c r="AK3" s="307" t="s">
        <v>3127</v>
      </c>
      <c r="AL3" s="300" t="s">
        <v>513</v>
      </c>
      <c r="AM3" s="300" t="s">
        <v>517</v>
      </c>
      <c r="AN3" s="300" t="s">
        <v>520</v>
      </c>
      <c r="AO3" s="300" t="s">
        <v>523</v>
      </c>
      <c r="AP3" s="300" t="s">
        <v>526</v>
      </c>
      <c r="AQ3" s="300" t="s">
        <v>529</v>
      </c>
      <c r="AR3" s="300" t="s">
        <v>532</v>
      </c>
      <c r="AS3" s="301" t="s">
        <v>3139</v>
      </c>
    </row>
    <row r="4" spans="1:45" s="110" customFormat="1" ht="30" hidden="1" x14ac:dyDescent="0.25">
      <c r="A4" s="406" t="s">
        <v>815</v>
      </c>
      <c r="B4" s="406" t="s">
        <v>816</v>
      </c>
      <c r="C4" s="406" t="s">
        <v>1484</v>
      </c>
      <c r="D4" s="406" t="s">
        <v>1485</v>
      </c>
      <c r="E4" s="400" t="s">
        <v>3144</v>
      </c>
      <c r="F4" s="401" t="s">
        <v>3145</v>
      </c>
      <c r="G4" s="401" t="s">
        <v>3146</v>
      </c>
      <c r="H4" s="401" t="s">
        <v>3147</v>
      </c>
      <c r="I4" s="401" t="s">
        <v>3148</v>
      </c>
      <c r="J4" s="110" t="s">
        <v>741</v>
      </c>
      <c r="K4" s="406" t="s">
        <v>3155</v>
      </c>
      <c r="L4" s="406" t="s">
        <v>3156</v>
      </c>
      <c r="M4" s="406" t="s">
        <v>3192</v>
      </c>
      <c r="N4" s="406" t="s">
        <v>3193</v>
      </c>
      <c r="O4" s="464" t="s">
        <v>3158</v>
      </c>
      <c r="P4" s="464" t="s">
        <v>3159</v>
      </c>
      <c r="Q4" s="465" t="s">
        <v>3160</v>
      </c>
      <c r="R4" s="403" t="s">
        <v>3161</v>
      </c>
      <c r="S4" s="402" t="s">
        <v>3162</v>
      </c>
      <c r="T4" s="402" t="s">
        <v>3163</v>
      </c>
      <c r="U4" s="402" t="s">
        <v>3164</v>
      </c>
      <c r="V4" s="110" t="s">
        <v>746</v>
      </c>
      <c r="W4" s="406" t="s">
        <v>1772</v>
      </c>
      <c r="X4" s="406" t="s">
        <v>1773</v>
      </c>
      <c r="Y4" s="406" t="s">
        <v>3110</v>
      </c>
      <c r="Z4" s="406" t="s">
        <v>3109</v>
      </c>
      <c r="AA4" s="400" t="s">
        <v>3166</v>
      </c>
      <c r="AB4" s="402" t="s">
        <v>3167</v>
      </c>
      <c r="AC4" s="402" t="s">
        <v>3168</v>
      </c>
      <c r="AD4" s="402" t="s">
        <v>3169</v>
      </c>
      <c r="AE4" s="402" t="s">
        <v>3170</v>
      </c>
      <c r="AF4" s="110" t="s">
        <v>3171</v>
      </c>
      <c r="AG4" s="406" t="s">
        <v>3172</v>
      </c>
      <c r="AH4" s="406" t="s">
        <v>3173</v>
      </c>
      <c r="AI4" s="406" t="s">
        <v>3194</v>
      </c>
      <c r="AJ4" s="406" t="s">
        <v>3195</v>
      </c>
      <c r="AK4" s="400" t="s">
        <v>3175</v>
      </c>
      <c r="AL4" s="466" t="s">
        <v>3176</v>
      </c>
      <c r="AM4" s="466" t="s">
        <v>3177</v>
      </c>
      <c r="AN4" s="466" t="s">
        <v>3178</v>
      </c>
      <c r="AO4" s="466" t="s">
        <v>3179</v>
      </c>
      <c r="AP4" s="466" t="s">
        <v>3180</v>
      </c>
      <c r="AQ4" s="466" t="s">
        <v>3181</v>
      </c>
      <c r="AR4" s="466" t="s">
        <v>3182</v>
      </c>
      <c r="AS4" s="467" t="s">
        <v>3183</v>
      </c>
    </row>
    <row r="5" spans="1:45" x14ac:dyDescent="0.25">
      <c r="A5" s="143" t="s">
        <v>757</v>
      </c>
      <c r="B5" s="143" t="s">
        <v>758</v>
      </c>
      <c r="C5" s="143" t="s">
        <v>731</v>
      </c>
      <c r="D5" s="143">
        <v>403</v>
      </c>
      <c r="E5" s="143">
        <v>20</v>
      </c>
      <c r="F5" s="137">
        <v>1</v>
      </c>
      <c r="G5" s="137">
        <v>1</v>
      </c>
      <c r="H5" s="137">
        <v>1</v>
      </c>
      <c r="I5" s="137">
        <v>0</v>
      </c>
      <c r="K5" s="143" t="s">
        <v>757</v>
      </c>
      <c r="L5" s="143" t="s">
        <v>758</v>
      </c>
      <c r="M5" s="143" t="s">
        <v>731</v>
      </c>
      <c r="N5" s="143">
        <v>403</v>
      </c>
      <c r="O5" s="354">
        <v>0.39365080000000002</v>
      </c>
      <c r="P5" s="354">
        <v>0.59047620000000001</v>
      </c>
      <c r="Q5" s="354">
        <v>0.98412699999999997</v>
      </c>
      <c r="R5" s="137" t="s">
        <v>3184</v>
      </c>
      <c r="S5" s="137">
        <v>0.44444440000000002</v>
      </c>
      <c r="T5" s="137" t="s">
        <v>3184</v>
      </c>
      <c r="W5" s="143" t="s">
        <v>757</v>
      </c>
      <c r="X5" s="143" t="s">
        <v>758</v>
      </c>
      <c r="Y5" s="143" t="s">
        <v>731</v>
      </c>
      <c r="Z5" s="143">
        <v>403</v>
      </c>
      <c r="AA5" s="143">
        <v>20</v>
      </c>
      <c r="AB5" s="137">
        <v>0.05</v>
      </c>
      <c r="AC5" s="137">
        <v>5.2631600000000001E-2</v>
      </c>
      <c r="AD5" s="137">
        <v>0</v>
      </c>
      <c r="AE5" s="137">
        <v>0.78632480000000005</v>
      </c>
      <c r="AG5" s="143" t="s">
        <v>757</v>
      </c>
      <c r="AH5" s="143" t="s">
        <v>758</v>
      </c>
      <c r="AI5" s="143" t="s">
        <v>731</v>
      </c>
      <c r="AJ5" s="143">
        <v>403</v>
      </c>
      <c r="AK5" s="143">
        <v>20</v>
      </c>
      <c r="AL5" s="156">
        <v>2.2000000476837198</v>
      </c>
      <c r="AM5" s="156">
        <v>2.7999999523162802</v>
      </c>
      <c r="AN5" s="156">
        <v>3.0499999523162802</v>
      </c>
      <c r="AO5" s="156">
        <v>2.9500000476837198</v>
      </c>
      <c r="AP5" s="156">
        <v>3</v>
      </c>
      <c r="AQ5" s="156">
        <v>2.9000000953674299</v>
      </c>
      <c r="AR5" s="156">
        <v>3.1500000953674299</v>
      </c>
      <c r="AS5" s="169">
        <v>2.95</v>
      </c>
    </row>
    <row r="6" spans="1:45" x14ac:dyDescent="0.25">
      <c r="A6" s="143" t="s">
        <v>757</v>
      </c>
      <c r="B6" s="143" t="s">
        <v>758</v>
      </c>
      <c r="C6" s="143" t="s">
        <v>727</v>
      </c>
      <c r="D6" s="143">
        <v>406</v>
      </c>
      <c r="E6" s="143">
        <v>3</v>
      </c>
      <c r="F6" s="137">
        <v>1</v>
      </c>
      <c r="G6" s="137">
        <v>1</v>
      </c>
      <c r="H6" s="137">
        <v>1</v>
      </c>
      <c r="I6" s="137">
        <v>0.66666669999999995</v>
      </c>
      <c r="K6" s="143" t="s">
        <v>757</v>
      </c>
      <c r="L6" s="143" t="s">
        <v>758</v>
      </c>
      <c r="M6" s="143" t="s">
        <v>727</v>
      </c>
      <c r="N6" s="143">
        <v>406</v>
      </c>
      <c r="O6" s="354">
        <v>0.4</v>
      </c>
      <c r="P6" s="354">
        <v>0.6</v>
      </c>
      <c r="Q6" s="354">
        <v>1</v>
      </c>
      <c r="R6" s="137" t="s">
        <v>3184</v>
      </c>
      <c r="S6" s="137">
        <v>0.57142859999999995</v>
      </c>
      <c r="T6" s="137" t="s">
        <v>3184</v>
      </c>
      <c r="U6" s="137" t="s">
        <v>3184</v>
      </c>
      <c r="W6" s="143" t="s">
        <v>757</v>
      </c>
      <c r="X6" s="143" t="s">
        <v>758</v>
      </c>
      <c r="Y6" s="143" t="s">
        <v>727</v>
      </c>
      <c r="Z6" s="143">
        <v>406</v>
      </c>
      <c r="AA6" s="143">
        <v>0</v>
      </c>
      <c r="AD6" s="137">
        <v>0</v>
      </c>
      <c r="AE6" s="137">
        <v>0.14285709999999999</v>
      </c>
      <c r="AG6" s="143" t="s">
        <v>757</v>
      </c>
      <c r="AH6" s="143" t="s">
        <v>758</v>
      </c>
      <c r="AI6" s="143" t="s">
        <v>727</v>
      </c>
      <c r="AJ6" s="143">
        <v>406</v>
      </c>
      <c r="AK6" s="143">
        <v>3</v>
      </c>
      <c r="AL6" s="156">
        <v>1</v>
      </c>
      <c r="AM6" s="156">
        <v>3.6666667461395299</v>
      </c>
      <c r="AN6" s="156">
        <v>3</v>
      </c>
      <c r="AO6" s="156">
        <v>3</v>
      </c>
      <c r="AP6" s="156">
        <v>3.3333332538604701</v>
      </c>
      <c r="AQ6" s="156">
        <v>4</v>
      </c>
      <c r="AR6" s="156">
        <v>3.3333332538604701</v>
      </c>
      <c r="AS6" s="169">
        <v>3.476191</v>
      </c>
    </row>
    <row r="7" spans="1:45" x14ac:dyDescent="0.25">
      <c r="A7" s="143" t="s">
        <v>757</v>
      </c>
      <c r="B7" s="143" t="s">
        <v>758</v>
      </c>
      <c r="C7" s="143" t="s">
        <v>728</v>
      </c>
      <c r="D7" s="143">
        <v>414</v>
      </c>
      <c r="E7" s="143">
        <v>2</v>
      </c>
      <c r="F7" s="390">
        <v>1</v>
      </c>
      <c r="G7" s="390">
        <v>1</v>
      </c>
      <c r="H7" s="390">
        <v>1</v>
      </c>
      <c r="I7" s="137">
        <v>1</v>
      </c>
      <c r="K7" s="143" t="s">
        <v>757</v>
      </c>
      <c r="L7" s="143" t="s">
        <v>758</v>
      </c>
      <c r="M7" s="143" t="s">
        <v>728</v>
      </c>
      <c r="N7" s="143">
        <v>414</v>
      </c>
      <c r="O7" s="354">
        <v>0.4</v>
      </c>
      <c r="P7" s="354">
        <v>0.6</v>
      </c>
      <c r="Q7" s="354">
        <v>1</v>
      </c>
      <c r="R7" s="137" t="s">
        <v>3184</v>
      </c>
      <c r="S7" s="137">
        <v>0.5</v>
      </c>
      <c r="T7" s="137" t="s">
        <v>3184</v>
      </c>
      <c r="U7" s="137" t="s">
        <v>3184</v>
      </c>
      <c r="W7" s="143" t="s">
        <v>757</v>
      </c>
      <c r="X7" s="143" t="s">
        <v>758</v>
      </c>
      <c r="Y7" s="143" t="s">
        <v>728</v>
      </c>
      <c r="Z7" s="143">
        <v>414</v>
      </c>
      <c r="AA7" s="143">
        <v>0</v>
      </c>
      <c r="AD7" s="137">
        <v>0</v>
      </c>
      <c r="AG7" s="143" t="s">
        <v>757</v>
      </c>
      <c r="AH7" s="143" t="s">
        <v>758</v>
      </c>
      <c r="AI7" s="143" t="s">
        <v>728</v>
      </c>
      <c r="AJ7" s="143">
        <v>414</v>
      </c>
      <c r="AK7" s="143">
        <v>2</v>
      </c>
      <c r="AL7" s="156">
        <v>2</v>
      </c>
      <c r="AM7" s="156">
        <v>3</v>
      </c>
      <c r="AN7" s="156">
        <v>3</v>
      </c>
      <c r="AO7" s="156">
        <v>3</v>
      </c>
      <c r="AP7" s="156">
        <v>3.5</v>
      </c>
      <c r="AQ7" s="156">
        <v>3</v>
      </c>
      <c r="AR7" s="156">
        <v>3.5</v>
      </c>
      <c r="AS7" s="169">
        <v>3.1428569999999998</v>
      </c>
    </row>
    <row r="8" spans="1:45" x14ac:dyDescent="0.25">
      <c r="A8" s="143" t="s">
        <v>757</v>
      </c>
      <c r="B8" s="143" t="s">
        <v>758</v>
      </c>
      <c r="C8" s="143" t="s">
        <v>728</v>
      </c>
      <c r="D8" s="143">
        <v>416</v>
      </c>
      <c r="E8" s="143">
        <v>2</v>
      </c>
      <c r="F8" s="137">
        <v>1</v>
      </c>
      <c r="G8" s="137">
        <v>1</v>
      </c>
      <c r="H8" s="137">
        <v>1</v>
      </c>
      <c r="I8" s="137">
        <v>0</v>
      </c>
      <c r="K8" s="143" t="s">
        <v>757</v>
      </c>
      <c r="L8" s="143" t="s">
        <v>758</v>
      </c>
      <c r="M8" s="143" t="s">
        <v>728</v>
      </c>
      <c r="N8" s="143">
        <v>416</v>
      </c>
      <c r="O8" s="354">
        <v>0.4</v>
      </c>
      <c r="P8" s="354">
        <v>0.6</v>
      </c>
      <c r="Q8" s="354">
        <v>1</v>
      </c>
      <c r="R8" s="137" t="s">
        <v>3184</v>
      </c>
      <c r="S8" s="137">
        <v>0.42857139999999999</v>
      </c>
      <c r="T8" s="137" t="s">
        <v>3184</v>
      </c>
      <c r="U8" s="137" t="s">
        <v>3184</v>
      </c>
      <c r="W8" s="143" t="s">
        <v>757</v>
      </c>
      <c r="X8" s="143" t="s">
        <v>758</v>
      </c>
      <c r="Y8" s="143" t="s">
        <v>728</v>
      </c>
      <c r="Z8" s="143">
        <v>416</v>
      </c>
      <c r="AA8" s="143">
        <v>0</v>
      </c>
      <c r="AD8" s="137">
        <v>0</v>
      </c>
      <c r="AE8" s="137">
        <v>0.28571429999999998</v>
      </c>
      <c r="AG8" s="143" t="s">
        <v>757</v>
      </c>
      <c r="AH8" s="143" t="s">
        <v>758</v>
      </c>
      <c r="AI8" s="143" t="s">
        <v>728</v>
      </c>
      <c r="AJ8" s="143">
        <v>416</v>
      </c>
      <c r="AK8" s="143">
        <v>2</v>
      </c>
      <c r="AL8" s="156">
        <v>2</v>
      </c>
      <c r="AM8" s="156">
        <v>3</v>
      </c>
      <c r="AN8" s="156">
        <v>3.5</v>
      </c>
      <c r="AO8" s="156">
        <v>3</v>
      </c>
      <c r="AP8" s="156">
        <v>3.5</v>
      </c>
      <c r="AQ8" s="156">
        <v>3</v>
      </c>
      <c r="AR8" s="156">
        <v>3.5</v>
      </c>
      <c r="AS8" s="169">
        <v>3.214286</v>
      </c>
    </row>
    <row r="9" spans="1:45" x14ac:dyDescent="0.25">
      <c r="A9" s="143" t="s">
        <v>757</v>
      </c>
      <c r="B9" s="143" t="s">
        <v>758</v>
      </c>
      <c r="C9" s="143" t="s">
        <v>728</v>
      </c>
      <c r="D9" s="143">
        <v>1560</v>
      </c>
      <c r="E9" s="143">
        <v>2</v>
      </c>
      <c r="F9" s="137">
        <v>1</v>
      </c>
      <c r="G9" s="137">
        <v>1</v>
      </c>
      <c r="H9" s="137">
        <v>1</v>
      </c>
      <c r="I9" s="137">
        <v>0</v>
      </c>
      <c r="K9" s="143" t="s">
        <v>757</v>
      </c>
      <c r="L9" s="143" t="s">
        <v>758</v>
      </c>
      <c r="M9" s="143" t="s">
        <v>728</v>
      </c>
      <c r="N9" s="143">
        <v>1560</v>
      </c>
      <c r="O9" s="354">
        <v>0.4</v>
      </c>
      <c r="P9" s="354">
        <v>0.6</v>
      </c>
      <c r="Q9" s="354">
        <v>1</v>
      </c>
      <c r="R9" s="137" t="s">
        <v>3184</v>
      </c>
      <c r="S9" s="137">
        <v>0.5</v>
      </c>
      <c r="T9" s="137" t="s">
        <v>3184</v>
      </c>
      <c r="U9" s="137" t="s">
        <v>3184</v>
      </c>
      <c r="W9" s="143" t="s">
        <v>757</v>
      </c>
      <c r="X9" s="143" t="s">
        <v>758</v>
      </c>
      <c r="Y9" s="143" t="s">
        <v>728</v>
      </c>
      <c r="Z9" s="143">
        <v>1560</v>
      </c>
      <c r="AA9" s="143">
        <v>0</v>
      </c>
      <c r="AD9" s="137">
        <v>0</v>
      </c>
      <c r="AG9" s="143" t="s">
        <v>757</v>
      </c>
      <c r="AH9" s="143" t="s">
        <v>758</v>
      </c>
      <c r="AI9" s="143" t="s">
        <v>728</v>
      </c>
      <c r="AJ9" s="143">
        <v>1560</v>
      </c>
      <c r="AK9" s="143">
        <v>2</v>
      </c>
      <c r="AL9" s="156">
        <v>2</v>
      </c>
      <c r="AM9" s="156">
        <v>3</v>
      </c>
      <c r="AN9" s="156">
        <v>3</v>
      </c>
      <c r="AO9" s="156">
        <v>3</v>
      </c>
      <c r="AP9" s="156">
        <v>3.5</v>
      </c>
      <c r="AQ9" s="156">
        <v>3</v>
      </c>
      <c r="AR9" s="156">
        <v>3</v>
      </c>
      <c r="AS9" s="169">
        <v>3.0714290000000002</v>
      </c>
    </row>
    <row r="10" spans="1:45" x14ac:dyDescent="0.25">
      <c r="A10" s="143" t="s">
        <v>757</v>
      </c>
      <c r="B10" s="143" t="s">
        <v>758</v>
      </c>
      <c r="C10" s="143" t="s">
        <v>680</v>
      </c>
      <c r="D10" s="143">
        <v>1564</v>
      </c>
      <c r="E10" s="143">
        <v>2</v>
      </c>
      <c r="F10" s="137">
        <v>1</v>
      </c>
      <c r="G10" s="137">
        <v>1</v>
      </c>
      <c r="H10" s="137">
        <v>1</v>
      </c>
      <c r="I10" s="137">
        <v>1</v>
      </c>
      <c r="K10" s="143" t="s">
        <v>757</v>
      </c>
      <c r="L10" s="143" t="s">
        <v>758</v>
      </c>
      <c r="M10" s="143" t="s">
        <v>680</v>
      </c>
      <c r="N10" s="143">
        <v>1564</v>
      </c>
      <c r="O10" s="354">
        <v>0.39740259999999999</v>
      </c>
      <c r="P10" s="354">
        <v>0.6</v>
      </c>
      <c r="Q10" s="354">
        <v>0.99740260000000003</v>
      </c>
      <c r="R10" s="137" t="s">
        <v>3185</v>
      </c>
      <c r="S10" s="137">
        <v>0.5</v>
      </c>
      <c r="T10" s="137" t="s">
        <v>3184</v>
      </c>
      <c r="W10" s="143" t="s">
        <v>757</v>
      </c>
      <c r="X10" s="143" t="s">
        <v>758</v>
      </c>
      <c r="Y10" s="143" t="s">
        <v>680</v>
      </c>
      <c r="Z10" s="143">
        <v>1564</v>
      </c>
      <c r="AA10" s="143">
        <v>0</v>
      </c>
      <c r="AD10" s="137">
        <v>0</v>
      </c>
      <c r="AE10" s="137">
        <v>0.25</v>
      </c>
      <c r="AG10" s="143" t="s">
        <v>757</v>
      </c>
      <c r="AH10" s="143" t="s">
        <v>758</v>
      </c>
      <c r="AI10" s="143" t="s">
        <v>680</v>
      </c>
      <c r="AJ10" s="143">
        <v>1564</v>
      </c>
      <c r="AK10" s="143">
        <v>2</v>
      </c>
      <c r="AL10" s="156">
        <v>1</v>
      </c>
      <c r="AM10" s="156">
        <v>2.5</v>
      </c>
      <c r="AN10" s="156">
        <v>3</v>
      </c>
      <c r="AO10" s="156">
        <v>3</v>
      </c>
      <c r="AP10" s="156">
        <v>1</v>
      </c>
      <c r="AQ10" s="156">
        <v>3.5</v>
      </c>
      <c r="AR10" s="156">
        <v>3</v>
      </c>
      <c r="AS10" s="169">
        <v>2.8571430000000002</v>
      </c>
    </row>
    <row r="11" spans="1:45" x14ac:dyDescent="0.25">
      <c r="A11" s="143" t="s">
        <v>757</v>
      </c>
      <c r="B11" s="143" t="s">
        <v>758</v>
      </c>
      <c r="C11" s="143" t="s">
        <v>727</v>
      </c>
      <c r="D11" s="143">
        <v>1567</v>
      </c>
      <c r="E11" s="143">
        <v>3</v>
      </c>
      <c r="F11" s="137">
        <v>1</v>
      </c>
      <c r="G11" s="137">
        <v>1</v>
      </c>
      <c r="H11" s="137">
        <v>1</v>
      </c>
      <c r="I11" s="137">
        <v>0</v>
      </c>
      <c r="K11" s="143" t="s">
        <v>757</v>
      </c>
      <c r="L11" s="143" t="s">
        <v>758</v>
      </c>
      <c r="M11" s="143" t="s">
        <v>727</v>
      </c>
      <c r="N11" s="143">
        <v>1567</v>
      </c>
      <c r="O11" s="354">
        <v>0.4</v>
      </c>
      <c r="P11" s="354">
        <v>0.6</v>
      </c>
      <c r="Q11" s="137">
        <v>1</v>
      </c>
      <c r="R11" s="137" t="s">
        <v>3184</v>
      </c>
      <c r="S11" s="137">
        <v>0.47058820000000001</v>
      </c>
      <c r="T11" s="137" t="s">
        <v>3184</v>
      </c>
      <c r="U11" s="137" t="s">
        <v>3184</v>
      </c>
      <c r="W11" s="143" t="s">
        <v>757</v>
      </c>
      <c r="X11" s="143" t="s">
        <v>758</v>
      </c>
      <c r="Y11" s="143" t="s">
        <v>727</v>
      </c>
      <c r="Z11" s="143">
        <v>1567</v>
      </c>
      <c r="AA11" s="143">
        <v>0</v>
      </c>
      <c r="AD11" s="137">
        <v>0</v>
      </c>
      <c r="AE11" s="137">
        <v>5.8823500000000001E-2</v>
      </c>
      <c r="AG11" s="143" t="s">
        <v>757</v>
      </c>
      <c r="AH11" s="143" t="s">
        <v>758</v>
      </c>
      <c r="AI11" s="143" t="s">
        <v>727</v>
      </c>
      <c r="AJ11" s="143">
        <v>1567</v>
      </c>
      <c r="AK11" s="143">
        <v>3</v>
      </c>
      <c r="AL11" s="156">
        <v>1.6666666269302399</v>
      </c>
      <c r="AM11" s="156">
        <v>3.6666667461395299</v>
      </c>
      <c r="AN11" s="156">
        <v>2.6666667461395299</v>
      </c>
      <c r="AO11" s="156">
        <v>2.6666667461395299</v>
      </c>
      <c r="AP11" s="156">
        <v>2.3333332538604701</v>
      </c>
      <c r="AQ11" s="156">
        <v>3</v>
      </c>
      <c r="AR11" s="156">
        <v>3</v>
      </c>
      <c r="AS11" s="169">
        <v>2.9523809999999999</v>
      </c>
    </row>
    <row r="12" spans="1:45" x14ac:dyDescent="0.25">
      <c r="A12" s="143" t="s">
        <v>757</v>
      </c>
      <c r="B12" s="143" t="s">
        <v>758</v>
      </c>
      <c r="C12" s="143" t="s">
        <v>728</v>
      </c>
      <c r="D12" s="143">
        <v>2063</v>
      </c>
      <c r="E12" s="143">
        <v>2</v>
      </c>
      <c r="F12" s="137">
        <v>1</v>
      </c>
      <c r="G12" s="137">
        <v>1</v>
      </c>
      <c r="H12" s="137">
        <v>1</v>
      </c>
      <c r="I12" s="137">
        <v>0</v>
      </c>
      <c r="K12" s="143" t="s">
        <v>757</v>
      </c>
      <c r="L12" s="143" t="s">
        <v>758</v>
      </c>
      <c r="M12" s="143" t="s">
        <v>728</v>
      </c>
      <c r="N12" s="143">
        <v>2063</v>
      </c>
      <c r="O12" s="354">
        <v>0.4</v>
      </c>
      <c r="P12" s="354">
        <v>0.6</v>
      </c>
      <c r="Q12" s="354">
        <v>1</v>
      </c>
      <c r="R12" s="137" t="s">
        <v>3184</v>
      </c>
      <c r="S12" s="137">
        <v>0.5</v>
      </c>
      <c r="T12" s="137" t="s">
        <v>3184</v>
      </c>
      <c r="U12" s="137" t="s">
        <v>3184</v>
      </c>
      <c r="W12" s="143" t="s">
        <v>757</v>
      </c>
      <c r="X12" s="143" t="s">
        <v>758</v>
      </c>
      <c r="Y12" s="143" t="s">
        <v>728</v>
      </c>
      <c r="Z12" s="143">
        <v>2063</v>
      </c>
      <c r="AA12" s="143">
        <v>0</v>
      </c>
      <c r="AD12" s="137">
        <v>0</v>
      </c>
      <c r="AE12" s="137">
        <v>0.5</v>
      </c>
      <c r="AG12" s="143" t="s">
        <v>757</v>
      </c>
      <c r="AH12" s="143" t="s">
        <v>758</v>
      </c>
      <c r="AI12" s="143" t="s">
        <v>728</v>
      </c>
      <c r="AJ12" s="143">
        <v>2063</v>
      </c>
      <c r="AK12" s="143">
        <v>2</v>
      </c>
      <c r="AL12" s="156">
        <v>1</v>
      </c>
      <c r="AM12" s="156">
        <v>3.5</v>
      </c>
      <c r="AN12" s="156">
        <v>3</v>
      </c>
      <c r="AO12" s="156">
        <v>3</v>
      </c>
      <c r="AP12" s="156">
        <v>3.5</v>
      </c>
      <c r="AQ12" s="156">
        <v>3</v>
      </c>
      <c r="AR12" s="156">
        <v>3.5</v>
      </c>
      <c r="AS12" s="169">
        <v>3.3571430000000002</v>
      </c>
    </row>
    <row r="13" spans="1:45" x14ac:dyDescent="0.25">
      <c r="A13" s="143" t="s">
        <v>757</v>
      </c>
      <c r="B13" s="143" t="s">
        <v>758</v>
      </c>
      <c r="C13" s="143" t="s">
        <v>680</v>
      </c>
      <c r="D13" s="143">
        <v>2323</v>
      </c>
      <c r="E13" s="143">
        <v>2</v>
      </c>
      <c r="F13" s="137">
        <v>1</v>
      </c>
      <c r="G13" s="137">
        <v>1</v>
      </c>
      <c r="H13" s="137">
        <v>1</v>
      </c>
      <c r="I13" s="137">
        <v>0</v>
      </c>
      <c r="K13" s="143" t="s">
        <v>757</v>
      </c>
      <c r="L13" s="143" t="s">
        <v>758</v>
      </c>
      <c r="M13" s="143" t="s">
        <v>680</v>
      </c>
      <c r="N13" s="143">
        <v>2323</v>
      </c>
      <c r="O13" s="354">
        <v>0.4</v>
      </c>
      <c r="P13" s="354">
        <v>0.6</v>
      </c>
      <c r="Q13" s="354">
        <v>1</v>
      </c>
      <c r="R13" s="137" t="s">
        <v>3184</v>
      </c>
      <c r="S13" s="137">
        <v>0.5</v>
      </c>
      <c r="T13" s="137" t="s">
        <v>3184</v>
      </c>
      <c r="W13" s="143" t="s">
        <v>757</v>
      </c>
      <c r="X13" s="143" t="s">
        <v>758</v>
      </c>
      <c r="Y13" s="143" t="s">
        <v>680</v>
      </c>
      <c r="Z13" s="143">
        <v>2323</v>
      </c>
      <c r="AA13" s="143">
        <v>0</v>
      </c>
      <c r="AD13" s="137">
        <v>0</v>
      </c>
      <c r="AE13" s="137">
        <v>0.5</v>
      </c>
      <c r="AG13" s="143" t="s">
        <v>757</v>
      </c>
      <c r="AH13" s="143" t="s">
        <v>758</v>
      </c>
      <c r="AI13" s="143" t="s">
        <v>680</v>
      </c>
      <c r="AJ13" s="143">
        <v>2323</v>
      </c>
      <c r="AK13" s="143">
        <v>2</v>
      </c>
      <c r="AL13" s="156">
        <v>2.5</v>
      </c>
      <c r="AM13" s="156">
        <v>3.5</v>
      </c>
      <c r="AN13" s="156">
        <v>3</v>
      </c>
      <c r="AO13" s="156">
        <v>3</v>
      </c>
      <c r="AP13" s="156">
        <v>2</v>
      </c>
      <c r="AQ13" s="156">
        <v>3.5</v>
      </c>
      <c r="AR13" s="156">
        <v>3</v>
      </c>
      <c r="AS13" s="169">
        <v>2.9285709999999998</v>
      </c>
    </row>
    <row r="14" spans="1:45" x14ac:dyDescent="0.25">
      <c r="A14" s="143" t="s">
        <v>757</v>
      </c>
      <c r="B14" s="143" t="s">
        <v>758</v>
      </c>
      <c r="C14" s="143" t="s">
        <v>680</v>
      </c>
      <c r="D14" s="143">
        <v>2327</v>
      </c>
      <c r="E14" s="143">
        <v>2</v>
      </c>
      <c r="F14" s="137">
        <v>1</v>
      </c>
      <c r="G14" s="137">
        <v>0.5</v>
      </c>
      <c r="H14" s="137">
        <v>1</v>
      </c>
      <c r="I14" s="137">
        <v>0.5</v>
      </c>
      <c r="K14" s="143" t="s">
        <v>757</v>
      </c>
      <c r="L14" s="143" t="s">
        <v>758</v>
      </c>
      <c r="M14" s="143" t="s">
        <v>680</v>
      </c>
      <c r="N14" s="143">
        <v>2327</v>
      </c>
      <c r="O14" s="354">
        <v>0.4</v>
      </c>
      <c r="P14" s="354">
        <v>0.6</v>
      </c>
      <c r="Q14" s="354">
        <v>1</v>
      </c>
      <c r="R14" s="137" t="s">
        <v>3184</v>
      </c>
      <c r="S14" s="137">
        <v>0.5</v>
      </c>
      <c r="T14" s="137" t="s">
        <v>3184</v>
      </c>
      <c r="W14" s="143" t="s">
        <v>757</v>
      </c>
      <c r="X14" s="143" t="s">
        <v>758</v>
      </c>
      <c r="Y14" s="143" t="s">
        <v>680</v>
      </c>
      <c r="Z14" s="143">
        <v>2327</v>
      </c>
      <c r="AA14" s="143">
        <v>0</v>
      </c>
      <c r="AD14" s="137">
        <v>0</v>
      </c>
      <c r="AE14" s="137">
        <v>0.5</v>
      </c>
      <c r="AG14" s="143" t="s">
        <v>757</v>
      </c>
      <c r="AH14" s="143" t="s">
        <v>758</v>
      </c>
      <c r="AI14" s="143" t="s">
        <v>680</v>
      </c>
      <c r="AJ14" s="143">
        <v>2327</v>
      </c>
      <c r="AK14" s="143">
        <v>2</v>
      </c>
      <c r="AL14" s="156">
        <v>2</v>
      </c>
      <c r="AM14" s="156">
        <v>2.5</v>
      </c>
      <c r="AN14" s="156">
        <v>2.5</v>
      </c>
      <c r="AO14" s="156">
        <v>2.5</v>
      </c>
      <c r="AP14" s="156">
        <v>2</v>
      </c>
      <c r="AQ14" s="156">
        <v>3</v>
      </c>
      <c r="AR14" s="156">
        <v>3</v>
      </c>
      <c r="AS14" s="169">
        <v>2.6428569999999998</v>
      </c>
    </row>
    <row r="15" spans="1:45" x14ac:dyDescent="0.25">
      <c r="A15" s="143" t="s">
        <v>757</v>
      </c>
      <c r="B15" s="143" t="s">
        <v>758</v>
      </c>
      <c r="C15" s="143" t="s">
        <v>680</v>
      </c>
      <c r="D15" s="143">
        <v>2568</v>
      </c>
      <c r="E15" s="143">
        <v>2</v>
      </c>
      <c r="F15" s="137">
        <v>1</v>
      </c>
      <c r="G15" s="137">
        <v>1</v>
      </c>
      <c r="H15" s="137">
        <v>1</v>
      </c>
      <c r="I15" s="137">
        <v>1</v>
      </c>
      <c r="K15" s="143" t="s">
        <v>757</v>
      </c>
      <c r="L15" s="143" t="s">
        <v>758</v>
      </c>
      <c r="M15" s="143" t="s">
        <v>680</v>
      </c>
      <c r="N15" s="143">
        <v>2568</v>
      </c>
      <c r="O15" s="354">
        <v>0.39740259999999999</v>
      </c>
      <c r="P15" s="354">
        <v>0.6</v>
      </c>
      <c r="Q15" s="354">
        <v>0.99740260000000003</v>
      </c>
      <c r="R15" s="137" t="s">
        <v>3185</v>
      </c>
      <c r="S15" s="137">
        <v>0.5</v>
      </c>
      <c r="T15" s="137" t="s">
        <v>3184</v>
      </c>
      <c r="W15" s="143" t="s">
        <v>757</v>
      </c>
      <c r="X15" s="143" t="s">
        <v>758</v>
      </c>
      <c r="Y15" s="143" t="s">
        <v>680</v>
      </c>
      <c r="Z15" s="143">
        <v>2568</v>
      </c>
      <c r="AA15" s="143">
        <v>0</v>
      </c>
      <c r="AD15" s="137">
        <v>0</v>
      </c>
      <c r="AE15" s="137">
        <v>0.5</v>
      </c>
      <c r="AG15" s="143" t="s">
        <v>757</v>
      </c>
      <c r="AH15" s="143" t="s">
        <v>758</v>
      </c>
      <c r="AI15" s="143" t="s">
        <v>680</v>
      </c>
      <c r="AJ15" s="143">
        <v>2568</v>
      </c>
      <c r="AK15" s="143">
        <v>2</v>
      </c>
      <c r="AL15" s="156">
        <v>3.5</v>
      </c>
      <c r="AM15" s="156">
        <v>3</v>
      </c>
      <c r="AN15" s="156">
        <v>3</v>
      </c>
      <c r="AO15" s="156">
        <v>3</v>
      </c>
      <c r="AP15" s="156">
        <v>2</v>
      </c>
      <c r="AQ15" s="156">
        <v>3</v>
      </c>
      <c r="AR15" s="156">
        <v>3</v>
      </c>
      <c r="AS15" s="169">
        <v>2.8571430000000002</v>
      </c>
    </row>
    <row r="16" spans="1:45" x14ac:dyDescent="0.25">
      <c r="A16" s="143" t="s">
        <v>757</v>
      </c>
      <c r="B16" s="143" t="s">
        <v>758</v>
      </c>
      <c r="C16" s="143" t="s">
        <v>680</v>
      </c>
      <c r="D16" s="143">
        <v>2875</v>
      </c>
      <c r="E16" s="143">
        <v>2</v>
      </c>
      <c r="F16" s="137">
        <v>1</v>
      </c>
      <c r="G16" s="137">
        <v>1</v>
      </c>
      <c r="H16" s="137">
        <v>1</v>
      </c>
      <c r="I16" s="137">
        <v>0</v>
      </c>
      <c r="K16" s="143" t="s">
        <v>757</v>
      </c>
      <c r="L16" s="143" t="s">
        <v>758</v>
      </c>
      <c r="M16" s="143" t="s">
        <v>680</v>
      </c>
      <c r="N16" s="143">
        <v>2875</v>
      </c>
      <c r="O16" s="354">
        <v>0.4</v>
      </c>
      <c r="P16" s="354">
        <v>0.6</v>
      </c>
      <c r="Q16" s="354">
        <v>1</v>
      </c>
      <c r="R16" s="137" t="s">
        <v>3184</v>
      </c>
      <c r="S16" s="137">
        <v>0.5</v>
      </c>
      <c r="T16" s="137" t="s">
        <v>3184</v>
      </c>
      <c r="W16" s="143" t="s">
        <v>757</v>
      </c>
      <c r="X16" s="143" t="s">
        <v>758</v>
      </c>
      <c r="Y16" s="143" t="s">
        <v>680</v>
      </c>
      <c r="Z16" s="143">
        <v>2875</v>
      </c>
      <c r="AA16" s="143">
        <v>0</v>
      </c>
      <c r="AD16" s="137">
        <v>0</v>
      </c>
      <c r="AE16" s="137">
        <v>0.5</v>
      </c>
      <c r="AG16" s="143" t="s">
        <v>757</v>
      </c>
      <c r="AH16" s="143" t="s">
        <v>758</v>
      </c>
      <c r="AI16" s="143" t="s">
        <v>680</v>
      </c>
      <c r="AJ16" s="143">
        <v>2875</v>
      </c>
      <c r="AK16" s="143">
        <v>2</v>
      </c>
      <c r="AL16" s="156">
        <v>1.5</v>
      </c>
      <c r="AM16" s="156">
        <v>3.5</v>
      </c>
      <c r="AN16" s="156">
        <v>3</v>
      </c>
      <c r="AO16" s="156">
        <v>3</v>
      </c>
      <c r="AP16" s="156">
        <v>1</v>
      </c>
      <c r="AQ16" s="156">
        <v>3</v>
      </c>
      <c r="AR16" s="156">
        <v>3</v>
      </c>
      <c r="AS16" s="169">
        <v>2.8571430000000002</v>
      </c>
    </row>
    <row r="17" spans="1:45" x14ac:dyDescent="0.25">
      <c r="A17" s="143" t="s">
        <v>757</v>
      </c>
      <c r="B17" s="143" t="s">
        <v>758</v>
      </c>
      <c r="C17" s="143" t="s">
        <v>680</v>
      </c>
      <c r="D17" s="143">
        <v>2876</v>
      </c>
      <c r="E17" s="143">
        <v>2</v>
      </c>
      <c r="F17" s="137">
        <v>1</v>
      </c>
      <c r="G17" s="137">
        <v>1</v>
      </c>
      <c r="H17" s="137">
        <v>1</v>
      </c>
      <c r="I17" s="137">
        <v>0.5</v>
      </c>
      <c r="K17" s="143" t="s">
        <v>757</v>
      </c>
      <c r="L17" s="143" t="s">
        <v>758</v>
      </c>
      <c r="M17" s="143" t="s">
        <v>680</v>
      </c>
      <c r="N17" s="143">
        <v>2876</v>
      </c>
      <c r="O17" s="354">
        <v>0.4</v>
      </c>
      <c r="P17" s="354">
        <v>0.6</v>
      </c>
      <c r="Q17" s="354">
        <v>1</v>
      </c>
      <c r="R17" s="137" t="s">
        <v>3184</v>
      </c>
      <c r="S17" s="137">
        <v>0.5</v>
      </c>
      <c r="T17" s="137" t="s">
        <v>3184</v>
      </c>
      <c r="W17" s="143" t="s">
        <v>757</v>
      </c>
      <c r="X17" s="143" t="s">
        <v>758</v>
      </c>
      <c r="Y17" s="143" t="s">
        <v>680</v>
      </c>
      <c r="Z17" s="143">
        <v>2876</v>
      </c>
      <c r="AA17" s="143">
        <v>0</v>
      </c>
      <c r="AD17" s="137">
        <v>0</v>
      </c>
      <c r="AE17" s="137">
        <v>0.5</v>
      </c>
      <c r="AG17" s="143" t="s">
        <v>757</v>
      </c>
      <c r="AH17" s="143" t="s">
        <v>758</v>
      </c>
      <c r="AI17" s="143" t="s">
        <v>680</v>
      </c>
      <c r="AJ17" s="143">
        <v>2876</v>
      </c>
      <c r="AK17" s="143">
        <v>2</v>
      </c>
      <c r="AL17" s="156">
        <v>1</v>
      </c>
      <c r="AM17" s="156">
        <v>3</v>
      </c>
      <c r="AN17" s="156">
        <v>3</v>
      </c>
      <c r="AO17" s="156">
        <v>3</v>
      </c>
      <c r="AP17" s="156">
        <v>2</v>
      </c>
      <c r="AQ17" s="156">
        <v>3</v>
      </c>
      <c r="AR17" s="156">
        <v>3</v>
      </c>
      <c r="AS17" s="169">
        <v>3</v>
      </c>
    </row>
    <row r="18" spans="1:45" x14ac:dyDescent="0.25">
      <c r="A18" s="143" t="s">
        <v>757</v>
      </c>
      <c r="B18" s="143" t="s">
        <v>758</v>
      </c>
      <c r="C18" s="143" t="s">
        <v>680</v>
      </c>
      <c r="D18" s="143">
        <v>4274</v>
      </c>
      <c r="E18" s="143">
        <v>2</v>
      </c>
      <c r="F18" s="137">
        <v>1</v>
      </c>
      <c r="G18" s="137">
        <v>1</v>
      </c>
      <c r="H18" s="137">
        <v>1</v>
      </c>
      <c r="I18" s="137">
        <v>1</v>
      </c>
      <c r="K18" s="143" t="s">
        <v>757</v>
      </c>
      <c r="L18" s="143" t="s">
        <v>758</v>
      </c>
      <c r="M18" s="143" t="s">
        <v>680</v>
      </c>
      <c r="N18" s="143">
        <v>4274</v>
      </c>
      <c r="O18" s="354">
        <v>0.4</v>
      </c>
      <c r="P18" s="354">
        <v>0.6</v>
      </c>
      <c r="Q18" s="354">
        <v>1</v>
      </c>
      <c r="R18" s="137" t="s">
        <v>3184</v>
      </c>
      <c r="S18" s="137">
        <v>0.66666669999999995</v>
      </c>
      <c r="T18" s="137" t="s">
        <v>3184</v>
      </c>
      <c r="W18" s="143" t="s">
        <v>757</v>
      </c>
      <c r="X18" s="143" t="s">
        <v>758</v>
      </c>
      <c r="Y18" s="143" t="s">
        <v>680</v>
      </c>
      <c r="Z18" s="143">
        <v>4274</v>
      </c>
      <c r="AA18" s="143">
        <v>0</v>
      </c>
      <c r="AD18" s="137">
        <v>0</v>
      </c>
      <c r="AE18" s="137">
        <v>0.66666669999999995</v>
      </c>
      <c r="AG18" s="143" t="s">
        <v>757</v>
      </c>
      <c r="AH18" s="143" t="s">
        <v>758</v>
      </c>
      <c r="AI18" s="143" t="s">
        <v>680</v>
      </c>
      <c r="AJ18" s="143">
        <v>4274</v>
      </c>
      <c r="AK18" s="143">
        <v>2</v>
      </c>
      <c r="AL18" s="156">
        <v>2.5</v>
      </c>
      <c r="AM18" s="156">
        <v>3</v>
      </c>
      <c r="AN18" s="156">
        <v>3</v>
      </c>
      <c r="AO18" s="156">
        <v>3</v>
      </c>
      <c r="AP18" s="156">
        <v>2</v>
      </c>
      <c r="AQ18" s="156">
        <v>3</v>
      </c>
      <c r="AR18" s="156">
        <v>3.5</v>
      </c>
      <c r="AS18" s="169">
        <v>2.8571430000000002</v>
      </c>
    </row>
    <row r="19" spans="1:45" x14ac:dyDescent="0.25">
      <c r="A19" s="143" t="s">
        <v>757</v>
      </c>
      <c r="B19" s="143" t="s">
        <v>758</v>
      </c>
      <c r="C19" s="143" t="s">
        <v>680</v>
      </c>
      <c r="D19" s="143">
        <v>4287</v>
      </c>
      <c r="E19" s="143">
        <v>2</v>
      </c>
      <c r="F19" s="137">
        <v>1</v>
      </c>
      <c r="G19" s="137">
        <v>1</v>
      </c>
      <c r="H19" s="137">
        <v>1</v>
      </c>
      <c r="I19" s="137">
        <v>0</v>
      </c>
      <c r="K19" s="143" t="s">
        <v>757</v>
      </c>
      <c r="L19" s="143" t="s">
        <v>758</v>
      </c>
      <c r="M19" s="143" t="s">
        <v>680</v>
      </c>
      <c r="N19" s="143">
        <v>4287</v>
      </c>
      <c r="O19" s="354">
        <v>0.4</v>
      </c>
      <c r="P19" s="354">
        <v>0.6</v>
      </c>
      <c r="Q19" s="137">
        <v>1</v>
      </c>
      <c r="R19" s="137" t="s">
        <v>3184</v>
      </c>
      <c r="S19" s="137">
        <v>0.66666669999999995</v>
      </c>
      <c r="T19" s="137" t="s">
        <v>3184</v>
      </c>
      <c r="W19" s="143" t="s">
        <v>757</v>
      </c>
      <c r="X19" s="143" t="s">
        <v>758</v>
      </c>
      <c r="Y19" s="143" t="s">
        <v>680</v>
      </c>
      <c r="Z19" s="143">
        <v>4287</v>
      </c>
      <c r="AA19" s="143">
        <v>0</v>
      </c>
      <c r="AD19" s="137">
        <v>0</v>
      </c>
      <c r="AE19" s="137">
        <v>0.66666669999999995</v>
      </c>
      <c r="AG19" s="143" t="s">
        <v>757</v>
      </c>
      <c r="AH19" s="143" t="s">
        <v>758</v>
      </c>
      <c r="AI19" s="143" t="s">
        <v>680</v>
      </c>
      <c r="AJ19" s="143">
        <v>4287</v>
      </c>
      <c r="AK19" s="143">
        <v>2</v>
      </c>
      <c r="AL19" s="156">
        <v>3</v>
      </c>
      <c r="AM19" s="156">
        <v>3</v>
      </c>
      <c r="AN19" s="156">
        <v>3</v>
      </c>
      <c r="AO19" s="156">
        <v>3</v>
      </c>
      <c r="AP19" s="156">
        <v>3</v>
      </c>
      <c r="AQ19" s="156">
        <v>3</v>
      </c>
      <c r="AR19" s="156">
        <v>3</v>
      </c>
      <c r="AS19" s="169">
        <v>3.0714290000000002</v>
      </c>
    </row>
    <row r="20" spans="1:45" x14ac:dyDescent="0.25">
      <c r="A20" s="143" t="s">
        <v>757</v>
      </c>
      <c r="B20" s="143" t="s">
        <v>758</v>
      </c>
      <c r="C20" s="143" t="s">
        <v>680</v>
      </c>
      <c r="D20" s="143">
        <v>4291</v>
      </c>
      <c r="E20" s="143">
        <v>2</v>
      </c>
      <c r="F20" s="137">
        <v>1</v>
      </c>
      <c r="G20" s="137">
        <v>1</v>
      </c>
      <c r="H20" s="137">
        <v>1</v>
      </c>
      <c r="I20" s="137">
        <v>0</v>
      </c>
      <c r="K20" s="143" t="s">
        <v>757</v>
      </c>
      <c r="L20" s="143" t="s">
        <v>758</v>
      </c>
      <c r="M20" s="143" t="s">
        <v>680</v>
      </c>
      <c r="N20" s="143">
        <v>4291</v>
      </c>
      <c r="O20" s="354">
        <v>0.4</v>
      </c>
      <c r="P20" s="354">
        <v>0.3</v>
      </c>
      <c r="Q20" s="354">
        <v>0.7</v>
      </c>
      <c r="R20" s="137" t="s">
        <v>3185</v>
      </c>
      <c r="S20" s="137">
        <v>0.66666669999999995</v>
      </c>
      <c r="T20" s="137" t="s">
        <v>3185</v>
      </c>
      <c r="W20" s="143" t="s">
        <v>757</v>
      </c>
      <c r="X20" s="143" t="s">
        <v>758</v>
      </c>
      <c r="Y20" s="143" t="s">
        <v>680</v>
      </c>
      <c r="Z20" s="143">
        <v>4291</v>
      </c>
      <c r="AA20" s="143">
        <v>0</v>
      </c>
      <c r="AD20" s="137">
        <v>0</v>
      </c>
      <c r="AE20" s="137">
        <v>0.66666669999999995</v>
      </c>
      <c r="AG20" s="143" t="s">
        <v>757</v>
      </c>
      <c r="AH20" s="143" t="s">
        <v>758</v>
      </c>
      <c r="AI20" s="143" t="s">
        <v>680</v>
      </c>
      <c r="AJ20" s="143">
        <v>4291</v>
      </c>
      <c r="AK20" s="143">
        <v>2</v>
      </c>
      <c r="AL20" s="156">
        <v>2</v>
      </c>
      <c r="AM20" s="156">
        <v>3</v>
      </c>
      <c r="AN20" s="156">
        <v>3</v>
      </c>
      <c r="AO20" s="156">
        <v>3</v>
      </c>
      <c r="AP20" s="156">
        <v>4</v>
      </c>
      <c r="AQ20" s="156">
        <v>3</v>
      </c>
      <c r="AR20" s="156">
        <v>4</v>
      </c>
      <c r="AS20" s="169">
        <v>3.285714</v>
      </c>
    </row>
    <row r="21" spans="1:45" x14ac:dyDescent="0.25">
      <c r="A21" s="143" t="s">
        <v>759</v>
      </c>
      <c r="B21" s="143" t="s">
        <v>758</v>
      </c>
      <c r="C21" s="143" t="s">
        <v>729</v>
      </c>
      <c r="D21" s="143">
        <v>459</v>
      </c>
      <c r="E21" s="143">
        <v>8</v>
      </c>
      <c r="F21" s="137">
        <v>1</v>
      </c>
      <c r="G21" s="137">
        <v>1</v>
      </c>
      <c r="H21" s="137">
        <v>1</v>
      </c>
      <c r="I21" s="137">
        <v>0</v>
      </c>
      <c r="K21" s="143" t="s">
        <v>759</v>
      </c>
      <c r="L21" s="143" t="s">
        <v>758</v>
      </c>
      <c r="M21" s="143" t="s">
        <v>729</v>
      </c>
      <c r="N21" s="143">
        <v>459</v>
      </c>
      <c r="O21" s="354">
        <v>0.3922078</v>
      </c>
      <c r="P21" s="354">
        <v>0.6</v>
      </c>
      <c r="Q21" s="354">
        <v>0.99220779999999997</v>
      </c>
      <c r="R21" s="137" t="s">
        <v>3185</v>
      </c>
      <c r="S21" s="137">
        <v>0.328125</v>
      </c>
      <c r="T21" s="137" t="s">
        <v>3184</v>
      </c>
      <c r="U21" s="137" t="s">
        <v>3184</v>
      </c>
      <c r="W21" s="143" t="s">
        <v>759</v>
      </c>
      <c r="X21" s="143" t="s">
        <v>758</v>
      </c>
      <c r="Y21" s="143" t="s">
        <v>729</v>
      </c>
      <c r="Z21" s="143">
        <v>459</v>
      </c>
      <c r="AA21" s="143">
        <v>8</v>
      </c>
      <c r="AB21" s="137">
        <v>0.5</v>
      </c>
      <c r="AC21" s="137">
        <v>0</v>
      </c>
      <c r="AD21" s="137">
        <v>0</v>
      </c>
      <c r="AG21" s="143" t="s">
        <v>759</v>
      </c>
      <c r="AH21" s="143" t="s">
        <v>758</v>
      </c>
      <c r="AI21" s="143" t="s">
        <v>729</v>
      </c>
      <c r="AJ21" s="143">
        <v>459</v>
      </c>
      <c r="AK21" s="143">
        <v>8</v>
      </c>
      <c r="AL21" s="156">
        <v>1.625</v>
      </c>
      <c r="AM21" s="156">
        <v>3.625</v>
      </c>
      <c r="AN21" s="156">
        <v>3.625</v>
      </c>
      <c r="AO21" s="156">
        <v>3.5</v>
      </c>
      <c r="AP21" s="156">
        <v>2.625</v>
      </c>
      <c r="AQ21" s="156">
        <v>2.5</v>
      </c>
      <c r="AR21" s="156">
        <v>3.5</v>
      </c>
      <c r="AS21" s="169">
        <v>3.3035709999999998</v>
      </c>
    </row>
    <row r="22" spans="1:45" x14ac:dyDescent="0.25">
      <c r="A22" s="143" t="s">
        <v>759</v>
      </c>
      <c r="B22" s="143" t="s">
        <v>758</v>
      </c>
      <c r="C22" s="143" t="s">
        <v>727</v>
      </c>
      <c r="D22" s="143">
        <v>483</v>
      </c>
      <c r="E22" s="143">
        <v>3</v>
      </c>
      <c r="F22" s="137">
        <v>1</v>
      </c>
      <c r="G22" s="137">
        <v>1</v>
      </c>
      <c r="H22" s="137">
        <v>1</v>
      </c>
      <c r="I22" s="137">
        <v>1</v>
      </c>
      <c r="K22" s="143" t="s">
        <v>759</v>
      </c>
      <c r="L22" s="143" t="s">
        <v>758</v>
      </c>
      <c r="M22" s="143" t="s">
        <v>727</v>
      </c>
      <c r="N22" s="143">
        <v>483</v>
      </c>
      <c r="O22" s="354">
        <v>0.4</v>
      </c>
      <c r="P22" s="354">
        <v>0.6</v>
      </c>
      <c r="Q22" s="354">
        <v>1</v>
      </c>
      <c r="R22" s="137" t="s">
        <v>3184</v>
      </c>
      <c r="S22" s="137">
        <v>0.5</v>
      </c>
      <c r="T22" s="137" t="s">
        <v>3184</v>
      </c>
      <c r="U22" s="137" t="s">
        <v>3184</v>
      </c>
      <c r="W22" s="143" t="s">
        <v>759</v>
      </c>
      <c r="X22" s="143" t="s">
        <v>758</v>
      </c>
      <c r="Y22" s="143" t="s">
        <v>727</v>
      </c>
      <c r="Z22" s="143">
        <v>483</v>
      </c>
      <c r="AA22" s="143">
        <v>0</v>
      </c>
      <c r="AD22" s="137">
        <v>7.1428599999999995E-2</v>
      </c>
      <c r="AE22" s="137">
        <v>0</v>
      </c>
      <c r="AG22" s="143" t="s">
        <v>759</v>
      </c>
      <c r="AH22" s="143" t="s">
        <v>758</v>
      </c>
      <c r="AI22" s="143" t="s">
        <v>727</v>
      </c>
      <c r="AJ22" s="143">
        <v>483</v>
      </c>
      <c r="AK22" s="143">
        <v>3</v>
      </c>
      <c r="AL22" s="156">
        <v>1.3333333730697601</v>
      </c>
      <c r="AM22" s="156">
        <v>4</v>
      </c>
      <c r="AN22" s="156">
        <v>3.6666667461395299</v>
      </c>
      <c r="AO22" s="156">
        <v>3.6666667461395299</v>
      </c>
      <c r="AP22" s="156">
        <v>2.3333332538604701</v>
      </c>
      <c r="AQ22" s="156">
        <v>3</v>
      </c>
      <c r="AR22" s="156">
        <v>3.6666667461395299</v>
      </c>
      <c r="AS22" s="169">
        <v>3.4285709999999998</v>
      </c>
    </row>
    <row r="23" spans="1:45" x14ac:dyDescent="0.25">
      <c r="A23" s="143" t="s">
        <v>759</v>
      </c>
      <c r="B23" s="143" t="s">
        <v>758</v>
      </c>
      <c r="C23" s="143" t="s">
        <v>727</v>
      </c>
      <c r="D23" s="143">
        <v>489</v>
      </c>
      <c r="E23" s="143">
        <v>3</v>
      </c>
      <c r="F23" s="137">
        <v>1</v>
      </c>
      <c r="G23" s="137">
        <v>1</v>
      </c>
      <c r="H23" s="137">
        <v>1</v>
      </c>
      <c r="I23" s="137">
        <v>1</v>
      </c>
      <c r="K23" s="143" t="s">
        <v>759</v>
      </c>
      <c r="L23" s="143" t="s">
        <v>758</v>
      </c>
      <c r="M23" s="143" t="s">
        <v>727</v>
      </c>
      <c r="N23" s="143">
        <v>489</v>
      </c>
      <c r="O23" s="354">
        <v>0.4</v>
      </c>
      <c r="P23" s="354">
        <v>0.6</v>
      </c>
      <c r="Q23" s="354">
        <v>1</v>
      </c>
      <c r="R23" s="137" t="s">
        <v>3184</v>
      </c>
      <c r="S23" s="137">
        <v>0.57142859999999995</v>
      </c>
      <c r="T23" s="137" t="s">
        <v>3184</v>
      </c>
      <c r="U23" s="137" t="s">
        <v>3184</v>
      </c>
      <c r="W23" s="143" t="s">
        <v>759</v>
      </c>
      <c r="X23" s="143" t="s">
        <v>758</v>
      </c>
      <c r="Y23" s="143" t="s">
        <v>727</v>
      </c>
      <c r="Z23" s="143">
        <v>489</v>
      </c>
      <c r="AA23" s="143">
        <v>0</v>
      </c>
      <c r="AD23" s="137">
        <v>0.14285709999999999</v>
      </c>
      <c r="AE23" s="137">
        <v>0</v>
      </c>
      <c r="AG23" s="143" t="s">
        <v>759</v>
      </c>
      <c r="AH23" s="143" t="s">
        <v>758</v>
      </c>
      <c r="AI23" s="143" t="s">
        <v>727</v>
      </c>
      <c r="AJ23" s="143">
        <v>489</v>
      </c>
      <c r="AK23" s="143">
        <v>3</v>
      </c>
      <c r="AL23" s="156">
        <v>2</v>
      </c>
      <c r="AM23" s="156">
        <v>3.3333332538604701</v>
      </c>
      <c r="AN23" s="156">
        <v>3.3333332538604701</v>
      </c>
      <c r="AO23" s="156">
        <v>3.3333332538604701</v>
      </c>
      <c r="AP23" s="156">
        <v>2</v>
      </c>
      <c r="AQ23" s="156">
        <v>2.6666667461395299</v>
      </c>
      <c r="AR23" s="156">
        <v>3.6666667461395299</v>
      </c>
      <c r="AS23" s="169">
        <v>3.0476190000000001</v>
      </c>
    </row>
    <row r="24" spans="1:45" x14ac:dyDescent="0.25">
      <c r="A24" s="143" t="s">
        <v>759</v>
      </c>
      <c r="B24" s="143" t="s">
        <v>758</v>
      </c>
      <c r="C24" s="143" t="s">
        <v>728</v>
      </c>
      <c r="D24" s="143">
        <v>1805</v>
      </c>
      <c r="E24" s="143">
        <v>2</v>
      </c>
      <c r="F24" s="137">
        <v>1</v>
      </c>
      <c r="G24" s="137">
        <v>1</v>
      </c>
      <c r="H24" s="137">
        <v>1</v>
      </c>
      <c r="I24" s="137">
        <v>0</v>
      </c>
      <c r="K24" s="143" t="s">
        <v>759</v>
      </c>
      <c r="L24" s="143" t="s">
        <v>758</v>
      </c>
      <c r="M24" s="143" t="s">
        <v>728</v>
      </c>
      <c r="N24" s="143">
        <v>1805</v>
      </c>
      <c r="O24" s="354">
        <v>0.39740259999999999</v>
      </c>
      <c r="P24" s="354">
        <v>0.6</v>
      </c>
      <c r="Q24" s="354">
        <v>0.99740260000000003</v>
      </c>
      <c r="R24" s="137" t="s">
        <v>3185</v>
      </c>
      <c r="S24" s="137">
        <v>0.44444440000000002</v>
      </c>
      <c r="T24" s="137" t="s">
        <v>3184</v>
      </c>
      <c r="U24" s="137" t="s">
        <v>3184</v>
      </c>
      <c r="W24" s="143" t="s">
        <v>759</v>
      </c>
      <c r="X24" s="143" t="s">
        <v>758</v>
      </c>
      <c r="Y24" s="143" t="s">
        <v>728</v>
      </c>
      <c r="Z24" s="143">
        <v>1805</v>
      </c>
      <c r="AA24" s="143">
        <v>0</v>
      </c>
      <c r="AD24" s="137">
        <v>0.22222220000000001</v>
      </c>
      <c r="AE24" s="137">
        <v>0</v>
      </c>
      <c r="AG24" s="143" t="s">
        <v>759</v>
      </c>
      <c r="AH24" s="143" t="s">
        <v>758</v>
      </c>
      <c r="AI24" s="143" t="s">
        <v>728</v>
      </c>
      <c r="AJ24" s="143">
        <v>1805</v>
      </c>
      <c r="AK24" s="143">
        <v>2</v>
      </c>
      <c r="AL24" s="156">
        <v>1</v>
      </c>
      <c r="AM24" s="156">
        <v>4</v>
      </c>
      <c r="AN24" s="156">
        <v>3.5</v>
      </c>
      <c r="AO24" s="156">
        <v>3.5</v>
      </c>
      <c r="AP24" s="156">
        <v>4</v>
      </c>
      <c r="AQ24" s="156">
        <v>4</v>
      </c>
      <c r="AR24" s="156">
        <v>4</v>
      </c>
      <c r="AS24" s="169">
        <v>3.8571430000000002</v>
      </c>
    </row>
    <row r="25" spans="1:45" x14ac:dyDescent="0.25">
      <c r="A25" s="143" t="s">
        <v>759</v>
      </c>
      <c r="B25" s="143" t="s">
        <v>758</v>
      </c>
      <c r="C25" s="143" t="s">
        <v>728</v>
      </c>
      <c r="D25" s="143">
        <v>2062</v>
      </c>
      <c r="E25" s="143">
        <v>2</v>
      </c>
      <c r="F25" s="137">
        <v>1</v>
      </c>
      <c r="G25" s="137">
        <v>1</v>
      </c>
      <c r="H25" s="137">
        <v>1</v>
      </c>
      <c r="I25" s="137">
        <v>0</v>
      </c>
      <c r="K25" s="143" t="s">
        <v>759</v>
      </c>
      <c r="L25" s="143" t="s">
        <v>758</v>
      </c>
      <c r="M25" s="143" t="s">
        <v>728</v>
      </c>
      <c r="N25" s="143">
        <v>2062</v>
      </c>
      <c r="O25" s="354">
        <v>0.4</v>
      </c>
      <c r="P25" s="354">
        <v>0.6</v>
      </c>
      <c r="Q25" s="137">
        <v>1</v>
      </c>
      <c r="R25" s="137" t="s">
        <v>3184</v>
      </c>
      <c r="S25" s="137">
        <v>0.42857139999999999</v>
      </c>
      <c r="T25" s="137" t="s">
        <v>3184</v>
      </c>
      <c r="U25" s="137" t="s">
        <v>3184</v>
      </c>
      <c r="W25" s="143" t="s">
        <v>759</v>
      </c>
      <c r="X25" s="143" t="s">
        <v>758</v>
      </c>
      <c r="Y25" s="143" t="s">
        <v>728</v>
      </c>
      <c r="Z25" s="143">
        <v>2062</v>
      </c>
      <c r="AA25" s="143">
        <v>0</v>
      </c>
      <c r="AD25" s="137">
        <v>0</v>
      </c>
      <c r="AG25" s="143" t="s">
        <v>759</v>
      </c>
      <c r="AH25" s="143" t="s">
        <v>758</v>
      </c>
      <c r="AI25" s="143" t="s">
        <v>728</v>
      </c>
      <c r="AJ25" s="143">
        <v>2062</v>
      </c>
      <c r="AK25" s="143">
        <v>2</v>
      </c>
      <c r="AL25" s="156">
        <v>1.5</v>
      </c>
      <c r="AM25" s="156">
        <v>4</v>
      </c>
      <c r="AN25" s="156">
        <v>4</v>
      </c>
      <c r="AO25" s="156">
        <v>3.5</v>
      </c>
      <c r="AP25" s="156">
        <v>2.5</v>
      </c>
      <c r="AQ25" s="156">
        <v>2</v>
      </c>
      <c r="AR25" s="156">
        <v>3.5</v>
      </c>
      <c r="AS25" s="169">
        <v>3.285714</v>
      </c>
    </row>
    <row r="26" spans="1:45" x14ac:dyDescent="0.25">
      <c r="A26" s="143" t="s">
        <v>759</v>
      </c>
      <c r="B26" s="143" t="s">
        <v>758</v>
      </c>
      <c r="C26" s="143" t="s">
        <v>728</v>
      </c>
      <c r="D26" s="143">
        <v>2152</v>
      </c>
      <c r="E26" s="143">
        <v>2</v>
      </c>
      <c r="F26" s="137">
        <v>1</v>
      </c>
      <c r="G26" s="137">
        <v>1</v>
      </c>
      <c r="H26" s="137">
        <v>1</v>
      </c>
      <c r="I26" s="137">
        <v>1</v>
      </c>
      <c r="K26" s="143" t="s">
        <v>759</v>
      </c>
      <c r="L26" s="143" t="s">
        <v>758</v>
      </c>
      <c r="M26" s="143" t="s">
        <v>728</v>
      </c>
      <c r="N26" s="143">
        <v>2152</v>
      </c>
      <c r="O26" s="354">
        <v>0.39740259999999999</v>
      </c>
      <c r="P26" s="354">
        <v>0.6</v>
      </c>
      <c r="Q26" s="137">
        <v>0.99740260000000003</v>
      </c>
      <c r="R26" s="137" t="s">
        <v>3185</v>
      </c>
      <c r="S26" s="137">
        <v>0.42857139999999999</v>
      </c>
      <c r="T26" s="137" t="s">
        <v>3184</v>
      </c>
      <c r="U26" s="137" t="s">
        <v>3184</v>
      </c>
      <c r="W26" s="143" t="s">
        <v>759</v>
      </c>
      <c r="X26" s="143" t="s">
        <v>758</v>
      </c>
      <c r="Y26" s="143" t="s">
        <v>728</v>
      </c>
      <c r="Z26" s="143">
        <v>2152</v>
      </c>
      <c r="AA26" s="143">
        <v>0</v>
      </c>
      <c r="AD26" s="137">
        <v>0</v>
      </c>
      <c r="AG26" s="143" t="s">
        <v>759</v>
      </c>
      <c r="AH26" s="143" t="s">
        <v>758</v>
      </c>
      <c r="AI26" s="143" t="s">
        <v>728</v>
      </c>
      <c r="AJ26" s="143">
        <v>2152</v>
      </c>
      <c r="AK26" s="143">
        <v>2</v>
      </c>
      <c r="AL26" s="156">
        <v>2</v>
      </c>
      <c r="AM26" s="156">
        <v>4</v>
      </c>
      <c r="AN26" s="156">
        <v>4</v>
      </c>
      <c r="AO26" s="156">
        <v>3</v>
      </c>
      <c r="AP26" s="156">
        <v>4</v>
      </c>
      <c r="AQ26" s="156">
        <v>3.5</v>
      </c>
      <c r="AR26" s="156">
        <v>4</v>
      </c>
      <c r="AS26" s="169">
        <v>3.6428569999999998</v>
      </c>
    </row>
    <row r="27" spans="1:45" x14ac:dyDescent="0.25">
      <c r="A27" s="143" t="s">
        <v>759</v>
      </c>
      <c r="B27" s="143" t="s">
        <v>758</v>
      </c>
      <c r="C27" s="143" t="s">
        <v>680</v>
      </c>
      <c r="D27" s="143">
        <v>2620</v>
      </c>
      <c r="E27" s="143">
        <v>2</v>
      </c>
      <c r="F27" s="137">
        <v>1</v>
      </c>
      <c r="G27" s="137">
        <v>1</v>
      </c>
      <c r="H27" s="137">
        <v>1</v>
      </c>
      <c r="I27" s="137">
        <v>1</v>
      </c>
      <c r="K27" s="143" t="s">
        <v>759</v>
      </c>
      <c r="L27" s="143" t="s">
        <v>758</v>
      </c>
      <c r="M27" s="143" t="s">
        <v>680</v>
      </c>
      <c r="N27" s="143">
        <v>2620</v>
      </c>
      <c r="O27" s="354">
        <v>0.3922078</v>
      </c>
      <c r="P27" s="354">
        <v>0.6</v>
      </c>
      <c r="Q27" s="137">
        <v>0.99220779999999997</v>
      </c>
      <c r="R27" s="137" t="s">
        <v>3185</v>
      </c>
      <c r="S27" s="137">
        <v>0.3333333</v>
      </c>
      <c r="T27" s="137" t="s">
        <v>3184</v>
      </c>
      <c r="W27" s="143" t="s">
        <v>759</v>
      </c>
      <c r="X27" s="143" t="s">
        <v>758</v>
      </c>
      <c r="Y27" s="143" t="s">
        <v>680</v>
      </c>
      <c r="Z27" s="143">
        <v>2620</v>
      </c>
      <c r="AA27" s="143">
        <v>0</v>
      </c>
      <c r="AD27" s="137">
        <v>0</v>
      </c>
      <c r="AG27" s="143" t="s">
        <v>759</v>
      </c>
      <c r="AH27" s="143" t="s">
        <v>758</v>
      </c>
      <c r="AI27" s="143" t="s">
        <v>680</v>
      </c>
      <c r="AJ27" s="143">
        <v>2620</v>
      </c>
      <c r="AK27" s="143">
        <v>2</v>
      </c>
      <c r="AL27" s="156">
        <v>2</v>
      </c>
      <c r="AM27" s="156">
        <v>3.5</v>
      </c>
      <c r="AN27" s="156">
        <v>3</v>
      </c>
      <c r="AO27" s="156">
        <v>3</v>
      </c>
      <c r="AP27" s="156">
        <v>3</v>
      </c>
      <c r="AQ27" s="156">
        <v>3</v>
      </c>
      <c r="AR27" s="156">
        <v>4</v>
      </c>
      <c r="AS27" s="169">
        <v>3.214286</v>
      </c>
    </row>
    <row r="28" spans="1:45" x14ac:dyDescent="0.25">
      <c r="A28" s="143" t="s">
        <v>759</v>
      </c>
      <c r="B28" s="143" t="s">
        <v>758</v>
      </c>
      <c r="C28" s="143" t="s">
        <v>680</v>
      </c>
      <c r="D28" s="143">
        <v>2712</v>
      </c>
      <c r="E28" s="143">
        <v>2</v>
      </c>
      <c r="F28" s="137">
        <v>1</v>
      </c>
      <c r="G28" s="137">
        <v>1</v>
      </c>
      <c r="H28" s="137">
        <v>1</v>
      </c>
      <c r="I28" s="137">
        <v>0</v>
      </c>
      <c r="K28" s="143" t="s">
        <v>759</v>
      </c>
      <c r="L28" s="143" t="s">
        <v>758</v>
      </c>
      <c r="M28" s="143" t="s">
        <v>680</v>
      </c>
      <c r="N28" s="143">
        <v>2712</v>
      </c>
      <c r="O28" s="354">
        <v>0.4</v>
      </c>
      <c r="P28" s="354">
        <v>0.6</v>
      </c>
      <c r="Q28" s="354">
        <v>1</v>
      </c>
      <c r="R28" s="137" t="s">
        <v>3184</v>
      </c>
      <c r="S28" s="137">
        <v>0.75</v>
      </c>
      <c r="T28" s="137" t="s">
        <v>3184</v>
      </c>
      <c r="W28" s="143" t="s">
        <v>759</v>
      </c>
      <c r="X28" s="143" t="s">
        <v>758</v>
      </c>
      <c r="Y28" s="143" t="s">
        <v>680</v>
      </c>
      <c r="Z28" s="143">
        <v>2712</v>
      </c>
      <c r="AA28" s="143">
        <v>0</v>
      </c>
      <c r="AD28" s="137">
        <v>0</v>
      </c>
      <c r="AG28" s="143" t="s">
        <v>759</v>
      </c>
      <c r="AH28" s="143" t="s">
        <v>758</v>
      </c>
      <c r="AI28" s="143" t="s">
        <v>680</v>
      </c>
      <c r="AJ28" s="143">
        <v>2712</v>
      </c>
      <c r="AK28" s="143">
        <v>2</v>
      </c>
      <c r="AL28" s="156">
        <v>1.5</v>
      </c>
      <c r="AM28" s="156">
        <v>4</v>
      </c>
      <c r="AN28" s="156">
        <v>4</v>
      </c>
      <c r="AO28" s="156">
        <v>3.5</v>
      </c>
      <c r="AP28" s="156">
        <v>4</v>
      </c>
      <c r="AQ28" s="156">
        <v>3.5</v>
      </c>
      <c r="AR28" s="156">
        <v>4</v>
      </c>
      <c r="AS28" s="169">
        <v>3.785714</v>
      </c>
    </row>
    <row r="29" spans="1:45" x14ac:dyDescent="0.25">
      <c r="A29" s="143" t="s">
        <v>759</v>
      </c>
      <c r="B29" s="143" t="s">
        <v>758</v>
      </c>
      <c r="C29" s="143" t="s">
        <v>680</v>
      </c>
      <c r="D29" s="143">
        <v>2724</v>
      </c>
      <c r="E29" s="143">
        <v>2</v>
      </c>
      <c r="F29" s="137">
        <v>1</v>
      </c>
      <c r="G29" s="137">
        <v>1</v>
      </c>
      <c r="H29" s="137">
        <v>1</v>
      </c>
      <c r="I29" s="137">
        <v>0</v>
      </c>
      <c r="K29" s="143" t="s">
        <v>759</v>
      </c>
      <c r="L29" s="143" t="s">
        <v>758</v>
      </c>
      <c r="M29" s="143" t="s">
        <v>680</v>
      </c>
      <c r="N29" s="143">
        <v>2724</v>
      </c>
      <c r="O29" s="354">
        <v>0.37922080000000002</v>
      </c>
      <c r="P29" s="354">
        <v>0.6</v>
      </c>
      <c r="Q29" s="137">
        <v>0.9792208</v>
      </c>
      <c r="R29" s="137" t="s">
        <v>3185</v>
      </c>
      <c r="S29" s="137">
        <v>0.75</v>
      </c>
      <c r="T29" s="137" t="s">
        <v>3184</v>
      </c>
      <c r="W29" s="143" t="s">
        <v>759</v>
      </c>
      <c r="X29" s="143" t="s">
        <v>758</v>
      </c>
      <c r="Y29" s="143" t="s">
        <v>680</v>
      </c>
      <c r="Z29" s="143">
        <v>2724</v>
      </c>
      <c r="AA29" s="143">
        <v>0</v>
      </c>
      <c r="AD29" s="137">
        <v>0</v>
      </c>
      <c r="AG29" s="143" t="s">
        <v>759</v>
      </c>
      <c r="AH29" s="143" t="s">
        <v>758</v>
      </c>
      <c r="AI29" s="143" t="s">
        <v>680</v>
      </c>
      <c r="AJ29" s="143">
        <v>2724</v>
      </c>
      <c r="AK29" s="143">
        <v>2</v>
      </c>
      <c r="AL29" s="156">
        <v>1.5</v>
      </c>
      <c r="AM29" s="156">
        <v>4</v>
      </c>
      <c r="AN29" s="156">
        <v>3.5</v>
      </c>
      <c r="AO29" s="156">
        <v>4</v>
      </c>
      <c r="AP29" s="156">
        <v>3.5</v>
      </c>
      <c r="AQ29" s="156">
        <v>3</v>
      </c>
      <c r="AR29" s="156">
        <v>4</v>
      </c>
      <c r="AS29" s="169">
        <v>3.6428569999999998</v>
      </c>
    </row>
    <row r="30" spans="1:45" x14ac:dyDescent="0.25">
      <c r="A30" s="143" t="s">
        <v>759</v>
      </c>
      <c r="B30" s="143" t="s">
        <v>758</v>
      </c>
      <c r="C30" s="143" t="s">
        <v>680</v>
      </c>
      <c r="D30" s="143">
        <v>3176</v>
      </c>
      <c r="E30" s="143">
        <v>2</v>
      </c>
      <c r="F30" s="137">
        <v>1</v>
      </c>
      <c r="G30" s="137">
        <v>1</v>
      </c>
      <c r="H30" s="137">
        <v>1</v>
      </c>
      <c r="I30" s="137">
        <v>1</v>
      </c>
      <c r="K30" s="143" t="s">
        <v>759</v>
      </c>
      <c r="L30" s="143" t="s">
        <v>758</v>
      </c>
      <c r="M30" s="143" t="s">
        <v>680</v>
      </c>
      <c r="N30" s="143">
        <v>3176</v>
      </c>
      <c r="O30" s="354">
        <v>0.4</v>
      </c>
      <c r="P30" s="354">
        <v>0.6</v>
      </c>
      <c r="Q30" s="137">
        <v>1</v>
      </c>
      <c r="R30" s="137" t="s">
        <v>3184</v>
      </c>
      <c r="S30" s="137">
        <v>0.75</v>
      </c>
      <c r="T30" s="137" t="s">
        <v>3184</v>
      </c>
      <c r="W30" s="143" t="s">
        <v>759</v>
      </c>
      <c r="X30" s="143" t="s">
        <v>758</v>
      </c>
      <c r="Y30" s="143" t="s">
        <v>680</v>
      </c>
      <c r="Z30" s="143">
        <v>3176</v>
      </c>
      <c r="AA30" s="143">
        <v>0</v>
      </c>
      <c r="AD30" s="137">
        <v>0.25</v>
      </c>
      <c r="AE30" s="137">
        <v>0</v>
      </c>
      <c r="AG30" s="143" t="s">
        <v>759</v>
      </c>
      <c r="AH30" s="143" t="s">
        <v>758</v>
      </c>
      <c r="AI30" s="143" t="s">
        <v>680</v>
      </c>
      <c r="AJ30" s="143">
        <v>3176</v>
      </c>
      <c r="AK30" s="143">
        <v>2</v>
      </c>
      <c r="AL30" s="156">
        <v>1.5</v>
      </c>
      <c r="AM30" s="156">
        <v>4</v>
      </c>
      <c r="AN30" s="156">
        <v>4</v>
      </c>
      <c r="AO30" s="156">
        <v>4</v>
      </c>
      <c r="AP30" s="156">
        <v>3.5</v>
      </c>
      <c r="AQ30" s="156">
        <v>4</v>
      </c>
      <c r="AR30" s="156">
        <v>4</v>
      </c>
      <c r="AS30" s="169">
        <v>3.8571430000000002</v>
      </c>
    </row>
    <row r="31" spans="1:45" x14ac:dyDescent="0.25">
      <c r="A31" s="143" t="s">
        <v>759</v>
      </c>
      <c r="B31" s="143" t="s">
        <v>758</v>
      </c>
      <c r="C31" s="143" t="s">
        <v>680</v>
      </c>
      <c r="D31" s="143">
        <v>3252</v>
      </c>
      <c r="E31" s="143">
        <v>2</v>
      </c>
      <c r="F31" s="137">
        <v>1</v>
      </c>
      <c r="G31" s="137">
        <v>1</v>
      </c>
      <c r="H31" s="137">
        <v>1</v>
      </c>
      <c r="I31" s="137">
        <v>0</v>
      </c>
      <c r="K31" s="143" t="s">
        <v>759</v>
      </c>
      <c r="L31" s="143" t="s">
        <v>758</v>
      </c>
      <c r="M31" s="143" t="s">
        <v>680</v>
      </c>
      <c r="N31" s="143">
        <v>3252</v>
      </c>
      <c r="O31" s="354">
        <v>0.39740259999999999</v>
      </c>
      <c r="P31" s="354">
        <v>0.6</v>
      </c>
      <c r="Q31" s="354">
        <v>0.99740260000000003</v>
      </c>
      <c r="R31" s="137" t="s">
        <v>3185</v>
      </c>
      <c r="S31" s="137">
        <v>0.75</v>
      </c>
      <c r="T31" s="137" t="s">
        <v>3184</v>
      </c>
      <c r="W31" s="143" t="s">
        <v>759</v>
      </c>
      <c r="X31" s="143" t="s">
        <v>758</v>
      </c>
      <c r="Y31" s="143" t="s">
        <v>680</v>
      </c>
      <c r="Z31" s="143">
        <v>3252</v>
      </c>
      <c r="AA31" s="143">
        <v>0</v>
      </c>
      <c r="AD31" s="137">
        <v>0.25</v>
      </c>
      <c r="AE31" s="137">
        <v>0</v>
      </c>
      <c r="AG31" s="143" t="s">
        <v>759</v>
      </c>
      <c r="AH31" s="143" t="s">
        <v>758</v>
      </c>
      <c r="AI31" s="143" t="s">
        <v>680</v>
      </c>
      <c r="AJ31" s="143">
        <v>3252</v>
      </c>
      <c r="AK31" s="143">
        <v>2</v>
      </c>
      <c r="AL31" s="156">
        <v>1.5</v>
      </c>
      <c r="AM31" s="156">
        <v>3.5</v>
      </c>
      <c r="AN31" s="156">
        <v>3</v>
      </c>
      <c r="AO31" s="156">
        <v>3.5</v>
      </c>
      <c r="AP31" s="156">
        <v>2</v>
      </c>
      <c r="AQ31" s="156">
        <v>2.5</v>
      </c>
      <c r="AR31" s="156">
        <v>4</v>
      </c>
      <c r="AS31" s="169">
        <v>3.1428569999999998</v>
      </c>
    </row>
    <row r="32" spans="1:45" x14ac:dyDescent="0.25">
      <c r="A32" s="143" t="s">
        <v>760</v>
      </c>
      <c r="B32" s="143" t="s">
        <v>761</v>
      </c>
      <c r="C32" s="143" t="s">
        <v>729</v>
      </c>
      <c r="D32" s="143">
        <v>554</v>
      </c>
      <c r="E32" s="143">
        <v>8</v>
      </c>
      <c r="F32" s="137">
        <v>1</v>
      </c>
      <c r="G32" s="137">
        <v>1</v>
      </c>
      <c r="H32" s="137">
        <v>1</v>
      </c>
      <c r="I32" s="137">
        <v>0</v>
      </c>
      <c r="K32" s="143" t="s">
        <v>760</v>
      </c>
      <c r="L32" s="143" t="s">
        <v>761</v>
      </c>
      <c r="M32" s="143" t="s">
        <v>729</v>
      </c>
      <c r="N32" s="143">
        <v>554</v>
      </c>
      <c r="O32" s="354">
        <v>0.39740259999999999</v>
      </c>
      <c r="P32" s="354">
        <v>0.6</v>
      </c>
      <c r="Q32" s="354">
        <v>0.99740269999999998</v>
      </c>
      <c r="R32" s="137" t="s">
        <v>3185</v>
      </c>
      <c r="S32" s="137">
        <v>0.4375</v>
      </c>
      <c r="T32" s="137" t="s">
        <v>3184</v>
      </c>
      <c r="U32" s="137" t="s">
        <v>3184</v>
      </c>
      <c r="W32" s="143" t="s">
        <v>760</v>
      </c>
      <c r="X32" s="143" t="s">
        <v>761</v>
      </c>
      <c r="Y32" s="143" t="s">
        <v>729</v>
      </c>
      <c r="Z32" s="143">
        <v>554</v>
      </c>
      <c r="AA32" s="143">
        <v>8</v>
      </c>
      <c r="AB32" s="137">
        <v>0.625</v>
      </c>
      <c r="AC32" s="137">
        <v>0.3333333</v>
      </c>
      <c r="AD32" s="137">
        <v>0.15625</v>
      </c>
      <c r="AE32" s="137">
        <v>0</v>
      </c>
      <c r="AG32" s="143" t="s">
        <v>760</v>
      </c>
      <c r="AH32" s="143" t="s">
        <v>761</v>
      </c>
      <c r="AI32" s="143" t="s">
        <v>729</v>
      </c>
      <c r="AJ32" s="143">
        <v>554</v>
      </c>
      <c r="AK32" s="143">
        <v>8</v>
      </c>
      <c r="AL32" s="156">
        <v>1.5</v>
      </c>
      <c r="AM32" s="156">
        <v>3.5</v>
      </c>
      <c r="AN32" s="156">
        <v>3.5</v>
      </c>
      <c r="AO32" s="156">
        <v>3.625</v>
      </c>
      <c r="AP32" s="156">
        <v>2.75</v>
      </c>
      <c r="AQ32" s="156">
        <v>3.125</v>
      </c>
      <c r="AR32" s="156">
        <v>3.5</v>
      </c>
      <c r="AS32" s="169">
        <v>3.3571430000000002</v>
      </c>
    </row>
    <row r="33" spans="1:45" x14ac:dyDescent="0.25">
      <c r="A33" s="143" t="s">
        <v>760</v>
      </c>
      <c r="B33" s="143" t="s">
        <v>761</v>
      </c>
      <c r="C33" s="143" t="s">
        <v>727</v>
      </c>
      <c r="D33" s="143">
        <v>567</v>
      </c>
      <c r="E33" s="143">
        <v>3</v>
      </c>
      <c r="F33" s="137">
        <v>1</v>
      </c>
      <c r="G33" s="137">
        <v>1</v>
      </c>
      <c r="H33" s="137">
        <v>1</v>
      </c>
      <c r="I33" s="137">
        <v>0</v>
      </c>
      <c r="K33" s="143" t="s">
        <v>760</v>
      </c>
      <c r="L33" s="143" t="s">
        <v>761</v>
      </c>
      <c r="M33" s="143" t="s">
        <v>727</v>
      </c>
      <c r="N33" s="143">
        <v>567</v>
      </c>
      <c r="O33" s="354">
        <v>0.4</v>
      </c>
      <c r="P33" s="354">
        <v>0.6</v>
      </c>
      <c r="Q33" s="354">
        <v>1</v>
      </c>
      <c r="R33" s="137" t="s">
        <v>3184</v>
      </c>
      <c r="S33" s="137">
        <v>0.58333330000000005</v>
      </c>
      <c r="T33" s="78" t="s">
        <v>3184</v>
      </c>
      <c r="U33" s="78" t="s">
        <v>3184</v>
      </c>
      <c r="W33" s="143" t="s">
        <v>760</v>
      </c>
      <c r="X33" s="143" t="s">
        <v>761</v>
      </c>
      <c r="Y33" s="143" t="s">
        <v>727</v>
      </c>
      <c r="Z33" s="143">
        <v>567</v>
      </c>
      <c r="AA33" s="143">
        <v>0</v>
      </c>
      <c r="AD33" s="137">
        <v>0</v>
      </c>
      <c r="AG33" s="143" t="s">
        <v>760</v>
      </c>
      <c r="AH33" s="143" t="s">
        <v>761</v>
      </c>
      <c r="AI33" s="143" t="s">
        <v>727</v>
      </c>
      <c r="AJ33" s="143">
        <v>567</v>
      </c>
      <c r="AK33" s="143">
        <v>3</v>
      </c>
      <c r="AL33" s="156">
        <v>1.6666666269302399</v>
      </c>
      <c r="AM33" s="156">
        <v>3.6666667461395299</v>
      </c>
      <c r="AN33" s="396">
        <v>3.6666667461395299</v>
      </c>
      <c r="AO33" s="78">
        <v>4</v>
      </c>
      <c r="AP33" s="78">
        <v>3</v>
      </c>
      <c r="AQ33" s="156">
        <v>3.6666667461395299</v>
      </c>
      <c r="AR33" s="396">
        <v>4</v>
      </c>
      <c r="AS33" s="169">
        <v>3.6190479999999998</v>
      </c>
    </row>
    <row r="34" spans="1:45" x14ac:dyDescent="0.25">
      <c r="A34" s="143" t="s">
        <v>760</v>
      </c>
      <c r="B34" s="143" t="s">
        <v>761</v>
      </c>
      <c r="C34" s="143" t="s">
        <v>728</v>
      </c>
      <c r="D34" s="143">
        <v>576</v>
      </c>
      <c r="E34" s="143">
        <v>2</v>
      </c>
      <c r="F34" s="137">
        <v>1</v>
      </c>
      <c r="G34" s="137">
        <v>1</v>
      </c>
      <c r="H34" s="137">
        <v>1</v>
      </c>
      <c r="I34" s="137">
        <v>0</v>
      </c>
      <c r="K34" s="143" t="s">
        <v>760</v>
      </c>
      <c r="L34" s="143" t="s">
        <v>761</v>
      </c>
      <c r="M34" s="143" t="s">
        <v>728</v>
      </c>
      <c r="N34" s="143">
        <v>576</v>
      </c>
      <c r="O34" s="354">
        <v>0.4</v>
      </c>
      <c r="P34" s="354">
        <v>0.6</v>
      </c>
      <c r="Q34" s="354">
        <v>1</v>
      </c>
      <c r="R34" s="137" t="s">
        <v>3184</v>
      </c>
      <c r="S34" s="137">
        <v>0.66666669999999995</v>
      </c>
      <c r="T34" s="78" t="s">
        <v>3184</v>
      </c>
      <c r="U34" s="78" t="s">
        <v>3184</v>
      </c>
      <c r="W34" s="143" t="s">
        <v>760</v>
      </c>
      <c r="X34" s="143" t="s">
        <v>761</v>
      </c>
      <c r="Y34" s="143" t="s">
        <v>728</v>
      </c>
      <c r="Z34" s="143">
        <v>576</v>
      </c>
      <c r="AA34" s="143">
        <v>0</v>
      </c>
      <c r="AD34" s="137">
        <v>0.3333333</v>
      </c>
      <c r="AE34" s="137">
        <v>0</v>
      </c>
      <c r="AG34" s="143" t="s">
        <v>760</v>
      </c>
      <c r="AH34" s="143" t="s">
        <v>761</v>
      </c>
      <c r="AI34" s="143" t="s">
        <v>728</v>
      </c>
      <c r="AJ34" s="143">
        <v>576</v>
      </c>
      <c r="AK34" s="143">
        <v>2</v>
      </c>
      <c r="AL34" s="78">
        <v>1.5</v>
      </c>
      <c r="AM34" s="78">
        <v>4</v>
      </c>
      <c r="AN34" s="78">
        <v>4</v>
      </c>
      <c r="AO34" s="78">
        <v>4</v>
      </c>
      <c r="AP34" s="78">
        <v>1</v>
      </c>
      <c r="AQ34" s="78">
        <v>3.5</v>
      </c>
      <c r="AR34" s="78">
        <v>3</v>
      </c>
      <c r="AS34" s="169">
        <v>3.285714</v>
      </c>
    </row>
    <row r="35" spans="1:45" x14ac:dyDescent="0.25">
      <c r="A35" s="143" t="s">
        <v>760</v>
      </c>
      <c r="B35" s="143" t="s">
        <v>761</v>
      </c>
      <c r="C35" s="143" t="s">
        <v>727</v>
      </c>
      <c r="D35" s="143">
        <v>1754</v>
      </c>
      <c r="E35" s="143">
        <v>3</v>
      </c>
      <c r="F35" s="137">
        <v>1</v>
      </c>
      <c r="G35" s="137">
        <v>1</v>
      </c>
      <c r="H35" s="137">
        <v>1</v>
      </c>
      <c r="I35" s="137">
        <v>0</v>
      </c>
      <c r="K35" s="143" t="s">
        <v>760</v>
      </c>
      <c r="L35" s="143" t="s">
        <v>761</v>
      </c>
      <c r="M35" s="143" t="s">
        <v>727</v>
      </c>
      <c r="N35" s="143">
        <v>1754</v>
      </c>
      <c r="O35" s="354">
        <v>0.4</v>
      </c>
      <c r="P35" s="354">
        <v>0.6</v>
      </c>
      <c r="Q35" s="354">
        <v>1</v>
      </c>
      <c r="R35" s="137" t="s">
        <v>3184</v>
      </c>
      <c r="S35" s="137">
        <v>0.45454549999999999</v>
      </c>
      <c r="T35" s="78" t="s">
        <v>3184</v>
      </c>
      <c r="U35" s="78" t="s">
        <v>3184</v>
      </c>
      <c r="W35" s="143" t="s">
        <v>760</v>
      </c>
      <c r="X35" s="143" t="s">
        <v>761</v>
      </c>
      <c r="Y35" s="143" t="s">
        <v>727</v>
      </c>
      <c r="Z35" s="143">
        <v>1754</v>
      </c>
      <c r="AA35" s="143">
        <v>0</v>
      </c>
      <c r="AD35" s="137">
        <v>0</v>
      </c>
      <c r="AG35" s="143" t="s">
        <v>760</v>
      </c>
      <c r="AH35" s="143" t="s">
        <v>761</v>
      </c>
      <c r="AI35" s="143" t="s">
        <v>727</v>
      </c>
      <c r="AJ35" s="143">
        <v>1754</v>
      </c>
      <c r="AK35" s="143">
        <v>3</v>
      </c>
      <c r="AL35" s="156">
        <v>1</v>
      </c>
      <c r="AM35" s="156">
        <v>3.3333332538604701</v>
      </c>
      <c r="AN35" s="156">
        <v>3</v>
      </c>
      <c r="AO35" s="156">
        <v>4</v>
      </c>
      <c r="AP35" s="156">
        <v>1.6666666269302399</v>
      </c>
      <c r="AQ35" s="156">
        <v>3.6666667461395299</v>
      </c>
      <c r="AR35" s="156">
        <v>3.3333332538604701</v>
      </c>
      <c r="AS35" s="169">
        <v>3.285714</v>
      </c>
    </row>
    <row r="36" spans="1:45" x14ac:dyDescent="0.25">
      <c r="A36" s="143" t="s">
        <v>760</v>
      </c>
      <c r="B36" s="143" t="s">
        <v>761</v>
      </c>
      <c r="C36" s="143" t="s">
        <v>728</v>
      </c>
      <c r="D36" s="143">
        <v>1760</v>
      </c>
      <c r="E36" s="143">
        <v>2</v>
      </c>
      <c r="F36" s="137">
        <v>1</v>
      </c>
      <c r="G36" s="137">
        <v>1</v>
      </c>
      <c r="H36" s="137">
        <v>1</v>
      </c>
      <c r="I36" s="137">
        <v>0</v>
      </c>
      <c r="K36" s="143" t="s">
        <v>760</v>
      </c>
      <c r="L36" s="143" t="s">
        <v>761</v>
      </c>
      <c r="M36" s="143" t="s">
        <v>728</v>
      </c>
      <c r="N36" s="143">
        <v>1760</v>
      </c>
      <c r="O36" s="354">
        <v>0.39740259999999999</v>
      </c>
      <c r="P36" s="354">
        <v>0.6</v>
      </c>
      <c r="Q36" s="137">
        <v>0.99740260000000003</v>
      </c>
      <c r="R36" s="137" t="s">
        <v>3185</v>
      </c>
      <c r="S36" s="137">
        <v>0.66666669999999995</v>
      </c>
      <c r="T36" s="78" t="s">
        <v>3184</v>
      </c>
      <c r="U36" s="78" t="s">
        <v>3184</v>
      </c>
      <c r="W36" s="143" t="s">
        <v>760</v>
      </c>
      <c r="X36" s="143" t="s">
        <v>761</v>
      </c>
      <c r="Y36" s="143" t="s">
        <v>728</v>
      </c>
      <c r="Z36" s="143">
        <v>1760</v>
      </c>
      <c r="AA36" s="143">
        <v>0</v>
      </c>
      <c r="AD36" s="137">
        <v>0</v>
      </c>
      <c r="AG36" s="143" t="s">
        <v>760</v>
      </c>
      <c r="AH36" s="143" t="s">
        <v>761</v>
      </c>
      <c r="AI36" s="143" t="s">
        <v>728</v>
      </c>
      <c r="AJ36" s="143">
        <v>1760</v>
      </c>
      <c r="AK36" s="143">
        <v>2</v>
      </c>
      <c r="AL36" s="156">
        <v>2</v>
      </c>
      <c r="AM36" s="156">
        <v>3.5</v>
      </c>
      <c r="AN36" s="156">
        <v>3.5</v>
      </c>
      <c r="AO36" s="156">
        <v>4</v>
      </c>
      <c r="AP36" s="156">
        <v>2.5</v>
      </c>
      <c r="AQ36" s="156">
        <v>4</v>
      </c>
      <c r="AR36" s="156">
        <v>3.5</v>
      </c>
      <c r="AS36" s="169">
        <v>3.4285709999999998</v>
      </c>
    </row>
    <row r="37" spans="1:45" x14ac:dyDescent="0.25">
      <c r="A37" s="143" t="s">
        <v>760</v>
      </c>
      <c r="B37" s="143" t="s">
        <v>761</v>
      </c>
      <c r="C37" s="143" t="s">
        <v>728</v>
      </c>
      <c r="D37" s="143">
        <v>1824</v>
      </c>
      <c r="E37" s="143">
        <v>2</v>
      </c>
      <c r="F37" s="137">
        <v>1</v>
      </c>
      <c r="G37" s="137">
        <v>1</v>
      </c>
      <c r="H37" s="137">
        <v>1</v>
      </c>
      <c r="I37" s="137">
        <v>0</v>
      </c>
      <c r="K37" s="143" t="s">
        <v>760</v>
      </c>
      <c r="L37" s="143" t="s">
        <v>761</v>
      </c>
      <c r="M37" s="143" t="s">
        <v>728</v>
      </c>
      <c r="N37" s="143">
        <v>1824</v>
      </c>
      <c r="O37" s="354">
        <v>0.33766230000000003</v>
      </c>
      <c r="P37" s="354">
        <v>0.6</v>
      </c>
      <c r="Q37" s="354">
        <v>0.93766240000000001</v>
      </c>
      <c r="R37" s="137" t="s">
        <v>3185</v>
      </c>
      <c r="S37" s="137">
        <v>0.5</v>
      </c>
      <c r="T37" s="78" t="s">
        <v>3184</v>
      </c>
      <c r="U37" s="78" t="s">
        <v>3184</v>
      </c>
      <c r="W37" s="143" t="s">
        <v>760</v>
      </c>
      <c r="X37" s="143" t="s">
        <v>761</v>
      </c>
      <c r="Y37" s="143" t="s">
        <v>728</v>
      </c>
      <c r="Z37" s="143">
        <v>1824</v>
      </c>
      <c r="AA37" s="143">
        <v>0</v>
      </c>
      <c r="AD37" s="137">
        <v>0</v>
      </c>
      <c r="AG37" s="143" t="s">
        <v>760</v>
      </c>
      <c r="AH37" s="143" t="s">
        <v>761</v>
      </c>
      <c r="AI37" s="143" t="s">
        <v>728</v>
      </c>
      <c r="AJ37" s="143">
        <v>1824</v>
      </c>
      <c r="AK37" s="143">
        <v>2</v>
      </c>
      <c r="AL37" s="156">
        <v>2</v>
      </c>
      <c r="AM37" s="156">
        <v>3</v>
      </c>
      <c r="AN37" s="156">
        <v>3.5</v>
      </c>
      <c r="AO37" s="156">
        <v>3</v>
      </c>
      <c r="AP37" s="156">
        <v>2.5</v>
      </c>
      <c r="AQ37" s="156">
        <v>3</v>
      </c>
      <c r="AR37" s="156">
        <v>3.5</v>
      </c>
      <c r="AS37" s="169">
        <v>3.0714290000000002</v>
      </c>
    </row>
    <row r="38" spans="1:45" x14ac:dyDescent="0.25">
      <c r="A38" s="143" t="s">
        <v>760</v>
      </c>
      <c r="B38" s="143" t="s">
        <v>761</v>
      </c>
      <c r="C38" s="143" t="s">
        <v>728</v>
      </c>
      <c r="D38" s="143">
        <v>1825</v>
      </c>
      <c r="E38" s="143">
        <v>2</v>
      </c>
      <c r="F38" s="137">
        <v>1</v>
      </c>
      <c r="G38" s="137">
        <v>1</v>
      </c>
      <c r="H38" s="137">
        <v>1</v>
      </c>
      <c r="I38" s="137">
        <v>0</v>
      </c>
      <c r="K38" s="143" t="s">
        <v>760</v>
      </c>
      <c r="L38" s="143" t="s">
        <v>761</v>
      </c>
      <c r="M38" s="143" t="s">
        <v>728</v>
      </c>
      <c r="N38" s="143">
        <v>1825</v>
      </c>
      <c r="O38" s="354">
        <v>0.4</v>
      </c>
      <c r="P38" s="354">
        <v>0.6</v>
      </c>
      <c r="Q38" s="354">
        <v>1</v>
      </c>
      <c r="R38" s="137" t="s">
        <v>3184</v>
      </c>
      <c r="S38" s="137">
        <v>0.5</v>
      </c>
      <c r="T38" s="78" t="s">
        <v>3184</v>
      </c>
      <c r="U38" s="78" t="s">
        <v>3184</v>
      </c>
      <c r="W38" s="143" t="s">
        <v>760</v>
      </c>
      <c r="X38" s="143" t="s">
        <v>761</v>
      </c>
      <c r="Y38" s="143" t="s">
        <v>728</v>
      </c>
      <c r="Z38" s="143">
        <v>1825</v>
      </c>
      <c r="AA38" s="143">
        <v>0</v>
      </c>
      <c r="AD38" s="137">
        <v>0.3333333</v>
      </c>
      <c r="AE38" s="137">
        <v>0</v>
      </c>
      <c r="AG38" s="143" t="s">
        <v>760</v>
      </c>
      <c r="AH38" s="143" t="s">
        <v>761</v>
      </c>
      <c r="AI38" s="143" t="s">
        <v>728</v>
      </c>
      <c r="AJ38" s="143">
        <v>1825</v>
      </c>
      <c r="AK38" s="143">
        <v>2</v>
      </c>
      <c r="AL38" s="156">
        <v>2</v>
      </c>
      <c r="AM38" s="156">
        <v>3.5</v>
      </c>
      <c r="AN38" s="156">
        <v>3</v>
      </c>
      <c r="AO38" s="156">
        <v>3.5</v>
      </c>
      <c r="AP38" s="156">
        <v>3</v>
      </c>
      <c r="AQ38" s="156">
        <v>4</v>
      </c>
      <c r="AR38" s="156">
        <v>4</v>
      </c>
      <c r="AS38" s="169">
        <v>3.4285709999999998</v>
      </c>
    </row>
    <row r="39" spans="1:45" x14ac:dyDescent="0.25">
      <c r="A39" s="143" t="s">
        <v>760</v>
      </c>
      <c r="B39" s="143" t="s">
        <v>761</v>
      </c>
      <c r="C39" s="143" t="s">
        <v>728</v>
      </c>
      <c r="D39" s="143">
        <v>2259</v>
      </c>
      <c r="E39" s="143">
        <v>2</v>
      </c>
      <c r="F39" s="137">
        <v>1</v>
      </c>
      <c r="G39" s="137">
        <v>1</v>
      </c>
      <c r="H39" s="137">
        <v>1</v>
      </c>
      <c r="I39" s="137">
        <v>0</v>
      </c>
      <c r="K39" s="143" t="s">
        <v>760</v>
      </c>
      <c r="L39" s="143" t="s">
        <v>761</v>
      </c>
      <c r="M39" s="143" t="s">
        <v>728</v>
      </c>
      <c r="N39" s="143">
        <v>2259</v>
      </c>
      <c r="O39" s="354">
        <v>0.4</v>
      </c>
      <c r="P39" s="354">
        <v>0.6</v>
      </c>
      <c r="Q39" s="354">
        <v>1</v>
      </c>
      <c r="R39" s="137" t="s">
        <v>3184</v>
      </c>
      <c r="S39" s="137">
        <v>0.71428570000000002</v>
      </c>
      <c r="T39" s="78" t="s">
        <v>3184</v>
      </c>
      <c r="U39" s="78" t="s">
        <v>3184</v>
      </c>
      <c r="W39" s="143" t="s">
        <v>760</v>
      </c>
      <c r="X39" s="143" t="s">
        <v>761</v>
      </c>
      <c r="Y39" s="143" t="s">
        <v>728</v>
      </c>
      <c r="Z39" s="143">
        <v>2259</v>
      </c>
      <c r="AA39" s="143">
        <v>0</v>
      </c>
      <c r="AD39" s="137">
        <v>0</v>
      </c>
      <c r="AE39" s="137">
        <v>0.14285709999999999</v>
      </c>
      <c r="AG39" s="143" t="s">
        <v>760</v>
      </c>
      <c r="AH39" s="143" t="s">
        <v>761</v>
      </c>
      <c r="AI39" s="143" t="s">
        <v>728</v>
      </c>
      <c r="AJ39" s="143">
        <v>2259</v>
      </c>
      <c r="AK39" s="143">
        <v>2</v>
      </c>
      <c r="AL39" s="156">
        <v>2</v>
      </c>
      <c r="AM39" s="156">
        <v>3</v>
      </c>
      <c r="AN39" s="156">
        <v>3</v>
      </c>
      <c r="AO39" s="156">
        <v>3.5</v>
      </c>
      <c r="AP39" s="156">
        <v>2</v>
      </c>
      <c r="AQ39" s="156">
        <v>3</v>
      </c>
      <c r="AR39" s="156">
        <v>3.5</v>
      </c>
      <c r="AS39" s="169">
        <v>3</v>
      </c>
    </row>
    <row r="40" spans="1:45" x14ac:dyDescent="0.25">
      <c r="A40" s="143" t="s">
        <v>760</v>
      </c>
      <c r="B40" s="143" t="s">
        <v>761</v>
      </c>
      <c r="C40" s="143" t="s">
        <v>680</v>
      </c>
      <c r="D40" s="143">
        <v>2265</v>
      </c>
      <c r="E40" s="143">
        <v>2</v>
      </c>
      <c r="F40" s="137">
        <v>1</v>
      </c>
      <c r="G40" s="137">
        <v>1</v>
      </c>
      <c r="H40" s="137">
        <v>1</v>
      </c>
      <c r="I40" s="137">
        <v>0</v>
      </c>
      <c r="K40" s="143" t="s">
        <v>760</v>
      </c>
      <c r="L40" s="143" t="s">
        <v>761</v>
      </c>
      <c r="M40" s="143" t="s">
        <v>680</v>
      </c>
      <c r="N40" s="143">
        <v>2265</v>
      </c>
      <c r="O40" s="354">
        <v>0.4</v>
      </c>
      <c r="P40" s="354">
        <v>0.6</v>
      </c>
      <c r="Q40" s="354">
        <v>1</v>
      </c>
      <c r="R40" s="137" t="s">
        <v>3184</v>
      </c>
      <c r="S40" s="137">
        <v>0.75</v>
      </c>
      <c r="T40" s="78" t="s">
        <v>3184</v>
      </c>
      <c r="U40" s="78"/>
      <c r="W40" s="143" t="s">
        <v>760</v>
      </c>
      <c r="X40" s="143" t="s">
        <v>761</v>
      </c>
      <c r="Y40" s="143" t="s">
        <v>680</v>
      </c>
      <c r="Z40" s="143">
        <v>2265</v>
      </c>
      <c r="AA40" s="143">
        <v>0</v>
      </c>
      <c r="AD40" s="137">
        <v>0</v>
      </c>
      <c r="AG40" s="143" t="s">
        <v>760</v>
      </c>
      <c r="AH40" s="143" t="s">
        <v>761</v>
      </c>
      <c r="AI40" s="143" t="s">
        <v>680</v>
      </c>
      <c r="AJ40" s="143">
        <v>2265</v>
      </c>
      <c r="AK40" s="143">
        <v>2</v>
      </c>
      <c r="AL40" s="156">
        <v>2</v>
      </c>
      <c r="AM40" s="156">
        <v>4</v>
      </c>
      <c r="AN40" s="156">
        <v>3.5</v>
      </c>
      <c r="AO40" s="156">
        <v>3</v>
      </c>
      <c r="AP40" s="156">
        <v>3.5</v>
      </c>
      <c r="AQ40" s="156">
        <v>3.5</v>
      </c>
      <c r="AR40" s="156">
        <v>4</v>
      </c>
      <c r="AS40" s="169">
        <v>3.5</v>
      </c>
    </row>
    <row r="41" spans="1:45" x14ac:dyDescent="0.25">
      <c r="A41" s="143" t="s">
        <v>760</v>
      </c>
      <c r="B41" s="143" t="s">
        <v>761</v>
      </c>
      <c r="C41" s="143" t="s">
        <v>680</v>
      </c>
      <c r="D41" s="143">
        <v>2266</v>
      </c>
      <c r="E41" s="143">
        <v>2</v>
      </c>
      <c r="F41" s="137">
        <v>1</v>
      </c>
      <c r="G41" s="137">
        <v>1</v>
      </c>
      <c r="H41" s="137">
        <v>1</v>
      </c>
      <c r="I41" s="137">
        <v>0</v>
      </c>
      <c r="K41" s="143" t="s">
        <v>760</v>
      </c>
      <c r="L41" s="143" t="s">
        <v>761</v>
      </c>
      <c r="M41" s="143" t="s">
        <v>680</v>
      </c>
      <c r="N41" s="143">
        <v>2266</v>
      </c>
      <c r="O41" s="354">
        <v>0.31688309999999997</v>
      </c>
      <c r="P41" s="354">
        <v>0.6</v>
      </c>
      <c r="Q41" s="354">
        <v>0.91688309999999995</v>
      </c>
      <c r="R41" s="137" t="s">
        <v>3185</v>
      </c>
      <c r="S41" s="137">
        <v>0.75</v>
      </c>
      <c r="T41" s="78" t="s">
        <v>3184</v>
      </c>
      <c r="U41" s="78"/>
      <c r="W41" s="143" t="s">
        <v>760</v>
      </c>
      <c r="X41" s="143" t="s">
        <v>761</v>
      </c>
      <c r="Y41" s="143" t="s">
        <v>680</v>
      </c>
      <c r="Z41" s="143">
        <v>2266</v>
      </c>
      <c r="AA41" s="143">
        <v>0</v>
      </c>
      <c r="AD41" s="137">
        <v>0</v>
      </c>
      <c r="AG41" s="143" t="s">
        <v>760</v>
      </c>
      <c r="AH41" s="143" t="s">
        <v>761</v>
      </c>
      <c r="AI41" s="143" t="s">
        <v>680</v>
      </c>
      <c r="AJ41" s="143">
        <v>2266</v>
      </c>
      <c r="AK41" s="143">
        <v>2</v>
      </c>
      <c r="AL41" s="156">
        <v>2.5</v>
      </c>
      <c r="AM41" s="156">
        <v>4</v>
      </c>
      <c r="AN41" s="156">
        <v>3.5</v>
      </c>
      <c r="AO41" s="156">
        <v>3.5</v>
      </c>
      <c r="AP41" s="156">
        <v>4</v>
      </c>
      <c r="AQ41" s="156">
        <v>4</v>
      </c>
      <c r="AR41" s="156">
        <v>4</v>
      </c>
      <c r="AS41" s="169">
        <v>3.8571430000000002</v>
      </c>
    </row>
    <row r="42" spans="1:45" x14ac:dyDescent="0.25">
      <c r="A42" s="143" t="s">
        <v>760</v>
      </c>
      <c r="B42" s="143" t="s">
        <v>761</v>
      </c>
      <c r="C42" s="143" t="s">
        <v>680</v>
      </c>
      <c r="D42" s="143">
        <v>3109</v>
      </c>
      <c r="E42" s="143">
        <v>2</v>
      </c>
      <c r="F42" s="137">
        <v>1</v>
      </c>
      <c r="G42" s="137">
        <v>1</v>
      </c>
      <c r="H42" s="137">
        <v>1</v>
      </c>
      <c r="I42" s="137">
        <v>0</v>
      </c>
      <c r="K42" s="143" t="s">
        <v>760</v>
      </c>
      <c r="L42" s="143" t="s">
        <v>761</v>
      </c>
      <c r="M42" s="143" t="s">
        <v>680</v>
      </c>
      <c r="N42" s="143">
        <v>3109</v>
      </c>
      <c r="O42" s="354">
        <v>0.39480520000000002</v>
      </c>
      <c r="P42" s="354">
        <v>0.6</v>
      </c>
      <c r="Q42" s="354">
        <v>0.99480519999999995</v>
      </c>
      <c r="R42" s="137" t="s">
        <v>3185</v>
      </c>
      <c r="S42" s="137">
        <v>0.75</v>
      </c>
      <c r="T42" s="78" t="s">
        <v>3184</v>
      </c>
      <c r="U42" s="78"/>
      <c r="W42" s="143" t="s">
        <v>760</v>
      </c>
      <c r="X42" s="143" t="s">
        <v>761</v>
      </c>
      <c r="Y42" s="143" t="s">
        <v>680</v>
      </c>
      <c r="Z42" s="143">
        <v>3109</v>
      </c>
      <c r="AA42" s="143">
        <v>0</v>
      </c>
      <c r="AD42" s="137">
        <v>0.25</v>
      </c>
      <c r="AE42" s="137">
        <v>0</v>
      </c>
      <c r="AG42" s="143" t="s">
        <v>760</v>
      </c>
      <c r="AH42" s="143" t="s">
        <v>761</v>
      </c>
      <c r="AI42" s="143" t="s">
        <v>680</v>
      </c>
      <c r="AJ42" s="143">
        <v>3109</v>
      </c>
      <c r="AK42" s="143">
        <v>2</v>
      </c>
      <c r="AL42" s="156">
        <v>2</v>
      </c>
      <c r="AM42" s="156">
        <v>3</v>
      </c>
      <c r="AN42" s="156">
        <v>3.5</v>
      </c>
      <c r="AO42" s="156">
        <v>3.5</v>
      </c>
      <c r="AP42" s="156">
        <v>3.5</v>
      </c>
      <c r="AQ42" s="156">
        <v>3</v>
      </c>
      <c r="AR42" s="156">
        <v>3.5</v>
      </c>
      <c r="AS42" s="169">
        <v>3.285714</v>
      </c>
    </row>
    <row r="43" spans="1:45" x14ac:dyDescent="0.25">
      <c r="A43" s="143" t="s">
        <v>760</v>
      </c>
      <c r="B43" s="143" t="s">
        <v>761</v>
      </c>
      <c r="C43" s="143" t="s">
        <v>680</v>
      </c>
      <c r="D43" s="143">
        <v>3635</v>
      </c>
      <c r="E43" s="143">
        <v>2</v>
      </c>
      <c r="F43" s="137">
        <v>1</v>
      </c>
      <c r="G43" s="137">
        <v>1</v>
      </c>
      <c r="H43" s="137">
        <v>1</v>
      </c>
      <c r="I43" s="137">
        <v>0</v>
      </c>
      <c r="K43" s="143" t="s">
        <v>760</v>
      </c>
      <c r="L43" s="143" t="s">
        <v>761</v>
      </c>
      <c r="M43" s="143" t="s">
        <v>680</v>
      </c>
      <c r="N43" s="143">
        <v>3635</v>
      </c>
      <c r="O43" s="354">
        <v>0.39480520000000002</v>
      </c>
      <c r="P43" s="354">
        <v>0.6</v>
      </c>
      <c r="Q43" s="354">
        <v>0.99480519999999995</v>
      </c>
      <c r="R43" s="137" t="s">
        <v>3185</v>
      </c>
      <c r="S43" s="137">
        <v>0.75</v>
      </c>
      <c r="T43" s="78" t="s">
        <v>3184</v>
      </c>
      <c r="U43" s="78"/>
      <c r="W43" s="143" t="s">
        <v>760</v>
      </c>
      <c r="X43" s="143" t="s">
        <v>761</v>
      </c>
      <c r="Y43" s="143" t="s">
        <v>680</v>
      </c>
      <c r="Z43" s="143">
        <v>3635</v>
      </c>
      <c r="AA43" s="143">
        <v>0</v>
      </c>
      <c r="AD43" s="137">
        <v>0</v>
      </c>
      <c r="AG43" s="143" t="s">
        <v>760</v>
      </c>
      <c r="AH43" s="143" t="s">
        <v>761</v>
      </c>
      <c r="AI43" s="143" t="s">
        <v>680</v>
      </c>
      <c r="AJ43" s="143">
        <v>3635</v>
      </c>
      <c r="AK43" s="143">
        <v>2</v>
      </c>
      <c r="AL43" s="156">
        <v>2</v>
      </c>
      <c r="AM43" s="156">
        <v>3</v>
      </c>
      <c r="AN43" s="156">
        <v>3</v>
      </c>
      <c r="AO43" s="156">
        <v>3.5</v>
      </c>
      <c r="AP43" s="156">
        <v>1.5</v>
      </c>
      <c r="AQ43" s="156">
        <v>3</v>
      </c>
      <c r="AR43" s="156">
        <v>3</v>
      </c>
      <c r="AS43" s="169">
        <v>2.8571430000000002</v>
      </c>
    </row>
    <row r="44" spans="1:45" x14ac:dyDescent="0.25">
      <c r="A44" s="143" t="s">
        <v>760</v>
      </c>
      <c r="B44" s="143" t="s">
        <v>761</v>
      </c>
      <c r="C44" s="143" t="s">
        <v>728</v>
      </c>
      <c r="D44" s="143">
        <v>3880</v>
      </c>
      <c r="E44" s="143">
        <v>2</v>
      </c>
      <c r="F44" s="137">
        <v>1</v>
      </c>
      <c r="G44" s="137">
        <v>1</v>
      </c>
      <c r="H44" s="137">
        <v>1</v>
      </c>
      <c r="I44" s="137">
        <v>0</v>
      </c>
      <c r="K44" s="143" t="s">
        <v>760</v>
      </c>
      <c r="L44" s="143" t="s">
        <v>761</v>
      </c>
      <c r="M44" s="143" t="s">
        <v>728</v>
      </c>
      <c r="N44" s="143">
        <v>3880</v>
      </c>
      <c r="O44" s="354">
        <v>0.38961040000000002</v>
      </c>
      <c r="P44" s="354">
        <v>0.6</v>
      </c>
      <c r="Q44" s="354">
        <v>0.9896104</v>
      </c>
      <c r="R44" s="137" t="s">
        <v>3185</v>
      </c>
      <c r="S44" s="137">
        <v>0.5</v>
      </c>
      <c r="T44" s="78" t="s">
        <v>3184</v>
      </c>
      <c r="U44" s="78" t="s">
        <v>3184</v>
      </c>
      <c r="W44" s="143" t="s">
        <v>760</v>
      </c>
      <c r="X44" s="143" t="s">
        <v>761</v>
      </c>
      <c r="Y44" s="143" t="s">
        <v>728</v>
      </c>
      <c r="Z44" s="143">
        <v>3880</v>
      </c>
      <c r="AA44" s="143">
        <v>0</v>
      </c>
      <c r="AD44" s="137">
        <v>0</v>
      </c>
      <c r="AG44" s="143" t="s">
        <v>760</v>
      </c>
      <c r="AH44" s="143" t="s">
        <v>761</v>
      </c>
      <c r="AI44" s="143" t="s">
        <v>728</v>
      </c>
      <c r="AJ44" s="143">
        <v>3880</v>
      </c>
      <c r="AK44" s="143">
        <v>2</v>
      </c>
      <c r="AL44" s="156">
        <v>2</v>
      </c>
      <c r="AM44" s="156">
        <v>3</v>
      </c>
      <c r="AN44" s="156">
        <v>3.5</v>
      </c>
      <c r="AO44" s="156">
        <v>3.5</v>
      </c>
      <c r="AP44" s="156">
        <v>1</v>
      </c>
      <c r="AQ44" s="156">
        <v>3.5</v>
      </c>
      <c r="AR44" s="156">
        <v>3.5</v>
      </c>
      <c r="AS44" s="169">
        <v>3</v>
      </c>
    </row>
    <row r="45" spans="1:45" x14ac:dyDescent="0.25">
      <c r="A45" s="143" t="s">
        <v>760</v>
      </c>
      <c r="B45" s="143" t="s">
        <v>761</v>
      </c>
      <c r="C45" s="143" t="s">
        <v>680</v>
      </c>
      <c r="D45" s="143">
        <v>3888</v>
      </c>
      <c r="E45" s="143">
        <v>2</v>
      </c>
      <c r="F45" s="137">
        <v>1</v>
      </c>
      <c r="G45" s="137">
        <v>1</v>
      </c>
      <c r="H45" s="137">
        <v>1</v>
      </c>
      <c r="I45" s="137">
        <v>0</v>
      </c>
      <c r="K45" s="143" t="s">
        <v>760</v>
      </c>
      <c r="L45" s="143" t="s">
        <v>761</v>
      </c>
      <c r="M45" s="143" t="s">
        <v>680</v>
      </c>
      <c r="N45" s="143">
        <v>3888</v>
      </c>
      <c r="O45" s="354">
        <v>0.4</v>
      </c>
      <c r="P45" s="354">
        <v>0.6</v>
      </c>
      <c r="Q45" s="137">
        <v>1</v>
      </c>
      <c r="R45" s="137" t="s">
        <v>3184</v>
      </c>
      <c r="S45" s="137">
        <v>0.5</v>
      </c>
      <c r="T45" s="78" t="s">
        <v>3184</v>
      </c>
      <c r="U45" s="78"/>
      <c r="W45" s="143" t="s">
        <v>760</v>
      </c>
      <c r="X45" s="143" t="s">
        <v>761</v>
      </c>
      <c r="Y45" s="143" t="s">
        <v>680</v>
      </c>
      <c r="Z45" s="143">
        <v>3888</v>
      </c>
      <c r="AA45" s="143">
        <v>0</v>
      </c>
      <c r="AD45" s="137">
        <v>0</v>
      </c>
      <c r="AG45" s="143" t="s">
        <v>760</v>
      </c>
      <c r="AH45" s="143" t="s">
        <v>761</v>
      </c>
      <c r="AI45" s="143" t="s">
        <v>680</v>
      </c>
      <c r="AJ45" s="143">
        <v>3888</v>
      </c>
      <c r="AK45" s="143">
        <v>2</v>
      </c>
      <c r="AL45" s="156">
        <v>2</v>
      </c>
      <c r="AM45" s="156">
        <v>3</v>
      </c>
      <c r="AN45" s="156">
        <v>3</v>
      </c>
      <c r="AO45" s="156">
        <v>4</v>
      </c>
      <c r="AP45" s="156">
        <v>2</v>
      </c>
      <c r="AQ45" s="156">
        <v>3.5</v>
      </c>
      <c r="AR45" s="156">
        <v>3.5</v>
      </c>
      <c r="AS45" s="169">
        <v>3.1428569999999998</v>
      </c>
    </row>
    <row r="46" spans="1:45" x14ac:dyDescent="0.25">
      <c r="A46" s="143" t="s">
        <v>760</v>
      </c>
      <c r="B46" s="143" t="s">
        <v>761</v>
      </c>
      <c r="C46" s="143" t="s">
        <v>680</v>
      </c>
      <c r="D46" s="143">
        <v>3891</v>
      </c>
      <c r="E46" s="143">
        <v>2</v>
      </c>
      <c r="F46" s="137">
        <v>1</v>
      </c>
      <c r="G46" s="137">
        <v>1</v>
      </c>
      <c r="H46" s="137">
        <v>1</v>
      </c>
      <c r="I46" s="137">
        <v>0</v>
      </c>
      <c r="K46" s="143" t="s">
        <v>760</v>
      </c>
      <c r="L46" s="143" t="s">
        <v>761</v>
      </c>
      <c r="M46" s="143" t="s">
        <v>680</v>
      </c>
      <c r="N46" s="143">
        <v>3891</v>
      </c>
      <c r="O46" s="354">
        <v>0.4</v>
      </c>
      <c r="P46" s="354">
        <v>0.6</v>
      </c>
      <c r="Q46" s="354">
        <v>1</v>
      </c>
      <c r="R46" s="137" t="s">
        <v>3184</v>
      </c>
      <c r="S46" s="137">
        <v>0.75</v>
      </c>
      <c r="T46" s="78" t="s">
        <v>3184</v>
      </c>
      <c r="U46" s="78"/>
      <c r="W46" s="143" t="s">
        <v>760</v>
      </c>
      <c r="X46" s="143" t="s">
        <v>761</v>
      </c>
      <c r="Y46" s="143" t="s">
        <v>680</v>
      </c>
      <c r="Z46" s="143">
        <v>3891</v>
      </c>
      <c r="AA46" s="143">
        <v>0</v>
      </c>
      <c r="AD46" s="137">
        <v>0</v>
      </c>
      <c r="AG46" s="143" t="s">
        <v>760</v>
      </c>
      <c r="AH46" s="143" t="s">
        <v>761</v>
      </c>
      <c r="AI46" s="143" t="s">
        <v>680</v>
      </c>
      <c r="AJ46" s="143">
        <v>3891</v>
      </c>
      <c r="AK46" s="143">
        <v>2</v>
      </c>
      <c r="AL46" s="156">
        <v>2</v>
      </c>
      <c r="AM46" s="156">
        <v>2</v>
      </c>
      <c r="AN46" s="156">
        <v>3</v>
      </c>
      <c r="AO46" s="156">
        <v>3</v>
      </c>
      <c r="AP46" s="156">
        <v>1</v>
      </c>
      <c r="AQ46" s="156">
        <v>3</v>
      </c>
      <c r="AR46" s="156">
        <v>3</v>
      </c>
      <c r="AS46" s="169">
        <v>2.5714290000000002</v>
      </c>
    </row>
    <row r="47" spans="1:45" x14ac:dyDescent="0.25">
      <c r="A47" s="143" t="s">
        <v>760</v>
      </c>
      <c r="B47" s="143" t="s">
        <v>761</v>
      </c>
      <c r="C47" s="143" t="s">
        <v>680</v>
      </c>
      <c r="D47" s="143">
        <v>4039</v>
      </c>
      <c r="E47" s="143">
        <v>2</v>
      </c>
      <c r="F47" s="137">
        <v>1</v>
      </c>
      <c r="G47" s="137">
        <v>1</v>
      </c>
      <c r="H47" s="137">
        <v>1</v>
      </c>
      <c r="I47" s="137">
        <v>0</v>
      </c>
      <c r="K47" s="143" t="s">
        <v>760</v>
      </c>
      <c r="L47" s="143" t="s">
        <v>761</v>
      </c>
      <c r="M47" s="143" t="s">
        <v>680</v>
      </c>
      <c r="N47" s="143">
        <v>4039</v>
      </c>
      <c r="O47" s="354">
        <v>0.4</v>
      </c>
      <c r="P47" s="354">
        <v>0.6</v>
      </c>
      <c r="Q47" s="354">
        <v>1</v>
      </c>
      <c r="R47" s="137" t="s">
        <v>3184</v>
      </c>
      <c r="S47" s="137">
        <v>0.75</v>
      </c>
      <c r="T47" s="78" t="s">
        <v>3184</v>
      </c>
      <c r="U47" s="78"/>
      <c r="W47" s="143" t="s">
        <v>760</v>
      </c>
      <c r="X47" s="143" t="s">
        <v>761</v>
      </c>
      <c r="Y47" s="143" t="s">
        <v>680</v>
      </c>
      <c r="Z47" s="143">
        <v>4039</v>
      </c>
      <c r="AA47" s="143">
        <v>0</v>
      </c>
      <c r="AD47" s="137">
        <v>0.25</v>
      </c>
      <c r="AE47" s="137">
        <v>0</v>
      </c>
      <c r="AG47" s="143" t="s">
        <v>760</v>
      </c>
      <c r="AH47" s="143" t="s">
        <v>761</v>
      </c>
      <c r="AI47" s="143" t="s">
        <v>680</v>
      </c>
      <c r="AJ47" s="143">
        <v>4039</v>
      </c>
      <c r="AK47" s="143">
        <v>2</v>
      </c>
      <c r="AL47" s="156">
        <v>1</v>
      </c>
      <c r="AM47" s="156">
        <v>3.5</v>
      </c>
      <c r="AN47" s="156">
        <v>3</v>
      </c>
      <c r="AO47" s="156">
        <v>4</v>
      </c>
      <c r="AP47" s="156">
        <v>2</v>
      </c>
      <c r="AQ47" s="156">
        <v>3</v>
      </c>
      <c r="AR47" s="156">
        <v>3.5</v>
      </c>
      <c r="AS47" s="169">
        <v>3.285714</v>
      </c>
    </row>
    <row r="48" spans="1:45" x14ac:dyDescent="0.25">
      <c r="A48" s="143" t="s">
        <v>762</v>
      </c>
      <c r="B48" s="143" t="s">
        <v>758</v>
      </c>
      <c r="C48" s="143" t="s">
        <v>729</v>
      </c>
      <c r="D48" s="143">
        <v>810</v>
      </c>
      <c r="E48" s="143">
        <v>8</v>
      </c>
      <c r="F48" s="137">
        <v>1</v>
      </c>
      <c r="G48" s="137">
        <v>1</v>
      </c>
      <c r="H48" s="137">
        <v>1</v>
      </c>
      <c r="I48" s="137">
        <v>0.75</v>
      </c>
      <c r="K48" s="143" t="s">
        <v>762</v>
      </c>
      <c r="L48" s="143" t="s">
        <v>758</v>
      </c>
      <c r="M48" s="143" t="s">
        <v>729</v>
      </c>
      <c r="N48" s="143">
        <v>810</v>
      </c>
      <c r="O48" s="354">
        <v>0.4</v>
      </c>
      <c r="P48" s="354">
        <v>0.6</v>
      </c>
      <c r="Q48" s="354">
        <v>1</v>
      </c>
      <c r="R48" s="137" t="s">
        <v>3184</v>
      </c>
      <c r="S48" s="137">
        <v>0.41935480000000003</v>
      </c>
      <c r="T48" s="78" t="s">
        <v>3184</v>
      </c>
      <c r="U48" s="78" t="s">
        <v>3184</v>
      </c>
      <c r="W48" s="143" t="s">
        <v>762</v>
      </c>
      <c r="X48" s="143" t="s">
        <v>758</v>
      </c>
      <c r="Y48" s="143" t="s">
        <v>729</v>
      </c>
      <c r="Z48" s="143">
        <v>810</v>
      </c>
      <c r="AA48" s="143">
        <v>8</v>
      </c>
      <c r="AB48" s="137">
        <v>0.25</v>
      </c>
      <c r="AC48" s="137">
        <v>0.5</v>
      </c>
      <c r="AD48" s="137">
        <v>0.64516130000000005</v>
      </c>
      <c r="AE48" s="137">
        <v>0</v>
      </c>
      <c r="AG48" s="143" t="s">
        <v>762</v>
      </c>
      <c r="AH48" s="143" t="s">
        <v>758</v>
      </c>
      <c r="AI48" s="143" t="s">
        <v>729</v>
      </c>
      <c r="AJ48" s="143">
        <v>810</v>
      </c>
      <c r="AK48" s="143">
        <v>8</v>
      </c>
      <c r="AL48" s="156">
        <v>3</v>
      </c>
      <c r="AM48" s="156">
        <v>3.875</v>
      </c>
      <c r="AN48" s="156">
        <v>3.625</v>
      </c>
      <c r="AO48" s="156">
        <v>3.75</v>
      </c>
      <c r="AP48" s="156">
        <v>2.375</v>
      </c>
      <c r="AQ48" s="156">
        <v>4</v>
      </c>
      <c r="AR48" s="156">
        <v>3.625</v>
      </c>
      <c r="AS48" s="169">
        <v>3.3214290000000002</v>
      </c>
    </row>
    <row r="49" spans="1:45" x14ac:dyDescent="0.25">
      <c r="A49" s="143" t="s">
        <v>762</v>
      </c>
      <c r="B49" s="143" t="s">
        <v>758</v>
      </c>
      <c r="C49" s="143" t="s">
        <v>727</v>
      </c>
      <c r="D49" s="143">
        <v>1063</v>
      </c>
      <c r="E49" s="143">
        <v>3</v>
      </c>
      <c r="F49" s="137">
        <v>1</v>
      </c>
      <c r="G49" s="137">
        <v>1</v>
      </c>
      <c r="H49" s="137">
        <v>1</v>
      </c>
      <c r="I49" s="137">
        <v>0</v>
      </c>
      <c r="K49" s="143" t="s">
        <v>762</v>
      </c>
      <c r="L49" s="143" t="s">
        <v>758</v>
      </c>
      <c r="M49" s="143" t="s">
        <v>727</v>
      </c>
      <c r="N49" s="143">
        <v>1063</v>
      </c>
      <c r="O49" s="354">
        <v>0.4</v>
      </c>
      <c r="P49" s="354">
        <v>0.6</v>
      </c>
      <c r="Q49" s="137">
        <v>1</v>
      </c>
      <c r="R49" s="137" t="s">
        <v>3184</v>
      </c>
      <c r="S49" s="137">
        <v>0.53846159999999998</v>
      </c>
      <c r="T49" s="78" t="s">
        <v>3184</v>
      </c>
      <c r="U49" s="78" t="s">
        <v>3184</v>
      </c>
      <c r="W49" s="143" t="s">
        <v>762</v>
      </c>
      <c r="X49" s="143" t="s">
        <v>758</v>
      </c>
      <c r="Y49" s="143" t="s">
        <v>727</v>
      </c>
      <c r="Z49" s="143">
        <v>1063</v>
      </c>
      <c r="AA49" s="143">
        <v>0</v>
      </c>
      <c r="AD49" s="137">
        <v>0.15384619999999999</v>
      </c>
      <c r="AE49" s="137">
        <v>0</v>
      </c>
      <c r="AG49" s="143" t="s">
        <v>762</v>
      </c>
      <c r="AH49" s="143" t="s">
        <v>758</v>
      </c>
      <c r="AI49" s="143" t="s">
        <v>727</v>
      </c>
      <c r="AJ49" s="143">
        <v>1063</v>
      </c>
      <c r="AK49" s="143">
        <v>3</v>
      </c>
      <c r="AL49" s="156">
        <v>2</v>
      </c>
      <c r="AM49" s="156">
        <v>3</v>
      </c>
      <c r="AN49" s="156">
        <v>3</v>
      </c>
      <c r="AO49" s="156">
        <v>3.3333332538604701</v>
      </c>
      <c r="AP49" s="156">
        <v>2.6666667461395299</v>
      </c>
      <c r="AQ49" s="156">
        <v>3.6666667461395299</v>
      </c>
      <c r="AR49" s="156">
        <v>3</v>
      </c>
      <c r="AS49" s="169">
        <v>3.0952380000000002</v>
      </c>
    </row>
    <row r="50" spans="1:45" x14ac:dyDescent="0.25">
      <c r="A50" s="143" t="s">
        <v>762</v>
      </c>
      <c r="B50" s="143" t="s">
        <v>758</v>
      </c>
      <c r="C50" s="143" t="s">
        <v>728</v>
      </c>
      <c r="D50" s="143">
        <v>1726</v>
      </c>
      <c r="E50" s="143">
        <v>2</v>
      </c>
      <c r="F50" s="137">
        <v>1</v>
      </c>
      <c r="G50" s="137">
        <v>1</v>
      </c>
      <c r="H50" s="137">
        <v>1</v>
      </c>
      <c r="I50" s="137">
        <v>1</v>
      </c>
      <c r="K50" s="143" t="s">
        <v>762</v>
      </c>
      <c r="L50" s="143" t="s">
        <v>758</v>
      </c>
      <c r="M50" s="143" t="s">
        <v>728</v>
      </c>
      <c r="N50" s="143">
        <v>1726</v>
      </c>
      <c r="O50" s="354">
        <v>0.4</v>
      </c>
      <c r="P50" s="354">
        <v>0.3</v>
      </c>
      <c r="Q50" s="354">
        <v>0.7</v>
      </c>
      <c r="R50" s="137" t="s">
        <v>3185</v>
      </c>
      <c r="S50" s="137">
        <v>0.5</v>
      </c>
      <c r="T50" s="78" t="s">
        <v>3184</v>
      </c>
      <c r="U50" s="78" t="s">
        <v>3184</v>
      </c>
      <c r="W50" s="143" t="s">
        <v>762</v>
      </c>
      <c r="X50" s="143" t="s">
        <v>758</v>
      </c>
      <c r="Y50" s="143" t="s">
        <v>728</v>
      </c>
      <c r="Z50" s="143">
        <v>1726</v>
      </c>
      <c r="AA50" s="143">
        <v>0</v>
      </c>
      <c r="AD50" s="137">
        <v>0.3333333</v>
      </c>
      <c r="AE50" s="137">
        <v>0</v>
      </c>
      <c r="AG50" s="143" t="s">
        <v>762</v>
      </c>
      <c r="AH50" s="143" t="s">
        <v>758</v>
      </c>
      <c r="AI50" s="143" t="s">
        <v>728</v>
      </c>
      <c r="AJ50" s="143">
        <v>1726</v>
      </c>
      <c r="AK50" s="143">
        <v>2</v>
      </c>
      <c r="AL50" s="156">
        <v>3</v>
      </c>
      <c r="AM50" s="156">
        <v>4</v>
      </c>
      <c r="AN50" s="156">
        <v>3.5</v>
      </c>
      <c r="AO50" s="156">
        <v>3</v>
      </c>
      <c r="AP50" s="156">
        <v>3</v>
      </c>
      <c r="AQ50" s="156">
        <v>4</v>
      </c>
      <c r="AR50" s="156">
        <v>3</v>
      </c>
      <c r="AS50" s="169">
        <v>3.214286</v>
      </c>
    </row>
    <row r="51" spans="1:45" x14ac:dyDescent="0.25">
      <c r="A51" s="143" t="s">
        <v>762</v>
      </c>
      <c r="B51" s="143" t="s">
        <v>758</v>
      </c>
      <c r="C51" s="143" t="s">
        <v>728</v>
      </c>
      <c r="D51" s="143">
        <v>1727</v>
      </c>
      <c r="E51" s="143">
        <v>2</v>
      </c>
      <c r="F51" s="137">
        <v>1</v>
      </c>
      <c r="G51" s="137">
        <v>1</v>
      </c>
      <c r="H51" s="137">
        <v>1</v>
      </c>
      <c r="I51" s="137">
        <v>1</v>
      </c>
      <c r="K51" s="143" t="s">
        <v>762</v>
      </c>
      <c r="L51" s="143" t="s">
        <v>758</v>
      </c>
      <c r="M51" s="143" t="s">
        <v>728</v>
      </c>
      <c r="N51" s="143">
        <v>1727</v>
      </c>
      <c r="O51" s="354">
        <v>0.4</v>
      </c>
      <c r="P51" s="354">
        <v>0.6</v>
      </c>
      <c r="Q51" s="354">
        <v>1</v>
      </c>
      <c r="R51" s="137" t="s">
        <v>3184</v>
      </c>
      <c r="S51" s="137">
        <v>0.57142859999999995</v>
      </c>
      <c r="T51" s="78" t="s">
        <v>3184</v>
      </c>
      <c r="U51" s="78" t="s">
        <v>3184</v>
      </c>
      <c r="W51" s="143" t="s">
        <v>762</v>
      </c>
      <c r="X51" s="143" t="s">
        <v>758</v>
      </c>
      <c r="Y51" s="143" t="s">
        <v>728</v>
      </c>
      <c r="Z51" s="143">
        <v>1727</v>
      </c>
      <c r="AA51" s="143">
        <v>0</v>
      </c>
      <c r="AD51" s="137">
        <v>0</v>
      </c>
      <c r="AE51" s="137">
        <v>0.28571429999999998</v>
      </c>
      <c r="AG51" s="143" t="s">
        <v>762</v>
      </c>
      <c r="AH51" s="143" t="s">
        <v>758</v>
      </c>
      <c r="AI51" s="143" t="s">
        <v>728</v>
      </c>
      <c r="AJ51" s="143">
        <v>1727</v>
      </c>
      <c r="AK51" s="143">
        <v>2</v>
      </c>
      <c r="AL51" s="156">
        <v>2.5</v>
      </c>
      <c r="AM51" s="156">
        <v>3.5</v>
      </c>
      <c r="AN51" s="156">
        <v>3.5</v>
      </c>
      <c r="AO51" s="156">
        <v>3.5</v>
      </c>
      <c r="AP51" s="156">
        <v>3</v>
      </c>
      <c r="AQ51" s="156">
        <v>4</v>
      </c>
      <c r="AR51" s="156">
        <v>4</v>
      </c>
      <c r="AS51" s="169">
        <v>3.4285709999999998</v>
      </c>
    </row>
    <row r="52" spans="1:45" x14ac:dyDescent="0.25">
      <c r="A52" s="143" t="s">
        <v>762</v>
      </c>
      <c r="B52" s="143" t="s">
        <v>758</v>
      </c>
      <c r="C52" s="143" t="s">
        <v>728</v>
      </c>
      <c r="D52" s="143">
        <v>1773</v>
      </c>
      <c r="E52" s="143">
        <v>2</v>
      </c>
      <c r="F52" s="137">
        <v>1</v>
      </c>
      <c r="G52" s="137">
        <v>1</v>
      </c>
      <c r="H52" s="137">
        <v>1</v>
      </c>
      <c r="I52" s="137">
        <v>1</v>
      </c>
      <c r="K52" s="143" t="s">
        <v>762</v>
      </c>
      <c r="L52" s="143" t="s">
        <v>758</v>
      </c>
      <c r="M52" s="143" t="s">
        <v>728</v>
      </c>
      <c r="N52" s="143">
        <v>1773</v>
      </c>
      <c r="O52" s="354">
        <v>0.4</v>
      </c>
      <c r="P52" s="354">
        <v>0.6</v>
      </c>
      <c r="Q52" s="354">
        <v>1</v>
      </c>
      <c r="R52" s="137" t="s">
        <v>3184</v>
      </c>
      <c r="S52" s="137">
        <v>0.42857139999999999</v>
      </c>
      <c r="T52" s="78" t="s">
        <v>3184</v>
      </c>
      <c r="U52" s="78" t="s">
        <v>3184</v>
      </c>
      <c r="W52" s="143" t="s">
        <v>762</v>
      </c>
      <c r="X52" s="143" t="s">
        <v>758</v>
      </c>
      <c r="Y52" s="143" t="s">
        <v>728</v>
      </c>
      <c r="Z52" s="143">
        <v>1773</v>
      </c>
      <c r="AA52" s="143">
        <v>0</v>
      </c>
      <c r="AD52" s="137">
        <v>0.28571429999999998</v>
      </c>
      <c r="AE52" s="137">
        <v>0</v>
      </c>
      <c r="AG52" s="143" t="s">
        <v>762</v>
      </c>
      <c r="AH52" s="143" t="s">
        <v>758</v>
      </c>
      <c r="AI52" s="143" t="s">
        <v>728</v>
      </c>
      <c r="AJ52" s="143">
        <v>1773</v>
      </c>
      <c r="AK52" s="143">
        <v>2</v>
      </c>
      <c r="AL52" s="156">
        <v>1.5</v>
      </c>
      <c r="AM52" s="156">
        <v>4</v>
      </c>
      <c r="AN52" s="156">
        <v>3.5</v>
      </c>
      <c r="AO52" s="156">
        <v>3.5</v>
      </c>
      <c r="AP52" s="156">
        <v>2.5</v>
      </c>
      <c r="AQ52" s="156">
        <v>4</v>
      </c>
      <c r="AR52" s="156">
        <v>4</v>
      </c>
      <c r="AS52" s="169">
        <v>3.5714290000000002</v>
      </c>
    </row>
    <row r="53" spans="1:45" x14ac:dyDescent="0.25">
      <c r="A53" s="143" t="s">
        <v>762</v>
      </c>
      <c r="B53" s="143" t="s">
        <v>758</v>
      </c>
      <c r="C53" s="143" t="s">
        <v>680</v>
      </c>
      <c r="D53" s="143">
        <v>1992</v>
      </c>
      <c r="E53" s="143">
        <v>2</v>
      </c>
      <c r="F53" s="137">
        <v>1</v>
      </c>
      <c r="G53" s="137">
        <v>1</v>
      </c>
      <c r="H53" s="137">
        <v>1</v>
      </c>
      <c r="I53" s="137">
        <v>0</v>
      </c>
      <c r="K53" s="143" t="s">
        <v>762</v>
      </c>
      <c r="L53" s="143" t="s">
        <v>758</v>
      </c>
      <c r="M53" s="143" t="s">
        <v>680</v>
      </c>
      <c r="N53" s="143">
        <v>1992</v>
      </c>
      <c r="O53" s="354">
        <v>0.39480520000000002</v>
      </c>
      <c r="P53" s="354">
        <v>0.6</v>
      </c>
      <c r="Q53" s="354">
        <v>0.99480519999999995</v>
      </c>
      <c r="R53" s="137" t="s">
        <v>3185</v>
      </c>
      <c r="S53" s="137">
        <v>0.75</v>
      </c>
      <c r="T53" s="78" t="s">
        <v>3184</v>
      </c>
      <c r="U53" s="78"/>
      <c r="W53" s="143" t="s">
        <v>762</v>
      </c>
      <c r="X53" s="143" t="s">
        <v>758</v>
      </c>
      <c r="Y53" s="143" t="s">
        <v>680</v>
      </c>
      <c r="Z53" s="143">
        <v>1992</v>
      </c>
      <c r="AA53" s="143">
        <v>0</v>
      </c>
      <c r="AD53" s="137">
        <v>0</v>
      </c>
      <c r="AE53" s="137">
        <v>0.5</v>
      </c>
      <c r="AG53" s="143" t="s">
        <v>762</v>
      </c>
      <c r="AH53" s="143" t="s">
        <v>758</v>
      </c>
      <c r="AI53" s="143" t="s">
        <v>680</v>
      </c>
      <c r="AJ53" s="143">
        <v>1992</v>
      </c>
      <c r="AK53" s="143">
        <v>2</v>
      </c>
      <c r="AL53" s="156">
        <v>2</v>
      </c>
      <c r="AM53" s="156">
        <v>3</v>
      </c>
      <c r="AN53" s="156">
        <v>3</v>
      </c>
      <c r="AO53" s="156">
        <v>3.5</v>
      </c>
      <c r="AP53" s="156">
        <v>3.5</v>
      </c>
      <c r="AQ53" s="156">
        <v>3.5</v>
      </c>
      <c r="AR53" s="156">
        <v>3.5</v>
      </c>
      <c r="AS53" s="169">
        <v>3.285714</v>
      </c>
    </row>
    <row r="54" spans="1:45" x14ac:dyDescent="0.25">
      <c r="A54" s="143" t="s">
        <v>762</v>
      </c>
      <c r="B54" s="143" t="s">
        <v>758</v>
      </c>
      <c r="C54" s="143" t="s">
        <v>680</v>
      </c>
      <c r="D54" s="143">
        <v>2321</v>
      </c>
      <c r="E54" s="143">
        <v>2</v>
      </c>
      <c r="F54" s="137">
        <v>1</v>
      </c>
      <c r="G54" s="137">
        <v>1</v>
      </c>
      <c r="H54" s="137">
        <v>1</v>
      </c>
      <c r="I54" s="137">
        <v>1</v>
      </c>
      <c r="K54" s="143" t="s">
        <v>762</v>
      </c>
      <c r="L54" s="143" t="s">
        <v>758</v>
      </c>
      <c r="M54" s="143" t="s">
        <v>680</v>
      </c>
      <c r="N54" s="143">
        <v>2321</v>
      </c>
      <c r="O54" s="354">
        <v>0.4</v>
      </c>
      <c r="P54" s="354">
        <v>0.6</v>
      </c>
      <c r="Q54" s="354">
        <v>1</v>
      </c>
      <c r="R54" s="137" t="s">
        <v>3184</v>
      </c>
      <c r="S54" s="137">
        <v>0.5</v>
      </c>
      <c r="T54" s="78" t="s">
        <v>3184</v>
      </c>
      <c r="U54" s="78"/>
      <c r="W54" s="143" t="s">
        <v>762</v>
      </c>
      <c r="X54" s="143" t="s">
        <v>758</v>
      </c>
      <c r="Y54" s="143" t="s">
        <v>680</v>
      </c>
      <c r="Z54" s="143">
        <v>2321</v>
      </c>
      <c r="AA54" s="143">
        <v>0</v>
      </c>
      <c r="AD54" s="137">
        <v>0</v>
      </c>
      <c r="AE54" s="137">
        <v>0.5</v>
      </c>
      <c r="AG54" s="143" t="s">
        <v>762</v>
      </c>
      <c r="AH54" s="143" t="s">
        <v>758</v>
      </c>
      <c r="AI54" s="143" t="s">
        <v>680</v>
      </c>
      <c r="AJ54" s="143">
        <v>2321</v>
      </c>
      <c r="AK54" s="143">
        <v>2</v>
      </c>
      <c r="AL54" s="156">
        <v>3</v>
      </c>
      <c r="AM54" s="156">
        <v>3.5</v>
      </c>
      <c r="AN54" s="156">
        <v>3</v>
      </c>
      <c r="AO54" s="156">
        <v>3.5</v>
      </c>
      <c r="AP54" s="156">
        <v>3.5</v>
      </c>
      <c r="AQ54" s="156">
        <v>4</v>
      </c>
      <c r="AR54" s="156">
        <v>3</v>
      </c>
      <c r="AS54" s="169">
        <v>3.214286</v>
      </c>
    </row>
    <row r="55" spans="1:45" x14ac:dyDescent="0.25">
      <c r="A55" s="143" t="s">
        <v>762</v>
      </c>
      <c r="B55" s="143" t="s">
        <v>758</v>
      </c>
      <c r="C55" s="143" t="s">
        <v>680</v>
      </c>
      <c r="D55" s="143">
        <v>2644</v>
      </c>
      <c r="E55" s="143">
        <v>2</v>
      </c>
      <c r="F55" s="137">
        <v>1</v>
      </c>
      <c r="G55" s="137">
        <v>1</v>
      </c>
      <c r="H55" s="137">
        <v>1</v>
      </c>
      <c r="I55" s="137">
        <v>0</v>
      </c>
      <c r="K55" s="143" t="s">
        <v>762</v>
      </c>
      <c r="L55" s="143" t="s">
        <v>758</v>
      </c>
      <c r="M55" s="143" t="s">
        <v>680</v>
      </c>
      <c r="N55" s="143">
        <v>2644</v>
      </c>
      <c r="O55" s="354">
        <v>0.4</v>
      </c>
      <c r="P55" s="354">
        <v>0.6</v>
      </c>
      <c r="Q55" s="354">
        <v>1</v>
      </c>
      <c r="R55" s="137" t="s">
        <v>3184</v>
      </c>
      <c r="S55" s="137">
        <v>0.5</v>
      </c>
      <c r="T55" s="78" t="s">
        <v>3184</v>
      </c>
      <c r="U55" s="78"/>
      <c r="W55" s="143" t="s">
        <v>762</v>
      </c>
      <c r="X55" s="143" t="s">
        <v>758</v>
      </c>
      <c r="Y55" s="143" t="s">
        <v>680</v>
      </c>
      <c r="Z55" s="143">
        <v>2644</v>
      </c>
      <c r="AA55" s="143">
        <v>0</v>
      </c>
      <c r="AD55" s="137">
        <v>0.25</v>
      </c>
      <c r="AE55" s="137">
        <v>0</v>
      </c>
      <c r="AG55" s="143" t="s">
        <v>762</v>
      </c>
      <c r="AH55" s="143" t="s">
        <v>758</v>
      </c>
      <c r="AI55" s="143" t="s">
        <v>680</v>
      </c>
      <c r="AJ55" s="143">
        <v>2644</v>
      </c>
      <c r="AK55" s="143">
        <v>2</v>
      </c>
      <c r="AL55" s="156">
        <v>1</v>
      </c>
      <c r="AM55" s="156">
        <v>3</v>
      </c>
      <c r="AN55" s="156">
        <v>3.5</v>
      </c>
      <c r="AO55" s="156">
        <v>3.5</v>
      </c>
      <c r="AP55" s="156">
        <v>3.5</v>
      </c>
      <c r="AQ55" s="156">
        <v>3.5</v>
      </c>
      <c r="AR55" s="156">
        <v>3.5</v>
      </c>
      <c r="AS55" s="169">
        <v>3.5</v>
      </c>
    </row>
    <row r="56" spans="1:45" x14ac:dyDescent="0.25">
      <c r="A56" s="143" t="s">
        <v>762</v>
      </c>
      <c r="B56" s="143" t="s">
        <v>758</v>
      </c>
      <c r="C56" s="143" t="s">
        <v>680</v>
      </c>
      <c r="D56" s="143">
        <v>4352</v>
      </c>
      <c r="E56" s="143">
        <v>2</v>
      </c>
      <c r="F56" s="137">
        <v>1</v>
      </c>
      <c r="G56" s="137">
        <v>1</v>
      </c>
      <c r="H56" s="137">
        <v>1</v>
      </c>
      <c r="I56" s="137">
        <v>1</v>
      </c>
      <c r="K56" s="143" t="s">
        <v>762</v>
      </c>
      <c r="L56" s="143" t="s">
        <v>758</v>
      </c>
      <c r="M56" s="143" t="s">
        <v>680</v>
      </c>
      <c r="N56" s="143">
        <v>4352</v>
      </c>
      <c r="O56" s="354">
        <v>0.4</v>
      </c>
      <c r="P56" s="354">
        <v>0.6</v>
      </c>
      <c r="Q56" s="354">
        <v>1</v>
      </c>
      <c r="R56" s="137" t="s">
        <v>3184</v>
      </c>
      <c r="S56" s="137">
        <v>1</v>
      </c>
      <c r="T56" s="78" t="s">
        <v>3184</v>
      </c>
      <c r="U56" s="78"/>
      <c r="W56" s="143" t="s">
        <v>762</v>
      </c>
      <c r="X56" s="143" t="s">
        <v>758</v>
      </c>
      <c r="Y56" s="143" t="s">
        <v>680</v>
      </c>
      <c r="Z56" s="143">
        <v>4352</v>
      </c>
      <c r="AA56" s="143">
        <v>0</v>
      </c>
      <c r="AD56" s="137">
        <v>0.66666669999999995</v>
      </c>
      <c r="AE56" s="137">
        <v>0</v>
      </c>
      <c r="AG56" s="143" t="s">
        <v>762</v>
      </c>
      <c r="AH56" s="143" t="s">
        <v>758</v>
      </c>
      <c r="AI56" s="143" t="s">
        <v>680</v>
      </c>
      <c r="AJ56" s="143">
        <v>4352</v>
      </c>
      <c r="AK56" s="143">
        <v>2</v>
      </c>
      <c r="AL56" s="156">
        <v>2</v>
      </c>
      <c r="AM56" s="156">
        <v>3</v>
      </c>
      <c r="AN56" s="156">
        <v>3</v>
      </c>
      <c r="AO56" s="156">
        <v>3</v>
      </c>
      <c r="AP56" s="156">
        <v>2.5</v>
      </c>
      <c r="AQ56" s="156">
        <v>3.5</v>
      </c>
      <c r="AR56" s="156">
        <v>3.5</v>
      </c>
      <c r="AS56" s="169">
        <v>3.0714290000000002</v>
      </c>
    </row>
    <row r="57" spans="1:45" x14ac:dyDescent="0.25">
      <c r="A57" s="143" t="s">
        <v>762</v>
      </c>
      <c r="B57" s="143" t="s">
        <v>758</v>
      </c>
      <c r="C57" s="143" t="s">
        <v>680</v>
      </c>
      <c r="D57" s="143">
        <v>4356</v>
      </c>
      <c r="E57" s="143">
        <v>2</v>
      </c>
      <c r="F57" s="137">
        <v>1</v>
      </c>
      <c r="G57" s="137">
        <v>1</v>
      </c>
      <c r="H57" s="137">
        <v>1</v>
      </c>
      <c r="I57" s="137">
        <v>0</v>
      </c>
      <c r="K57" s="143" t="s">
        <v>762</v>
      </c>
      <c r="L57" s="143" t="s">
        <v>758</v>
      </c>
      <c r="M57" s="143" t="s">
        <v>680</v>
      </c>
      <c r="N57" s="143">
        <v>4356</v>
      </c>
      <c r="O57" s="354">
        <v>0.4</v>
      </c>
      <c r="P57" s="354">
        <v>0.6</v>
      </c>
      <c r="Q57" s="354">
        <v>1</v>
      </c>
      <c r="R57" s="137" t="s">
        <v>3184</v>
      </c>
      <c r="S57" s="137">
        <v>1</v>
      </c>
      <c r="T57" s="78" t="s">
        <v>3184</v>
      </c>
      <c r="U57" s="78"/>
      <c r="W57" s="143" t="s">
        <v>762</v>
      </c>
      <c r="X57" s="143" t="s">
        <v>758</v>
      </c>
      <c r="Y57" s="143" t="s">
        <v>680</v>
      </c>
      <c r="Z57" s="143">
        <v>4356</v>
      </c>
      <c r="AA57" s="143">
        <v>0</v>
      </c>
      <c r="AD57" s="137">
        <v>0.3333333</v>
      </c>
      <c r="AE57" s="137">
        <v>0</v>
      </c>
      <c r="AG57" s="143" t="s">
        <v>762</v>
      </c>
      <c r="AH57" s="143" t="s">
        <v>758</v>
      </c>
      <c r="AI57" s="143" t="s">
        <v>680</v>
      </c>
      <c r="AJ57" s="143">
        <v>4356</v>
      </c>
      <c r="AK57" s="143">
        <v>2</v>
      </c>
      <c r="AL57" s="156">
        <v>3.5</v>
      </c>
      <c r="AM57" s="156">
        <v>3.5</v>
      </c>
      <c r="AN57" s="156">
        <v>3.5</v>
      </c>
      <c r="AO57" s="156">
        <v>3</v>
      </c>
      <c r="AP57" s="156">
        <v>3</v>
      </c>
      <c r="AQ57" s="156">
        <v>4</v>
      </c>
      <c r="AR57" s="156">
        <v>3</v>
      </c>
      <c r="AS57" s="169">
        <v>3.285714</v>
      </c>
    </row>
    <row r="58" spans="1:45" x14ac:dyDescent="0.25">
      <c r="A58" s="143" t="s">
        <v>762</v>
      </c>
      <c r="B58" s="143" t="s">
        <v>758</v>
      </c>
      <c r="C58" s="143" t="s">
        <v>680</v>
      </c>
      <c r="D58" s="143">
        <v>4358</v>
      </c>
      <c r="E58" s="143">
        <v>2</v>
      </c>
      <c r="F58" s="137">
        <v>1</v>
      </c>
      <c r="G58" s="137">
        <v>1</v>
      </c>
      <c r="H58" s="137">
        <v>1</v>
      </c>
      <c r="I58" s="137">
        <v>1</v>
      </c>
      <c r="K58" s="143" t="s">
        <v>762</v>
      </c>
      <c r="L58" s="143" t="s">
        <v>758</v>
      </c>
      <c r="M58" s="143" t="s">
        <v>680</v>
      </c>
      <c r="N58" s="143">
        <v>4358</v>
      </c>
      <c r="O58" s="354">
        <v>0.4</v>
      </c>
      <c r="P58" s="354">
        <v>0.6</v>
      </c>
      <c r="Q58" s="354">
        <v>1</v>
      </c>
      <c r="R58" s="137" t="s">
        <v>3184</v>
      </c>
      <c r="S58" s="137">
        <v>0.75</v>
      </c>
      <c r="T58" s="137" t="s">
        <v>3184</v>
      </c>
      <c r="W58" s="143" t="s">
        <v>762</v>
      </c>
      <c r="X58" s="143" t="s">
        <v>758</v>
      </c>
      <c r="Y58" s="143" t="s">
        <v>680</v>
      </c>
      <c r="Z58" s="143">
        <v>4358</v>
      </c>
      <c r="AA58" s="143">
        <v>0</v>
      </c>
      <c r="AD58" s="137">
        <v>0</v>
      </c>
      <c r="AG58" s="143" t="s">
        <v>762</v>
      </c>
      <c r="AH58" s="143" t="s">
        <v>758</v>
      </c>
      <c r="AI58" s="143" t="s">
        <v>680</v>
      </c>
      <c r="AJ58" s="143">
        <v>4358</v>
      </c>
      <c r="AK58" s="143">
        <v>2</v>
      </c>
      <c r="AL58" s="156">
        <v>3</v>
      </c>
      <c r="AM58" s="156">
        <v>4</v>
      </c>
      <c r="AN58" s="156">
        <v>3</v>
      </c>
      <c r="AO58" s="156">
        <v>3</v>
      </c>
      <c r="AP58" s="156">
        <v>3</v>
      </c>
      <c r="AQ58" s="156">
        <v>4</v>
      </c>
      <c r="AR58" s="156">
        <v>3</v>
      </c>
      <c r="AS58" s="169">
        <v>3.1428569999999998</v>
      </c>
    </row>
    <row r="59" spans="1:45" x14ac:dyDescent="0.25">
      <c r="A59" s="143" t="s">
        <v>763</v>
      </c>
      <c r="B59" s="143" t="s">
        <v>764</v>
      </c>
      <c r="C59" s="143" t="s">
        <v>727</v>
      </c>
      <c r="D59" s="143">
        <v>598</v>
      </c>
      <c r="E59" s="143">
        <v>3</v>
      </c>
      <c r="F59" s="137">
        <v>1</v>
      </c>
      <c r="G59" s="137">
        <v>1</v>
      </c>
      <c r="H59" s="137">
        <v>1</v>
      </c>
      <c r="I59" s="137">
        <v>0</v>
      </c>
      <c r="K59" s="143" t="s">
        <v>763</v>
      </c>
      <c r="L59" s="143" t="s">
        <v>764</v>
      </c>
      <c r="M59" s="143" t="s">
        <v>727</v>
      </c>
      <c r="N59" s="143">
        <v>598</v>
      </c>
      <c r="O59" s="354">
        <v>0.4</v>
      </c>
      <c r="P59" s="354">
        <v>0.6</v>
      </c>
      <c r="Q59" s="354">
        <v>1</v>
      </c>
      <c r="R59" s="137" t="s">
        <v>3184</v>
      </c>
      <c r="S59" s="137">
        <v>0.44444440000000002</v>
      </c>
      <c r="T59" s="137" t="s">
        <v>3184</v>
      </c>
      <c r="U59" s="137" t="s">
        <v>3184</v>
      </c>
      <c r="W59" s="143" t="s">
        <v>763</v>
      </c>
      <c r="X59" s="143" t="s">
        <v>764</v>
      </c>
      <c r="Y59" s="143" t="s">
        <v>727</v>
      </c>
      <c r="Z59" s="143">
        <v>598</v>
      </c>
      <c r="AA59" s="143">
        <v>0</v>
      </c>
      <c r="AD59" s="137">
        <v>0</v>
      </c>
      <c r="AE59" s="137">
        <v>0.55555560000000004</v>
      </c>
      <c r="AG59" s="143" t="s">
        <v>763</v>
      </c>
      <c r="AH59" s="143" t="s">
        <v>764</v>
      </c>
      <c r="AI59" s="143" t="s">
        <v>727</v>
      </c>
      <c r="AJ59" s="143">
        <v>598</v>
      </c>
      <c r="AK59" s="143">
        <v>3</v>
      </c>
      <c r="AL59" s="156">
        <v>1</v>
      </c>
      <c r="AM59" s="156">
        <v>4</v>
      </c>
      <c r="AN59" s="156">
        <v>3.6666667461395299</v>
      </c>
      <c r="AO59" s="156">
        <v>3</v>
      </c>
      <c r="AP59" s="156">
        <v>3.3333332538604701</v>
      </c>
      <c r="AQ59" s="156">
        <v>4</v>
      </c>
      <c r="AR59" s="156">
        <v>4</v>
      </c>
      <c r="AS59" s="169">
        <v>3.714286</v>
      </c>
    </row>
    <row r="60" spans="1:45" x14ac:dyDescent="0.25">
      <c r="A60" s="143" t="s">
        <v>763</v>
      </c>
      <c r="B60" s="143" t="s">
        <v>764</v>
      </c>
      <c r="C60" s="143" t="s">
        <v>727</v>
      </c>
      <c r="D60" s="143">
        <v>604</v>
      </c>
      <c r="E60" s="143">
        <v>3</v>
      </c>
      <c r="F60" s="137">
        <v>1</v>
      </c>
      <c r="G60" s="137">
        <v>1</v>
      </c>
      <c r="H60" s="137">
        <v>1</v>
      </c>
      <c r="I60" s="137">
        <v>0</v>
      </c>
      <c r="K60" s="143" t="s">
        <v>763</v>
      </c>
      <c r="L60" s="143" t="s">
        <v>764</v>
      </c>
      <c r="M60" s="143" t="s">
        <v>727</v>
      </c>
      <c r="N60" s="143">
        <v>604</v>
      </c>
      <c r="O60" s="354">
        <v>0.4</v>
      </c>
      <c r="P60" s="354">
        <v>0.2</v>
      </c>
      <c r="Q60" s="354">
        <v>0.6</v>
      </c>
      <c r="R60" s="137" t="s">
        <v>3185</v>
      </c>
      <c r="S60" s="137">
        <v>0.46153850000000002</v>
      </c>
      <c r="T60" s="137" t="s">
        <v>3184</v>
      </c>
      <c r="U60" s="137" t="s">
        <v>3184</v>
      </c>
      <c r="W60" s="143" t="s">
        <v>763</v>
      </c>
      <c r="X60" s="143" t="s">
        <v>764</v>
      </c>
      <c r="Y60" s="143" t="s">
        <v>727</v>
      </c>
      <c r="Z60" s="143">
        <v>604</v>
      </c>
      <c r="AA60" s="143">
        <v>0</v>
      </c>
      <c r="AD60" s="137">
        <v>0.46153850000000002</v>
      </c>
      <c r="AE60" s="137">
        <v>0</v>
      </c>
      <c r="AG60" s="143" t="s">
        <v>763</v>
      </c>
      <c r="AH60" s="143" t="s">
        <v>764</v>
      </c>
      <c r="AI60" s="143" t="s">
        <v>727</v>
      </c>
      <c r="AJ60" s="143">
        <v>604</v>
      </c>
      <c r="AK60" s="143">
        <v>3</v>
      </c>
      <c r="AL60" s="156">
        <v>2</v>
      </c>
      <c r="AM60" s="156">
        <v>3.6666667461395299</v>
      </c>
      <c r="AN60" s="156">
        <v>3.6666667461395299</v>
      </c>
      <c r="AO60" s="156">
        <v>3</v>
      </c>
      <c r="AP60" s="156">
        <v>3</v>
      </c>
      <c r="AQ60" s="156">
        <v>3.3333332538604701</v>
      </c>
      <c r="AR60" s="156">
        <v>3.3333332538604701</v>
      </c>
      <c r="AS60" s="169">
        <v>3.285714</v>
      </c>
    </row>
    <row r="61" spans="1:45" x14ac:dyDescent="0.25">
      <c r="A61" s="143" t="s">
        <v>763</v>
      </c>
      <c r="B61" s="143" t="s">
        <v>764</v>
      </c>
      <c r="C61" s="143" t="s">
        <v>727</v>
      </c>
      <c r="D61" s="143">
        <v>1913</v>
      </c>
      <c r="E61" s="143">
        <v>3</v>
      </c>
      <c r="F61" s="137">
        <v>0</v>
      </c>
      <c r="G61" s="137">
        <v>0</v>
      </c>
      <c r="H61" s="137">
        <v>0</v>
      </c>
      <c r="I61" s="137">
        <v>0</v>
      </c>
      <c r="K61" s="143" t="s">
        <v>763</v>
      </c>
      <c r="L61" s="143" t="s">
        <v>764</v>
      </c>
      <c r="M61" s="143" t="s">
        <v>727</v>
      </c>
      <c r="N61" s="143">
        <v>1913</v>
      </c>
      <c r="O61" s="354">
        <v>0.4</v>
      </c>
      <c r="P61" s="354">
        <v>0.6</v>
      </c>
      <c r="Q61" s="354">
        <v>1</v>
      </c>
      <c r="R61" s="137" t="s">
        <v>3184</v>
      </c>
      <c r="S61" s="137">
        <v>0.5</v>
      </c>
      <c r="T61" s="137" t="s">
        <v>3184</v>
      </c>
      <c r="U61" s="137" t="s">
        <v>3184</v>
      </c>
      <c r="W61" s="143" t="s">
        <v>763</v>
      </c>
      <c r="X61" s="143" t="s">
        <v>764</v>
      </c>
      <c r="Y61" s="143" t="s">
        <v>727</v>
      </c>
      <c r="Z61" s="143">
        <v>1913</v>
      </c>
      <c r="AA61" s="143">
        <v>0</v>
      </c>
      <c r="AD61" s="137">
        <v>0.5</v>
      </c>
      <c r="AE61" s="137">
        <v>0</v>
      </c>
      <c r="AG61" s="143" t="s">
        <v>763</v>
      </c>
      <c r="AH61" s="143" t="s">
        <v>764</v>
      </c>
      <c r="AI61" s="143" t="s">
        <v>727</v>
      </c>
      <c r="AJ61" s="143">
        <v>1913</v>
      </c>
      <c r="AK61" s="143">
        <v>3</v>
      </c>
      <c r="AL61" s="156">
        <v>2.6666667461395299</v>
      </c>
      <c r="AM61" s="156">
        <v>3</v>
      </c>
      <c r="AN61" s="156">
        <v>2.3333332538604701</v>
      </c>
      <c r="AO61" s="156">
        <v>2</v>
      </c>
      <c r="AP61" s="156">
        <v>3</v>
      </c>
      <c r="AQ61" s="156">
        <v>2.6666667461395299</v>
      </c>
      <c r="AR61" s="156">
        <v>2.6666667461395299</v>
      </c>
      <c r="AS61" s="169">
        <v>2.714286</v>
      </c>
    </row>
    <row r="62" spans="1:45" x14ac:dyDescent="0.25">
      <c r="A62" s="143" t="s">
        <v>763</v>
      </c>
      <c r="B62" s="143" t="s">
        <v>764</v>
      </c>
      <c r="C62" s="143" t="s">
        <v>728</v>
      </c>
      <c r="D62" s="143">
        <v>1946</v>
      </c>
      <c r="E62" s="143">
        <v>2</v>
      </c>
      <c r="F62" s="137">
        <v>1</v>
      </c>
      <c r="G62" s="137">
        <v>1</v>
      </c>
      <c r="H62" s="137">
        <v>1</v>
      </c>
      <c r="I62" s="137">
        <v>0</v>
      </c>
      <c r="K62" s="143" t="s">
        <v>763</v>
      </c>
      <c r="L62" s="143" t="s">
        <v>764</v>
      </c>
      <c r="M62" s="143" t="s">
        <v>728</v>
      </c>
      <c r="N62" s="143">
        <v>1946</v>
      </c>
      <c r="O62" s="354">
        <v>0.2</v>
      </c>
      <c r="P62" s="354">
        <v>0.3</v>
      </c>
      <c r="Q62" s="137">
        <v>0.5</v>
      </c>
      <c r="R62" s="137" t="s">
        <v>3185</v>
      </c>
      <c r="S62" s="137">
        <v>0.42857139999999999</v>
      </c>
      <c r="T62" s="137" t="s">
        <v>3184</v>
      </c>
      <c r="U62" s="137" t="s">
        <v>3184</v>
      </c>
      <c r="W62" s="143" t="s">
        <v>763</v>
      </c>
      <c r="X62" s="143" t="s">
        <v>764</v>
      </c>
      <c r="Y62" s="143" t="s">
        <v>728</v>
      </c>
      <c r="Z62" s="143">
        <v>1946</v>
      </c>
      <c r="AA62" s="143">
        <v>0</v>
      </c>
      <c r="AD62" s="137">
        <v>0.71428570000000002</v>
      </c>
      <c r="AE62" s="137">
        <v>0</v>
      </c>
      <c r="AG62" s="143" t="s">
        <v>763</v>
      </c>
      <c r="AH62" s="143" t="s">
        <v>764</v>
      </c>
      <c r="AI62" s="143" t="s">
        <v>728</v>
      </c>
      <c r="AJ62" s="143">
        <v>1946</v>
      </c>
      <c r="AK62" s="143">
        <v>2</v>
      </c>
      <c r="AL62" s="156">
        <v>1.5</v>
      </c>
      <c r="AM62" s="156">
        <v>3.5</v>
      </c>
      <c r="AN62" s="156">
        <v>3</v>
      </c>
      <c r="AO62" s="156">
        <v>3.5</v>
      </c>
      <c r="AP62" s="156">
        <v>3.5</v>
      </c>
      <c r="AQ62" s="156">
        <v>3.5</v>
      </c>
      <c r="AR62" s="156">
        <v>4</v>
      </c>
      <c r="AS62" s="169">
        <v>3.5</v>
      </c>
    </row>
    <row r="63" spans="1:45" x14ac:dyDescent="0.25">
      <c r="A63" s="143" t="s">
        <v>763</v>
      </c>
      <c r="B63" s="143" t="s">
        <v>764</v>
      </c>
      <c r="C63" s="143" t="s">
        <v>729</v>
      </c>
      <c r="D63" s="143">
        <v>2018</v>
      </c>
      <c r="E63" s="143">
        <v>8</v>
      </c>
      <c r="F63" s="137">
        <v>0.25</v>
      </c>
      <c r="G63" s="137">
        <v>0.25</v>
      </c>
      <c r="H63" s="137">
        <v>0.25</v>
      </c>
      <c r="I63" s="137">
        <v>0</v>
      </c>
      <c r="K63" s="143" t="s">
        <v>763</v>
      </c>
      <c r="L63" s="143" t="s">
        <v>764</v>
      </c>
      <c r="M63" s="143" t="s">
        <v>729</v>
      </c>
      <c r="N63" s="143">
        <v>2018</v>
      </c>
      <c r="O63" s="354">
        <v>0.4</v>
      </c>
      <c r="P63" s="354">
        <v>0.6</v>
      </c>
      <c r="Q63" s="354">
        <v>1</v>
      </c>
      <c r="R63" s="137" t="s">
        <v>3184</v>
      </c>
      <c r="S63" s="137">
        <v>0.45454549999999999</v>
      </c>
      <c r="T63" s="137" t="s">
        <v>3184</v>
      </c>
      <c r="U63" s="137" t="s">
        <v>3185</v>
      </c>
      <c r="W63" s="143" t="s">
        <v>763</v>
      </c>
      <c r="X63" s="143" t="s">
        <v>764</v>
      </c>
      <c r="Y63" s="143" t="s">
        <v>729</v>
      </c>
      <c r="Z63" s="143">
        <v>2018</v>
      </c>
      <c r="AA63" s="143">
        <v>8</v>
      </c>
      <c r="AB63" s="137">
        <v>0.25</v>
      </c>
      <c r="AC63" s="137">
        <v>0</v>
      </c>
      <c r="AD63" s="137">
        <v>6.0606100000000003E-2</v>
      </c>
      <c r="AE63" s="137">
        <v>0</v>
      </c>
      <c r="AG63" s="143" t="s">
        <v>763</v>
      </c>
      <c r="AH63" s="143" t="s">
        <v>764</v>
      </c>
      <c r="AI63" s="143" t="s">
        <v>729</v>
      </c>
      <c r="AJ63" s="143">
        <v>2018</v>
      </c>
      <c r="AK63" s="143">
        <v>8</v>
      </c>
      <c r="AL63" s="156">
        <v>2.625</v>
      </c>
      <c r="AM63" s="156">
        <v>3.125</v>
      </c>
      <c r="AN63" s="156">
        <v>2.75</v>
      </c>
      <c r="AO63" s="156">
        <v>1.875</v>
      </c>
      <c r="AP63" s="156">
        <v>2.125</v>
      </c>
      <c r="AQ63" s="156">
        <v>2.25</v>
      </c>
      <c r="AR63" s="156">
        <v>2.75</v>
      </c>
      <c r="AS63" s="169">
        <v>2.5714290000000002</v>
      </c>
    </row>
    <row r="64" spans="1:45" x14ac:dyDescent="0.25">
      <c r="A64" s="143" t="s">
        <v>763</v>
      </c>
      <c r="B64" s="143" t="s">
        <v>764</v>
      </c>
      <c r="C64" s="143" t="s">
        <v>728</v>
      </c>
      <c r="D64" s="143">
        <v>2154</v>
      </c>
      <c r="E64" s="143">
        <v>2</v>
      </c>
      <c r="F64" s="137">
        <v>0</v>
      </c>
      <c r="G64" s="137">
        <v>0</v>
      </c>
      <c r="H64" s="137">
        <v>0</v>
      </c>
      <c r="I64" s="137">
        <v>0</v>
      </c>
      <c r="K64" s="143" t="s">
        <v>763</v>
      </c>
      <c r="L64" s="143" t="s">
        <v>764</v>
      </c>
      <c r="M64" s="143" t="s">
        <v>728</v>
      </c>
      <c r="N64" s="143">
        <v>2154</v>
      </c>
      <c r="O64" s="354">
        <v>0.4</v>
      </c>
      <c r="P64" s="354">
        <v>0.6</v>
      </c>
      <c r="Q64" s="354">
        <v>1</v>
      </c>
      <c r="R64" s="137" t="s">
        <v>3184</v>
      </c>
      <c r="S64" s="137">
        <v>0.5</v>
      </c>
      <c r="T64" s="137" t="s">
        <v>3184</v>
      </c>
      <c r="U64" s="137" t="s">
        <v>3184</v>
      </c>
      <c r="W64" s="143" t="s">
        <v>763</v>
      </c>
      <c r="X64" s="143" t="s">
        <v>764</v>
      </c>
      <c r="Y64" s="143" t="s">
        <v>728</v>
      </c>
      <c r="Z64" s="143">
        <v>2154</v>
      </c>
      <c r="AA64" s="143">
        <v>0</v>
      </c>
      <c r="AD64" s="137">
        <v>0</v>
      </c>
      <c r="AE64" s="137">
        <v>0.5</v>
      </c>
      <c r="AG64" s="143" t="s">
        <v>763</v>
      </c>
      <c r="AH64" s="143" t="s">
        <v>764</v>
      </c>
      <c r="AI64" s="143" t="s">
        <v>728</v>
      </c>
      <c r="AJ64" s="143">
        <v>2154</v>
      </c>
      <c r="AK64" s="143">
        <v>2</v>
      </c>
      <c r="AL64" s="156">
        <v>2</v>
      </c>
      <c r="AM64" s="156">
        <v>3</v>
      </c>
      <c r="AN64" s="156">
        <v>3.5</v>
      </c>
      <c r="AO64" s="156">
        <v>2.5</v>
      </c>
      <c r="AP64" s="156">
        <v>4</v>
      </c>
      <c r="AQ64" s="156">
        <v>2.5</v>
      </c>
      <c r="AR64" s="156">
        <v>3</v>
      </c>
      <c r="AS64" s="169">
        <v>3.0714290000000002</v>
      </c>
    </row>
    <row r="65" spans="1:45" x14ac:dyDescent="0.25">
      <c r="A65" s="143" t="s">
        <v>763</v>
      </c>
      <c r="B65" s="143" t="s">
        <v>764</v>
      </c>
      <c r="C65" s="143" t="s">
        <v>680</v>
      </c>
      <c r="D65" s="143">
        <v>2656</v>
      </c>
      <c r="E65" s="143">
        <v>2</v>
      </c>
      <c r="F65" s="137">
        <v>0</v>
      </c>
      <c r="G65" s="137">
        <v>0</v>
      </c>
      <c r="H65" s="137">
        <v>0</v>
      </c>
      <c r="I65" s="137">
        <v>0</v>
      </c>
      <c r="K65" s="143" t="s">
        <v>763</v>
      </c>
      <c r="L65" s="143" t="s">
        <v>764</v>
      </c>
      <c r="M65" s="143" t="s">
        <v>680</v>
      </c>
      <c r="N65" s="143">
        <v>2656</v>
      </c>
      <c r="O65" s="354">
        <v>0.4</v>
      </c>
      <c r="P65" s="354">
        <v>0.6</v>
      </c>
      <c r="Q65" s="354">
        <v>1</v>
      </c>
      <c r="R65" s="137" t="s">
        <v>3184</v>
      </c>
      <c r="S65" s="137">
        <v>0.75</v>
      </c>
      <c r="T65" s="137" t="s">
        <v>3184</v>
      </c>
      <c r="W65" s="143" t="s">
        <v>763</v>
      </c>
      <c r="X65" s="143" t="s">
        <v>764</v>
      </c>
      <c r="Y65" s="143" t="s">
        <v>680</v>
      </c>
      <c r="Z65" s="143">
        <v>2656</v>
      </c>
      <c r="AA65" s="143">
        <v>0</v>
      </c>
      <c r="AD65" s="137">
        <v>0</v>
      </c>
      <c r="AG65" s="143" t="s">
        <v>763</v>
      </c>
      <c r="AH65" s="143" t="s">
        <v>764</v>
      </c>
      <c r="AI65" s="143" t="s">
        <v>680</v>
      </c>
      <c r="AJ65" s="143">
        <v>2656</v>
      </c>
      <c r="AK65" s="143">
        <v>2</v>
      </c>
      <c r="AL65" s="156">
        <v>2.5</v>
      </c>
      <c r="AM65" s="156">
        <v>3</v>
      </c>
      <c r="AN65" s="156">
        <v>3</v>
      </c>
      <c r="AO65" s="156">
        <v>1.5</v>
      </c>
      <c r="AP65" s="156">
        <v>1.5</v>
      </c>
      <c r="AQ65" s="156">
        <v>2</v>
      </c>
      <c r="AR65" s="156">
        <v>3</v>
      </c>
      <c r="AS65" s="169">
        <v>2.3571430000000002</v>
      </c>
    </row>
    <row r="66" spans="1:45" x14ac:dyDescent="0.25">
      <c r="A66" s="143" t="s">
        <v>763</v>
      </c>
      <c r="B66" s="143" t="s">
        <v>764</v>
      </c>
      <c r="C66" s="143" t="s">
        <v>728</v>
      </c>
      <c r="D66" s="143">
        <v>2993</v>
      </c>
      <c r="E66" s="143">
        <v>2</v>
      </c>
      <c r="F66" s="137">
        <v>0</v>
      </c>
      <c r="G66" s="137">
        <v>0</v>
      </c>
      <c r="H66" s="137">
        <v>0</v>
      </c>
      <c r="I66" s="137">
        <v>0</v>
      </c>
      <c r="K66" s="143" t="s">
        <v>763</v>
      </c>
      <c r="L66" s="143" t="s">
        <v>764</v>
      </c>
      <c r="M66" s="143" t="s">
        <v>728</v>
      </c>
      <c r="N66" s="143">
        <v>2993</v>
      </c>
      <c r="O66" s="354">
        <v>0.4</v>
      </c>
      <c r="P66" s="354">
        <v>0.6</v>
      </c>
      <c r="Q66" s="137">
        <v>1</v>
      </c>
      <c r="R66" s="137" t="s">
        <v>3184</v>
      </c>
      <c r="S66" s="137">
        <v>0.6</v>
      </c>
      <c r="T66" s="137" t="s">
        <v>3184</v>
      </c>
      <c r="U66" s="137" t="s">
        <v>3185</v>
      </c>
      <c r="W66" s="143" t="s">
        <v>763</v>
      </c>
      <c r="X66" s="143" t="s">
        <v>764</v>
      </c>
      <c r="Y66" s="143" t="s">
        <v>728</v>
      </c>
      <c r="Z66" s="143">
        <v>2993</v>
      </c>
      <c r="AA66" s="143">
        <v>0</v>
      </c>
      <c r="AD66" s="137">
        <v>0</v>
      </c>
      <c r="AG66" s="143" t="s">
        <v>763</v>
      </c>
      <c r="AH66" s="143" t="s">
        <v>764</v>
      </c>
      <c r="AI66" s="143" t="s">
        <v>728</v>
      </c>
      <c r="AJ66" s="143">
        <v>2993</v>
      </c>
      <c r="AK66" s="143">
        <v>2</v>
      </c>
      <c r="AL66" s="156">
        <v>2</v>
      </c>
      <c r="AM66" s="156">
        <v>3</v>
      </c>
      <c r="AN66" s="156">
        <v>3.5</v>
      </c>
      <c r="AO66" s="156">
        <v>3</v>
      </c>
      <c r="AP66" s="156">
        <v>1</v>
      </c>
      <c r="AQ66" s="156">
        <v>2.5</v>
      </c>
      <c r="AR66" s="156">
        <v>3.5</v>
      </c>
      <c r="AS66" s="169">
        <v>2.785714</v>
      </c>
    </row>
    <row r="67" spans="1:45" x14ac:dyDescent="0.25">
      <c r="A67" s="143" t="s">
        <v>763</v>
      </c>
      <c r="B67" s="143" t="s">
        <v>764</v>
      </c>
      <c r="C67" s="143" t="s">
        <v>680</v>
      </c>
      <c r="D67" s="143">
        <v>3590</v>
      </c>
      <c r="E67" s="143">
        <v>2</v>
      </c>
      <c r="F67" s="137">
        <v>1</v>
      </c>
      <c r="G67" s="137">
        <v>1</v>
      </c>
      <c r="H67" s="137">
        <v>1</v>
      </c>
      <c r="I67" s="137">
        <v>0</v>
      </c>
      <c r="K67" s="143" t="s">
        <v>763</v>
      </c>
      <c r="L67" s="143" t="s">
        <v>764</v>
      </c>
      <c r="M67" s="143" t="s">
        <v>680</v>
      </c>
      <c r="N67" s="143">
        <v>3590</v>
      </c>
      <c r="O67" s="354">
        <v>0.4</v>
      </c>
      <c r="P67" s="354">
        <v>0.6</v>
      </c>
      <c r="Q67" s="354">
        <v>1</v>
      </c>
      <c r="R67" s="137" t="s">
        <v>3184</v>
      </c>
      <c r="S67" s="137">
        <v>0.6</v>
      </c>
      <c r="T67" s="137" t="s">
        <v>3184</v>
      </c>
      <c r="W67" s="143" t="s">
        <v>763</v>
      </c>
      <c r="X67" s="143" t="s">
        <v>764</v>
      </c>
      <c r="Y67" s="143" t="s">
        <v>680</v>
      </c>
      <c r="Z67" s="143">
        <v>3590</v>
      </c>
      <c r="AA67" s="143">
        <v>0</v>
      </c>
      <c r="AD67" s="137">
        <v>0.2</v>
      </c>
      <c r="AE67" s="137">
        <v>0</v>
      </c>
      <c r="AG67" s="143" t="s">
        <v>763</v>
      </c>
      <c r="AH67" s="143" t="s">
        <v>764</v>
      </c>
      <c r="AI67" s="143" t="s">
        <v>680</v>
      </c>
      <c r="AJ67" s="143">
        <v>3590</v>
      </c>
      <c r="AK67" s="143">
        <v>2</v>
      </c>
      <c r="AL67" s="156">
        <v>1</v>
      </c>
      <c r="AM67" s="156">
        <v>3.5</v>
      </c>
      <c r="AN67" s="156">
        <v>3.5</v>
      </c>
      <c r="AO67" s="156">
        <v>3</v>
      </c>
      <c r="AP67" s="156">
        <v>3</v>
      </c>
      <c r="AQ67" s="156">
        <v>4</v>
      </c>
      <c r="AR67" s="156">
        <v>3.5</v>
      </c>
      <c r="AS67" s="169">
        <v>3.5</v>
      </c>
    </row>
    <row r="68" spans="1:45" x14ac:dyDescent="0.25">
      <c r="A68" s="143" t="s">
        <v>763</v>
      </c>
      <c r="B68" s="143" t="s">
        <v>764</v>
      </c>
      <c r="C68" s="143" t="s">
        <v>680</v>
      </c>
      <c r="D68" s="143">
        <v>4429</v>
      </c>
      <c r="E68" s="143">
        <v>2</v>
      </c>
      <c r="F68" s="137">
        <v>1</v>
      </c>
      <c r="G68" s="137">
        <v>1</v>
      </c>
      <c r="H68" s="137">
        <v>1</v>
      </c>
      <c r="I68" s="137">
        <v>0</v>
      </c>
      <c r="K68" s="143" t="s">
        <v>763</v>
      </c>
      <c r="L68" s="143" t="s">
        <v>764</v>
      </c>
      <c r="M68" s="143" t="s">
        <v>680</v>
      </c>
      <c r="N68" s="143">
        <v>4429</v>
      </c>
      <c r="O68" s="354">
        <v>0.4</v>
      </c>
      <c r="P68" s="354">
        <v>0.6</v>
      </c>
      <c r="Q68" s="354">
        <v>1</v>
      </c>
      <c r="R68" s="137" t="s">
        <v>3184</v>
      </c>
      <c r="S68" s="137">
        <v>0.75</v>
      </c>
      <c r="T68" s="137" t="s">
        <v>3184</v>
      </c>
      <c r="W68" s="143" t="s">
        <v>763</v>
      </c>
      <c r="X68" s="143" t="s">
        <v>764</v>
      </c>
      <c r="Y68" s="143" t="s">
        <v>680</v>
      </c>
      <c r="Z68" s="143">
        <v>4429</v>
      </c>
      <c r="AA68" s="143">
        <v>0</v>
      </c>
      <c r="AD68" s="137">
        <v>0</v>
      </c>
      <c r="AE68" s="137">
        <v>0.5</v>
      </c>
      <c r="AG68" s="143" t="s">
        <v>763</v>
      </c>
      <c r="AH68" s="143" t="s">
        <v>764</v>
      </c>
      <c r="AI68" s="143" t="s">
        <v>680</v>
      </c>
      <c r="AJ68" s="143">
        <v>4429</v>
      </c>
      <c r="AK68" s="143">
        <v>2</v>
      </c>
      <c r="AL68" s="156">
        <v>1</v>
      </c>
      <c r="AM68" s="156">
        <v>3.5</v>
      </c>
      <c r="AN68" s="156">
        <v>3.5</v>
      </c>
      <c r="AO68" s="156">
        <v>3</v>
      </c>
      <c r="AP68" s="156">
        <v>2.5</v>
      </c>
      <c r="AQ68" s="156">
        <v>3.5</v>
      </c>
      <c r="AR68" s="156">
        <v>3.5</v>
      </c>
      <c r="AS68" s="169">
        <v>3.3571430000000002</v>
      </c>
    </row>
    <row r="69" spans="1:45" x14ac:dyDescent="0.25">
      <c r="A69" s="143" t="s">
        <v>763</v>
      </c>
      <c r="B69" s="143" t="s">
        <v>764</v>
      </c>
      <c r="C69" s="143" t="s">
        <v>680</v>
      </c>
      <c r="D69" s="143">
        <v>4430</v>
      </c>
      <c r="E69" s="143">
        <v>2</v>
      </c>
      <c r="F69" s="137">
        <v>0</v>
      </c>
      <c r="G69" s="137">
        <v>0</v>
      </c>
      <c r="H69" s="137">
        <v>0</v>
      </c>
      <c r="I69" s="137">
        <v>0</v>
      </c>
      <c r="K69" s="143" t="s">
        <v>763</v>
      </c>
      <c r="L69" s="143" t="s">
        <v>764</v>
      </c>
      <c r="M69" s="143" t="s">
        <v>680</v>
      </c>
      <c r="N69" s="143">
        <v>4430</v>
      </c>
      <c r="O69" s="354">
        <v>0.33246759999999997</v>
      </c>
      <c r="P69" s="354">
        <v>0.6</v>
      </c>
      <c r="Q69" s="354">
        <v>0.93246759999999995</v>
      </c>
      <c r="R69" s="137" t="s">
        <v>3185</v>
      </c>
      <c r="S69" s="137">
        <v>0.75</v>
      </c>
      <c r="T69" s="137" t="s">
        <v>3184</v>
      </c>
      <c r="W69" s="143" t="s">
        <v>763</v>
      </c>
      <c r="X69" s="143" t="s">
        <v>764</v>
      </c>
      <c r="Y69" s="143" t="s">
        <v>680</v>
      </c>
      <c r="Z69" s="143">
        <v>4430</v>
      </c>
      <c r="AA69" s="143">
        <v>0</v>
      </c>
      <c r="AD69" s="137">
        <v>0.5</v>
      </c>
      <c r="AE69" s="137">
        <v>0</v>
      </c>
      <c r="AG69" s="143" t="s">
        <v>763</v>
      </c>
      <c r="AH69" s="143" t="s">
        <v>764</v>
      </c>
      <c r="AI69" s="143" t="s">
        <v>680</v>
      </c>
      <c r="AJ69" s="143">
        <v>4430</v>
      </c>
      <c r="AK69" s="143">
        <v>2</v>
      </c>
      <c r="AL69" s="156">
        <v>2</v>
      </c>
      <c r="AM69" s="156">
        <v>3</v>
      </c>
      <c r="AN69" s="156">
        <v>3.5</v>
      </c>
      <c r="AO69" s="156">
        <v>2.5</v>
      </c>
      <c r="AP69" s="156">
        <v>1.5</v>
      </c>
      <c r="AQ69" s="156">
        <v>2</v>
      </c>
      <c r="AR69" s="156">
        <v>3</v>
      </c>
      <c r="AS69" s="169">
        <v>2.6428569999999998</v>
      </c>
    </row>
    <row r="70" spans="1:45" x14ac:dyDescent="0.25">
      <c r="A70" s="143" t="s">
        <v>765</v>
      </c>
      <c r="B70" s="143" t="s">
        <v>766</v>
      </c>
      <c r="C70" s="143" t="s">
        <v>727</v>
      </c>
      <c r="D70" s="143">
        <v>96</v>
      </c>
      <c r="E70" s="143">
        <v>3</v>
      </c>
      <c r="F70" s="137">
        <v>1</v>
      </c>
      <c r="G70" s="137">
        <v>1</v>
      </c>
      <c r="H70" s="137">
        <v>1</v>
      </c>
      <c r="I70" s="137">
        <v>0</v>
      </c>
      <c r="K70" s="143" t="s">
        <v>765</v>
      </c>
      <c r="L70" s="143" t="s">
        <v>766</v>
      </c>
      <c r="M70" s="143" t="s">
        <v>727</v>
      </c>
      <c r="N70" s="143">
        <v>96</v>
      </c>
      <c r="O70" s="354">
        <v>0.4</v>
      </c>
      <c r="P70" s="354">
        <v>0.6</v>
      </c>
      <c r="Q70" s="354">
        <v>1</v>
      </c>
      <c r="R70" s="137" t="s">
        <v>3184</v>
      </c>
      <c r="S70" s="137">
        <v>0.35714289999999999</v>
      </c>
      <c r="T70" s="137" t="s">
        <v>3184</v>
      </c>
      <c r="U70" s="137" t="s">
        <v>3184</v>
      </c>
      <c r="W70" s="143" t="s">
        <v>765</v>
      </c>
      <c r="X70" s="143" t="s">
        <v>766</v>
      </c>
      <c r="Y70" s="143" t="s">
        <v>727</v>
      </c>
      <c r="Z70" s="143">
        <v>96</v>
      </c>
      <c r="AA70" s="143">
        <v>0</v>
      </c>
      <c r="AD70" s="137">
        <v>0</v>
      </c>
      <c r="AG70" s="143" t="s">
        <v>765</v>
      </c>
      <c r="AH70" s="143" t="s">
        <v>766</v>
      </c>
      <c r="AI70" s="143" t="s">
        <v>727</v>
      </c>
      <c r="AJ70" s="143">
        <v>96</v>
      </c>
      <c r="AK70" s="143">
        <v>3</v>
      </c>
      <c r="AL70" s="156">
        <v>1.6666666269302399</v>
      </c>
      <c r="AM70" s="156">
        <v>2.6666667461395299</v>
      </c>
      <c r="AN70" s="156">
        <v>3</v>
      </c>
      <c r="AO70" s="156">
        <v>3.6666667461395299</v>
      </c>
      <c r="AP70" s="156">
        <v>3</v>
      </c>
      <c r="AQ70" s="156">
        <v>2.6666667461395299</v>
      </c>
      <c r="AR70" s="156">
        <v>4</v>
      </c>
      <c r="AS70" s="169">
        <v>3.1904759999999999</v>
      </c>
    </row>
    <row r="71" spans="1:45" x14ac:dyDescent="0.25">
      <c r="A71" s="143" t="s">
        <v>765</v>
      </c>
      <c r="B71" s="143" t="s">
        <v>766</v>
      </c>
      <c r="C71" s="143" t="s">
        <v>727</v>
      </c>
      <c r="D71" s="143">
        <v>255</v>
      </c>
      <c r="E71" s="143">
        <v>3</v>
      </c>
      <c r="F71" s="137">
        <v>0</v>
      </c>
      <c r="G71" s="137">
        <v>0</v>
      </c>
      <c r="H71" s="137">
        <v>1</v>
      </c>
      <c r="I71" s="137">
        <v>0</v>
      </c>
      <c r="K71" s="143" t="s">
        <v>765</v>
      </c>
      <c r="L71" s="143" t="s">
        <v>766</v>
      </c>
      <c r="M71" s="143" t="s">
        <v>727</v>
      </c>
      <c r="N71" s="143">
        <v>255</v>
      </c>
      <c r="O71" s="354">
        <v>0.4</v>
      </c>
      <c r="P71" s="354">
        <v>0.6</v>
      </c>
      <c r="Q71" s="137">
        <v>1</v>
      </c>
      <c r="R71" s="137" t="s">
        <v>3184</v>
      </c>
      <c r="S71" s="137">
        <v>0.5</v>
      </c>
      <c r="T71" s="137" t="s">
        <v>3184</v>
      </c>
      <c r="U71" s="137" t="s">
        <v>3184</v>
      </c>
      <c r="W71" s="143" t="s">
        <v>765</v>
      </c>
      <c r="X71" s="143" t="s">
        <v>766</v>
      </c>
      <c r="Y71" s="143" t="s">
        <v>727</v>
      </c>
      <c r="Z71" s="143">
        <v>255</v>
      </c>
      <c r="AA71" s="143">
        <v>0</v>
      </c>
      <c r="AD71" s="137">
        <v>0.1666667</v>
      </c>
      <c r="AE71" s="137">
        <v>0</v>
      </c>
      <c r="AG71" s="143" t="s">
        <v>765</v>
      </c>
      <c r="AH71" s="143" t="s">
        <v>766</v>
      </c>
      <c r="AI71" s="143" t="s">
        <v>727</v>
      </c>
      <c r="AJ71" s="143">
        <v>255</v>
      </c>
      <c r="AK71" s="143">
        <v>3</v>
      </c>
      <c r="AL71" s="156">
        <v>1.3333333730697601</v>
      </c>
      <c r="AM71" s="156">
        <v>3.3333332538604701</v>
      </c>
      <c r="AN71" s="156">
        <v>3.6666667461395299</v>
      </c>
      <c r="AO71" s="156">
        <v>3.6666667461395299</v>
      </c>
      <c r="AP71" s="156">
        <v>2.3333332538604701</v>
      </c>
      <c r="AQ71" s="156">
        <v>2</v>
      </c>
      <c r="AR71" s="156">
        <v>4</v>
      </c>
      <c r="AS71" s="169">
        <v>3.2380949999999999</v>
      </c>
    </row>
    <row r="72" spans="1:45" x14ac:dyDescent="0.25">
      <c r="A72" s="143" t="s">
        <v>765</v>
      </c>
      <c r="B72" s="143" t="s">
        <v>766</v>
      </c>
      <c r="C72" s="143" t="s">
        <v>728</v>
      </c>
      <c r="D72" s="143">
        <v>263</v>
      </c>
      <c r="E72" s="143">
        <v>2</v>
      </c>
      <c r="F72" s="137">
        <v>0</v>
      </c>
      <c r="G72" s="137">
        <v>0</v>
      </c>
      <c r="H72" s="137">
        <v>1</v>
      </c>
      <c r="I72" s="137">
        <v>0</v>
      </c>
      <c r="K72" s="143" t="s">
        <v>765</v>
      </c>
      <c r="L72" s="143" t="s">
        <v>766</v>
      </c>
      <c r="M72" s="143" t="s">
        <v>728</v>
      </c>
      <c r="N72" s="143">
        <v>263</v>
      </c>
      <c r="O72" s="354">
        <v>0.39480520000000002</v>
      </c>
      <c r="P72" s="354">
        <v>0.6</v>
      </c>
      <c r="Q72" s="137">
        <v>0.99480519999999995</v>
      </c>
      <c r="R72" s="137" t="s">
        <v>3185</v>
      </c>
      <c r="S72" s="137">
        <v>0.5</v>
      </c>
      <c r="T72" s="137" t="s">
        <v>3184</v>
      </c>
      <c r="U72" s="137" t="s">
        <v>3184</v>
      </c>
      <c r="W72" s="143" t="s">
        <v>765</v>
      </c>
      <c r="X72" s="143" t="s">
        <v>766</v>
      </c>
      <c r="Y72" s="143" t="s">
        <v>728</v>
      </c>
      <c r="Z72" s="143">
        <v>263</v>
      </c>
      <c r="AA72" s="143">
        <v>0</v>
      </c>
      <c r="AD72" s="137">
        <v>0</v>
      </c>
      <c r="AG72" s="143" t="s">
        <v>765</v>
      </c>
      <c r="AH72" s="143" t="s">
        <v>766</v>
      </c>
      <c r="AI72" s="143" t="s">
        <v>728</v>
      </c>
      <c r="AJ72" s="143">
        <v>263</v>
      </c>
      <c r="AK72" s="143">
        <v>2</v>
      </c>
      <c r="AL72" s="156">
        <v>1.5</v>
      </c>
      <c r="AM72" s="156">
        <v>3</v>
      </c>
      <c r="AN72" s="156">
        <v>3</v>
      </c>
      <c r="AO72" s="156">
        <v>4</v>
      </c>
      <c r="AP72" s="156">
        <v>3.5</v>
      </c>
      <c r="AQ72" s="156">
        <v>2.5</v>
      </c>
      <c r="AR72" s="156">
        <v>3</v>
      </c>
      <c r="AS72" s="169">
        <v>3.214286</v>
      </c>
    </row>
    <row r="73" spans="1:45" x14ac:dyDescent="0.25">
      <c r="A73" s="143" t="s">
        <v>765</v>
      </c>
      <c r="B73" s="143" t="s">
        <v>766</v>
      </c>
      <c r="C73" s="143" t="s">
        <v>729</v>
      </c>
      <c r="D73" s="143">
        <v>270</v>
      </c>
      <c r="E73" s="143">
        <v>8</v>
      </c>
      <c r="F73" s="137">
        <v>0</v>
      </c>
      <c r="G73" s="137">
        <v>0</v>
      </c>
      <c r="H73" s="137">
        <v>0</v>
      </c>
      <c r="I73" s="137">
        <v>0</v>
      </c>
      <c r="K73" s="143" t="s">
        <v>765</v>
      </c>
      <c r="L73" s="143" t="s">
        <v>766</v>
      </c>
      <c r="M73" s="143" t="s">
        <v>729</v>
      </c>
      <c r="N73" s="143">
        <v>270</v>
      </c>
      <c r="O73" s="354">
        <v>0.39740259999999999</v>
      </c>
      <c r="P73" s="354">
        <v>0.6</v>
      </c>
      <c r="Q73" s="354">
        <v>0.99740269999999998</v>
      </c>
      <c r="R73" s="137" t="s">
        <v>3185</v>
      </c>
      <c r="S73" s="137">
        <v>0.375</v>
      </c>
      <c r="T73" s="137" t="s">
        <v>3184</v>
      </c>
      <c r="U73" s="137" t="s">
        <v>3184</v>
      </c>
      <c r="W73" s="143" t="s">
        <v>765</v>
      </c>
      <c r="X73" s="143" t="s">
        <v>766</v>
      </c>
      <c r="Y73" s="143" t="s">
        <v>729</v>
      </c>
      <c r="Z73" s="143">
        <v>270</v>
      </c>
      <c r="AA73" s="143">
        <v>8</v>
      </c>
      <c r="AB73" s="137">
        <v>0.125</v>
      </c>
      <c r="AC73" s="137">
        <v>0</v>
      </c>
      <c r="AD73" s="137">
        <v>0</v>
      </c>
      <c r="AG73" s="143" t="s">
        <v>765</v>
      </c>
      <c r="AH73" s="143" t="s">
        <v>766</v>
      </c>
      <c r="AI73" s="143" t="s">
        <v>729</v>
      </c>
      <c r="AJ73" s="143">
        <v>270</v>
      </c>
      <c r="AK73" s="143">
        <v>8</v>
      </c>
      <c r="AL73" s="156">
        <v>1.375</v>
      </c>
      <c r="AM73" s="156">
        <v>3.125</v>
      </c>
      <c r="AN73" s="156">
        <v>3.375</v>
      </c>
      <c r="AO73" s="156">
        <v>3.375</v>
      </c>
      <c r="AP73" s="156">
        <v>1.375</v>
      </c>
      <c r="AQ73" s="156">
        <v>2.5</v>
      </c>
      <c r="AR73" s="156">
        <v>3.375</v>
      </c>
      <c r="AS73" s="169">
        <v>2.964286</v>
      </c>
    </row>
    <row r="74" spans="1:45" x14ac:dyDescent="0.25">
      <c r="A74" s="143" t="s">
        <v>765</v>
      </c>
      <c r="B74" s="143" t="s">
        <v>766</v>
      </c>
      <c r="C74" s="143" t="s">
        <v>728</v>
      </c>
      <c r="D74" s="143">
        <v>272</v>
      </c>
      <c r="E74" s="143">
        <v>2</v>
      </c>
      <c r="F74" s="137">
        <v>0</v>
      </c>
      <c r="G74" s="137">
        <v>0</v>
      </c>
      <c r="H74" s="137">
        <v>1</v>
      </c>
      <c r="I74" s="137">
        <v>0</v>
      </c>
      <c r="K74" s="143" t="s">
        <v>765</v>
      </c>
      <c r="L74" s="143" t="s">
        <v>766</v>
      </c>
      <c r="M74" s="143" t="s">
        <v>728</v>
      </c>
      <c r="N74" s="143">
        <v>272</v>
      </c>
      <c r="O74" s="354">
        <v>0.4</v>
      </c>
      <c r="P74" s="354">
        <v>0.6</v>
      </c>
      <c r="Q74" s="354">
        <v>1</v>
      </c>
      <c r="R74" s="137" t="s">
        <v>3184</v>
      </c>
      <c r="S74" s="137">
        <v>0.3333333</v>
      </c>
      <c r="T74" s="137" t="s">
        <v>3184</v>
      </c>
      <c r="U74" s="137" t="s">
        <v>3184</v>
      </c>
      <c r="W74" s="143" t="s">
        <v>765</v>
      </c>
      <c r="X74" s="143" t="s">
        <v>766</v>
      </c>
      <c r="Y74" s="143" t="s">
        <v>728</v>
      </c>
      <c r="Z74" s="143">
        <v>272</v>
      </c>
      <c r="AA74" s="143">
        <v>0</v>
      </c>
      <c r="AD74" s="137">
        <v>0</v>
      </c>
      <c r="AG74" s="143" t="s">
        <v>765</v>
      </c>
      <c r="AH74" s="143" t="s">
        <v>766</v>
      </c>
      <c r="AI74" s="143" t="s">
        <v>728</v>
      </c>
      <c r="AJ74" s="143">
        <v>272</v>
      </c>
      <c r="AK74" s="143">
        <v>2</v>
      </c>
      <c r="AL74" s="156">
        <v>1</v>
      </c>
      <c r="AM74" s="156">
        <v>4</v>
      </c>
      <c r="AN74" s="156">
        <v>3.5</v>
      </c>
      <c r="AO74" s="156">
        <v>3.5</v>
      </c>
      <c r="AP74" s="156">
        <v>2</v>
      </c>
      <c r="AQ74" s="156">
        <v>2</v>
      </c>
      <c r="AR74" s="156">
        <v>4</v>
      </c>
      <c r="AS74" s="169">
        <v>3.285714</v>
      </c>
    </row>
    <row r="75" spans="1:45" x14ac:dyDescent="0.25">
      <c r="A75" s="143" t="s">
        <v>765</v>
      </c>
      <c r="B75" s="143" t="s">
        <v>766</v>
      </c>
      <c r="C75" s="143" t="s">
        <v>728</v>
      </c>
      <c r="D75" s="143">
        <v>273</v>
      </c>
      <c r="E75" s="143">
        <v>2</v>
      </c>
      <c r="F75" s="137">
        <v>0.5</v>
      </c>
      <c r="G75" s="137">
        <v>0.5</v>
      </c>
      <c r="H75" s="137">
        <v>1</v>
      </c>
      <c r="I75" s="137">
        <v>0</v>
      </c>
      <c r="K75" s="143" t="s">
        <v>765</v>
      </c>
      <c r="L75" s="143" t="s">
        <v>766</v>
      </c>
      <c r="M75" s="143" t="s">
        <v>728</v>
      </c>
      <c r="N75" s="143">
        <v>273</v>
      </c>
      <c r="O75" s="354">
        <v>0.4</v>
      </c>
      <c r="P75" s="354">
        <v>0.6</v>
      </c>
      <c r="Q75" s="137">
        <v>1</v>
      </c>
      <c r="R75" s="137" t="s">
        <v>3184</v>
      </c>
      <c r="S75" s="137">
        <v>0.3333333</v>
      </c>
      <c r="T75" s="137" t="s">
        <v>3184</v>
      </c>
      <c r="U75" s="137" t="s">
        <v>3185</v>
      </c>
      <c r="W75" s="143" t="s">
        <v>765</v>
      </c>
      <c r="X75" s="143" t="s">
        <v>766</v>
      </c>
      <c r="Y75" s="143" t="s">
        <v>728</v>
      </c>
      <c r="Z75" s="143">
        <v>273</v>
      </c>
      <c r="AA75" s="143">
        <v>0</v>
      </c>
      <c r="AD75" s="137">
        <v>0</v>
      </c>
      <c r="AG75" s="143" t="s">
        <v>765</v>
      </c>
      <c r="AH75" s="143" t="s">
        <v>766</v>
      </c>
      <c r="AI75" s="143" t="s">
        <v>728</v>
      </c>
      <c r="AJ75" s="143">
        <v>273</v>
      </c>
      <c r="AK75" s="143">
        <v>2</v>
      </c>
      <c r="AL75" s="156">
        <v>2.5</v>
      </c>
      <c r="AM75" s="156">
        <v>1.5</v>
      </c>
      <c r="AN75" s="156">
        <v>3.5</v>
      </c>
      <c r="AO75" s="156">
        <v>2.5</v>
      </c>
      <c r="AP75" s="156">
        <v>3.5</v>
      </c>
      <c r="AQ75" s="156">
        <v>2.5</v>
      </c>
      <c r="AR75" s="156">
        <v>3.5</v>
      </c>
      <c r="AS75" s="169">
        <v>2.785714</v>
      </c>
    </row>
    <row r="76" spans="1:45" x14ac:dyDescent="0.25">
      <c r="A76" s="143" t="s">
        <v>765</v>
      </c>
      <c r="B76" s="143" t="s">
        <v>766</v>
      </c>
      <c r="C76" s="143" t="s">
        <v>728</v>
      </c>
      <c r="D76" s="143">
        <v>1606</v>
      </c>
      <c r="E76" s="143">
        <v>2</v>
      </c>
      <c r="F76" s="137">
        <v>1</v>
      </c>
      <c r="G76" s="137">
        <v>1</v>
      </c>
      <c r="H76" s="137">
        <v>1</v>
      </c>
      <c r="I76" s="137">
        <v>0</v>
      </c>
      <c r="K76" s="143" t="s">
        <v>765</v>
      </c>
      <c r="L76" s="143" t="s">
        <v>766</v>
      </c>
      <c r="M76" s="143" t="s">
        <v>728</v>
      </c>
      <c r="N76" s="143">
        <v>1606</v>
      </c>
      <c r="O76" s="354">
        <v>0.39740259999999999</v>
      </c>
      <c r="P76" s="354">
        <v>0.6</v>
      </c>
      <c r="Q76" s="354">
        <v>0.99740260000000003</v>
      </c>
      <c r="R76" s="137" t="s">
        <v>3185</v>
      </c>
      <c r="S76" s="137">
        <v>0.57142859999999995</v>
      </c>
      <c r="T76" s="137" t="s">
        <v>3184</v>
      </c>
      <c r="U76" s="137" t="s">
        <v>3184</v>
      </c>
      <c r="W76" s="143" t="s">
        <v>765</v>
      </c>
      <c r="X76" s="143" t="s">
        <v>766</v>
      </c>
      <c r="Y76" s="143" t="s">
        <v>728</v>
      </c>
      <c r="Z76" s="143">
        <v>1606</v>
      </c>
      <c r="AA76" s="143">
        <v>0</v>
      </c>
      <c r="AD76" s="137">
        <v>0</v>
      </c>
      <c r="AG76" s="143" t="s">
        <v>765</v>
      </c>
      <c r="AH76" s="143" t="s">
        <v>766</v>
      </c>
      <c r="AI76" s="143" t="s">
        <v>728</v>
      </c>
      <c r="AJ76" s="143">
        <v>1606</v>
      </c>
      <c r="AK76" s="143">
        <v>2</v>
      </c>
      <c r="AL76" s="156">
        <v>2.5</v>
      </c>
      <c r="AM76" s="156">
        <v>3</v>
      </c>
      <c r="AN76" s="156">
        <v>3</v>
      </c>
      <c r="AO76" s="156">
        <v>3</v>
      </c>
      <c r="AP76" s="156">
        <v>3</v>
      </c>
      <c r="AQ76" s="156">
        <v>3</v>
      </c>
      <c r="AR76" s="156">
        <v>3</v>
      </c>
      <c r="AS76" s="169">
        <v>2.9285709999999998</v>
      </c>
    </row>
    <row r="77" spans="1:45" x14ac:dyDescent="0.25">
      <c r="A77" s="143" t="s">
        <v>765</v>
      </c>
      <c r="B77" s="143" t="s">
        <v>766</v>
      </c>
      <c r="C77" s="143" t="s">
        <v>727</v>
      </c>
      <c r="D77" s="143">
        <v>2044</v>
      </c>
      <c r="E77" s="143">
        <v>3</v>
      </c>
      <c r="F77" s="137">
        <v>0</v>
      </c>
      <c r="G77" s="137">
        <v>0</v>
      </c>
      <c r="H77" s="137">
        <v>1</v>
      </c>
      <c r="I77" s="137">
        <v>0</v>
      </c>
      <c r="K77" s="143" t="s">
        <v>765</v>
      </c>
      <c r="L77" s="143" t="s">
        <v>766</v>
      </c>
      <c r="M77" s="143" t="s">
        <v>727</v>
      </c>
      <c r="N77" s="143">
        <v>2044</v>
      </c>
      <c r="O77" s="354">
        <v>0.4</v>
      </c>
      <c r="P77" s="354">
        <v>0.6</v>
      </c>
      <c r="Q77" s="354">
        <v>1</v>
      </c>
      <c r="R77" s="137" t="s">
        <v>3184</v>
      </c>
      <c r="S77" s="137">
        <v>0.5</v>
      </c>
      <c r="T77" s="137" t="s">
        <v>3184</v>
      </c>
      <c r="U77" s="137" t="s">
        <v>3184</v>
      </c>
      <c r="W77" s="143" t="s">
        <v>765</v>
      </c>
      <c r="X77" s="143" t="s">
        <v>766</v>
      </c>
      <c r="Y77" s="143" t="s">
        <v>727</v>
      </c>
      <c r="Z77" s="143">
        <v>2044</v>
      </c>
      <c r="AA77" s="143">
        <v>0</v>
      </c>
      <c r="AD77" s="137">
        <v>0</v>
      </c>
      <c r="AG77" s="143" t="s">
        <v>765</v>
      </c>
      <c r="AH77" s="143" t="s">
        <v>766</v>
      </c>
      <c r="AI77" s="143" t="s">
        <v>727</v>
      </c>
      <c r="AJ77" s="143">
        <v>2044</v>
      </c>
      <c r="AK77" s="143">
        <v>3</v>
      </c>
      <c r="AL77" s="156">
        <v>1.6666666269302399</v>
      </c>
      <c r="AM77" s="156">
        <v>3</v>
      </c>
      <c r="AN77" s="156">
        <v>4</v>
      </c>
      <c r="AO77" s="156">
        <v>3.3333332538604701</v>
      </c>
      <c r="AP77" s="156">
        <v>3.6666667461395299</v>
      </c>
      <c r="AQ77" s="156">
        <v>2.3333332538604701</v>
      </c>
      <c r="AR77" s="156">
        <v>4</v>
      </c>
      <c r="AS77" s="169">
        <v>3.3809520000000002</v>
      </c>
    </row>
    <row r="78" spans="1:45" x14ac:dyDescent="0.25">
      <c r="A78" s="143" t="s">
        <v>765</v>
      </c>
      <c r="B78" s="143" t="s">
        <v>766</v>
      </c>
      <c r="C78" s="143" t="s">
        <v>727</v>
      </c>
      <c r="D78" s="143">
        <v>2453</v>
      </c>
      <c r="E78" s="143">
        <v>3</v>
      </c>
      <c r="F78" s="137">
        <v>1</v>
      </c>
      <c r="G78" s="137">
        <v>1</v>
      </c>
      <c r="H78" s="137">
        <v>1</v>
      </c>
      <c r="I78" s="137">
        <v>0</v>
      </c>
      <c r="K78" s="143" t="s">
        <v>765</v>
      </c>
      <c r="L78" s="143" t="s">
        <v>766</v>
      </c>
      <c r="M78" s="143" t="s">
        <v>727</v>
      </c>
      <c r="N78" s="143">
        <v>2453</v>
      </c>
      <c r="O78" s="354">
        <v>0.4</v>
      </c>
      <c r="P78" s="354">
        <v>0.6</v>
      </c>
      <c r="Q78" s="354">
        <v>1</v>
      </c>
      <c r="R78" s="137" t="s">
        <v>3184</v>
      </c>
      <c r="S78" s="137">
        <v>0.52380959999999999</v>
      </c>
      <c r="T78" s="137" t="s">
        <v>3184</v>
      </c>
      <c r="U78" s="137" t="s">
        <v>3184</v>
      </c>
      <c r="W78" s="143" t="s">
        <v>765</v>
      </c>
      <c r="X78" s="143" t="s">
        <v>766</v>
      </c>
      <c r="Y78" s="143" t="s">
        <v>727</v>
      </c>
      <c r="Z78" s="143">
        <v>2453</v>
      </c>
      <c r="AA78" s="143">
        <v>0</v>
      </c>
      <c r="AD78" s="137">
        <v>0.19047620000000001</v>
      </c>
      <c r="AE78" s="137">
        <v>0</v>
      </c>
      <c r="AG78" s="143" t="s">
        <v>765</v>
      </c>
      <c r="AH78" s="143" t="s">
        <v>766</v>
      </c>
      <c r="AI78" s="143" t="s">
        <v>727</v>
      </c>
      <c r="AJ78" s="143">
        <v>2453</v>
      </c>
      <c r="AK78" s="143">
        <v>3</v>
      </c>
      <c r="AL78" s="156">
        <v>3.3333332538604701</v>
      </c>
      <c r="AM78" s="156">
        <v>3.3333332538604701</v>
      </c>
      <c r="AN78" s="156">
        <v>3</v>
      </c>
      <c r="AO78" s="156">
        <v>3</v>
      </c>
      <c r="AP78" s="156">
        <v>3.3333332538604701</v>
      </c>
      <c r="AQ78" s="156">
        <v>3</v>
      </c>
      <c r="AR78" s="156">
        <v>3.3333332538604701</v>
      </c>
      <c r="AS78" s="169">
        <v>3.2380949999999999</v>
      </c>
    </row>
    <row r="79" spans="1:45" x14ac:dyDescent="0.25">
      <c r="A79" s="143" t="s">
        <v>765</v>
      </c>
      <c r="B79" s="143" t="s">
        <v>766</v>
      </c>
      <c r="C79" s="143" t="s">
        <v>728</v>
      </c>
      <c r="D79" s="143">
        <v>2632</v>
      </c>
      <c r="E79" s="143">
        <v>2</v>
      </c>
      <c r="F79" s="137">
        <v>1</v>
      </c>
      <c r="G79" s="137">
        <v>1</v>
      </c>
      <c r="H79" s="137">
        <v>1</v>
      </c>
      <c r="I79" s="137">
        <v>0</v>
      </c>
      <c r="K79" s="143" t="s">
        <v>765</v>
      </c>
      <c r="L79" s="143" t="s">
        <v>766</v>
      </c>
      <c r="M79" s="143" t="s">
        <v>728</v>
      </c>
      <c r="N79" s="143">
        <v>2632</v>
      </c>
      <c r="O79" s="354">
        <v>0.4</v>
      </c>
      <c r="P79" s="354">
        <v>0.6</v>
      </c>
      <c r="Q79" s="354">
        <v>1</v>
      </c>
      <c r="R79" s="137" t="s">
        <v>3184</v>
      </c>
      <c r="S79" s="137">
        <v>0.42857139999999999</v>
      </c>
      <c r="T79" s="137" t="s">
        <v>3184</v>
      </c>
      <c r="U79" s="137" t="s">
        <v>3184</v>
      </c>
      <c r="W79" s="143" t="s">
        <v>765</v>
      </c>
      <c r="X79" s="143" t="s">
        <v>766</v>
      </c>
      <c r="Y79" s="143" t="s">
        <v>728</v>
      </c>
      <c r="Z79" s="143">
        <v>2632</v>
      </c>
      <c r="AA79" s="143">
        <v>0</v>
      </c>
      <c r="AD79" s="137">
        <v>0</v>
      </c>
      <c r="AG79" s="143" t="s">
        <v>765</v>
      </c>
      <c r="AH79" s="143" t="s">
        <v>766</v>
      </c>
      <c r="AI79" s="143" t="s">
        <v>728</v>
      </c>
      <c r="AJ79" s="143">
        <v>2632</v>
      </c>
      <c r="AK79" s="143">
        <v>2</v>
      </c>
      <c r="AL79" s="156">
        <v>2</v>
      </c>
      <c r="AM79" s="156">
        <v>3</v>
      </c>
      <c r="AN79" s="156">
        <v>3</v>
      </c>
      <c r="AO79" s="156">
        <v>3</v>
      </c>
      <c r="AP79" s="156">
        <v>3</v>
      </c>
      <c r="AQ79" s="156">
        <v>3</v>
      </c>
      <c r="AR79" s="156">
        <v>3</v>
      </c>
      <c r="AS79" s="169">
        <v>3</v>
      </c>
    </row>
    <row r="80" spans="1:45" x14ac:dyDescent="0.25">
      <c r="A80" s="143" t="s">
        <v>765</v>
      </c>
      <c r="B80" s="143" t="s">
        <v>766</v>
      </c>
      <c r="C80" s="143" t="s">
        <v>680</v>
      </c>
      <c r="D80" s="143">
        <v>3285</v>
      </c>
      <c r="E80" s="143">
        <v>2</v>
      </c>
      <c r="F80" s="137">
        <v>1</v>
      </c>
      <c r="G80" s="137">
        <v>1</v>
      </c>
      <c r="H80" s="137">
        <v>1</v>
      </c>
      <c r="I80" s="137">
        <v>0</v>
      </c>
      <c r="K80" s="143" t="s">
        <v>765</v>
      </c>
      <c r="L80" s="143" t="s">
        <v>766</v>
      </c>
      <c r="M80" s="143" t="s">
        <v>680</v>
      </c>
      <c r="N80" s="143">
        <v>3285</v>
      </c>
      <c r="O80" s="354">
        <v>0.3922078</v>
      </c>
      <c r="P80" s="354">
        <v>0.6</v>
      </c>
      <c r="Q80" s="354">
        <v>0.99220779999999997</v>
      </c>
      <c r="R80" s="137" t="s">
        <v>3185</v>
      </c>
      <c r="S80" s="137">
        <v>0.6</v>
      </c>
      <c r="T80" s="137" t="s">
        <v>3184</v>
      </c>
      <c r="W80" s="143" t="s">
        <v>765</v>
      </c>
      <c r="X80" s="143" t="s">
        <v>766</v>
      </c>
      <c r="Y80" s="143" t="s">
        <v>680</v>
      </c>
      <c r="Z80" s="143">
        <v>3285</v>
      </c>
      <c r="AA80" s="143">
        <v>0</v>
      </c>
      <c r="AD80" s="137">
        <v>0</v>
      </c>
      <c r="AG80" s="143" t="s">
        <v>765</v>
      </c>
      <c r="AH80" s="143" t="s">
        <v>766</v>
      </c>
      <c r="AI80" s="143" t="s">
        <v>680</v>
      </c>
      <c r="AJ80" s="143">
        <v>3285</v>
      </c>
      <c r="AK80" s="143">
        <v>2</v>
      </c>
      <c r="AL80" s="156">
        <v>1</v>
      </c>
      <c r="AM80" s="156">
        <v>3.5</v>
      </c>
      <c r="AN80" s="156">
        <v>3.5</v>
      </c>
      <c r="AO80" s="156">
        <v>3.5</v>
      </c>
      <c r="AP80" s="156">
        <v>4</v>
      </c>
      <c r="AQ80" s="156">
        <v>3</v>
      </c>
      <c r="AR80" s="156">
        <v>4</v>
      </c>
      <c r="AS80" s="169">
        <v>3.6428569999999998</v>
      </c>
    </row>
    <row r="81" spans="1:45" x14ac:dyDescent="0.25">
      <c r="A81" s="143" t="s">
        <v>765</v>
      </c>
      <c r="B81" s="143" t="s">
        <v>766</v>
      </c>
      <c r="C81" s="143" t="s">
        <v>680</v>
      </c>
      <c r="D81" s="143">
        <v>4300</v>
      </c>
      <c r="E81" s="143">
        <v>2</v>
      </c>
      <c r="F81" s="137">
        <v>1</v>
      </c>
      <c r="G81" s="137">
        <v>1</v>
      </c>
      <c r="H81" s="137">
        <v>0.5</v>
      </c>
      <c r="I81" s="137">
        <v>0</v>
      </c>
      <c r="K81" s="143" t="s">
        <v>765</v>
      </c>
      <c r="L81" s="143" t="s">
        <v>766</v>
      </c>
      <c r="M81" s="143" t="s">
        <v>680</v>
      </c>
      <c r="N81" s="143">
        <v>4300</v>
      </c>
      <c r="O81" s="354">
        <v>0.4</v>
      </c>
      <c r="P81" s="354">
        <v>0.6</v>
      </c>
      <c r="Q81" s="354">
        <v>1</v>
      </c>
      <c r="R81" s="137" t="s">
        <v>3184</v>
      </c>
      <c r="S81" s="137">
        <v>0.8</v>
      </c>
      <c r="T81" s="137" t="s">
        <v>3184</v>
      </c>
      <c r="W81" s="143" t="s">
        <v>765</v>
      </c>
      <c r="X81" s="143" t="s">
        <v>766</v>
      </c>
      <c r="Y81" s="143" t="s">
        <v>680</v>
      </c>
      <c r="Z81" s="143">
        <v>4300</v>
      </c>
      <c r="AA81" s="143">
        <v>0</v>
      </c>
      <c r="AD81" s="137">
        <v>0.2</v>
      </c>
      <c r="AE81" s="137">
        <v>0</v>
      </c>
      <c r="AG81" s="143" t="s">
        <v>765</v>
      </c>
      <c r="AH81" s="143" t="s">
        <v>766</v>
      </c>
      <c r="AI81" s="143" t="s">
        <v>680</v>
      </c>
      <c r="AJ81" s="143">
        <v>4300</v>
      </c>
      <c r="AK81" s="143">
        <v>2</v>
      </c>
      <c r="AL81" s="156">
        <v>3</v>
      </c>
      <c r="AM81" s="156">
        <v>3</v>
      </c>
      <c r="AN81" s="156">
        <v>3</v>
      </c>
      <c r="AO81" s="156">
        <v>3</v>
      </c>
      <c r="AP81" s="156">
        <v>3</v>
      </c>
      <c r="AQ81" s="156">
        <v>3</v>
      </c>
      <c r="AR81" s="156">
        <v>3</v>
      </c>
      <c r="AS81" s="169">
        <v>2.8571430000000002</v>
      </c>
    </row>
    <row r="82" spans="1:45" x14ac:dyDescent="0.25">
      <c r="A82" s="143" t="s">
        <v>765</v>
      </c>
      <c r="B82" s="143" t="s">
        <v>766</v>
      </c>
      <c r="C82" s="143" t="s">
        <v>680</v>
      </c>
      <c r="D82" s="143">
        <v>4307</v>
      </c>
      <c r="E82" s="143">
        <v>2</v>
      </c>
      <c r="F82" s="137">
        <v>1</v>
      </c>
      <c r="G82" s="137">
        <v>1</v>
      </c>
      <c r="H82" s="137">
        <v>1</v>
      </c>
      <c r="I82" s="137">
        <v>0</v>
      </c>
      <c r="K82" s="143" t="s">
        <v>765</v>
      </c>
      <c r="L82" s="143" t="s">
        <v>766</v>
      </c>
      <c r="M82" s="143" t="s">
        <v>680</v>
      </c>
      <c r="N82" s="143">
        <v>4307</v>
      </c>
      <c r="O82" s="354">
        <v>0.4</v>
      </c>
      <c r="P82" s="354">
        <v>0.6</v>
      </c>
      <c r="Q82" s="354">
        <v>1</v>
      </c>
      <c r="R82" s="137" t="s">
        <v>3184</v>
      </c>
      <c r="S82" s="137">
        <v>0.8</v>
      </c>
      <c r="T82" s="137" t="s">
        <v>3184</v>
      </c>
      <c r="W82" s="143" t="s">
        <v>765</v>
      </c>
      <c r="X82" s="143" t="s">
        <v>766</v>
      </c>
      <c r="Y82" s="143" t="s">
        <v>680</v>
      </c>
      <c r="Z82" s="143">
        <v>4307</v>
      </c>
      <c r="AA82" s="143">
        <v>0</v>
      </c>
      <c r="AD82" s="137">
        <v>0.2</v>
      </c>
      <c r="AE82" s="137">
        <v>0</v>
      </c>
      <c r="AG82" s="143" t="s">
        <v>765</v>
      </c>
      <c r="AH82" s="143" t="s">
        <v>766</v>
      </c>
      <c r="AI82" s="143" t="s">
        <v>680</v>
      </c>
      <c r="AJ82" s="143">
        <v>4307</v>
      </c>
      <c r="AK82" s="143">
        <v>2</v>
      </c>
      <c r="AL82" s="156">
        <v>2</v>
      </c>
      <c r="AM82" s="156">
        <v>3.5</v>
      </c>
      <c r="AN82" s="156">
        <v>3</v>
      </c>
      <c r="AO82" s="156">
        <v>3</v>
      </c>
      <c r="AP82" s="156">
        <v>2</v>
      </c>
      <c r="AQ82" s="156">
        <v>3</v>
      </c>
      <c r="AR82" s="156">
        <v>3</v>
      </c>
      <c r="AS82" s="169">
        <v>2.9285709999999998</v>
      </c>
    </row>
    <row r="83" spans="1:45" x14ac:dyDescent="0.25">
      <c r="A83" s="143" t="s">
        <v>765</v>
      </c>
      <c r="B83" s="143" t="s">
        <v>766</v>
      </c>
      <c r="C83" s="143" t="s">
        <v>680</v>
      </c>
      <c r="D83" s="143">
        <v>4318</v>
      </c>
      <c r="E83" s="143">
        <v>2</v>
      </c>
      <c r="F83" s="137">
        <v>0</v>
      </c>
      <c r="G83" s="137">
        <v>0</v>
      </c>
      <c r="H83" s="137">
        <v>1</v>
      </c>
      <c r="I83" s="137">
        <v>0</v>
      </c>
      <c r="K83" s="143" t="s">
        <v>765</v>
      </c>
      <c r="L83" s="143" t="s">
        <v>766</v>
      </c>
      <c r="M83" s="143" t="s">
        <v>680</v>
      </c>
      <c r="N83" s="143">
        <v>4318</v>
      </c>
      <c r="O83" s="354">
        <v>0.4</v>
      </c>
      <c r="P83" s="354">
        <v>0.6</v>
      </c>
      <c r="Q83" s="354">
        <v>1</v>
      </c>
      <c r="R83" s="137" t="s">
        <v>3184</v>
      </c>
      <c r="S83" s="137">
        <v>0.66666669999999995</v>
      </c>
      <c r="T83" s="137" t="s">
        <v>3184</v>
      </c>
      <c r="W83" s="143" t="s">
        <v>765</v>
      </c>
      <c r="X83" s="143" t="s">
        <v>766</v>
      </c>
      <c r="Y83" s="143" t="s">
        <v>680</v>
      </c>
      <c r="Z83" s="143">
        <v>4318</v>
      </c>
      <c r="AA83" s="143">
        <v>0</v>
      </c>
      <c r="AD83" s="137">
        <v>0</v>
      </c>
      <c r="AG83" s="143" t="s">
        <v>765</v>
      </c>
      <c r="AH83" s="143" t="s">
        <v>766</v>
      </c>
      <c r="AI83" s="143" t="s">
        <v>680</v>
      </c>
      <c r="AJ83" s="143">
        <v>4318</v>
      </c>
      <c r="AK83" s="143">
        <v>2</v>
      </c>
      <c r="AL83" s="156">
        <v>1.5</v>
      </c>
      <c r="AM83" s="156">
        <v>2.5</v>
      </c>
      <c r="AN83" s="156">
        <v>3</v>
      </c>
      <c r="AO83" s="156">
        <v>3</v>
      </c>
      <c r="AP83" s="156">
        <v>4</v>
      </c>
      <c r="AQ83" s="156">
        <v>3</v>
      </c>
      <c r="AR83" s="156">
        <v>3.5</v>
      </c>
      <c r="AS83" s="169">
        <v>3.214286</v>
      </c>
    </row>
    <row r="84" spans="1:45" x14ac:dyDescent="0.25">
      <c r="A84" s="143" t="s">
        <v>765</v>
      </c>
      <c r="B84" s="143" t="s">
        <v>766</v>
      </c>
      <c r="C84" s="143" t="s">
        <v>680</v>
      </c>
      <c r="D84" s="143">
        <v>4321</v>
      </c>
      <c r="E84" s="143">
        <v>2</v>
      </c>
      <c r="F84" s="137">
        <v>1</v>
      </c>
      <c r="G84" s="137">
        <v>1</v>
      </c>
      <c r="H84" s="137">
        <v>1</v>
      </c>
      <c r="I84" s="137">
        <v>0</v>
      </c>
      <c r="K84" s="143" t="s">
        <v>765</v>
      </c>
      <c r="L84" s="143" t="s">
        <v>766</v>
      </c>
      <c r="M84" s="143" t="s">
        <v>680</v>
      </c>
      <c r="N84" s="143">
        <v>4321</v>
      </c>
      <c r="O84" s="354">
        <v>0.39740259999999999</v>
      </c>
      <c r="P84" s="354">
        <v>0.6</v>
      </c>
      <c r="Q84" s="137">
        <v>0.99740260000000003</v>
      </c>
      <c r="R84" s="137" t="s">
        <v>3185</v>
      </c>
      <c r="S84" s="137">
        <v>0.5</v>
      </c>
      <c r="T84" s="137" t="s">
        <v>3184</v>
      </c>
      <c r="W84" s="143" t="s">
        <v>765</v>
      </c>
      <c r="X84" s="143" t="s">
        <v>766</v>
      </c>
      <c r="Y84" s="143" t="s">
        <v>680</v>
      </c>
      <c r="Z84" s="143">
        <v>4321</v>
      </c>
      <c r="AA84" s="143">
        <v>0</v>
      </c>
      <c r="AD84" s="137">
        <v>0</v>
      </c>
      <c r="AG84" s="143" t="s">
        <v>765</v>
      </c>
      <c r="AH84" s="143" t="s">
        <v>766</v>
      </c>
      <c r="AI84" s="143" t="s">
        <v>680</v>
      </c>
      <c r="AJ84" s="143">
        <v>4321</v>
      </c>
      <c r="AK84" s="143">
        <v>2</v>
      </c>
      <c r="AL84" s="156">
        <v>1.5</v>
      </c>
      <c r="AM84" s="156">
        <v>3</v>
      </c>
      <c r="AN84" s="156">
        <v>4</v>
      </c>
      <c r="AO84" s="156">
        <v>4</v>
      </c>
      <c r="AP84" s="156">
        <v>3</v>
      </c>
      <c r="AQ84" s="156">
        <v>3</v>
      </c>
      <c r="AR84" s="156">
        <v>2</v>
      </c>
      <c r="AS84" s="169">
        <v>3.214286</v>
      </c>
    </row>
    <row r="85" spans="1:45" x14ac:dyDescent="0.25">
      <c r="A85" s="143" t="s">
        <v>765</v>
      </c>
      <c r="B85" s="143" t="s">
        <v>766</v>
      </c>
      <c r="C85" s="143" t="s">
        <v>680</v>
      </c>
      <c r="D85" s="143">
        <v>4325</v>
      </c>
      <c r="E85" s="143">
        <v>1</v>
      </c>
      <c r="F85" s="137">
        <v>1</v>
      </c>
      <c r="G85" s="137">
        <v>1</v>
      </c>
      <c r="H85" s="137">
        <v>1</v>
      </c>
      <c r="I85" s="137">
        <v>0</v>
      </c>
      <c r="K85" s="143" t="s">
        <v>765</v>
      </c>
      <c r="L85" s="143" t="s">
        <v>766</v>
      </c>
      <c r="M85" s="143" t="s">
        <v>680</v>
      </c>
      <c r="N85" s="143">
        <v>4325</v>
      </c>
      <c r="O85" s="354">
        <v>0.39480520000000002</v>
      </c>
      <c r="P85" s="354">
        <v>0.3</v>
      </c>
      <c r="Q85" s="354">
        <v>0.69480520000000001</v>
      </c>
      <c r="R85" s="137" t="s">
        <v>3185</v>
      </c>
      <c r="S85" s="137">
        <v>0.66666669999999995</v>
      </c>
      <c r="T85" s="137" t="s">
        <v>3185</v>
      </c>
      <c r="W85" s="143" t="s">
        <v>765</v>
      </c>
      <c r="X85" s="143" t="s">
        <v>766</v>
      </c>
      <c r="Y85" s="143" t="s">
        <v>680</v>
      </c>
      <c r="Z85" s="143">
        <v>4325</v>
      </c>
      <c r="AA85" s="143">
        <v>0</v>
      </c>
      <c r="AD85" s="137">
        <v>0.3333333</v>
      </c>
      <c r="AE85" s="137">
        <v>0</v>
      </c>
      <c r="AG85" s="143" t="s">
        <v>765</v>
      </c>
      <c r="AH85" s="143" t="s">
        <v>766</v>
      </c>
      <c r="AI85" s="143" t="s">
        <v>680</v>
      </c>
      <c r="AJ85" s="143">
        <v>4325</v>
      </c>
      <c r="AK85" s="143">
        <v>1</v>
      </c>
      <c r="AL85" s="156">
        <v>3</v>
      </c>
      <c r="AM85" s="156">
        <v>3</v>
      </c>
      <c r="AN85" s="156">
        <v>4</v>
      </c>
      <c r="AO85" s="156">
        <v>4</v>
      </c>
      <c r="AP85" s="156">
        <v>2</v>
      </c>
      <c r="AQ85" s="156">
        <v>3</v>
      </c>
      <c r="AR85" s="156">
        <v>3</v>
      </c>
      <c r="AS85" s="169">
        <v>3</v>
      </c>
    </row>
    <row r="86" spans="1:45" x14ac:dyDescent="0.25">
      <c r="A86" s="143" t="s">
        <v>767</v>
      </c>
      <c r="B86" s="143" t="s">
        <v>768</v>
      </c>
      <c r="C86" s="143" t="s">
        <v>727</v>
      </c>
      <c r="D86" s="143">
        <v>794</v>
      </c>
      <c r="E86" s="143">
        <v>3</v>
      </c>
      <c r="F86" s="137">
        <v>1</v>
      </c>
      <c r="G86" s="137">
        <v>1</v>
      </c>
      <c r="H86" s="137">
        <v>1</v>
      </c>
      <c r="I86" s="137">
        <v>0.3333333</v>
      </c>
      <c r="K86" s="143" t="s">
        <v>767</v>
      </c>
      <c r="L86" s="143" t="s">
        <v>768</v>
      </c>
      <c r="M86" s="143" t="s">
        <v>727</v>
      </c>
      <c r="N86" s="143">
        <v>794</v>
      </c>
      <c r="O86" s="354">
        <v>0.4</v>
      </c>
      <c r="P86" s="354">
        <v>0.6</v>
      </c>
      <c r="Q86" s="354">
        <v>1</v>
      </c>
      <c r="R86" s="137" t="s">
        <v>3184</v>
      </c>
      <c r="S86" s="137">
        <v>0.5789474</v>
      </c>
      <c r="T86" s="137" t="s">
        <v>3184</v>
      </c>
      <c r="U86" s="137" t="s">
        <v>3185</v>
      </c>
      <c r="W86" s="143" t="s">
        <v>767</v>
      </c>
      <c r="X86" s="143" t="s">
        <v>768</v>
      </c>
      <c r="Y86" s="143" t="s">
        <v>727</v>
      </c>
      <c r="Z86" s="143">
        <v>794</v>
      </c>
      <c r="AA86" s="143">
        <v>0</v>
      </c>
      <c r="AD86" s="137">
        <v>0</v>
      </c>
      <c r="AG86" s="143" t="s">
        <v>767</v>
      </c>
      <c r="AH86" s="143" t="s">
        <v>768</v>
      </c>
      <c r="AI86" s="143" t="s">
        <v>727</v>
      </c>
      <c r="AJ86" s="143">
        <v>794</v>
      </c>
      <c r="AK86" s="143">
        <v>3</v>
      </c>
      <c r="AL86" s="156">
        <v>2</v>
      </c>
      <c r="AM86" s="156">
        <v>3</v>
      </c>
      <c r="AN86" s="156">
        <v>3</v>
      </c>
      <c r="AO86" s="156">
        <v>3.3333332538604701</v>
      </c>
      <c r="AP86" s="156">
        <v>3.3333332538604701</v>
      </c>
      <c r="AQ86" s="156">
        <v>3.6666667461395299</v>
      </c>
      <c r="AR86" s="156">
        <v>3.6666667461395299</v>
      </c>
      <c r="AS86" s="169">
        <v>3.285714</v>
      </c>
    </row>
    <row r="87" spans="1:45" x14ac:dyDescent="0.25">
      <c r="A87" s="143" t="s">
        <v>767</v>
      </c>
      <c r="B87" s="143" t="s">
        <v>768</v>
      </c>
      <c r="C87" s="143" t="s">
        <v>729</v>
      </c>
      <c r="D87" s="143">
        <v>796</v>
      </c>
      <c r="E87" s="143">
        <v>8</v>
      </c>
      <c r="F87" s="137">
        <v>1</v>
      </c>
      <c r="G87" s="137">
        <v>1</v>
      </c>
      <c r="H87" s="137">
        <v>1</v>
      </c>
      <c r="I87" s="137">
        <v>0</v>
      </c>
      <c r="K87" s="143" t="s">
        <v>767</v>
      </c>
      <c r="L87" s="143" t="s">
        <v>768</v>
      </c>
      <c r="M87" s="143" t="s">
        <v>729</v>
      </c>
      <c r="N87" s="143">
        <v>796</v>
      </c>
      <c r="O87" s="354">
        <v>0.35</v>
      </c>
      <c r="P87" s="354">
        <v>0.52500000000000002</v>
      </c>
      <c r="Q87" s="354">
        <v>0.875</v>
      </c>
      <c r="R87" s="137" t="s">
        <v>3185</v>
      </c>
      <c r="S87" s="137">
        <v>0.46153850000000002</v>
      </c>
      <c r="T87" s="137" t="s">
        <v>3184</v>
      </c>
      <c r="U87" s="137" t="s">
        <v>3184</v>
      </c>
      <c r="W87" s="143" t="s">
        <v>767</v>
      </c>
      <c r="X87" s="143" t="s">
        <v>768</v>
      </c>
      <c r="Y87" s="143" t="s">
        <v>729</v>
      </c>
      <c r="Z87" s="143">
        <v>796</v>
      </c>
      <c r="AA87" s="143">
        <v>8</v>
      </c>
      <c r="AB87" s="137">
        <v>0.125</v>
      </c>
      <c r="AC87" s="137">
        <v>0</v>
      </c>
      <c r="AD87" s="137">
        <v>0</v>
      </c>
      <c r="AE87" s="137">
        <v>2.5641000000000001E-2</v>
      </c>
      <c r="AG87" s="143" t="s">
        <v>767</v>
      </c>
      <c r="AH87" s="143" t="s">
        <v>768</v>
      </c>
      <c r="AI87" s="143" t="s">
        <v>729</v>
      </c>
      <c r="AJ87" s="143">
        <v>796</v>
      </c>
      <c r="AK87" s="143">
        <v>8</v>
      </c>
      <c r="AL87" s="156">
        <v>2.375</v>
      </c>
      <c r="AM87" s="156">
        <v>2.875</v>
      </c>
      <c r="AN87" s="156">
        <v>2.5</v>
      </c>
      <c r="AO87" s="156">
        <v>2.25</v>
      </c>
      <c r="AP87" s="156">
        <v>1.5</v>
      </c>
      <c r="AQ87" s="156">
        <v>3.125</v>
      </c>
      <c r="AR87" s="156">
        <v>2.875</v>
      </c>
      <c r="AS87" s="169">
        <v>2.535714</v>
      </c>
    </row>
    <row r="88" spans="1:45" x14ac:dyDescent="0.25">
      <c r="A88" s="143" t="s">
        <v>767</v>
      </c>
      <c r="B88" s="143" t="s">
        <v>768</v>
      </c>
      <c r="C88" s="143" t="s">
        <v>680</v>
      </c>
      <c r="D88" s="143">
        <v>2689</v>
      </c>
      <c r="E88" s="143">
        <v>2</v>
      </c>
      <c r="F88" s="137">
        <v>1</v>
      </c>
      <c r="G88" s="137">
        <v>1</v>
      </c>
      <c r="H88" s="137">
        <v>1</v>
      </c>
      <c r="I88" s="137">
        <v>0</v>
      </c>
      <c r="K88" s="143" t="s">
        <v>767</v>
      </c>
      <c r="L88" s="143" t="s">
        <v>768</v>
      </c>
      <c r="M88" s="143" t="s">
        <v>680</v>
      </c>
      <c r="N88" s="143">
        <v>2689</v>
      </c>
      <c r="O88" s="354">
        <v>0.4</v>
      </c>
      <c r="P88" s="354">
        <v>0.6</v>
      </c>
      <c r="Q88" s="354">
        <v>1</v>
      </c>
      <c r="R88" s="137" t="s">
        <v>3184</v>
      </c>
      <c r="S88" s="137">
        <v>0.75</v>
      </c>
      <c r="T88" s="137" t="s">
        <v>3184</v>
      </c>
      <c r="W88" s="143" t="s">
        <v>767</v>
      </c>
      <c r="X88" s="143" t="s">
        <v>768</v>
      </c>
      <c r="Y88" s="143" t="s">
        <v>680</v>
      </c>
      <c r="Z88" s="143">
        <v>2689</v>
      </c>
      <c r="AA88" s="143">
        <v>0</v>
      </c>
      <c r="AD88" s="137">
        <v>0</v>
      </c>
      <c r="AG88" s="143" t="s">
        <v>767</v>
      </c>
      <c r="AH88" s="143" t="s">
        <v>768</v>
      </c>
      <c r="AI88" s="143" t="s">
        <v>680</v>
      </c>
      <c r="AJ88" s="143">
        <v>2689</v>
      </c>
      <c r="AK88" s="143">
        <v>2</v>
      </c>
      <c r="AL88" s="156">
        <v>1</v>
      </c>
      <c r="AM88" s="156">
        <v>4</v>
      </c>
      <c r="AN88" s="156">
        <v>4</v>
      </c>
      <c r="AO88" s="156">
        <v>3.5</v>
      </c>
      <c r="AP88" s="156">
        <v>4</v>
      </c>
      <c r="AQ88" s="156">
        <v>3</v>
      </c>
      <c r="AR88" s="156">
        <v>4</v>
      </c>
      <c r="AS88" s="169">
        <v>3.785714</v>
      </c>
    </row>
    <row r="89" spans="1:45" x14ac:dyDescent="0.25">
      <c r="A89" s="143" t="s">
        <v>767</v>
      </c>
      <c r="B89" s="143" t="s">
        <v>768</v>
      </c>
      <c r="C89" s="143" t="s">
        <v>680</v>
      </c>
      <c r="D89" s="143">
        <v>2919</v>
      </c>
      <c r="E89" s="143">
        <v>2</v>
      </c>
      <c r="F89" s="137">
        <v>1</v>
      </c>
      <c r="G89" s="137">
        <v>1</v>
      </c>
      <c r="H89" s="137">
        <v>1</v>
      </c>
      <c r="I89" s="137">
        <v>0</v>
      </c>
      <c r="K89" s="143" t="s">
        <v>767</v>
      </c>
      <c r="L89" s="143" t="s">
        <v>768</v>
      </c>
      <c r="M89" s="143" t="s">
        <v>680</v>
      </c>
      <c r="N89" s="143">
        <v>2919</v>
      </c>
      <c r="O89" s="354">
        <v>0.4</v>
      </c>
      <c r="P89" s="354">
        <v>0.6</v>
      </c>
      <c r="Q89" s="354">
        <v>1</v>
      </c>
      <c r="R89" s="137" t="s">
        <v>3184</v>
      </c>
      <c r="S89" s="137">
        <v>0.75</v>
      </c>
      <c r="T89" s="137" t="s">
        <v>3184</v>
      </c>
      <c r="W89" s="143" t="s">
        <v>767</v>
      </c>
      <c r="X89" s="143" t="s">
        <v>768</v>
      </c>
      <c r="Y89" s="143" t="s">
        <v>680</v>
      </c>
      <c r="Z89" s="143">
        <v>2919</v>
      </c>
      <c r="AA89" s="143">
        <v>0</v>
      </c>
      <c r="AD89" s="137">
        <v>0</v>
      </c>
      <c r="AG89" s="143" t="s">
        <v>767</v>
      </c>
      <c r="AH89" s="143" t="s">
        <v>768</v>
      </c>
      <c r="AI89" s="143" t="s">
        <v>680</v>
      </c>
      <c r="AJ89" s="143">
        <v>2919</v>
      </c>
      <c r="AK89" s="143">
        <v>2</v>
      </c>
      <c r="AL89" s="156">
        <v>2.5</v>
      </c>
      <c r="AM89" s="156">
        <v>3</v>
      </c>
      <c r="AN89" s="156">
        <v>3</v>
      </c>
      <c r="AO89" s="156">
        <v>3</v>
      </c>
      <c r="AP89" s="156">
        <v>3</v>
      </c>
      <c r="AQ89" s="156">
        <v>3</v>
      </c>
      <c r="AR89" s="156">
        <v>3</v>
      </c>
      <c r="AS89" s="169">
        <v>2.9285709999999998</v>
      </c>
    </row>
    <row r="90" spans="1:45" x14ac:dyDescent="0.25">
      <c r="A90" s="143" t="s">
        <v>767</v>
      </c>
      <c r="B90" s="143" t="s">
        <v>768</v>
      </c>
      <c r="C90" s="143" t="s">
        <v>728</v>
      </c>
      <c r="D90" s="143">
        <v>2920</v>
      </c>
      <c r="E90" s="143">
        <v>2</v>
      </c>
      <c r="F90" s="137">
        <v>1</v>
      </c>
      <c r="G90" s="137">
        <v>1</v>
      </c>
      <c r="H90" s="137">
        <v>1</v>
      </c>
      <c r="I90" s="137">
        <v>0.5</v>
      </c>
      <c r="K90" s="143" t="s">
        <v>767</v>
      </c>
      <c r="L90" s="143" t="s">
        <v>768</v>
      </c>
      <c r="M90" s="143" t="s">
        <v>728</v>
      </c>
      <c r="N90" s="143">
        <v>2920</v>
      </c>
      <c r="O90" s="354">
        <v>0.4</v>
      </c>
      <c r="P90" s="354">
        <v>0.6</v>
      </c>
      <c r="Q90" s="354">
        <v>1</v>
      </c>
      <c r="R90" s="137" t="s">
        <v>3184</v>
      </c>
      <c r="S90" s="137">
        <v>0.5</v>
      </c>
      <c r="T90" s="137" t="s">
        <v>3184</v>
      </c>
      <c r="U90" s="137" t="s">
        <v>3184</v>
      </c>
      <c r="W90" s="143" t="s">
        <v>767</v>
      </c>
      <c r="X90" s="143" t="s">
        <v>768</v>
      </c>
      <c r="Y90" s="143" t="s">
        <v>728</v>
      </c>
      <c r="Z90" s="143">
        <v>2920</v>
      </c>
      <c r="AA90" s="143">
        <v>0</v>
      </c>
      <c r="AD90" s="137">
        <v>0</v>
      </c>
      <c r="AG90" s="143" t="s">
        <v>767</v>
      </c>
      <c r="AH90" s="143" t="s">
        <v>768</v>
      </c>
      <c r="AI90" s="143" t="s">
        <v>728</v>
      </c>
      <c r="AJ90" s="143">
        <v>2920</v>
      </c>
      <c r="AK90" s="143">
        <v>2</v>
      </c>
      <c r="AL90" s="156">
        <v>1.5</v>
      </c>
      <c r="AM90" s="156">
        <v>3.5</v>
      </c>
      <c r="AN90" s="156">
        <v>4</v>
      </c>
      <c r="AO90" s="156">
        <v>3.5</v>
      </c>
      <c r="AP90" s="156">
        <v>2.5</v>
      </c>
      <c r="AQ90" s="156">
        <v>3.5</v>
      </c>
      <c r="AR90" s="156">
        <v>4</v>
      </c>
      <c r="AS90" s="169">
        <v>3.5</v>
      </c>
    </row>
    <row r="91" spans="1:45" x14ac:dyDescent="0.25">
      <c r="A91" s="143" t="s">
        <v>767</v>
      </c>
      <c r="B91" s="143" t="s">
        <v>768</v>
      </c>
      <c r="C91" s="143" t="s">
        <v>680</v>
      </c>
      <c r="D91" s="143">
        <v>3426</v>
      </c>
      <c r="E91" s="143">
        <v>2</v>
      </c>
      <c r="F91" s="137">
        <v>1</v>
      </c>
      <c r="G91" s="137">
        <v>1</v>
      </c>
      <c r="H91" s="137">
        <v>1</v>
      </c>
      <c r="I91" s="137">
        <v>0.5</v>
      </c>
      <c r="K91" s="143" t="s">
        <v>767</v>
      </c>
      <c r="L91" s="143" t="s">
        <v>768</v>
      </c>
      <c r="M91" s="143" t="s">
        <v>680</v>
      </c>
      <c r="N91" s="143">
        <v>3426</v>
      </c>
      <c r="O91" s="354">
        <v>0.4</v>
      </c>
      <c r="P91" s="354">
        <v>0.6</v>
      </c>
      <c r="Q91" s="354">
        <v>1</v>
      </c>
      <c r="R91" s="137" t="s">
        <v>3184</v>
      </c>
      <c r="S91" s="137">
        <v>0.75</v>
      </c>
      <c r="T91" s="137" t="s">
        <v>3184</v>
      </c>
      <c r="W91" s="143" t="s">
        <v>767</v>
      </c>
      <c r="X91" s="143" t="s">
        <v>768</v>
      </c>
      <c r="Y91" s="143" t="s">
        <v>680</v>
      </c>
      <c r="Z91" s="143">
        <v>3426</v>
      </c>
      <c r="AA91" s="143">
        <v>0</v>
      </c>
      <c r="AD91" s="137">
        <v>0</v>
      </c>
      <c r="AG91" s="143" t="s">
        <v>767</v>
      </c>
      <c r="AH91" s="143" t="s">
        <v>768</v>
      </c>
      <c r="AI91" s="143" t="s">
        <v>680</v>
      </c>
      <c r="AJ91" s="143">
        <v>3426</v>
      </c>
      <c r="AK91" s="143">
        <v>2</v>
      </c>
      <c r="AL91" s="156">
        <v>2.5</v>
      </c>
      <c r="AM91" s="156">
        <v>3</v>
      </c>
      <c r="AN91" s="156">
        <v>3</v>
      </c>
      <c r="AO91" s="156">
        <v>3</v>
      </c>
      <c r="AP91" s="156">
        <v>2</v>
      </c>
      <c r="AQ91" s="156">
        <v>3</v>
      </c>
      <c r="AR91" s="156">
        <v>3</v>
      </c>
      <c r="AS91" s="169">
        <v>2.785714</v>
      </c>
    </row>
    <row r="92" spans="1:45" x14ac:dyDescent="0.25">
      <c r="A92" s="143" t="s">
        <v>767</v>
      </c>
      <c r="B92" s="143" t="s">
        <v>768</v>
      </c>
      <c r="C92" s="143" t="s">
        <v>680</v>
      </c>
      <c r="D92" s="143">
        <v>3899</v>
      </c>
      <c r="E92" s="143">
        <v>2</v>
      </c>
      <c r="F92" s="137">
        <v>1</v>
      </c>
      <c r="G92" s="137">
        <v>1</v>
      </c>
      <c r="H92" s="137">
        <v>1</v>
      </c>
      <c r="I92" s="137">
        <v>0</v>
      </c>
      <c r="K92" s="143" t="s">
        <v>767</v>
      </c>
      <c r="L92" s="143" t="s">
        <v>768</v>
      </c>
      <c r="M92" s="143" t="s">
        <v>680</v>
      </c>
      <c r="N92" s="143">
        <v>3899</v>
      </c>
      <c r="O92" s="354">
        <v>0.39480520000000002</v>
      </c>
      <c r="P92" s="354">
        <v>0.6</v>
      </c>
      <c r="Q92" s="354">
        <v>0.99480519999999995</v>
      </c>
      <c r="R92" s="137" t="s">
        <v>3185</v>
      </c>
      <c r="S92" s="137">
        <v>0.75</v>
      </c>
      <c r="T92" s="137" t="s">
        <v>3184</v>
      </c>
      <c r="W92" s="143" t="s">
        <v>767</v>
      </c>
      <c r="X92" s="143" t="s">
        <v>768</v>
      </c>
      <c r="Y92" s="143" t="s">
        <v>680</v>
      </c>
      <c r="Z92" s="143">
        <v>3899</v>
      </c>
      <c r="AA92" s="143">
        <v>0</v>
      </c>
      <c r="AD92" s="137">
        <v>0</v>
      </c>
      <c r="AG92" s="143" t="s">
        <v>767</v>
      </c>
      <c r="AH92" s="143" t="s">
        <v>768</v>
      </c>
      <c r="AI92" s="143" t="s">
        <v>680</v>
      </c>
      <c r="AJ92" s="143">
        <v>3899</v>
      </c>
      <c r="AK92" s="143">
        <v>2</v>
      </c>
      <c r="AL92" s="156">
        <v>2.5</v>
      </c>
      <c r="AM92" s="156">
        <v>3.5</v>
      </c>
      <c r="AN92" s="156">
        <v>2.5</v>
      </c>
      <c r="AO92" s="156">
        <v>2</v>
      </c>
      <c r="AP92" s="156">
        <v>2</v>
      </c>
      <c r="AQ92" s="156">
        <v>3.5</v>
      </c>
      <c r="AR92" s="156">
        <v>3</v>
      </c>
      <c r="AS92" s="169">
        <v>2.714286</v>
      </c>
    </row>
    <row r="93" spans="1:45" x14ac:dyDescent="0.25">
      <c r="A93" s="143" t="s">
        <v>767</v>
      </c>
      <c r="B93" s="143" t="s">
        <v>768</v>
      </c>
      <c r="C93" s="143" t="s">
        <v>728</v>
      </c>
      <c r="D93" s="143">
        <v>3972</v>
      </c>
      <c r="E93" s="143">
        <v>2</v>
      </c>
      <c r="F93" s="137">
        <v>1</v>
      </c>
      <c r="G93" s="137">
        <v>1</v>
      </c>
      <c r="H93" s="137">
        <v>1</v>
      </c>
      <c r="I93" s="137">
        <v>0</v>
      </c>
      <c r="K93" s="143" t="s">
        <v>767</v>
      </c>
      <c r="L93" s="143" t="s">
        <v>768</v>
      </c>
      <c r="M93" s="143" t="s">
        <v>728</v>
      </c>
      <c r="N93" s="143">
        <v>3972</v>
      </c>
      <c r="O93" s="354">
        <v>0.39740259999999999</v>
      </c>
      <c r="P93" s="354">
        <v>0.3</v>
      </c>
      <c r="Q93" s="137">
        <v>0.69740259999999998</v>
      </c>
      <c r="R93" s="137" t="s">
        <v>3185</v>
      </c>
      <c r="S93" s="137">
        <v>0.5</v>
      </c>
      <c r="T93" s="137" t="s">
        <v>3184</v>
      </c>
      <c r="U93" s="137" t="s">
        <v>3184</v>
      </c>
      <c r="W93" s="143" t="s">
        <v>767</v>
      </c>
      <c r="X93" s="143" t="s">
        <v>768</v>
      </c>
      <c r="Y93" s="143" t="s">
        <v>728</v>
      </c>
      <c r="Z93" s="143">
        <v>3972</v>
      </c>
      <c r="AA93" s="143">
        <v>0</v>
      </c>
      <c r="AD93" s="137">
        <v>0</v>
      </c>
      <c r="AG93" s="143" t="s">
        <v>767</v>
      </c>
      <c r="AH93" s="143" t="s">
        <v>768</v>
      </c>
      <c r="AI93" s="143" t="s">
        <v>728</v>
      </c>
      <c r="AJ93" s="143">
        <v>3972</v>
      </c>
      <c r="AK93" s="143">
        <v>2</v>
      </c>
      <c r="AL93" s="156">
        <v>1.5</v>
      </c>
      <c r="AM93" s="156">
        <v>4</v>
      </c>
      <c r="AN93" s="156">
        <v>3.5</v>
      </c>
      <c r="AO93" s="156">
        <v>3</v>
      </c>
      <c r="AP93" s="156">
        <v>1</v>
      </c>
      <c r="AQ93" s="156">
        <v>3.5</v>
      </c>
      <c r="AR93" s="156">
        <v>3.5</v>
      </c>
      <c r="AS93" s="169">
        <v>3.1428569999999998</v>
      </c>
    </row>
    <row r="94" spans="1:45" x14ac:dyDescent="0.25">
      <c r="A94" s="143" t="s">
        <v>767</v>
      </c>
      <c r="B94" s="143" t="s">
        <v>768</v>
      </c>
      <c r="C94" s="143" t="s">
        <v>728</v>
      </c>
      <c r="D94" s="143">
        <v>3974</v>
      </c>
      <c r="E94" s="143">
        <v>2</v>
      </c>
      <c r="F94" s="137">
        <v>1</v>
      </c>
      <c r="G94" s="137">
        <v>1</v>
      </c>
      <c r="H94" s="137">
        <v>1</v>
      </c>
      <c r="I94" s="137">
        <v>0</v>
      </c>
      <c r="K94" s="143" t="s">
        <v>767</v>
      </c>
      <c r="L94" s="143" t="s">
        <v>768</v>
      </c>
      <c r="M94" s="143" t="s">
        <v>728</v>
      </c>
      <c r="N94" s="143">
        <v>3974</v>
      </c>
      <c r="O94" s="354">
        <v>0.4</v>
      </c>
      <c r="P94" s="354">
        <v>0.6</v>
      </c>
      <c r="Q94" s="354">
        <v>1</v>
      </c>
      <c r="R94" s="137" t="s">
        <v>3184</v>
      </c>
      <c r="S94" s="137">
        <v>0.5</v>
      </c>
      <c r="T94" s="137" t="s">
        <v>3184</v>
      </c>
      <c r="U94" s="137" t="s">
        <v>3184</v>
      </c>
      <c r="W94" s="143" t="s">
        <v>767</v>
      </c>
      <c r="X94" s="143" t="s">
        <v>768</v>
      </c>
      <c r="Y94" s="143" t="s">
        <v>728</v>
      </c>
      <c r="Z94" s="143">
        <v>3974</v>
      </c>
      <c r="AA94" s="143">
        <v>0</v>
      </c>
      <c r="AD94" s="137">
        <v>0</v>
      </c>
      <c r="AG94" s="143" t="s">
        <v>767</v>
      </c>
      <c r="AH94" s="143" t="s">
        <v>768</v>
      </c>
      <c r="AI94" s="143" t="s">
        <v>728</v>
      </c>
      <c r="AJ94" s="143">
        <v>3974</v>
      </c>
      <c r="AK94" s="143">
        <v>2</v>
      </c>
      <c r="AL94" s="156">
        <v>1</v>
      </c>
      <c r="AM94" s="156">
        <v>4</v>
      </c>
      <c r="AN94" s="156">
        <v>3.5</v>
      </c>
      <c r="AO94" s="156">
        <v>3</v>
      </c>
      <c r="AP94" s="156">
        <v>3</v>
      </c>
      <c r="AQ94" s="156">
        <v>2.5</v>
      </c>
      <c r="AR94" s="156">
        <v>4</v>
      </c>
      <c r="AS94" s="169">
        <v>3.4285709999999998</v>
      </c>
    </row>
    <row r="95" spans="1:45" x14ac:dyDescent="0.25">
      <c r="A95" s="143" t="s">
        <v>767</v>
      </c>
      <c r="B95" s="143" t="s">
        <v>768</v>
      </c>
      <c r="C95" s="143" t="s">
        <v>680</v>
      </c>
      <c r="D95" s="143">
        <v>3978</v>
      </c>
      <c r="E95" s="143">
        <v>2</v>
      </c>
      <c r="F95" s="137">
        <v>1</v>
      </c>
      <c r="G95" s="137">
        <v>1</v>
      </c>
      <c r="H95" s="137">
        <v>1</v>
      </c>
      <c r="I95" s="137">
        <v>0</v>
      </c>
      <c r="K95" s="143" t="s">
        <v>767</v>
      </c>
      <c r="L95" s="143" t="s">
        <v>768</v>
      </c>
      <c r="M95" s="143" t="s">
        <v>680</v>
      </c>
      <c r="N95" s="143">
        <v>3978</v>
      </c>
      <c r="O95" s="354">
        <v>0.38441560000000002</v>
      </c>
      <c r="P95" s="354">
        <v>0.6</v>
      </c>
      <c r="Q95" s="354">
        <v>0.9844157</v>
      </c>
      <c r="R95" s="137" t="s">
        <v>3185</v>
      </c>
      <c r="S95" s="137">
        <v>0.6</v>
      </c>
      <c r="T95" s="137" t="s">
        <v>3184</v>
      </c>
      <c r="W95" s="143" t="s">
        <v>767</v>
      </c>
      <c r="X95" s="143" t="s">
        <v>768</v>
      </c>
      <c r="Y95" s="143" t="s">
        <v>680</v>
      </c>
      <c r="Z95" s="143">
        <v>3978</v>
      </c>
      <c r="AA95" s="143">
        <v>0</v>
      </c>
      <c r="AD95" s="137">
        <v>0</v>
      </c>
      <c r="AG95" s="143" t="s">
        <v>767</v>
      </c>
      <c r="AH95" s="143" t="s">
        <v>768</v>
      </c>
      <c r="AI95" s="143" t="s">
        <v>680</v>
      </c>
      <c r="AJ95" s="143">
        <v>3978</v>
      </c>
      <c r="AK95" s="143">
        <v>2</v>
      </c>
      <c r="AL95" s="156">
        <v>2</v>
      </c>
      <c r="AM95" s="156">
        <v>3</v>
      </c>
      <c r="AN95" s="156">
        <v>2.5</v>
      </c>
      <c r="AO95" s="156">
        <v>3</v>
      </c>
      <c r="AP95" s="156">
        <v>1</v>
      </c>
      <c r="AQ95" s="156">
        <v>3</v>
      </c>
      <c r="AR95" s="156">
        <v>4</v>
      </c>
      <c r="AS95" s="169">
        <v>2.785714</v>
      </c>
    </row>
    <row r="96" spans="1:45" x14ac:dyDescent="0.25">
      <c r="A96" s="143" t="s">
        <v>767</v>
      </c>
      <c r="B96" s="143" t="s">
        <v>768</v>
      </c>
      <c r="C96" s="143" t="s">
        <v>680</v>
      </c>
      <c r="D96" s="143">
        <v>3979</v>
      </c>
      <c r="E96" s="143">
        <v>2</v>
      </c>
      <c r="F96" s="137">
        <v>1</v>
      </c>
      <c r="G96" s="137">
        <v>1</v>
      </c>
      <c r="H96" s="137">
        <v>1</v>
      </c>
      <c r="I96" s="137">
        <v>0.5</v>
      </c>
      <c r="K96" s="143" t="s">
        <v>767</v>
      </c>
      <c r="L96" s="143" t="s">
        <v>768</v>
      </c>
      <c r="M96" s="143" t="s">
        <v>680</v>
      </c>
      <c r="N96" s="143">
        <v>3979</v>
      </c>
      <c r="O96" s="354">
        <v>0.3350649</v>
      </c>
      <c r="P96" s="354">
        <v>0.6</v>
      </c>
      <c r="Q96" s="137">
        <v>0.93506500000000004</v>
      </c>
      <c r="R96" s="137" t="s">
        <v>3185</v>
      </c>
      <c r="S96" s="137">
        <v>0.6</v>
      </c>
      <c r="T96" s="137" t="s">
        <v>3184</v>
      </c>
      <c r="W96" s="143" t="s">
        <v>767</v>
      </c>
      <c r="X96" s="143" t="s">
        <v>768</v>
      </c>
      <c r="Y96" s="143" t="s">
        <v>680</v>
      </c>
      <c r="Z96" s="143">
        <v>3979</v>
      </c>
      <c r="AA96" s="143">
        <v>0</v>
      </c>
      <c r="AD96" s="137">
        <v>0</v>
      </c>
      <c r="AG96" s="143" t="s">
        <v>767</v>
      </c>
      <c r="AH96" s="143" t="s">
        <v>768</v>
      </c>
      <c r="AI96" s="143" t="s">
        <v>680</v>
      </c>
      <c r="AJ96" s="143">
        <v>3979</v>
      </c>
      <c r="AK96" s="143">
        <v>2</v>
      </c>
      <c r="AL96" s="156">
        <v>2.5</v>
      </c>
      <c r="AM96" s="156">
        <v>2.5</v>
      </c>
      <c r="AN96" s="156">
        <v>2.5</v>
      </c>
      <c r="AO96" s="156">
        <v>2.5</v>
      </c>
      <c r="AP96" s="156">
        <v>1.5</v>
      </c>
      <c r="AQ96" s="156">
        <v>2.5</v>
      </c>
      <c r="AR96" s="156">
        <v>2.5</v>
      </c>
      <c r="AS96" s="169">
        <v>2.3571430000000002</v>
      </c>
    </row>
    <row r="97" spans="1:45" x14ac:dyDescent="0.25">
      <c r="A97" s="143" t="s">
        <v>769</v>
      </c>
      <c r="B97" s="143" t="s">
        <v>770</v>
      </c>
      <c r="C97" s="143" t="s">
        <v>729</v>
      </c>
      <c r="D97" s="143">
        <v>694</v>
      </c>
      <c r="E97" s="143">
        <v>8</v>
      </c>
      <c r="F97" s="137">
        <v>0</v>
      </c>
      <c r="G97" s="137">
        <v>0</v>
      </c>
      <c r="H97" s="137">
        <v>0</v>
      </c>
      <c r="I97" s="137">
        <v>1</v>
      </c>
      <c r="K97" s="143" t="s">
        <v>769</v>
      </c>
      <c r="L97" s="143" t="s">
        <v>770</v>
      </c>
      <c r="M97" s="143" t="s">
        <v>729</v>
      </c>
      <c r="N97" s="143">
        <v>694</v>
      </c>
      <c r="O97" s="354">
        <v>0.4</v>
      </c>
      <c r="P97" s="354">
        <v>0.6</v>
      </c>
      <c r="Q97" s="137">
        <v>1</v>
      </c>
      <c r="R97" s="137" t="s">
        <v>3184</v>
      </c>
      <c r="S97" s="137">
        <v>0.36111110000000002</v>
      </c>
      <c r="T97" s="137" t="s">
        <v>3184</v>
      </c>
      <c r="U97" s="137" t="s">
        <v>3184</v>
      </c>
      <c r="W97" s="143" t="s">
        <v>769</v>
      </c>
      <c r="X97" s="143" t="s">
        <v>770</v>
      </c>
      <c r="Y97" s="143" t="s">
        <v>729</v>
      </c>
      <c r="Z97" s="143">
        <v>694</v>
      </c>
      <c r="AA97" s="143">
        <v>8</v>
      </c>
      <c r="AB97" s="137">
        <v>0</v>
      </c>
      <c r="AC97" s="137">
        <v>0</v>
      </c>
      <c r="AD97" s="137">
        <v>0</v>
      </c>
      <c r="AG97" s="143" t="s">
        <v>769</v>
      </c>
      <c r="AH97" s="143" t="s">
        <v>770</v>
      </c>
      <c r="AI97" s="143" t="s">
        <v>729</v>
      </c>
      <c r="AJ97" s="143">
        <v>694</v>
      </c>
      <c r="AK97" s="143">
        <v>8</v>
      </c>
      <c r="AL97" s="156">
        <v>2</v>
      </c>
      <c r="AM97" s="156">
        <v>3</v>
      </c>
      <c r="AN97" s="156">
        <v>1.875</v>
      </c>
      <c r="AO97" s="156">
        <v>1.875</v>
      </c>
      <c r="AP97" s="156">
        <v>1.5</v>
      </c>
      <c r="AQ97" s="156">
        <v>2.375</v>
      </c>
      <c r="AR97" s="156">
        <v>3</v>
      </c>
      <c r="AS97" s="169">
        <v>2.375</v>
      </c>
    </row>
    <row r="98" spans="1:45" x14ac:dyDescent="0.25">
      <c r="A98" s="143" t="s">
        <v>769</v>
      </c>
      <c r="B98" s="143" t="s">
        <v>770</v>
      </c>
      <c r="C98" s="143" t="s">
        <v>728</v>
      </c>
      <c r="D98" s="143">
        <v>701</v>
      </c>
      <c r="E98" s="143">
        <v>2</v>
      </c>
      <c r="F98" s="137">
        <v>0</v>
      </c>
      <c r="G98" s="137">
        <v>0</v>
      </c>
      <c r="H98" s="137">
        <v>0</v>
      </c>
      <c r="I98" s="137">
        <v>1</v>
      </c>
      <c r="K98" s="143" t="s">
        <v>769</v>
      </c>
      <c r="L98" s="143" t="s">
        <v>770</v>
      </c>
      <c r="M98" s="143" t="s">
        <v>728</v>
      </c>
      <c r="N98" s="143">
        <v>701</v>
      </c>
      <c r="O98" s="354">
        <v>0.4</v>
      </c>
      <c r="P98" s="354">
        <v>0</v>
      </c>
      <c r="Q98" s="354">
        <v>0.4</v>
      </c>
      <c r="R98" s="137" t="s">
        <v>3185</v>
      </c>
      <c r="S98" s="137">
        <v>0.5</v>
      </c>
      <c r="T98" s="137" t="s">
        <v>3185</v>
      </c>
      <c r="U98" s="137" t="s">
        <v>3184</v>
      </c>
      <c r="W98" s="143" t="s">
        <v>769</v>
      </c>
      <c r="X98" s="143" t="s">
        <v>770</v>
      </c>
      <c r="Y98" s="143" t="s">
        <v>728</v>
      </c>
      <c r="Z98" s="143">
        <v>701</v>
      </c>
      <c r="AA98" s="143">
        <v>0</v>
      </c>
      <c r="AD98" s="137">
        <v>0</v>
      </c>
      <c r="AG98" s="143" t="s">
        <v>769</v>
      </c>
      <c r="AH98" s="143" t="s">
        <v>770</v>
      </c>
      <c r="AI98" s="143" t="s">
        <v>728</v>
      </c>
      <c r="AJ98" s="143">
        <v>701</v>
      </c>
      <c r="AK98" s="143">
        <v>2</v>
      </c>
      <c r="AL98" s="156">
        <v>2</v>
      </c>
      <c r="AM98" s="156">
        <v>2.5</v>
      </c>
      <c r="AN98" s="156">
        <v>2.5</v>
      </c>
      <c r="AO98" s="156">
        <v>3</v>
      </c>
      <c r="AP98" s="156">
        <v>2</v>
      </c>
      <c r="AQ98" s="156">
        <v>2.5</v>
      </c>
      <c r="AR98" s="156">
        <v>3</v>
      </c>
      <c r="AS98" s="169">
        <v>2.6428569999999998</v>
      </c>
    </row>
    <row r="99" spans="1:45" x14ac:dyDescent="0.25">
      <c r="A99" s="143" t="s">
        <v>769</v>
      </c>
      <c r="B99" s="143" t="s">
        <v>770</v>
      </c>
      <c r="C99" s="143" t="s">
        <v>727</v>
      </c>
      <c r="D99" s="143">
        <v>707</v>
      </c>
      <c r="E99" s="143">
        <v>3</v>
      </c>
      <c r="F99" s="137">
        <v>0</v>
      </c>
      <c r="G99" s="137">
        <v>0</v>
      </c>
      <c r="H99" s="137">
        <v>0</v>
      </c>
      <c r="I99" s="137">
        <v>1</v>
      </c>
      <c r="K99" s="143" t="s">
        <v>769</v>
      </c>
      <c r="L99" s="143" t="s">
        <v>770</v>
      </c>
      <c r="M99" s="143" t="s">
        <v>727</v>
      </c>
      <c r="N99" s="143">
        <v>707</v>
      </c>
      <c r="O99" s="354">
        <v>0.4</v>
      </c>
      <c r="P99" s="354">
        <v>0.6</v>
      </c>
      <c r="Q99" s="137">
        <v>1</v>
      </c>
      <c r="R99" s="137" t="s">
        <v>3184</v>
      </c>
      <c r="S99" s="137">
        <v>0.47619050000000002</v>
      </c>
      <c r="T99" s="137" t="s">
        <v>3184</v>
      </c>
      <c r="U99" s="137" t="s">
        <v>3184</v>
      </c>
      <c r="W99" s="143" t="s">
        <v>769</v>
      </c>
      <c r="X99" s="143" t="s">
        <v>770</v>
      </c>
      <c r="Y99" s="143" t="s">
        <v>727</v>
      </c>
      <c r="Z99" s="143">
        <v>707</v>
      </c>
      <c r="AA99" s="143">
        <v>0</v>
      </c>
      <c r="AD99" s="137">
        <v>0</v>
      </c>
      <c r="AG99" s="143" t="s">
        <v>769</v>
      </c>
      <c r="AH99" s="143" t="s">
        <v>770</v>
      </c>
      <c r="AI99" s="143" t="s">
        <v>727</v>
      </c>
      <c r="AJ99" s="143">
        <v>707</v>
      </c>
      <c r="AK99" s="143">
        <v>3</v>
      </c>
      <c r="AL99" s="156">
        <v>2.3333332538604701</v>
      </c>
      <c r="AM99" s="156">
        <v>3</v>
      </c>
      <c r="AN99" s="156">
        <v>2</v>
      </c>
      <c r="AO99" s="156">
        <v>1.6666666269302399</v>
      </c>
      <c r="AP99" s="156">
        <v>3</v>
      </c>
      <c r="AQ99" s="156">
        <v>3</v>
      </c>
      <c r="AR99" s="156">
        <v>3</v>
      </c>
      <c r="AS99" s="169">
        <v>2.6190479999999998</v>
      </c>
    </row>
    <row r="100" spans="1:45" x14ac:dyDescent="0.25">
      <c r="A100" s="143" t="s">
        <v>769</v>
      </c>
      <c r="B100" s="143" t="s">
        <v>770</v>
      </c>
      <c r="C100" s="143" t="s">
        <v>727</v>
      </c>
      <c r="D100" s="143">
        <v>708</v>
      </c>
      <c r="E100" s="143">
        <v>3</v>
      </c>
      <c r="F100" s="137">
        <v>0</v>
      </c>
      <c r="G100" s="137">
        <v>0.3333333</v>
      </c>
      <c r="H100" s="137">
        <v>0</v>
      </c>
      <c r="I100" s="137">
        <v>1</v>
      </c>
      <c r="K100" s="143" t="s">
        <v>769</v>
      </c>
      <c r="L100" s="143" t="s">
        <v>770</v>
      </c>
      <c r="M100" s="143" t="s">
        <v>727</v>
      </c>
      <c r="N100" s="143">
        <v>708</v>
      </c>
      <c r="O100" s="354">
        <v>0.4</v>
      </c>
      <c r="P100" s="354">
        <v>0.6</v>
      </c>
      <c r="Q100" s="354">
        <v>1</v>
      </c>
      <c r="R100" s="137" t="s">
        <v>3184</v>
      </c>
      <c r="S100" s="137">
        <v>0.3333333</v>
      </c>
      <c r="T100" s="137" t="s">
        <v>3184</v>
      </c>
      <c r="U100" s="137" t="s">
        <v>3184</v>
      </c>
      <c r="W100" s="143" t="s">
        <v>769</v>
      </c>
      <c r="X100" s="143" t="s">
        <v>770</v>
      </c>
      <c r="Y100" s="143" t="s">
        <v>727</v>
      </c>
      <c r="Z100" s="143">
        <v>708</v>
      </c>
      <c r="AA100" s="143">
        <v>0</v>
      </c>
      <c r="AD100" s="137">
        <v>0</v>
      </c>
      <c r="AG100" s="143" t="s">
        <v>769</v>
      </c>
      <c r="AH100" s="143" t="s">
        <v>770</v>
      </c>
      <c r="AI100" s="143" t="s">
        <v>727</v>
      </c>
      <c r="AJ100" s="143">
        <v>708</v>
      </c>
      <c r="AK100" s="143">
        <v>3</v>
      </c>
      <c r="AL100" s="156">
        <v>2.3333332538604701</v>
      </c>
      <c r="AM100" s="156">
        <v>3</v>
      </c>
      <c r="AN100" s="156">
        <v>2</v>
      </c>
      <c r="AO100" s="156">
        <v>2</v>
      </c>
      <c r="AP100" s="156">
        <v>2</v>
      </c>
      <c r="AQ100" s="156">
        <v>2.3333332538604701</v>
      </c>
      <c r="AR100" s="156">
        <v>2</v>
      </c>
      <c r="AS100" s="169">
        <v>2.285714</v>
      </c>
    </row>
    <row r="101" spans="1:45" x14ac:dyDescent="0.25">
      <c r="A101" s="143" t="s">
        <v>769</v>
      </c>
      <c r="B101" s="143" t="s">
        <v>770</v>
      </c>
      <c r="C101" s="143" t="s">
        <v>728</v>
      </c>
      <c r="D101" s="143">
        <v>1847</v>
      </c>
      <c r="E101" s="143">
        <v>2</v>
      </c>
      <c r="F101" s="137">
        <v>0</v>
      </c>
      <c r="G101" s="137">
        <v>0</v>
      </c>
      <c r="H101" s="137">
        <v>0</v>
      </c>
      <c r="I101" s="137">
        <v>1</v>
      </c>
      <c r="K101" s="143" t="s">
        <v>769</v>
      </c>
      <c r="L101" s="143" t="s">
        <v>770</v>
      </c>
      <c r="M101" s="143" t="s">
        <v>728</v>
      </c>
      <c r="N101" s="143">
        <v>1847</v>
      </c>
      <c r="O101" s="354">
        <v>0.4</v>
      </c>
      <c r="P101" s="354">
        <v>0.6</v>
      </c>
      <c r="Q101" s="137">
        <v>1</v>
      </c>
      <c r="R101" s="137" t="s">
        <v>3184</v>
      </c>
      <c r="S101" s="137">
        <v>0.4</v>
      </c>
      <c r="T101" s="137" t="s">
        <v>3184</v>
      </c>
      <c r="U101" s="137" t="s">
        <v>3184</v>
      </c>
      <c r="W101" s="143" t="s">
        <v>769</v>
      </c>
      <c r="X101" s="143" t="s">
        <v>770</v>
      </c>
      <c r="Y101" s="143" t="s">
        <v>728</v>
      </c>
      <c r="Z101" s="143">
        <v>1847</v>
      </c>
      <c r="AA101" s="143">
        <v>0</v>
      </c>
      <c r="AD101" s="137">
        <v>0</v>
      </c>
      <c r="AG101" s="143" t="s">
        <v>769</v>
      </c>
      <c r="AH101" s="143" t="s">
        <v>770</v>
      </c>
      <c r="AI101" s="143" t="s">
        <v>728</v>
      </c>
      <c r="AJ101" s="143">
        <v>1847</v>
      </c>
      <c r="AK101" s="143">
        <v>2</v>
      </c>
      <c r="AL101" s="156">
        <v>1.5</v>
      </c>
      <c r="AM101" s="156">
        <v>3.5</v>
      </c>
      <c r="AN101" s="156">
        <v>3</v>
      </c>
      <c r="AO101" s="156">
        <v>3</v>
      </c>
      <c r="AP101" s="156">
        <v>3.5</v>
      </c>
      <c r="AQ101" s="156">
        <v>2.5</v>
      </c>
      <c r="AR101" s="156">
        <v>3</v>
      </c>
      <c r="AS101" s="169">
        <v>3.1428569999999998</v>
      </c>
    </row>
    <row r="102" spans="1:45" x14ac:dyDescent="0.25">
      <c r="A102" s="143" t="s">
        <v>769</v>
      </c>
      <c r="B102" s="143" t="s">
        <v>770</v>
      </c>
      <c r="C102" s="143" t="s">
        <v>728</v>
      </c>
      <c r="D102" s="143">
        <v>2109</v>
      </c>
      <c r="E102" s="143">
        <v>2</v>
      </c>
      <c r="F102" s="137">
        <v>0</v>
      </c>
      <c r="G102" s="137">
        <v>0</v>
      </c>
      <c r="H102" s="137">
        <v>0</v>
      </c>
      <c r="I102" s="137">
        <v>1</v>
      </c>
      <c r="K102" s="143" t="s">
        <v>769</v>
      </c>
      <c r="L102" s="143" t="s">
        <v>770</v>
      </c>
      <c r="M102" s="143" t="s">
        <v>728</v>
      </c>
      <c r="N102" s="143">
        <v>2109</v>
      </c>
      <c r="O102" s="354">
        <v>0.4</v>
      </c>
      <c r="P102" s="354">
        <v>0.6</v>
      </c>
      <c r="Q102" s="354">
        <v>1</v>
      </c>
      <c r="R102" s="137" t="s">
        <v>3184</v>
      </c>
      <c r="S102" s="137">
        <v>0.44444440000000002</v>
      </c>
      <c r="T102" s="137" t="s">
        <v>3184</v>
      </c>
      <c r="U102" s="137" t="s">
        <v>3184</v>
      </c>
      <c r="W102" s="143" t="s">
        <v>769</v>
      </c>
      <c r="X102" s="143" t="s">
        <v>770</v>
      </c>
      <c r="Y102" s="143" t="s">
        <v>728</v>
      </c>
      <c r="Z102" s="143">
        <v>2109</v>
      </c>
      <c r="AA102" s="143">
        <v>0</v>
      </c>
      <c r="AD102" s="137">
        <v>0</v>
      </c>
      <c r="AG102" s="143" t="s">
        <v>769</v>
      </c>
      <c r="AH102" s="143" t="s">
        <v>770</v>
      </c>
      <c r="AI102" s="143" t="s">
        <v>728</v>
      </c>
      <c r="AJ102" s="143">
        <v>2109</v>
      </c>
      <c r="AK102" s="143">
        <v>2</v>
      </c>
      <c r="AL102" s="156">
        <v>1.5</v>
      </c>
      <c r="AM102" s="156">
        <v>3.5</v>
      </c>
      <c r="AN102" s="156">
        <v>3</v>
      </c>
      <c r="AO102" s="156">
        <v>3</v>
      </c>
      <c r="AP102" s="156">
        <v>3</v>
      </c>
      <c r="AQ102" s="156">
        <v>2.5</v>
      </c>
      <c r="AR102" s="156">
        <v>3.5</v>
      </c>
      <c r="AS102" s="169">
        <v>3.1428569999999998</v>
      </c>
    </row>
    <row r="103" spans="1:45" x14ac:dyDescent="0.25">
      <c r="A103" s="143" t="s">
        <v>769</v>
      </c>
      <c r="B103" s="143" t="s">
        <v>770</v>
      </c>
      <c r="C103" s="143" t="s">
        <v>680</v>
      </c>
      <c r="D103" s="143">
        <v>2440</v>
      </c>
      <c r="E103" s="143">
        <v>2</v>
      </c>
      <c r="F103" s="137">
        <v>0</v>
      </c>
      <c r="G103" s="137">
        <v>0</v>
      </c>
      <c r="H103" s="137">
        <v>0</v>
      </c>
      <c r="I103" s="137">
        <v>1</v>
      </c>
      <c r="K103" s="143" t="s">
        <v>769</v>
      </c>
      <c r="L103" s="143" t="s">
        <v>770</v>
      </c>
      <c r="M103" s="143" t="s">
        <v>680</v>
      </c>
      <c r="N103" s="143">
        <v>2440</v>
      </c>
      <c r="O103" s="354">
        <v>0.39740259999999999</v>
      </c>
      <c r="P103" s="354">
        <v>0.6</v>
      </c>
      <c r="Q103" s="354">
        <v>0.99740260000000003</v>
      </c>
      <c r="R103" s="137" t="s">
        <v>3185</v>
      </c>
      <c r="S103" s="137">
        <v>0.75</v>
      </c>
      <c r="T103" s="137" t="s">
        <v>3184</v>
      </c>
      <c r="W103" s="143" t="s">
        <v>769</v>
      </c>
      <c r="X103" s="143" t="s">
        <v>770</v>
      </c>
      <c r="Y103" s="143" t="s">
        <v>680</v>
      </c>
      <c r="Z103" s="143">
        <v>2440</v>
      </c>
      <c r="AA103" s="143">
        <v>0</v>
      </c>
      <c r="AD103" s="137">
        <v>0</v>
      </c>
      <c r="AG103" s="143" t="s">
        <v>769</v>
      </c>
      <c r="AH103" s="143" t="s">
        <v>770</v>
      </c>
      <c r="AI103" s="143" t="s">
        <v>680</v>
      </c>
      <c r="AJ103" s="143">
        <v>2440</v>
      </c>
      <c r="AK103" s="143">
        <v>2</v>
      </c>
      <c r="AL103" s="156">
        <v>1.5</v>
      </c>
      <c r="AM103" s="156">
        <v>3</v>
      </c>
      <c r="AN103" s="156">
        <v>2</v>
      </c>
      <c r="AO103" s="156">
        <v>2</v>
      </c>
      <c r="AP103" s="156">
        <v>3</v>
      </c>
      <c r="AQ103" s="156">
        <v>2.5</v>
      </c>
      <c r="AR103" s="156">
        <v>2</v>
      </c>
      <c r="AS103" s="169">
        <v>2.5714290000000002</v>
      </c>
    </row>
    <row r="104" spans="1:45" x14ac:dyDescent="0.25">
      <c r="A104" s="143" t="s">
        <v>769</v>
      </c>
      <c r="B104" s="143" t="s">
        <v>770</v>
      </c>
      <c r="C104" s="143" t="s">
        <v>680</v>
      </c>
      <c r="D104" s="143">
        <v>2441</v>
      </c>
      <c r="E104" s="143">
        <v>2</v>
      </c>
      <c r="F104" s="137">
        <v>0</v>
      </c>
      <c r="G104" s="137">
        <v>0</v>
      </c>
      <c r="H104" s="137">
        <v>0</v>
      </c>
      <c r="I104" s="137">
        <v>1</v>
      </c>
      <c r="K104" s="143" t="s">
        <v>769</v>
      </c>
      <c r="L104" s="143" t="s">
        <v>770</v>
      </c>
      <c r="M104" s="143" t="s">
        <v>680</v>
      </c>
      <c r="N104" s="143">
        <v>2441</v>
      </c>
      <c r="O104" s="354">
        <v>0.4</v>
      </c>
      <c r="P104" s="354">
        <v>0.6</v>
      </c>
      <c r="Q104" s="137">
        <v>1</v>
      </c>
      <c r="R104" s="137" t="s">
        <v>3184</v>
      </c>
      <c r="S104" s="137">
        <v>0.75</v>
      </c>
      <c r="T104" s="137" t="s">
        <v>3184</v>
      </c>
      <c r="W104" s="143" t="s">
        <v>769</v>
      </c>
      <c r="X104" s="143" t="s">
        <v>770</v>
      </c>
      <c r="Y104" s="143" t="s">
        <v>680</v>
      </c>
      <c r="Z104" s="143">
        <v>2441</v>
      </c>
      <c r="AA104" s="143">
        <v>0</v>
      </c>
      <c r="AD104" s="137">
        <v>0</v>
      </c>
      <c r="AG104" s="143" t="s">
        <v>769</v>
      </c>
      <c r="AH104" s="143" t="s">
        <v>770</v>
      </c>
      <c r="AI104" s="143" t="s">
        <v>680</v>
      </c>
      <c r="AJ104" s="143">
        <v>2441</v>
      </c>
      <c r="AK104" s="143">
        <v>2</v>
      </c>
      <c r="AL104" s="156">
        <v>1.5</v>
      </c>
      <c r="AM104" s="156">
        <v>3</v>
      </c>
      <c r="AN104" s="156">
        <v>3</v>
      </c>
      <c r="AO104" s="156">
        <v>3</v>
      </c>
      <c r="AP104" s="156">
        <v>1.5</v>
      </c>
      <c r="AQ104" s="156">
        <v>2</v>
      </c>
      <c r="AR104" s="156">
        <v>3.5</v>
      </c>
      <c r="AS104" s="169">
        <v>2.785714</v>
      </c>
    </row>
    <row r="105" spans="1:45" x14ac:dyDescent="0.25">
      <c r="A105" s="143" t="s">
        <v>769</v>
      </c>
      <c r="B105" s="143" t="s">
        <v>770</v>
      </c>
      <c r="C105" s="143" t="s">
        <v>680</v>
      </c>
      <c r="D105" s="143">
        <v>2442</v>
      </c>
      <c r="E105" s="143">
        <v>2</v>
      </c>
      <c r="F105" s="137">
        <v>0</v>
      </c>
      <c r="G105" s="137">
        <v>0</v>
      </c>
      <c r="H105" s="137">
        <v>0</v>
      </c>
      <c r="I105" s="137">
        <v>1</v>
      </c>
      <c r="K105" s="143" t="s">
        <v>769</v>
      </c>
      <c r="L105" s="143" t="s">
        <v>770</v>
      </c>
      <c r="M105" s="143" t="s">
        <v>680</v>
      </c>
      <c r="N105" s="143">
        <v>2442</v>
      </c>
      <c r="O105" s="354">
        <v>0.4</v>
      </c>
      <c r="P105" s="354">
        <v>0.6</v>
      </c>
      <c r="Q105" s="354">
        <v>1</v>
      </c>
      <c r="R105" s="137" t="s">
        <v>3184</v>
      </c>
      <c r="S105" s="137">
        <v>0.75</v>
      </c>
      <c r="T105" s="137" t="s">
        <v>3184</v>
      </c>
      <c r="W105" s="143" t="s">
        <v>769</v>
      </c>
      <c r="X105" s="143" t="s">
        <v>770</v>
      </c>
      <c r="Y105" s="143" t="s">
        <v>680</v>
      </c>
      <c r="Z105" s="143">
        <v>2442</v>
      </c>
      <c r="AA105" s="143">
        <v>0</v>
      </c>
      <c r="AD105" s="137">
        <v>0.5</v>
      </c>
      <c r="AE105" s="137">
        <v>0</v>
      </c>
      <c r="AG105" s="143" t="s">
        <v>769</v>
      </c>
      <c r="AH105" s="143" t="s">
        <v>770</v>
      </c>
      <c r="AI105" s="143" t="s">
        <v>680</v>
      </c>
      <c r="AJ105" s="143">
        <v>2442</v>
      </c>
      <c r="AK105" s="143">
        <v>2</v>
      </c>
      <c r="AL105" s="156">
        <v>1.5</v>
      </c>
      <c r="AM105" s="156">
        <v>3.5</v>
      </c>
      <c r="AN105" s="156">
        <v>4</v>
      </c>
      <c r="AO105" s="156">
        <v>3</v>
      </c>
      <c r="AP105" s="156">
        <v>3</v>
      </c>
      <c r="AQ105" s="156">
        <v>3</v>
      </c>
      <c r="AR105" s="156">
        <v>3</v>
      </c>
      <c r="AS105" s="169">
        <v>3.285714</v>
      </c>
    </row>
    <row r="106" spans="1:45" x14ac:dyDescent="0.25">
      <c r="A106" s="143" t="s">
        <v>769</v>
      </c>
      <c r="B106" s="143" t="s">
        <v>770</v>
      </c>
      <c r="C106" s="143" t="s">
        <v>728</v>
      </c>
      <c r="D106" s="143">
        <v>2443</v>
      </c>
      <c r="E106" s="143">
        <v>2</v>
      </c>
      <c r="F106" s="137">
        <v>0</v>
      </c>
      <c r="G106" s="137">
        <v>0</v>
      </c>
      <c r="H106" s="137">
        <v>0</v>
      </c>
      <c r="I106" s="137">
        <v>1</v>
      </c>
      <c r="K106" s="143" t="s">
        <v>769</v>
      </c>
      <c r="L106" s="143" t="s">
        <v>770</v>
      </c>
      <c r="M106" s="143" t="s">
        <v>728</v>
      </c>
      <c r="N106" s="143">
        <v>2443</v>
      </c>
      <c r="O106" s="354">
        <v>0.4</v>
      </c>
      <c r="P106" s="354">
        <v>0.6</v>
      </c>
      <c r="Q106" s="354">
        <v>1</v>
      </c>
      <c r="R106" s="137" t="s">
        <v>3184</v>
      </c>
      <c r="S106" s="137">
        <v>0.5</v>
      </c>
      <c r="T106" s="137" t="s">
        <v>3184</v>
      </c>
      <c r="U106" s="137" t="s">
        <v>3184</v>
      </c>
      <c r="W106" s="143" t="s">
        <v>769</v>
      </c>
      <c r="X106" s="143" t="s">
        <v>770</v>
      </c>
      <c r="Y106" s="143" t="s">
        <v>728</v>
      </c>
      <c r="Z106" s="143">
        <v>2443</v>
      </c>
      <c r="AA106" s="143">
        <v>0</v>
      </c>
      <c r="AD106" s="137">
        <v>0</v>
      </c>
      <c r="AG106" s="143" t="s">
        <v>769</v>
      </c>
      <c r="AH106" s="143" t="s">
        <v>770</v>
      </c>
      <c r="AI106" s="143" t="s">
        <v>728</v>
      </c>
      <c r="AJ106" s="143">
        <v>2443</v>
      </c>
      <c r="AK106" s="143">
        <v>2</v>
      </c>
      <c r="AL106" s="156">
        <v>2</v>
      </c>
      <c r="AM106" s="156">
        <v>2.5</v>
      </c>
      <c r="AN106" s="156">
        <v>3</v>
      </c>
      <c r="AO106" s="156">
        <v>1.5</v>
      </c>
      <c r="AP106" s="156">
        <v>3.5</v>
      </c>
      <c r="AQ106" s="156">
        <v>2.5</v>
      </c>
      <c r="AR106" s="156">
        <v>2.5</v>
      </c>
      <c r="AS106" s="169">
        <v>2.6428569999999998</v>
      </c>
    </row>
    <row r="107" spans="1:45" x14ac:dyDescent="0.25">
      <c r="A107" s="143" t="s">
        <v>769</v>
      </c>
      <c r="B107" s="143" t="s">
        <v>770</v>
      </c>
      <c r="C107" s="143" t="s">
        <v>728</v>
      </c>
      <c r="D107" s="143">
        <v>3721</v>
      </c>
      <c r="E107" s="143">
        <v>2</v>
      </c>
      <c r="F107" s="137">
        <v>0</v>
      </c>
      <c r="G107" s="137">
        <v>0</v>
      </c>
      <c r="H107" s="137">
        <v>0</v>
      </c>
      <c r="I107" s="137">
        <v>1</v>
      </c>
      <c r="K107" s="143" t="s">
        <v>769</v>
      </c>
      <c r="L107" s="143" t="s">
        <v>770</v>
      </c>
      <c r="M107" s="143" t="s">
        <v>728</v>
      </c>
      <c r="N107" s="143">
        <v>3721</v>
      </c>
      <c r="O107" s="354">
        <v>0.3922078</v>
      </c>
      <c r="P107" s="354">
        <v>0.3</v>
      </c>
      <c r="Q107" s="354">
        <v>0.69220780000000004</v>
      </c>
      <c r="R107" s="137" t="s">
        <v>3185</v>
      </c>
      <c r="S107" s="137">
        <v>0.4</v>
      </c>
      <c r="T107" s="137" t="s">
        <v>3185</v>
      </c>
      <c r="U107" s="137" t="s">
        <v>3184</v>
      </c>
      <c r="W107" s="143" t="s">
        <v>769</v>
      </c>
      <c r="X107" s="143" t="s">
        <v>770</v>
      </c>
      <c r="Y107" s="143" t="s">
        <v>728</v>
      </c>
      <c r="Z107" s="143">
        <v>3721</v>
      </c>
      <c r="AA107" s="143">
        <v>0</v>
      </c>
      <c r="AD107" s="137">
        <v>0.8</v>
      </c>
      <c r="AE107" s="137">
        <v>0</v>
      </c>
      <c r="AG107" s="143" t="s">
        <v>769</v>
      </c>
      <c r="AH107" s="143" t="s">
        <v>770</v>
      </c>
      <c r="AI107" s="143" t="s">
        <v>728</v>
      </c>
      <c r="AJ107" s="143">
        <v>3721</v>
      </c>
      <c r="AK107" s="143">
        <v>2</v>
      </c>
      <c r="AL107" s="156">
        <v>2</v>
      </c>
      <c r="AM107" s="156">
        <v>3</v>
      </c>
      <c r="AN107" s="156">
        <v>2.5</v>
      </c>
      <c r="AO107" s="156">
        <v>2.5</v>
      </c>
      <c r="AP107" s="156">
        <v>2</v>
      </c>
      <c r="AQ107" s="156">
        <v>2</v>
      </c>
      <c r="AR107" s="156">
        <v>3</v>
      </c>
      <c r="AS107" s="169">
        <v>2.5714290000000002</v>
      </c>
    </row>
    <row r="108" spans="1:45" x14ac:dyDescent="0.25">
      <c r="A108" s="143" t="s">
        <v>769</v>
      </c>
      <c r="B108" s="143" t="s">
        <v>770</v>
      </c>
      <c r="C108" s="143" t="s">
        <v>728</v>
      </c>
      <c r="D108" s="143">
        <v>3991</v>
      </c>
      <c r="E108" s="143">
        <v>2</v>
      </c>
      <c r="F108" s="137">
        <v>0</v>
      </c>
      <c r="G108" s="137">
        <v>0</v>
      </c>
      <c r="H108" s="137">
        <v>0</v>
      </c>
      <c r="I108" s="137">
        <v>1</v>
      </c>
      <c r="K108" s="143" t="s">
        <v>769</v>
      </c>
      <c r="L108" s="143" t="s">
        <v>770</v>
      </c>
      <c r="M108" s="143" t="s">
        <v>728</v>
      </c>
      <c r="N108" s="143">
        <v>3991</v>
      </c>
      <c r="O108" s="354">
        <v>0.4</v>
      </c>
      <c r="P108" s="354">
        <v>0.6</v>
      </c>
      <c r="Q108" s="354">
        <v>1</v>
      </c>
      <c r="R108" s="137" t="s">
        <v>3184</v>
      </c>
      <c r="S108" s="137">
        <v>0.5</v>
      </c>
      <c r="T108" s="137" t="s">
        <v>3184</v>
      </c>
      <c r="U108" s="137" t="s">
        <v>3184</v>
      </c>
      <c r="W108" s="143" t="s">
        <v>769</v>
      </c>
      <c r="X108" s="143" t="s">
        <v>770</v>
      </c>
      <c r="Y108" s="143" t="s">
        <v>728</v>
      </c>
      <c r="Z108" s="143">
        <v>3991</v>
      </c>
      <c r="AA108" s="143">
        <v>0</v>
      </c>
      <c r="AD108" s="137">
        <v>0.5</v>
      </c>
      <c r="AE108" s="137">
        <v>0</v>
      </c>
      <c r="AG108" s="143" t="s">
        <v>769</v>
      </c>
      <c r="AH108" s="143" t="s">
        <v>770</v>
      </c>
      <c r="AI108" s="143" t="s">
        <v>728</v>
      </c>
      <c r="AJ108" s="143">
        <v>3991</v>
      </c>
      <c r="AK108" s="143">
        <v>2</v>
      </c>
      <c r="AL108" s="156">
        <v>1</v>
      </c>
      <c r="AM108" s="156">
        <v>2.5</v>
      </c>
      <c r="AN108" s="156">
        <v>1.5</v>
      </c>
      <c r="AO108" s="156">
        <v>3</v>
      </c>
      <c r="AP108" s="156">
        <v>1</v>
      </c>
      <c r="AQ108" s="156">
        <v>2</v>
      </c>
      <c r="AR108" s="156">
        <v>3</v>
      </c>
      <c r="AS108" s="169">
        <v>2.4285709999999998</v>
      </c>
    </row>
    <row r="109" spans="1:45" x14ac:dyDescent="0.25">
      <c r="A109" s="143" t="s">
        <v>769</v>
      </c>
      <c r="B109" s="143" t="s">
        <v>770</v>
      </c>
      <c r="C109" s="143" t="s">
        <v>680</v>
      </c>
      <c r="D109" s="143">
        <v>4680</v>
      </c>
      <c r="E109" s="143">
        <v>2</v>
      </c>
      <c r="F109" s="137">
        <v>0</v>
      </c>
      <c r="G109" s="137">
        <v>0</v>
      </c>
      <c r="H109" s="137">
        <v>0</v>
      </c>
      <c r="I109" s="137">
        <v>1</v>
      </c>
      <c r="K109" s="143" t="s">
        <v>769</v>
      </c>
      <c r="L109" s="143" t="s">
        <v>770</v>
      </c>
      <c r="M109" s="143" t="s">
        <v>680</v>
      </c>
      <c r="N109" s="143">
        <v>4680</v>
      </c>
      <c r="O109" s="354">
        <v>0.4</v>
      </c>
      <c r="P109" s="354">
        <v>0.6</v>
      </c>
      <c r="Q109" s="354">
        <v>1</v>
      </c>
      <c r="R109" s="137" t="s">
        <v>3184</v>
      </c>
      <c r="S109" s="137">
        <v>0.75</v>
      </c>
      <c r="T109" s="137" t="s">
        <v>3184</v>
      </c>
      <c r="W109" s="143" t="s">
        <v>769</v>
      </c>
      <c r="X109" s="143" t="s">
        <v>770</v>
      </c>
      <c r="Y109" s="143" t="s">
        <v>680</v>
      </c>
      <c r="Z109" s="143">
        <v>4680</v>
      </c>
      <c r="AA109" s="143">
        <v>0</v>
      </c>
      <c r="AD109" s="137">
        <v>0</v>
      </c>
      <c r="AE109" s="137">
        <v>0.25</v>
      </c>
      <c r="AG109" s="143" t="s">
        <v>769</v>
      </c>
      <c r="AH109" s="143" t="s">
        <v>770</v>
      </c>
      <c r="AI109" s="143" t="s">
        <v>680</v>
      </c>
      <c r="AJ109" s="143">
        <v>4680</v>
      </c>
      <c r="AK109" s="143">
        <v>2</v>
      </c>
      <c r="AL109" s="156">
        <v>2</v>
      </c>
      <c r="AM109" s="156">
        <v>3</v>
      </c>
      <c r="AN109" s="156">
        <v>3</v>
      </c>
      <c r="AO109" s="156">
        <v>3</v>
      </c>
      <c r="AP109" s="156">
        <v>3.5</v>
      </c>
      <c r="AQ109" s="156">
        <v>2.5</v>
      </c>
      <c r="AR109" s="156">
        <v>3.5</v>
      </c>
      <c r="AS109" s="169">
        <v>3.0714290000000002</v>
      </c>
    </row>
    <row r="110" spans="1:45" x14ac:dyDescent="0.25">
      <c r="A110" s="143" t="s">
        <v>769</v>
      </c>
      <c r="B110" s="143" t="s">
        <v>770</v>
      </c>
      <c r="C110" s="143" t="s">
        <v>680</v>
      </c>
      <c r="D110" s="143">
        <v>4698</v>
      </c>
      <c r="E110" s="143">
        <v>2</v>
      </c>
      <c r="F110" s="137">
        <v>0</v>
      </c>
      <c r="G110" s="137">
        <v>0</v>
      </c>
      <c r="H110" s="137">
        <v>0</v>
      </c>
      <c r="I110" s="137">
        <v>1</v>
      </c>
      <c r="K110" s="143" t="s">
        <v>769</v>
      </c>
      <c r="L110" s="143" t="s">
        <v>770</v>
      </c>
      <c r="M110" s="143" t="s">
        <v>680</v>
      </c>
      <c r="N110" s="143">
        <v>4698</v>
      </c>
      <c r="O110" s="354">
        <v>0.38961040000000002</v>
      </c>
      <c r="P110" s="354">
        <v>0.6</v>
      </c>
      <c r="Q110" s="137">
        <v>0.9896104</v>
      </c>
      <c r="R110" s="137" t="s">
        <v>3185</v>
      </c>
      <c r="S110" s="137">
        <v>0.75</v>
      </c>
      <c r="T110" s="137" t="s">
        <v>3184</v>
      </c>
      <c r="W110" s="143" t="s">
        <v>769</v>
      </c>
      <c r="X110" s="143" t="s">
        <v>770</v>
      </c>
      <c r="Y110" s="143" t="s">
        <v>680</v>
      </c>
      <c r="Z110" s="143">
        <v>4698</v>
      </c>
      <c r="AA110" s="143">
        <v>0</v>
      </c>
      <c r="AD110" s="137">
        <v>0</v>
      </c>
      <c r="AG110" s="143" t="s">
        <v>769</v>
      </c>
      <c r="AH110" s="143" t="s">
        <v>770</v>
      </c>
      <c r="AI110" s="143" t="s">
        <v>680</v>
      </c>
      <c r="AJ110" s="143">
        <v>4698</v>
      </c>
      <c r="AK110" s="143">
        <v>2</v>
      </c>
      <c r="AL110" s="156">
        <v>2.5</v>
      </c>
      <c r="AM110" s="156">
        <v>2.5</v>
      </c>
      <c r="AN110" s="156">
        <v>2.5</v>
      </c>
      <c r="AO110" s="156">
        <v>2.5</v>
      </c>
      <c r="AP110" s="156">
        <v>2.5</v>
      </c>
      <c r="AQ110" s="156">
        <v>2.5</v>
      </c>
      <c r="AR110" s="156">
        <v>3.5</v>
      </c>
      <c r="AS110" s="169">
        <v>2.6428569999999998</v>
      </c>
    </row>
    <row r="111" spans="1:45" x14ac:dyDescent="0.25">
      <c r="A111" s="143" t="s">
        <v>769</v>
      </c>
      <c r="B111" s="143" t="s">
        <v>770</v>
      </c>
      <c r="C111" s="143" t="s">
        <v>680</v>
      </c>
      <c r="D111" s="143">
        <v>4703</v>
      </c>
      <c r="E111" s="143">
        <v>2</v>
      </c>
      <c r="F111" s="137">
        <v>0</v>
      </c>
      <c r="G111" s="137">
        <v>0</v>
      </c>
      <c r="H111" s="137">
        <v>0</v>
      </c>
      <c r="I111" s="137">
        <v>1</v>
      </c>
      <c r="K111" s="143" t="s">
        <v>769</v>
      </c>
      <c r="L111" s="143" t="s">
        <v>770</v>
      </c>
      <c r="M111" s="143" t="s">
        <v>680</v>
      </c>
      <c r="N111" s="143">
        <v>4703</v>
      </c>
      <c r="O111" s="354">
        <v>0.4</v>
      </c>
      <c r="P111" s="354">
        <v>0.6</v>
      </c>
      <c r="Q111" s="137">
        <v>1</v>
      </c>
      <c r="R111" s="137" t="s">
        <v>3184</v>
      </c>
      <c r="S111" s="137">
        <v>0.66666669999999995</v>
      </c>
      <c r="T111" s="137" t="s">
        <v>3184</v>
      </c>
      <c r="W111" s="143" t="s">
        <v>769</v>
      </c>
      <c r="X111" s="143" t="s">
        <v>770</v>
      </c>
      <c r="Y111" s="143" t="s">
        <v>680</v>
      </c>
      <c r="Z111" s="143">
        <v>4703</v>
      </c>
      <c r="AA111" s="143">
        <v>0</v>
      </c>
      <c r="AD111" s="137">
        <v>0</v>
      </c>
      <c r="AG111" s="143" t="s">
        <v>769</v>
      </c>
      <c r="AH111" s="143" t="s">
        <v>770</v>
      </c>
      <c r="AI111" s="143" t="s">
        <v>680</v>
      </c>
      <c r="AJ111" s="143">
        <v>4703</v>
      </c>
      <c r="AK111" s="143">
        <v>2</v>
      </c>
      <c r="AL111" s="156">
        <v>2</v>
      </c>
      <c r="AM111" s="156">
        <v>3</v>
      </c>
      <c r="AN111" s="156">
        <v>2</v>
      </c>
      <c r="AO111" s="156">
        <v>2</v>
      </c>
      <c r="AP111" s="156">
        <v>2.5</v>
      </c>
      <c r="AQ111" s="156">
        <v>2</v>
      </c>
      <c r="AR111" s="156">
        <v>2</v>
      </c>
      <c r="AS111" s="169">
        <v>2.3571430000000002</v>
      </c>
    </row>
    <row r="112" spans="1:45" x14ac:dyDescent="0.25">
      <c r="A112" s="143" t="s">
        <v>769</v>
      </c>
      <c r="B112" s="143" t="s">
        <v>770</v>
      </c>
      <c r="C112" s="143" t="s">
        <v>680</v>
      </c>
      <c r="D112" s="143">
        <v>6265</v>
      </c>
      <c r="E112" s="143">
        <v>2</v>
      </c>
      <c r="F112" s="137">
        <v>0</v>
      </c>
      <c r="G112" s="137">
        <v>0</v>
      </c>
      <c r="H112" s="137">
        <v>0</v>
      </c>
      <c r="I112" s="137">
        <v>1</v>
      </c>
      <c r="K112" s="143" t="s">
        <v>769</v>
      </c>
      <c r="L112" s="143" t="s">
        <v>770</v>
      </c>
      <c r="M112" s="143" t="s">
        <v>680</v>
      </c>
      <c r="N112" s="143">
        <v>6265</v>
      </c>
      <c r="O112" s="354">
        <v>0.2</v>
      </c>
      <c r="P112" s="354">
        <v>0.3</v>
      </c>
      <c r="Q112" s="354">
        <v>0.5</v>
      </c>
      <c r="R112" s="137" t="s">
        <v>3185</v>
      </c>
      <c r="S112" s="137">
        <v>0</v>
      </c>
      <c r="T112" s="137" t="s">
        <v>3185</v>
      </c>
      <c r="W112" s="143" t="s">
        <v>769</v>
      </c>
      <c r="X112" s="143" t="s">
        <v>770</v>
      </c>
      <c r="Y112" s="143" t="s">
        <v>680</v>
      </c>
      <c r="Z112" s="143">
        <v>6265</v>
      </c>
      <c r="AA112" s="143">
        <v>0</v>
      </c>
      <c r="AD112" s="137">
        <v>0</v>
      </c>
      <c r="AG112" s="143" t="s">
        <v>769</v>
      </c>
      <c r="AH112" s="143" t="s">
        <v>770</v>
      </c>
      <c r="AI112" s="143" t="s">
        <v>680</v>
      </c>
      <c r="AJ112" s="143">
        <v>6265</v>
      </c>
      <c r="AK112" s="143">
        <v>2</v>
      </c>
      <c r="AL112" s="156">
        <v>2</v>
      </c>
      <c r="AM112" s="156">
        <v>3</v>
      </c>
      <c r="AN112" s="156">
        <v>2</v>
      </c>
      <c r="AO112" s="156">
        <v>3</v>
      </c>
      <c r="AP112" s="156">
        <v>3.5</v>
      </c>
      <c r="AQ112" s="156">
        <v>3</v>
      </c>
      <c r="AR112" s="156">
        <v>3.5</v>
      </c>
      <c r="AS112" s="169">
        <v>3</v>
      </c>
    </row>
    <row r="113" spans="1:45" x14ac:dyDescent="0.25">
      <c r="A113" s="143" t="s">
        <v>771</v>
      </c>
      <c r="B113" s="143" t="s">
        <v>772</v>
      </c>
      <c r="C113" s="143" t="s">
        <v>727</v>
      </c>
      <c r="D113" s="143">
        <v>626</v>
      </c>
      <c r="E113" s="143">
        <v>3</v>
      </c>
      <c r="F113" s="137">
        <v>1</v>
      </c>
      <c r="G113" s="137">
        <v>1</v>
      </c>
      <c r="H113" s="137">
        <v>1</v>
      </c>
      <c r="I113" s="137">
        <v>0</v>
      </c>
      <c r="K113" s="143" t="s">
        <v>771</v>
      </c>
      <c r="L113" s="143" t="s">
        <v>772</v>
      </c>
      <c r="M113" s="143" t="s">
        <v>727</v>
      </c>
      <c r="N113" s="143">
        <v>626</v>
      </c>
      <c r="O113" s="354">
        <v>0.4</v>
      </c>
      <c r="P113" s="354">
        <v>0.6</v>
      </c>
      <c r="Q113" s="137">
        <v>1</v>
      </c>
      <c r="R113" s="137" t="s">
        <v>3184</v>
      </c>
      <c r="S113" s="137">
        <v>0.66666669999999995</v>
      </c>
      <c r="T113" s="137" t="s">
        <v>3184</v>
      </c>
      <c r="U113" s="137" t="s">
        <v>3184</v>
      </c>
      <c r="W113" s="143" t="s">
        <v>771</v>
      </c>
      <c r="X113" s="143" t="s">
        <v>772</v>
      </c>
      <c r="Y113" s="143" t="s">
        <v>727</v>
      </c>
      <c r="Z113" s="143">
        <v>626</v>
      </c>
      <c r="AA113" s="143">
        <v>0</v>
      </c>
      <c r="AD113" s="137">
        <v>0</v>
      </c>
      <c r="AG113" s="143" t="s">
        <v>771</v>
      </c>
      <c r="AH113" s="143" t="s">
        <v>772</v>
      </c>
      <c r="AI113" s="143" t="s">
        <v>727</v>
      </c>
      <c r="AJ113" s="143">
        <v>626</v>
      </c>
      <c r="AK113" s="143">
        <v>3</v>
      </c>
      <c r="AL113" s="156">
        <v>2</v>
      </c>
      <c r="AM113" s="156">
        <v>3</v>
      </c>
      <c r="AN113" s="156">
        <v>3</v>
      </c>
      <c r="AO113" s="156">
        <v>2.6666667461395299</v>
      </c>
      <c r="AP113" s="156">
        <v>2.3333332538604701</v>
      </c>
      <c r="AQ113" s="156">
        <v>3</v>
      </c>
      <c r="AR113" s="156">
        <v>2.6666667461395299</v>
      </c>
      <c r="AS113" s="169">
        <v>2.8095240000000001</v>
      </c>
    </row>
    <row r="114" spans="1:45" x14ac:dyDescent="0.25">
      <c r="A114" s="143" t="s">
        <v>771</v>
      </c>
      <c r="B114" s="143" t="s">
        <v>772</v>
      </c>
      <c r="C114" s="143" t="s">
        <v>727</v>
      </c>
      <c r="D114" s="143">
        <v>632</v>
      </c>
      <c r="E114" s="143">
        <v>3</v>
      </c>
      <c r="F114" s="137">
        <v>1</v>
      </c>
      <c r="G114" s="137">
        <v>1</v>
      </c>
      <c r="H114" s="137">
        <v>1</v>
      </c>
      <c r="I114" s="137">
        <v>0</v>
      </c>
      <c r="K114" s="143" t="s">
        <v>771</v>
      </c>
      <c r="L114" s="143" t="s">
        <v>772</v>
      </c>
      <c r="M114" s="143" t="s">
        <v>727</v>
      </c>
      <c r="N114" s="143">
        <v>632</v>
      </c>
      <c r="O114" s="354">
        <v>0.4</v>
      </c>
      <c r="P114" s="354">
        <v>0.6</v>
      </c>
      <c r="Q114" s="137">
        <v>1</v>
      </c>
      <c r="R114" s="137" t="s">
        <v>3184</v>
      </c>
      <c r="S114" s="137">
        <v>0.76470590000000005</v>
      </c>
      <c r="T114" s="137" t="s">
        <v>3184</v>
      </c>
      <c r="U114" s="137" t="s">
        <v>3184</v>
      </c>
      <c r="W114" s="143" t="s">
        <v>771</v>
      </c>
      <c r="X114" s="143" t="s">
        <v>772</v>
      </c>
      <c r="Y114" s="143" t="s">
        <v>727</v>
      </c>
      <c r="Z114" s="143">
        <v>632</v>
      </c>
      <c r="AA114" s="143">
        <v>0</v>
      </c>
      <c r="AD114" s="137">
        <v>0</v>
      </c>
      <c r="AE114" s="137">
        <v>5.8823500000000001E-2</v>
      </c>
      <c r="AG114" s="143" t="s">
        <v>771</v>
      </c>
      <c r="AH114" s="143" t="s">
        <v>772</v>
      </c>
      <c r="AI114" s="143" t="s">
        <v>727</v>
      </c>
      <c r="AJ114" s="143">
        <v>632</v>
      </c>
      <c r="AK114" s="143">
        <v>3</v>
      </c>
      <c r="AL114" s="156">
        <v>2</v>
      </c>
      <c r="AM114" s="156">
        <v>3</v>
      </c>
      <c r="AN114" s="156">
        <v>3</v>
      </c>
      <c r="AO114" s="156">
        <v>3</v>
      </c>
      <c r="AP114" s="156">
        <v>3.6666667461395299</v>
      </c>
      <c r="AQ114" s="156">
        <v>3</v>
      </c>
      <c r="AR114" s="156">
        <v>3</v>
      </c>
      <c r="AS114" s="169">
        <v>3.0952380000000002</v>
      </c>
    </row>
    <row r="115" spans="1:45" x14ac:dyDescent="0.25">
      <c r="A115" s="143" t="s">
        <v>771</v>
      </c>
      <c r="B115" s="143" t="s">
        <v>772</v>
      </c>
      <c r="C115" s="143" t="s">
        <v>728</v>
      </c>
      <c r="D115" s="143">
        <v>651</v>
      </c>
      <c r="E115" s="143">
        <v>2</v>
      </c>
      <c r="F115" s="137">
        <v>1</v>
      </c>
      <c r="G115" s="137">
        <v>1</v>
      </c>
      <c r="H115" s="137">
        <v>1</v>
      </c>
      <c r="I115" s="137">
        <v>0.5</v>
      </c>
      <c r="K115" s="143" t="s">
        <v>771</v>
      </c>
      <c r="L115" s="143" t="s">
        <v>772</v>
      </c>
      <c r="M115" s="143" t="s">
        <v>728</v>
      </c>
      <c r="N115" s="143">
        <v>651</v>
      </c>
      <c r="O115" s="354">
        <v>0.39480520000000002</v>
      </c>
      <c r="P115" s="354">
        <v>0.6</v>
      </c>
      <c r="Q115" s="354">
        <v>0.99480519999999995</v>
      </c>
      <c r="R115" s="137" t="s">
        <v>3185</v>
      </c>
      <c r="S115" s="137">
        <v>0.5</v>
      </c>
      <c r="T115" s="137" t="s">
        <v>3184</v>
      </c>
      <c r="U115" s="137" t="s">
        <v>3184</v>
      </c>
      <c r="W115" s="143" t="s">
        <v>771</v>
      </c>
      <c r="X115" s="143" t="s">
        <v>772</v>
      </c>
      <c r="Y115" s="143" t="s">
        <v>728</v>
      </c>
      <c r="Z115" s="143">
        <v>651</v>
      </c>
      <c r="AA115" s="143">
        <v>0</v>
      </c>
      <c r="AD115" s="137">
        <v>0</v>
      </c>
      <c r="AE115" s="137">
        <v>0.125</v>
      </c>
      <c r="AG115" s="143" t="s">
        <v>771</v>
      </c>
      <c r="AH115" s="143" t="s">
        <v>772</v>
      </c>
      <c r="AI115" s="143" t="s">
        <v>728</v>
      </c>
      <c r="AJ115" s="143">
        <v>651</v>
      </c>
      <c r="AK115" s="143">
        <v>2</v>
      </c>
      <c r="AL115" s="156">
        <v>2</v>
      </c>
      <c r="AM115" s="156">
        <v>3</v>
      </c>
      <c r="AN115" s="156">
        <v>2.5</v>
      </c>
      <c r="AO115" s="156">
        <v>3</v>
      </c>
      <c r="AP115" s="156">
        <v>3</v>
      </c>
      <c r="AQ115" s="156">
        <v>3</v>
      </c>
      <c r="AR115" s="156">
        <v>3</v>
      </c>
      <c r="AS115" s="169">
        <v>2.9285709999999998</v>
      </c>
    </row>
    <row r="116" spans="1:45" x14ac:dyDescent="0.25">
      <c r="A116" s="143" t="s">
        <v>771</v>
      </c>
      <c r="B116" s="143" t="s">
        <v>772</v>
      </c>
      <c r="C116" s="143" t="s">
        <v>728</v>
      </c>
      <c r="D116" s="143">
        <v>659</v>
      </c>
      <c r="E116" s="143">
        <v>2</v>
      </c>
      <c r="F116" s="137">
        <v>1</v>
      </c>
      <c r="G116" s="137">
        <v>1</v>
      </c>
      <c r="H116" s="137">
        <v>1</v>
      </c>
      <c r="I116" s="137">
        <v>0</v>
      </c>
      <c r="K116" s="143" t="s">
        <v>771</v>
      </c>
      <c r="L116" s="143" t="s">
        <v>772</v>
      </c>
      <c r="M116" s="143" t="s">
        <v>728</v>
      </c>
      <c r="N116" s="143">
        <v>659</v>
      </c>
      <c r="O116" s="354">
        <v>0.4</v>
      </c>
      <c r="P116" s="354">
        <v>0.6</v>
      </c>
      <c r="Q116" s="354">
        <v>1</v>
      </c>
      <c r="R116" s="137" t="s">
        <v>3184</v>
      </c>
      <c r="S116" s="137">
        <v>0.5</v>
      </c>
      <c r="T116" s="137" t="s">
        <v>3184</v>
      </c>
      <c r="U116" s="137" t="s">
        <v>3184</v>
      </c>
      <c r="W116" s="143" t="s">
        <v>771</v>
      </c>
      <c r="X116" s="143" t="s">
        <v>772</v>
      </c>
      <c r="Y116" s="143" t="s">
        <v>728</v>
      </c>
      <c r="Z116" s="143">
        <v>659</v>
      </c>
      <c r="AA116" s="143">
        <v>0</v>
      </c>
      <c r="AD116" s="137">
        <v>0</v>
      </c>
      <c r="AG116" s="143" t="s">
        <v>771</v>
      </c>
      <c r="AH116" s="143" t="s">
        <v>772</v>
      </c>
      <c r="AI116" s="143" t="s">
        <v>728</v>
      </c>
      <c r="AJ116" s="143">
        <v>659</v>
      </c>
      <c r="AK116" s="143">
        <v>2</v>
      </c>
      <c r="AL116" s="156">
        <v>2</v>
      </c>
      <c r="AM116" s="156">
        <v>3</v>
      </c>
      <c r="AN116" s="156">
        <v>2.5</v>
      </c>
      <c r="AO116" s="156">
        <v>3</v>
      </c>
      <c r="AP116" s="156">
        <v>1.5</v>
      </c>
      <c r="AQ116" s="156">
        <v>3</v>
      </c>
      <c r="AR116" s="156">
        <v>3</v>
      </c>
      <c r="AS116" s="169">
        <v>2.714286</v>
      </c>
    </row>
    <row r="117" spans="1:45" x14ac:dyDescent="0.25">
      <c r="A117" s="143" t="s">
        <v>771</v>
      </c>
      <c r="B117" s="143" t="s">
        <v>772</v>
      </c>
      <c r="C117" s="143" t="s">
        <v>729</v>
      </c>
      <c r="D117" s="143">
        <v>662</v>
      </c>
      <c r="E117" s="143">
        <v>8</v>
      </c>
      <c r="F117" s="137">
        <v>1</v>
      </c>
      <c r="G117" s="137">
        <v>1</v>
      </c>
      <c r="H117" s="137">
        <v>1</v>
      </c>
      <c r="I117" s="137">
        <v>0</v>
      </c>
      <c r="K117" s="143" t="s">
        <v>771</v>
      </c>
      <c r="L117" s="143" t="s">
        <v>772</v>
      </c>
      <c r="M117" s="143" t="s">
        <v>729</v>
      </c>
      <c r="N117" s="143">
        <v>662</v>
      </c>
      <c r="O117" s="354">
        <v>0.4</v>
      </c>
      <c r="P117" s="354">
        <v>0.6</v>
      </c>
      <c r="Q117" s="354">
        <v>1</v>
      </c>
      <c r="R117" s="137" t="s">
        <v>3184</v>
      </c>
      <c r="S117" s="137">
        <v>0.41025640000000002</v>
      </c>
      <c r="T117" s="137" t="s">
        <v>3184</v>
      </c>
      <c r="U117" s="137" t="s">
        <v>3184</v>
      </c>
      <c r="W117" s="143" t="s">
        <v>771</v>
      </c>
      <c r="X117" s="143" t="s">
        <v>772</v>
      </c>
      <c r="Y117" s="143" t="s">
        <v>729</v>
      </c>
      <c r="Z117" s="143">
        <v>662</v>
      </c>
      <c r="AA117" s="143">
        <v>8</v>
      </c>
      <c r="AB117" s="137">
        <v>0</v>
      </c>
      <c r="AC117" s="137">
        <v>0</v>
      </c>
      <c r="AD117" s="137">
        <v>0</v>
      </c>
      <c r="AG117" s="143" t="s">
        <v>771</v>
      </c>
      <c r="AH117" s="143" t="s">
        <v>772</v>
      </c>
      <c r="AI117" s="143" t="s">
        <v>729</v>
      </c>
      <c r="AJ117" s="143">
        <v>662</v>
      </c>
      <c r="AK117" s="143">
        <v>8</v>
      </c>
      <c r="AL117" s="156">
        <v>2</v>
      </c>
      <c r="AM117" s="156">
        <v>3</v>
      </c>
      <c r="AN117" s="156">
        <v>3</v>
      </c>
      <c r="AO117" s="156">
        <v>2.875</v>
      </c>
      <c r="AP117" s="156">
        <v>3</v>
      </c>
      <c r="AQ117" s="156">
        <v>3</v>
      </c>
      <c r="AR117" s="156">
        <v>3</v>
      </c>
      <c r="AS117" s="169">
        <v>2.9821430000000002</v>
      </c>
    </row>
    <row r="118" spans="1:45" x14ac:dyDescent="0.25">
      <c r="A118" s="143" t="s">
        <v>771</v>
      </c>
      <c r="B118" s="143" t="s">
        <v>772</v>
      </c>
      <c r="C118" s="143" t="s">
        <v>727</v>
      </c>
      <c r="D118" s="143">
        <v>666</v>
      </c>
      <c r="E118" s="143">
        <v>3</v>
      </c>
      <c r="F118" s="137">
        <v>1</v>
      </c>
      <c r="G118" s="137">
        <v>1</v>
      </c>
      <c r="H118" s="137">
        <v>1</v>
      </c>
      <c r="I118" s="137">
        <v>0</v>
      </c>
      <c r="K118" s="143" t="s">
        <v>771</v>
      </c>
      <c r="L118" s="143" t="s">
        <v>772</v>
      </c>
      <c r="M118" s="143" t="s">
        <v>727</v>
      </c>
      <c r="N118" s="143">
        <v>666</v>
      </c>
      <c r="O118" s="354">
        <v>0.4</v>
      </c>
      <c r="P118" s="354">
        <v>0.6</v>
      </c>
      <c r="Q118" s="137">
        <v>1</v>
      </c>
      <c r="R118" s="137" t="s">
        <v>3184</v>
      </c>
      <c r="S118" s="137">
        <v>0.55000000000000004</v>
      </c>
      <c r="T118" s="137" t="s">
        <v>3184</v>
      </c>
      <c r="U118" s="137" t="s">
        <v>3184</v>
      </c>
      <c r="W118" s="143" t="s">
        <v>771</v>
      </c>
      <c r="X118" s="143" t="s">
        <v>772</v>
      </c>
      <c r="Y118" s="143" t="s">
        <v>727</v>
      </c>
      <c r="Z118" s="143">
        <v>666</v>
      </c>
      <c r="AA118" s="143">
        <v>0</v>
      </c>
      <c r="AD118" s="137">
        <v>0</v>
      </c>
      <c r="AG118" s="143" t="s">
        <v>771</v>
      </c>
      <c r="AH118" s="143" t="s">
        <v>772</v>
      </c>
      <c r="AI118" s="143" t="s">
        <v>727</v>
      </c>
      <c r="AJ118" s="143">
        <v>666</v>
      </c>
      <c r="AK118" s="143">
        <v>3</v>
      </c>
      <c r="AL118" s="156">
        <v>2</v>
      </c>
      <c r="AM118" s="156">
        <v>3.6666667461395299</v>
      </c>
      <c r="AN118" s="156">
        <v>2.6666667461395299</v>
      </c>
      <c r="AO118" s="156">
        <v>3</v>
      </c>
      <c r="AP118" s="156">
        <v>3</v>
      </c>
      <c r="AQ118" s="156">
        <v>3</v>
      </c>
      <c r="AR118" s="156">
        <v>3</v>
      </c>
      <c r="AS118" s="169">
        <v>3.0476190000000001</v>
      </c>
    </row>
    <row r="119" spans="1:45" x14ac:dyDescent="0.25">
      <c r="A119" s="143" t="s">
        <v>771</v>
      </c>
      <c r="B119" s="143" t="s">
        <v>772</v>
      </c>
      <c r="C119" s="143" t="s">
        <v>727</v>
      </c>
      <c r="D119" s="143">
        <v>1737</v>
      </c>
      <c r="E119" s="143">
        <v>3</v>
      </c>
      <c r="F119" s="137">
        <v>1</v>
      </c>
      <c r="G119" s="137">
        <v>1</v>
      </c>
      <c r="H119" s="137">
        <v>1</v>
      </c>
      <c r="I119" s="137">
        <v>0</v>
      </c>
      <c r="K119" s="143" t="s">
        <v>771</v>
      </c>
      <c r="L119" s="143" t="s">
        <v>772</v>
      </c>
      <c r="M119" s="143" t="s">
        <v>727</v>
      </c>
      <c r="N119" s="143">
        <v>1737</v>
      </c>
      <c r="O119" s="354">
        <v>0.4</v>
      </c>
      <c r="P119" s="354">
        <v>0.6</v>
      </c>
      <c r="Q119" s="354">
        <v>1</v>
      </c>
      <c r="R119" s="137" t="s">
        <v>3184</v>
      </c>
      <c r="S119" s="137">
        <v>0.625</v>
      </c>
      <c r="T119" s="137" t="s">
        <v>3184</v>
      </c>
      <c r="U119" s="137" t="s">
        <v>3184</v>
      </c>
      <c r="W119" s="143" t="s">
        <v>771</v>
      </c>
      <c r="X119" s="143" t="s">
        <v>772</v>
      </c>
      <c r="Y119" s="143" t="s">
        <v>727</v>
      </c>
      <c r="Z119" s="143">
        <v>1737</v>
      </c>
      <c r="AA119" s="143">
        <v>0</v>
      </c>
      <c r="AD119" s="137">
        <v>0</v>
      </c>
      <c r="AG119" s="143" t="s">
        <v>771</v>
      </c>
      <c r="AH119" s="143" t="s">
        <v>772</v>
      </c>
      <c r="AI119" s="143" t="s">
        <v>727</v>
      </c>
      <c r="AJ119" s="143">
        <v>1737</v>
      </c>
      <c r="AK119" s="143">
        <v>3</v>
      </c>
      <c r="AL119" s="156">
        <v>2</v>
      </c>
      <c r="AM119" s="156">
        <v>3</v>
      </c>
      <c r="AN119" s="156">
        <v>2.6666667461395299</v>
      </c>
      <c r="AO119" s="156">
        <v>2.6666667461395299</v>
      </c>
      <c r="AP119" s="156">
        <v>3</v>
      </c>
      <c r="AQ119" s="156">
        <v>3</v>
      </c>
      <c r="AR119" s="156">
        <v>3</v>
      </c>
      <c r="AS119" s="169">
        <v>2.9047619999999998</v>
      </c>
    </row>
    <row r="120" spans="1:45" x14ac:dyDescent="0.25">
      <c r="A120" s="143" t="s">
        <v>771</v>
      </c>
      <c r="B120" s="143" t="s">
        <v>772</v>
      </c>
      <c r="C120" s="143" t="s">
        <v>728</v>
      </c>
      <c r="D120" s="143">
        <v>1747</v>
      </c>
      <c r="E120" s="143">
        <v>2</v>
      </c>
      <c r="F120" s="137">
        <v>1</v>
      </c>
      <c r="G120" s="137">
        <v>1</v>
      </c>
      <c r="H120" s="137">
        <v>1</v>
      </c>
      <c r="I120" s="137">
        <v>0</v>
      </c>
      <c r="K120" s="143" t="s">
        <v>771</v>
      </c>
      <c r="L120" s="143" t="s">
        <v>772</v>
      </c>
      <c r="M120" s="143" t="s">
        <v>728</v>
      </c>
      <c r="N120" s="143">
        <v>1747</v>
      </c>
      <c r="O120" s="354">
        <v>0.4</v>
      </c>
      <c r="P120" s="354">
        <v>0.6</v>
      </c>
      <c r="Q120" s="354">
        <v>1</v>
      </c>
      <c r="R120" s="137" t="s">
        <v>3184</v>
      </c>
      <c r="S120" s="137">
        <v>0.42857139999999999</v>
      </c>
      <c r="T120" s="137" t="s">
        <v>3184</v>
      </c>
      <c r="U120" s="137" t="s">
        <v>3184</v>
      </c>
      <c r="W120" s="143" t="s">
        <v>771</v>
      </c>
      <c r="X120" s="143" t="s">
        <v>772</v>
      </c>
      <c r="Y120" s="143" t="s">
        <v>728</v>
      </c>
      <c r="Z120" s="143">
        <v>1747</v>
      </c>
      <c r="AA120" s="143">
        <v>0</v>
      </c>
      <c r="AD120" s="137">
        <v>0</v>
      </c>
      <c r="AG120" s="143" t="s">
        <v>771</v>
      </c>
      <c r="AH120" s="143" t="s">
        <v>772</v>
      </c>
      <c r="AI120" s="143" t="s">
        <v>728</v>
      </c>
      <c r="AJ120" s="143">
        <v>1747</v>
      </c>
      <c r="AK120" s="143">
        <v>2</v>
      </c>
      <c r="AL120" s="156">
        <v>2</v>
      </c>
      <c r="AM120" s="156">
        <v>3.5</v>
      </c>
      <c r="AN120" s="156">
        <v>3</v>
      </c>
      <c r="AO120" s="156">
        <v>3</v>
      </c>
      <c r="AP120" s="156">
        <v>2</v>
      </c>
      <c r="AQ120" s="156">
        <v>3</v>
      </c>
      <c r="AR120" s="156">
        <v>3</v>
      </c>
      <c r="AS120" s="169">
        <v>2.9285709999999998</v>
      </c>
    </row>
    <row r="121" spans="1:45" x14ac:dyDescent="0.25">
      <c r="A121" s="143" t="s">
        <v>771</v>
      </c>
      <c r="B121" s="143" t="s">
        <v>772</v>
      </c>
      <c r="C121" s="143" t="s">
        <v>728</v>
      </c>
      <c r="D121" s="143">
        <v>1904</v>
      </c>
      <c r="E121" s="143">
        <v>2</v>
      </c>
      <c r="F121" s="137">
        <v>1</v>
      </c>
      <c r="G121" s="137">
        <v>1</v>
      </c>
      <c r="H121" s="137">
        <v>1</v>
      </c>
      <c r="I121" s="137">
        <v>0</v>
      </c>
      <c r="K121" s="143" t="s">
        <v>771</v>
      </c>
      <c r="L121" s="143" t="s">
        <v>772</v>
      </c>
      <c r="M121" s="143" t="s">
        <v>728</v>
      </c>
      <c r="N121" s="143">
        <v>1904</v>
      </c>
      <c r="O121" s="354">
        <v>0.39740259999999999</v>
      </c>
      <c r="P121" s="354">
        <v>0.6</v>
      </c>
      <c r="Q121" s="354">
        <v>0.99740260000000003</v>
      </c>
      <c r="R121" s="137" t="s">
        <v>3185</v>
      </c>
      <c r="S121" s="137">
        <v>0.42857139999999999</v>
      </c>
      <c r="T121" s="137" t="s">
        <v>3184</v>
      </c>
      <c r="U121" s="137" t="s">
        <v>3184</v>
      </c>
      <c r="W121" s="143" t="s">
        <v>771</v>
      </c>
      <c r="X121" s="143" t="s">
        <v>772</v>
      </c>
      <c r="Y121" s="143" t="s">
        <v>728</v>
      </c>
      <c r="Z121" s="143">
        <v>1904</v>
      </c>
      <c r="AA121" s="143">
        <v>0</v>
      </c>
      <c r="AD121" s="137">
        <v>0</v>
      </c>
      <c r="AG121" s="143" t="s">
        <v>771</v>
      </c>
      <c r="AH121" s="143" t="s">
        <v>772</v>
      </c>
      <c r="AI121" s="143" t="s">
        <v>728</v>
      </c>
      <c r="AJ121" s="143">
        <v>1904</v>
      </c>
      <c r="AK121" s="143">
        <v>2</v>
      </c>
      <c r="AL121" s="156">
        <v>2</v>
      </c>
      <c r="AM121" s="156">
        <v>3</v>
      </c>
      <c r="AN121" s="156">
        <v>2.5</v>
      </c>
      <c r="AO121" s="156">
        <v>2.5</v>
      </c>
      <c r="AP121" s="156">
        <v>2</v>
      </c>
      <c r="AQ121" s="156">
        <v>3</v>
      </c>
      <c r="AR121" s="156">
        <v>3</v>
      </c>
      <c r="AS121" s="169">
        <v>2.714286</v>
      </c>
    </row>
    <row r="122" spans="1:45" x14ac:dyDescent="0.25">
      <c r="A122" s="143" t="s">
        <v>771</v>
      </c>
      <c r="B122" s="143" t="s">
        <v>772</v>
      </c>
      <c r="C122" s="143" t="s">
        <v>680</v>
      </c>
      <c r="D122" s="143">
        <v>2472</v>
      </c>
      <c r="E122" s="143">
        <v>2</v>
      </c>
      <c r="F122" s="137">
        <v>1</v>
      </c>
      <c r="G122" s="137">
        <v>1</v>
      </c>
      <c r="H122" s="137">
        <v>1</v>
      </c>
      <c r="I122" s="137">
        <v>0</v>
      </c>
      <c r="K122" s="143" t="s">
        <v>771</v>
      </c>
      <c r="L122" s="143" t="s">
        <v>772</v>
      </c>
      <c r="M122" s="143" t="s">
        <v>680</v>
      </c>
      <c r="N122" s="143">
        <v>2472</v>
      </c>
      <c r="O122" s="354">
        <v>0.39740259999999999</v>
      </c>
      <c r="P122" s="354">
        <v>0.6</v>
      </c>
      <c r="Q122" s="137">
        <v>0.99740260000000003</v>
      </c>
      <c r="R122" s="137" t="s">
        <v>3185</v>
      </c>
      <c r="S122" s="137">
        <v>0.75</v>
      </c>
      <c r="T122" s="137" t="s">
        <v>3184</v>
      </c>
      <c r="W122" s="143" t="s">
        <v>771</v>
      </c>
      <c r="X122" s="143" t="s">
        <v>772</v>
      </c>
      <c r="Y122" s="143" t="s">
        <v>680</v>
      </c>
      <c r="Z122" s="143">
        <v>2472</v>
      </c>
      <c r="AA122" s="143">
        <v>0</v>
      </c>
      <c r="AD122" s="137">
        <v>0</v>
      </c>
      <c r="AG122" s="143" t="s">
        <v>771</v>
      </c>
      <c r="AH122" s="143" t="s">
        <v>772</v>
      </c>
      <c r="AI122" s="143" t="s">
        <v>680</v>
      </c>
      <c r="AJ122" s="143">
        <v>2472</v>
      </c>
      <c r="AK122" s="143">
        <v>2</v>
      </c>
      <c r="AL122" s="156">
        <v>2.5</v>
      </c>
      <c r="AM122" s="156">
        <v>2</v>
      </c>
      <c r="AN122" s="156">
        <v>2.5</v>
      </c>
      <c r="AO122" s="156">
        <v>3</v>
      </c>
      <c r="AP122" s="156">
        <v>3</v>
      </c>
      <c r="AQ122" s="156">
        <v>3</v>
      </c>
      <c r="AR122" s="156">
        <v>3.5</v>
      </c>
      <c r="AS122" s="169">
        <v>2.785714</v>
      </c>
    </row>
    <row r="123" spans="1:45" x14ac:dyDescent="0.25">
      <c r="A123" s="143" t="s">
        <v>771</v>
      </c>
      <c r="B123" s="143" t="s">
        <v>772</v>
      </c>
      <c r="C123" s="143" t="s">
        <v>728</v>
      </c>
      <c r="D123" s="143">
        <v>2481</v>
      </c>
      <c r="E123" s="143">
        <v>2</v>
      </c>
      <c r="F123" s="137">
        <v>1</v>
      </c>
      <c r="G123" s="137">
        <v>1</v>
      </c>
      <c r="H123" s="137">
        <v>1</v>
      </c>
      <c r="I123" s="137">
        <v>0</v>
      </c>
      <c r="K123" s="143" t="s">
        <v>771</v>
      </c>
      <c r="L123" s="143" t="s">
        <v>772</v>
      </c>
      <c r="M123" s="143" t="s">
        <v>728</v>
      </c>
      <c r="N123" s="143">
        <v>2481</v>
      </c>
      <c r="O123" s="354">
        <v>0.4</v>
      </c>
      <c r="P123" s="354">
        <v>0.6</v>
      </c>
      <c r="Q123" s="137">
        <v>1</v>
      </c>
      <c r="R123" s="137" t="s">
        <v>3184</v>
      </c>
      <c r="S123" s="137">
        <v>0.42857139999999999</v>
      </c>
      <c r="T123" s="137" t="s">
        <v>3184</v>
      </c>
      <c r="U123" s="137" t="s">
        <v>3184</v>
      </c>
      <c r="W123" s="143" t="s">
        <v>771</v>
      </c>
      <c r="X123" s="143" t="s">
        <v>772</v>
      </c>
      <c r="Y123" s="143" t="s">
        <v>728</v>
      </c>
      <c r="Z123" s="143">
        <v>2481</v>
      </c>
      <c r="AA123" s="143">
        <v>0</v>
      </c>
      <c r="AD123" s="137">
        <v>0</v>
      </c>
      <c r="AG123" s="143" t="s">
        <v>771</v>
      </c>
      <c r="AH123" s="143" t="s">
        <v>772</v>
      </c>
      <c r="AI123" s="143" t="s">
        <v>728</v>
      </c>
      <c r="AJ123" s="143">
        <v>2481</v>
      </c>
      <c r="AK123" s="143">
        <v>2</v>
      </c>
      <c r="AL123" s="156">
        <v>2</v>
      </c>
      <c r="AM123" s="156">
        <v>3</v>
      </c>
      <c r="AN123" s="156">
        <v>2.5</v>
      </c>
      <c r="AO123" s="156">
        <v>3</v>
      </c>
      <c r="AP123" s="156">
        <v>2.5</v>
      </c>
      <c r="AQ123" s="156">
        <v>3</v>
      </c>
      <c r="AR123" s="156">
        <v>3</v>
      </c>
      <c r="AS123" s="169">
        <v>2.8571430000000002</v>
      </c>
    </row>
    <row r="124" spans="1:45" x14ac:dyDescent="0.25">
      <c r="A124" s="143" t="s">
        <v>771</v>
      </c>
      <c r="B124" s="143" t="s">
        <v>772</v>
      </c>
      <c r="C124" s="143" t="s">
        <v>680</v>
      </c>
      <c r="D124" s="143">
        <v>2592</v>
      </c>
      <c r="E124" s="143">
        <v>2</v>
      </c>
      <c r="F124" s="137">
        <v>1</v>
      </c>
      <c r="G124" s="137">
        <v>1</v>
      </c>
      <c r="H124" s="137">
        <v>1</v>
      </c>
      <c r="I124" s="137">
        <v>0</v>
      </c>
      <c r="K124" s="143" t="s">
        <v>771</v>
      </c>
      <c r="L124" s="143" t="s">
        <v>772</v>
      </c>
      <c r="M124" s="143" t="s">
        <v>680</v>
      </c>
      <c r="N124" s="143">
        <v>2592</v>
      </c>
      <c r="O124" s="354">
        <v>0.4</v>
      </c>
      <c r="P124" s="354">
        <v>0.6</v>
      </c>
      <c r="Q124" s="137">
        <v>1</v>
      </c>
      <c r="R124" s="137" t="s">
        <v>3184</v>
      </c>
      <c r="S124" s="137">
        <v>0.66666669999999995</v>
      </c>
      <c r="T124" s="137" t="s">
        <v>3184</v>
      </c>
      <c r="W124" s="143" t="s">
        <v>771</v>
      </c>
      <c r="X124" s="143" t="s">
        <v>772</v>
      </c>
      <c r="Y124" s="143" t="s">
        <v>680</v>
      </c>
      <c r="Z124" s="143">
        <v>2592</v>
      </c>
      <c r="AA124" s="143">
        <v>0</v>
      </c>
      <c r="AD124" s="137">
        <v>0</v>
      </c>
      <c r="AG124" s="143" t="s">
        <v>771</v>
      </c>
      <c r="AH124" s="143" t="s">
        <v>772</v>
      </c>
      <c r="AI124" s="143" t="s">
        <v>680</v>
      </c>
      <c r="AJ124" s="143">
        <v>2592</v>
      </c>
      <c r="AK124" s="143">
        <v>2</v>
      </c>
      <c r="AL124" s="156">
        <v>2</v>
      </c>
      <c r="AM124" s="156">
        <v>3.5</v>
      </c>
      <c r="AN124" s="156">
        <v>2.5</v>
      </c>
      <c r="AO124" s="156">
        <v>3</v>
      </c>
      <c r="AP124" s="156">
        <v>1</v>
      </c>
      <c r="AQ124" s="156">
        <v>3</v>
      </c>
      <c r="AR124" s="156">
        <v>3</v>
      </c>
      <c r="AS124" s="169">
        <v>2.714286</v>
      </c>
    </row>
    <row r="125" spans="1:45" x14ac:dyDescent="0.25">
      <c r="A125" s="143" t="s">
        <v>771</v>
      </c>
      <c r="B125" s="143" t="s">
        <v>772</v>
      </c>
      <c r="C125" s="143" t="s">
        <v>680</v>
      </c>
      <c r="D125" s="143">
        <v>2593</v>
      </c>
      <c r="E125" s="143">
        <v>2</v>
      </c>
      <c r="F125" s="137">
        <v>1</v>
      </c>
      <c r="G125" s="137">
        <v>1</v>
      </c>
      <c r="H125" s="137">
        <v>1</v>
      </c>
      <c r="I125" s="137">
        <v>0</v>
      </c>
      <c r="K125" s="143" t="s">
        <v>771</v>
      </c>
      <c r="L125" s="143" t="s">
        <v>772</v>
      </c>
      <c r="M125" s="143" t="s">
        <v>680</v>
      </c>
      <c r="N125" s="143">
        <v>2593</v>
      </c>
      <c r="O125" s="354">
        <v>0.4</v>
      </c>
      <c r="P125" s="354">
        <v>0.6</v>
      </c>
      <c r="Q125" s="354">
        <v>1</v>
      </c>
      <c r="R125" s="137" t="s">
        <v>3184</v>
      </c>
      <c r="S125" s="137">
        <v>0.5</v>
      </c>
      <c r="T125" s="137" t="s">
        <v>3184</v>
      </c>
      <c r="W125" s="143" t="s">
        <v>771</v>
      </c>
      <c r="X125" s="143" t="s">
        <v>772</v>
      </c>
      <c r="Y125" s="143" t="s">
        <v>680</v>
      </c>
      <c r="Z125" s="143">
        <v>2593</v>
      </c>
      <c r="AA125" s="143">
        <v>0</v>
      </c>
      <c r="AD125" s="137">
        <v>0</v>
      </c>
      <c r="AG125" s="143" t="s">
        <v>771</v>
      </c>
      <c r="AH125" s="143" t="s">
        <v>772</v>
      </c>
      <c r="AI125" s="143" t="s">
        <v>680</v>
      </c>
      <c r="AJ125" s="143">
        <v>2593</v>
      </c>
      <c r="AK125" s="143">
        <v>2</v>
      </c>
      <c r="AL125" s="156">
        <v>2</v>
      </c>
      <c r="AM125" s="156">
        <v>2</v>
      </c>
      <c r="AN125" s="156">
        <v>2</v>
      </c>
      <c r="AO125" s="156">
        <v>2</v>
      </c>
      <c r="AP125" s="156">
        <v>3</v>
      </c>
      <c r="AQ125" s="156">
        <v>2.5</v>
      </c>
      <c r="AR125" s="156">
        <v>3</v>
      </c>
      <c r="AS125" s="169">
        <v>2.5</v>
      </c>
    </row>
    <row r="126" spans="1:45" x14ac:dyDescent="0.25">
      <c r="A126" s="143" t="s">
        <v>771</v>
      </c>
      <c r="B126" s="143" t="s">
        <v>772</v>
      </c>
      <c r="C126" s="143" t="s">
        <v>680</v>
      </c>
      <c r="D126" s="143">
        <v>2787</v>
      </c>
      <c r="E126" s="143">
        <v>2</v>
      </c>
      <c r="F126" s="137">
        <v>1</v>
      </c>
      <c r="G126" s="137">
        <v>1</v>
      </c>
      <c r="H126" s="137">
        <v>1</v>
      </c>
      <c r="I126" s="137">
        <v>0</v>
      </c>
      <c r="K126" s="143" t="s">
        <v>771</v>
      </c>
      <c r="L126" s="143" t="s">
        <v>772</v>
      </c>
      <c r="M126" s="143" t="s">
        <v>680</v>
      </c>
      <c r="N126" s="143">
        <v>2787</v>
      </c>
      <c r="O126" s="354">
        <v>0.4</v>
      </c>
      <c r="P126" s="354">
        <v>0.6</v>
      </c>
      <c r="Q126" s="354">
        <v>1</v>
      </c>
      <c r="R126" s="137" t="s">
        <v>3184</v>
      </c>
      <c r="S126" s="137">
        <v>0.75</v>
      </c>
      <c r="T126" s="137" t="s">
        <v>3184</v>
      </c>
      <c r="W126" s="143" t="s">
        <v>771</v>
      </c>
      <c r="X126" s="143" t="s">
        <v>772</v>
      </c>
      <c r="Y126" s="143" t="s">
        <v>680</v>
      </c>
      <c r="Z126" s="143">
        <v>2787</v>
      </c>
      <c r="AA126" s="143">
        <v>0</v>
      </c>
      <c r="AD126" s="137">
        <v>0</v>
      </c>
      <c r="AE126" s="137">
        <v>0.25</v>
      </c>
      <c r="AG126" s="143" t="s">
        <v>771</v>
      </c>
      <c r="AH126" s="143" t="s">
        <v>772</v>
      </c>
      <c r="AI126" s="143" t="s">
        <v>680</v>
      </c>
      <c r="AJ126" s="143">
        <v>2787</v>
      </c>
      <c r="AK126" s="143">
        <v>2</v>
      </c>
      <c r="AL126" s="156">
        <v>1</v>
      </c>
      <c r="AM126" s="156">
        <v>4</v>
      </c>
      <c r="AN126" s="156">
        <v>4</v>
      </c>
      <c r="AO126" s="156">
        <v>4</v>
      </c>
      <c r="AP126" s="156">
        <v>4</v>
      </c>
      <c r="AQ126" s="156">
        <v>4</v>
      </c>
      <c r="AR126" s="156">
        <v>4</v>
      </c>
      <c r="AS126" s="169">
        <v>4</v>
      </c>
    </row>
    <row r="127" spans="1:45" x14ac:dyDescent="0.25">
      <c r="A127" s="143" t="s">
        <v>771</v>
      </c>
      <c r="B127" s="143" t="s">
        <v>772</v>
      </c>
      <c r="C127" s="143" t="s">
        <v>680</v>
      </c>
      <c r="D127" s="143">
        <v>4145</v>
      </c>
      <c r="E127" s="143">
        <v>2</v>
      </c>
      <c r="F127" s="137">
        <v>1</v>
      </c>
      <c r="G127" s="137">
        <v>1</v>
      </c>
      <c r="H127" s="137">
        <v>1</v>
      </c>
      <c r="I127" s="137">
        <v>0</v>
      </c>
      <c r="K127" s="143" t="s">
        <v>771</v>
      </c>
      <c r="L127" s="143" t="s">
        <v>772</v>
      </c>
      <c r="M127" s="143" t="s">
        <v>680</v>
      </c>
      <c r="N127" s="143">
        <v>4145</v>
      </c>
      <c r="O127" s="354">
        <v>0.4</v>
      </c>
      <c r="P127" s="354">
        <v>0.6</v>
      </c>
      <c r="Q127" s="354">
        <v>1</v>
      </c>
      <c r="R127" s="137" t="s">
        <v>3184</v>
      </c>
      <c r="S127" s="137">
        <v>0.75</v>
      </c>
      <c r="T127" s="137" t="s">
        <v>3184</v>
      </c>
      <c r="W127" s="143" t="s">
        <v>771</v>
      </c>
      <c r="X127" s="143" t="s">
        <v>772</v>
      </c>
      <c r="Y127" s="143" t="s">
        <v>680</v>
      </c>
      <c r="Z127" s="143">
        <v>4145</v>
      </c>
      <c r="AA127" s="143">
        <v>0</v>
      </c>
      <c r="AD127" s="137">
        <v>0</v>
      </c>
      <c r="AG127" s="143" t="s">
        <v>771</v>
      </c>
      <c r="AH127" s="143" t="s">
        <v>772</v>
      </c>
      <c r="AI127" s="143" t="s">
        <v>680</v>
      </c>
      <c r="AJ127" s="143">
        <v>4145</v>
      </c>
      <c r="AK127" s="143">
        <v>2</v>
      </c>
      <c r="AL127" s="156">
        <v>2</v>
      </c>
      <c r="AM127" s="156">
        <v>3</v>
      </c>
      <c r="AN127" s="156">
        <v>2</v>
      </c>
      <c r="AO127" s="156">
        <v>2.5</v>
      </c>
      <c r="AP127" s="156">
        <v>1.5</v>
      </c>
      <c r="AQ127" s="156">
        <v>3</v>
      </c>
      <c r="AR127" s="156">
        <v>3</v>
      </c>
      <c r="AS127" s="169">
        <v>2.5714290000000002</v>
      </c>
    </row>
    <row r="128" spans="1:45" x14ac:dyDescent="0.25">
      <c r="A128" s="143" t="s">
        <v>771</v>
      </c>
      <c r="B128" s="143" t="s">
        <v>772</v>
      </c>
      <c r="C128" s="143" t="s">
        <v>680</v>
      </c>
      <c r="D128" s="143">
        <v>4150</v>
      </c>
      <c r="E128" s="143">
        <v>2</v>
      </c>
      <c r="F128" s="137">
        <v>1</v>
      </c>
      <c r="G128" s="137">
        <v>1</v>
      </c>
      <c r="H128" s="137">
        <v>1</v>
      </c>
      <c r="I128" s="137">
        <v>0</v>
      </c>
      <c r="K128" s="143" t="s">
        <v>771</v>
      </c>
      <c r="L128" s="143" t="s">
        <v>772</v>
      </c>
      <c r="M128" s="143" t="s">
        <v>680</v>
      </c>
      <c r="N128" s="143">
        <v>4150</v>
      </c>
      <c r="O128" s="354">
        <v>0.4</v>
      </c>
      <c r="P128" s="354">
        <v>0.6</v>
      </c>
      <c r="Q128" s="354">
        <v>1</v>
      </c>
      <c r="R128" s="137" t="s">
        <v>3184</v>
      </c>
      <c r="S128" s="137">
        <v>0.75</v>
      </c>
      <c r="T128" s="137" t="s">
        <v>3184</v>
      </c>
      <c r="W128" s="143" t="s">
        <v>771</v>
      </c>
      <c r="X128" s="143" t="s">
        <v>772</v>
      </c>
      <c r="Y128" s="143" t="s">
        <v>680</v>
      </c>
      <c r="Z128" s="143">
        <v>4150</v>
      </c>
      <c r="AA128" s="143">
        <v>0</v>
      </c>
      <c r="AD128" s="137">
        <v>0</v>
      </c>
      <c r="AG128" s="143" t="s">
        <v>771</v>
      </c>
      <c r="AH128" s="143" t="s">
        <v>772</v>
      </c>
      <c r="AI128" s="143" t="s">
        <v>680</v>
      </c>
      <c r="AJ128" s="143">
        <v>4150</v>
      </c>
      <c r="AK128" s="143">
        <v>2</v>
      </c>
      <c r="AL128" s="156">
        <v>2</v>
      </c>
      <c r="AM128" s="156">
        <v>3.5</v>
      </c>
      <c r="AN128" s="156">
        <v>3</v>
      </c>
      <c r="AO128" s="156">
        <v>3</v>
      </c>
      <c r="AP128" s="156">
        <v>1</v>
      </c>
      <c r="AQ128" s="156">
        <v>2.5</v>
      </c>
      <c r="AR128" s="156">
        <v>3</v>
      </c>
      <c r="AS128" s="169">
        <v>2.714286</v>
      </c>
    </row>
    <row r="129" spans="1:45" x14ac:dyDescent="0.25">
      <c r="A129" s="143" t="s">
        <v>773</v>
      </c>
      <c r="B129" s="143" t="s">
        <v>764</v>
      </c>
      <c r="C129" s="143" t="s">
        <v>729</v>
      </c>
      <c r="D129" s="143">
        <v>590</v>
      </c>
      <c r="E129" s="143">
        <v>8</v>
      </c>
      <c r="F129" s="390">
        <v>1</v>
      </c>
      <c r="G129" s="390">
        <v>1</v>
      </c>
      <c r="H129" s="137">
        <v>1</v>
      </c>
      <c r="I129" s="137">
        <v>0</v>
      </c>
      <c r="K129" s="143" t="s">
        <v>773</v>
      </c>
      <c r="L129" s="143" t="s">
        <v>764</v>
      </c>
      <c r="M129" s="143" t="s">
        <v>729</v>
      </c>
      <c r="N129" s="143">
        <v>590</v>
      </c>
      <c r="O129" s="354">
        <v>0.34935070000000001</v>
      </c>
      <c r="P129" s="354">
        <v>0.52500000000000002</v>
      </c>
      <c r="Q129" s="354">
        <v>0.87435070000000004</v>
      </c>
      <c r="R129" s="137" t="s">
        <v>3185</v>
      </c>
      <c r="S129" s="137">
        <v>0.375</v>
      </c>
      <c r="T129" s="137" t="s">
        <v>3184</v>
      </c>
      <c r="U129" s="137" t="s">
        <v>3184</v>
      </c>
      <c r="W129" s="143" t="s">
        <v>773</v>
      </c>
      <c r="X129" s="143" t="s">
        <v>764</v>
      </c>
      <c r="Y129" s="143" t="s">
        <v>729</v>
      </c>
      <c r="Z129" s="143">
        <v>590</v>
      </c>
      <c r="AA129" s="143">
        <v>8</v>
      </c>
      <c r="AB129" s="137">
        <v>1</v>
      </c>
      <c r="AD129" s="137">
        <v>1</v>
      </c>
      <c r="AE129" s="137">
        <v>0</v>
      </c>
      <c r="AG129" s="143" t="s">
        <v>773</v>
      </c>
      <c r="AH129" s="143" t="s">
        <v>764</v>
      </c>
      <c r="AI129" s="143" t="s">
        <v>729</v>
      </c>
      <c r="AJ129" s="143">
        <v>590</v>
      </c>
      <c r="AK129" s="143">
        <v>8</v>
      </c>
      <c r="AL129" s="156">
        <v>2.75</v>
      </c>
      <c r="AM129" s="156">
        <v>3</v>
      </c>
      <c r="AN129" s="156">
        <v>2.25</v>
      </c>
      <c r="AO129" s="156">
        <v>1.875</v>
      </c>
      <c r="AP129" s="156">
        <v>1</v>
      </c>
      <c r="AQ129" s="156">
        <v>2</v>
      </c>
      <c r="AR129" s="156">
        <v>2.125</v>
      </c>
      <c r="AS129" s="169">
        <v>2.0714290000000002</v>
      </c>
    </row>
    <row r="130" spans="1:45" x14ac:dyDescent="0.25">
      <c r="A130" s="143" t="s">
        <v>773</v>
      </c>
      <c r="B130" s="143" t="s">
        <v>764</v>
      </c>
      <c r="C130" s="143" t="s">
        <v>727</v>
      </c>
      <c r="D130" s="143">
        <v>592</v>
      </c>
      <c r="E130" s="143">
        <v>3</v>
      </c>
      <c r="F130" s="390">
        <v>1</v>
      </c>
      <c r="G130" s="390">
        <v>1</v>
      </c>
      <c r="H130" s="137">
        <v>1</v>
      </c>
      <c r="I130" s="137">
        <v>0</v>
      </c>
      <c r="K130" s="143" t="s">
        <v>773</v>
      </c>
      <c r="L130" s="143" t="s">
        <v>764</v>
      </c>
      <c r="M130" s="143" t="s">
        <v>727</v>
      </c>
      <c r="N130" s="143">
        <v>592</v>
      </c>
      <c r="O130" s="354">
        <v>0.4</v>
      </c>
      <c r="P130" s="354">
        <v>0.6</v>
      </c>
      <c r="Q130" s="354">
        <v>1</v>
      </c>
      <c r="R130" s="137" t="s">
        <v>3184</v>
      </c>
      <c r="S130" s="137">
        <v>0.46153850000000002</v>
      </c>
      <c r="T130" s="137" t="s">
        <v>3184</v>
      </c>
      <c r="U130" s="137" t="s">
        <v>3184</v>
      </c>
      <c r="W130" s="143" t="s">
        <v>773</v>
      </c>
      <c r="X130" s="143" t="s">
        <v>764</v>
      </c>
      <c r="Y130" s="143" t="s">
        <v>727</v>
      </c>
      <c r="Z130" s="143">
        <v>592</v>
      </c>
      <c r="AA130" s="143">
        <v>0</v>
      </c>
      <c r="AD130" s="137">
        <v>0.61538459999999995</v>
      </c>
      <c r="AE130" s="137">
        <v>0</v>
      </c>
      <c r="AG130" s="143" t="s">
        <v>773</v>
      </c>
      <c r="AH130" s="143" t="s">
        <v>764</v>
      </c>
      <c r="AI130" s="143" t="s">
        <v>727</v>
      </c>
      <c r="AJ130" s="143">
        <v>592</v>
      </c>
      <c r="AK130" s="143">
        <v>3</v>
      </c>
      <c r="AL130" s="156">
        <v>2.3333332538604701</v>
      </c>
      <c r="AM130" s="156">
        <v>3</v>
      </c>
      <c r="AN130" s="156">
        <v>2.3333332538604701</v>
      </c>
      <c r="AO130" s="156">
        <v>2</v>
      </c>
      <c r="AP130" s="156">
        <v>2</v>
      </c>
      <c r="AQ130" s="156">
        <v>1.6666666269302399</v>
      </c>
      <c r="AR130" s="156">
        <v>2</v>
      </c>
      <c r="AS130" s="169">
        <v>2.2380949999999999</v>
      </c>
    </row>
    <row r="131" spans="1:45" x14ac:dyDescent="0.25">
      <c r="A131" s="143" t="s">
        <v>773</v>
      </c>
      <c r="B131" s="143" t="s">
        <v>764</v>
      </c>
      <c r="C131" s="143" t="s">
        <v>728</v>
      </c>
      <c r="D131" s="143">
        <v>1555</v>
      </c>
      <c r="E131" s="143">
        <v>2</v>
      </c>
      <c r="F131" s="390">
        <v>1</v>
      </c>
      <c r="G131" s="390">
        <v>1</v>
      </c>
      <c r="H131" s="137">
        <v>1</v>
      </c>
      <c r="I131" s="137">
        <v>0</v>
      </c>
      <c r="K131" s="143" t="s">
        <v>773</v>
      </c>
      <c r="L131" s="143" t="s">
        <v>764</v>
      </c>
      <c r="M131" s="143" t="s">
        <v>728</v>
      </c>
      <c r="N131" s="143">
        <v>1555</v>
      </c>
      <c r="O131" s="354">
        <v>0.4</v>
      </c>
      <c r="P131" s="354">
        <v>0.6</v>
      </c>
      <c r="Q131" s="354">
        <v>1</v>
      </c>
      <c r="R131" s="137" t="s">
        <v>3184</v>
      </c>
      <c r="S131" s="137">
        <v>0.71428570000000002</v>
      </c>
      <c r="T131" s="137" t="s">
        <v>3184</v>
      </c>
      <c r="U131" s="137" t="s">
        <v>3184</v>
      </c>
      <c r="W131" s="143" t="s">
        <v>773</v>
      </c>
      <c r="X131" s="143" t="s">
        <v>764</v>
      </c>
      <c r="Y131" s="143" t="s">
        <v>728</v>
      </c>
      <c r="Z131" s="143">
        <v>1555</v>
      </c>
      <c r="AA131" s="143">
        <v>0</v>
      </c>
      <c r="AD131" s="137">
        <v>0</v>
      </c>
      <c r="AE131" s="137">
        <v>0.28571429999999998</v>
      </c>
      <c r="AG131" s="143" t="s">
        <v>773</v>
      </c>
      <c r="AH131" s="143" t="s">
        <v>764</v>
      </c>
      <c r="AI131" s="143" t="s">
        <v>728</v>
      </c>
      <c r="AJ131" s="143">
        <v>1555</v>
      </c>
      <c r="AK131" s="143">
        <v>2</v>
      </c>
      <c r="AL131" s="156">
        <v>2</v>
      </c>
      <c r="AM131" s="156">
        <v>3</v>
      </c>
      <c r="AN131" s="156">
        <v>3</v>
      </c>
      <c r="AO131" s="156">
        <v>3</v>
      </c>
      <c r="AP131" s="156">
        <v>2.5</v>
      </c>
      <c r="AQ131" s="156">
        <v>3</v>
      </c>
      <c r="AR131" s="156">
        <v>3</v>
      </c>
      <c r="AS131" s="169">
        <v>2.9285709999999998</v>
      </c>
    </row>
    <row r="132" spans="1:45" x14ac:dyDescent="0.25">
      <c r="A132" s="143" t="s">
        <v>773</v>
      </c>
      <c r="B132" s="143" t="s">
        <v>764</v>
      </c>
      <c r="C132" s="143" t="s">
        <v>728</v>
      </c>
      <c r="D132" s="143">
        <v>1556</v>
      </c>
      <c r="E132" s="143">
        <v>2</v>
      </c>
      <c r="F132" s="390">
        <v>1</v>
      </c>
      <c r="G132" s="390">
        <v>1</v>
      </c>
      <c r="H132" s="137">
        <v>1</v>
      </c>
      <c r="I132" s="137">
        <v>0</v>
      </c>
      <c r="K132" s="143" t="s">
        <v>773</v>
      </c>
      <c r="L132" s="143" t="s">
        <v>764</v>
      </c>
      <c r="M132" s="143" t="s">
        <v>728</v>
      </c>
      <c r="N132" s="143">
        <v>1556</v>
      </c>
      <c r="O132" s="354">
        <v>0.4</v>
      </c>
      <c r="P132" s="354">
        <v>0.6</v>
      </c>
      <c r="Q132" s="354">
        <v>1</v>
      </c>
      <c r="R132" s="137" t="s">
        <v>3184</v>
      </c>
      <c r="S132" s="137">
        <v>0.5</v>
      </c>
      <c r="T132" s="137" t="s">
        <v>3184</v>
      </c>
      <c r="U132" s="137" t="s">
        <v>3184</v>
      </c>
      <c r="W132" s="143" t="s">
        <v>773</v>
      </c>
      <c r="X132" s="143" t="s">
        <v>764</v>
      </c>
      <c r="Y132" s="143" t="s">
        <v>728</v>
      </c>
      <c r="Z132" s="143">
        <v>1556</v>
      </c>
      <c r="AA132" s="143">
        <v>0</v>
      </c>
      <c r="AD132" s="137">
        <v>0</v>
      </c>
      <c r="AE132" s="137">
        <v>0.3333333</v>
      </c>
      <c r="AG132" s="143" t="s">
        <v>773</v>
      </c>
      <c r="AH132" s="143" t="s">
        <v>764</v>
      </c>
      <c r="AI132" s="143" t="s">
        <v>728</v>
      </c>
      <c r="AJ132" s="143">
        <v>1556</v>
      </c>
      <c r="AK132" s="143">
        <v>2</v>
      </c>
      <c r="AL132" s="156">
        <v>2</v>
      </c>
      <c r="AM132" s="156">
        <v>3</v>
      </c>
      <c r="AN132" s="156">
        <v>3</v>
      </c>
      <c r="AO132" s="156">
        <v>2.5</v>
      </c>
      <c r="AP132" s="156">
        <v>3</v>
      </c>
      <c r="AQ132" s="156">
        <v>3</v>
      </c>
      <c r="AR132" s="156">
        <v>3.5</v>
      </c>
      <c r="AS132" s="169">
        <v>3</v>
      </c>
    </row>
    <row r="133" spans="1:45" x14ac:dyDescent="0.25">
      <c r="A133" s="143" t="s">
        <v>773</v>
      </c>
      <c r="B133" s="143" t="s">
        <v>764</v>
      </c>
      <c r="C133" s="143" t="s">
        <v>728</v>
      </c>
      <c r="D133" s="143">
        <v>1557</v>
      </c>
      <c r="E133" s="143">
        <v>2</v>
      </c>
      <c r="F133" s="390">
        <v>1</v>
      </c>
      <c r="G133" s="390">
        <v>1</v>
      </c>
      <c r="H133" s="137">
        <v>1</v>
      </c>
      <c r="I133" s="137">
        <v>0</v>
      </c>
      <c r="K133" s="143" t="s">
        <v>773</v>
      </c>
      <c r="L133" s="143" t="s">
        <v>764</v>
      </c>
      <c r="M133" s="143" t="s">
        <v>728</v>
      </c>
      <c r="N133" s="143">
        <v>1557</v>
      </c>
      <c r="O133" s="354">
        <v>0.4</v>
      </c>
      <c r="P133" s="354">
        <v>0.6</v>
      </c>
      <c r="Q133" s="354">
        <v>1</v>
      </c>
      <c r="R133" s="137" t="s">
        <v>3184</v>
      </c>
      <c r="S133" s="137">
        <v>0.5</v>
      </c>
      <c r="T133" s="137" t="s">
        <v>3184</v>
      </c>
      <c r="U133" s="137" t="s">
        <v>3184</v>
      </c>
      <c r="W133" s="143" t="s">
        <v>773</v>
      </c>
      <c r="X133" s="143" t="s">
        <v>764</v>
      </c>
      <c r="Y133" s="143" t="s">
        <v>728</v>
      </c>
      <c r="Z133" s="143">
        <v>1557</v>
      </c>
      <c r="AA133" s="143">
        <v>0</v>
      </c>
      <c r="AD133" s="137">
        <v>0.3333333</v>
      </c>
      <c r="AE133" s="137">
        <v>0</v>
      </c>
      <c r="AG133" s="143" t="s">
        <v>773</v>
      </c>
      <c r="AH133" s="143" t="s">
        <v>764</v>
      </c>
      <c r="AI133" s="143" t="s">
        <v>728</v>
      </c>
      <c r="AJ133" s="143">
        <v>1557</v>
      </c>
      <c r="AK133" s="143">
        <v>2</v>
      </c>
      <c r="AL133" s="156">
        <v>2</v>
      </c>
      <c r="AM133" s="156">
        <v>3</v>
      </c>
      <c r="AN133" s="156">
        <v>3</v>
      </c>
      <c r="AO133" s="156">
        <v>2</v>
      </c>
      <c r="AP133" s="156">
        <v>3</v>
      </c>
      <c r="AQ133" s="156">
        <v>2</v>
      </c>
      <c r="AR133" s="156">
        <v>3</v>
      </c>
      <c r="AS133" s="169">
        <v>2.714286</v>
      </c>
    </row>
    <row r="134" spans="1:45" x14ac:dyDescent="0.25">
      <c r="A134" s="143" t="s">
        <v>773</v>
      </c>
      <c r="B134" s="143" t="s">
        <v>764</v>
      </c>
      <c r="C134" s="143" t="s">
        <v>728</v>
      </c>
      <c r="D134" s="143">
        <v>2034</v>
      </c>
      <c r="E134" s="143">
        <v>2</v>
      </c>
      <c r="F134" s="390">
        <v>1</v>
      </c>
      <c r="G134" s="390">
        <v>1</v>
      </c>
      <c r="H134" s="137">
        <v>1</v>
      </c>
      <c r="I134" s="137">
        <v>0</v>
      </c>
      <c r="K134" s="143" t="s">
        <v>773</v>
      </c>
      <c r="L134" s="143" t="s">
        <v>764</v>
      </c>
      <c r="M134" s="143" t="s">
        <v>728</v>
      </c>
      <c r="N134" s="143">
        <v>2034</v>
      </c>
      <c r="O134" s="354">
        <v>0.4</v>
      </c>
      <c r="P134" s="354">
        <v>0.6</v>
      </c>
      <c r="Q134" s="354">
        <v>1</v>
      </c>
      <c r="R134" s="137" t="s">
        <v>3184</v>
      </c>
      <c r="S134" s="137">
        <v>0.5</v>
      </c>
      <c r="T134" s="137" t="s">
        <v>3184</v>
      </c>
      <c r="U134" s="137" t="s">
        <v>3184</v>
      </c>
      <c r="W134" s="143" t="s">
        <v>773</v>
      </c>
      <c r="X134" s="143" t="s">
        <v>764</v>
      </c>
      <c r="Y134" s="143" t="s">
        <v>728</v>
      </c>
      <c r="Z134" s="143">
        <v>2034</v>
      </c>
      <c r="AA134" s="143">
        <v>0</v>
      </c>
      <c r="AD134" s="137">
        <v>0.5</v>
      </c>
      <c r="AE134" s="137">
        <v>0</v>
      </c>
      <c r="AG134" s="143" t="s">
        <v>773</v>
      </c>
      <c r="AH134" s="143" t="s">
        <v>764</v>
      </c>
      <c r="AI134" s="143" t="s">
        <v>728</v>
      </c>
      <c r="AJ134" s="143">
        <v>2034</v>
      </c>
      <c r="AK134" s="143">
        <v>2</v>
      </c>
      <c r="AL134" s="156">
        <v>2.5</v>
      </c>
      <c r="AM134" s="156">
        <v>3</v>
      </c>
      <c r="AN134" s="156">
        <v>3</v>
      </c>
      <c r="AO134" s="156">
        <v>2</v>
      </c>
      <c r="AP134" s="156">
        <v>3</v>
      </c>
      <c r="AQ134" s="156">
        <v>2</v>
      </c>
      <c r="AR134" s="156">
        <v>2</v>
      </c>
      <c r="AS134" s="169">
        <v>2.5</v>
      </c>
    </row>
    <row r="135" spans="1:45" x14ac:dyDescent="0.25">
      <c r="A135" s="143" t="s">
        <v>773</v>
      </c>
      <c r="B135" s="143" t="s">
        <v>764</v>
      </c>
      <c r="C135" s="143" t="s">
        <v>680</v>
      </c>
      <c r="D135" s="143">
        <v>4363</v>
      </c>
      <c r="E135" s="143">
        <v>2</v>
      </c>
      <c r="F135" s="390">
        <v>1</v>
      </c>
      <c r="G135" s="390">
        <v>1</v>
      </c>
      <c r="H135" s="137">
        <v>1</v>
      </c>
      <c r="I135" s="137">
        <v>0</v>
      </c>
      <c r="K135" s="143" t="s">
        <v>773</v>
      </c>
      <c r="L135" s="143" t="s">
        <v>764</v>
      </c>
      <c r="M135" s="143" t="s">
        <v>680</v>
      </c>
      <c r="N135" s="143">
        <v>4363</v>
      </c>
      <c r="O135" s="354">
        <v>0.4</v>
      </c>
      <c r="P135" s="354">
        <v>0.6</v>
      </c>
      <c r="Q135" s="354">
        <v>1</v>
      </c>
      <c r="R135" s="137" t="s">
        <v>3184</v>
      </c>
      <c r="S135" s="137">
        <v>0.75</v>
      </c>
      <c r="T135" s="137" t="s">
        <v>3184</v>
      </c>
      <c r="W135" s="143" t="s">
        <v>773</v>
      </c>
      <c r="X135" s="143" t="s">
        <v>764</v>
      </c>
      <c r="Y135" s="143" t="s">
        <v>680</v>
      </c>
      <c r="Z135" s="143">
        <v>4363</v>
      </c>
      <c r="AA135" s="143">
        <v>0</v>
      </c>
      <c r="AD135" s="137">
        <v>0.5</v>
      </c>
      <c r="AE135" s="137">
        <v>0</v>
      </c>
      <c r="AG135" s="143" t="s">
        <v>773</v>
      </c>
      <c r="AH135" s="143" t="s">
        <v>764</v>
      </c>
      <c r="AI135" s="143" t="s">
        <v>680</v>
      </c>
      <c r="AJ135" s="143">
        <v>4363</v>
      </c>
      <c r="AK135" s="143">
        <v>2</v>
      </c>
      <c r="AL135" s="156">
        <v>2</v>
      </c>
      <c r="AM135" s="156">
        <v>3</v>
      </c>
      <c r="AN135" s="156">
        <v>3</v>
      </c>
      <c r="AO135" s="156">
        <v>3</v>
      </c>
      <c r="AP135" s="156">
        <v>3</v>
      </c>
      <c r="AQ135" s="156">
        <v>2</v>
      </c>
      <c r="AR135" s="156">
        <v>3</v>
      </c>
      <c r="AS135" s="169">
        <v>2.8571430000000002</v>
      </c>
    </row>
    <row r="136" spans="1:45" x14ac:dyDescent="0.25">
      <c r="A136" s="143" t="s">
        <v>773</v>
      </c>
      <c r="B136" s="143" t="s">
        <v>764</v>
      </c>
      <c r="C136" s="143" t="s">
        <v>680</v>
      </c>
      <c r="D136" s="143">
        <v>4367</v>
      </c>
      <c r="E136" s="143">
        <v>2</v>
      </c>
      <c r="F136" s="390">
        <v>1</v>
      </c>
      <c r="G136" s="390">
        <v>1</v>
      </c>
      <c r="H136" s="137">
        <v>1</v>
      </c>
      <c r="I136" s="137">
        <v>0</v>
      </c>
      <c r="K136" s="143" t="s">
        <v>773</v>
      </c>
      <c r="L136" s="143" t="s">
        <v>764</v>
      </c>
      <c r="M136" s="143" t="s">
        <v>680</v>
      </c>
      <c r="N136" s="143">
        <v>4367</v>
      </c>
      <c r="O136" s="354">
        <v>0.4</v>
      </c>
      <c r="P136" s="354">
        <v>0.6</v>
      </c>
      <c r="Q136" s="354">
        <v>1</v>
      </c>
      <c r="R136" s="137" t="s">
        <v>3184</v>
      </c>
      <c r="S136" s="137">
        <v>0.4</v>
      </c>
      <c r="T136" s="137" t="s">
        <v>3184</v>
      </c>
      <c r="W136" s="143" t="s">
        <v>773</v>
      </c>
      <c r="X136" s="143" t="s">
        <v>764</v>
      </c>
      <c r="Y136" s="143" t="s">
        <v>680</v>
      </c>
      <c r="Z136" s="143">
        <v>4367</v>
      </c>
      <c r="AA136" s="143">
        <v>0</v>
      </c>
      <c r="AD136" s="137">
        <v>0.4</v>
      </c>
      <c r="AE136" s="137">
        <v>0</v>
      </c>
      <c r="AG136" s="143" t="s">
        <v>773</v>
      </c>
      <c r="AH136" s="143" t="s">
        <v>764</v>
      </c>
      <c r="AI136" s="143" t="s">
        <v>680</v>
      </c>
      <c r="AJ136" s="143">
        <v>4367</v>
      </c>
      <c r="AK136" s="143">
        <v>2</v>
      </c>
      <c r="AL136" s="156">
        <v>2</v>
      </c>
      <c r="AM136" s="156">
        <v>3</v>
      </c>
      <c r="AN136" s="156">
        <v>3</v>
      </c>
      <c r="AO136" s="156">
        <v>2.5</v>
      </c>
      <c r="AP136" s="156">
        <v>1</v>
      </c>
      <c r="AQ136" s="156">
        <v>3</v>
      </c>
      <c r="AR136" s="156">
        <v>2</v>
      </c>
      <c r="AS136" s="169">
        <v>2.5</v>
      </c>
    </row>
    <row r="137" spans="1:45" x14ac:dyDescent="0.25">
      <c r="A137" s="143" t="s">
        <v>773</v>
      </c>
      <c r="B137" s="143" t="s">
        <v>764</v>
      </c>
      <c r="C137" s="143" t="s">
        <v>680</v>
      </c>
      <c r="D137" s="143">
        <v>4368</v>
      </c>
      <c r="E137" s="143">
        <v>2</v>
      </c>
      <c r="F137" s="390">
        <v>1</v>
      </c>
      <c r="G137" s="390">
        <v>1</v>
      </c>
      <c r="H137" s="137">
        <v>1</v>
      </c>
      <c r="I137" s="137">
        <v>0</v>
      </c>
      <c r="K137" s="143" t="s">
        <v>773</v>
      </c>
      <c r="L137" s="143" t="s">
        <v>764</v>
      </c>
      <c r="M137" s="143" t="s">
        <v>680</v>
      </c>
      <c r="N137" s="143">
        <v>4368</v>
      </c>
      <c r="O137" s="354">
        <v>0.4</v>
      </c>
      <c r="P137" s="354">
        <v>0.6</v>
      </c>
      <c r="Q137" s="354">
        <v>1</v>
      </c>
      <c r="R137" s="137" t="s">
        <v>3184</v>
      </c>
      <c r="S137" s="137">
        <v>0.8</v>
      </c>
      <c r="T137" s="137" t="s">
        <v>3184</v>
      </c>
      <c r="W137" s="143" t="s">
        <v>773</v>
      </c>
      <c r="X137" s="143" t="s">
        <v>764</v>
      </c>
      <c r="Y137" s="143" t="s">
        <v>680</v>
      </c>
      <c r="Z137" s="143">
        <v>4368</v>
      </c>
      <c r="AA137" s="143">
        <v>0</v>
      </c>
      <c r="AD137" s="137">
        <v>0.4</v>
      </c>
      <c r="AE137" s="137">
        <v>0</v>
      </c>
      <c r="AG137" s="143" t="s">
        <v>773</v>
      </c>
      <c r="AH137" s="143" t="s">
        <v>764</v>
      </c>
      <c r="AI137" s="143" t="s">
        <v>680</v>
      </c>
      <c r="AJ137" s="143">
        <v>4368</v>
      </c>
      <c r="AK137" s="143">
        <v>2</v>
      </c>
      <c r="AL137" s="156">
        <v>2</v>
      </c>
      <c r="AM137" s="156">
        <v>3</v>
      </c>
      <c r="AN137" s="156">
        <v>2.5</v>
      </c>
      <c r="AO137" s="156">
        <v>2</v>
      </c>
      <c r="AP137" s="156">
        <v>1</v>
      </c>
      <c r="AQ137" s="156">
        <v>3</v>
      </c>
      <c r="AR137" s="156">
        <v>2</v>
      </c>
      <c r="AS137" s="169">
        <v>2.3571430000000002</v>
      </c>
    </row>
    <row r="138" spans="1:45" x14ac:dyDescent="0.25">
      <c r="A138" s="143" t="s">
        <v>773</v>
      </c>
      <c r="B138" s="143" t="s">
        <v>764</v>
      </c>
      <c r="C138" s="143" t="s">
        <v>680</v>
      </c>
      <c r="D138" s="143">
        <v>4371</v>
      </c>
      <c r="E138" s="143">
        <v>2</v>
      </c>
      <c r="F138" s="390">
        <v>1</v>
      </c>
      <c r="G138" s="390">
        <v>1</v>
      </c>
      <c r="H138" s="137">
        <v>1</v>
      </c>
      <c r="I138" s="137">
        <v>0</v>
      </c>
      <c r="K138" s="143" t="s">
        <v>773</v>
      </c>
      <c r="L138" s="143" t="s">
        <v>764</v>
      </c>
      <c r="M138" s="143" t="s">
        <v>680</v>
      </c>
      <c r="N138" s="143">
        <v>4371</v>
      </c>
      <c r="O138" s="354">
        <v>0.4</v>
      </c>
      <c r="P138" s="354">
        <v>0.6</v>
      </c>
      <c r="Q138" s="354">
        <v>1</v>
      </c>
      <c r="R138" s="137" t="s">
        <v>3184</v>
      </c>
      <c r="S138" s="137">
        <v>0.75</v>
      </c>
      <c r="T138" s="137" t="s">
        <v>3184</v>
      </c>
      <c r="W138" s="143" t="s">
        <v>773</v>
      </c>
      <c r="X138" s="143" t="s">
        <v>764</v>
      </c>
      <c r="Y138" s="143" t="s">
        <v>680</v>
      </c>
      <c r="Z138" s="143">
        <v>4371</v>
      </c>
      <c r="AA138" s="143">
        <v>0</v>
      </c>
      <c r="AD138" s="137">
        <v>0.5</v>
      </c>
      <c r="AE138" s="137">
        <v>0</v>
      </c>
      <c r="AG138" s="143" t="s">
        <v>773</v>
      </c>
      <c r="AH138" s="143" t="s">
        <v>764</v>
      </c>
      <c r="AI138" s="143" t="s">
        <v>680</v>
      </c>
      <c r="AJ138" s="143">
        <v>4371</v>
      </c>
      <c r="AK138" s="143">
        <v>2</v>
      </c>
      <c r="AL138" s="156">
        <v>2</v>
      </c>
      <c r="AM138" s="156">
        <v>3</v>
      </c>
      <c r="AN138" s="156">
        <v>2.5</v>
      </c>
      <c r="AO138" s="156">
        <v>2</v>
      </c>
      <c r="AP138" s="156">
        <v>1</v>
      </c>
      <c r="AQ138" s="156">
        <v>2</v>
      </c>
      <c r="AR138" s="156">
        <v>2.5</v>
      </c>
      <c r="AS138" s="169">
        <v>2.285714</v>
      </c>
    </row>
    <row r="139" spans="1:45" x14ac:dyDescent="0.25">
      <c r="A139" s="143" t="s">
        <v>773</v>
      </c>
      <c r="B139" s="143" t="s">
        <v>764</v>
      </c>
      <c r="C139" s="143" t="s">
        <v>680</v>
      </c>
      <c r="D139" s="143">
        <v>4875</v>
      </c>
      <c r="E139" s="143">
        <v>2</v>
      </c>
      <c r="F139" s="390">
        <v>1</v>
      </c>
      <c r="G139" s="390">
        <v>1</v>
      </c>
      <c r="H139" s="137">
        <v>1</v>
      </c>
      <c r="I139" s="137">
        <v>0</v>
      </c>
      <c r="K139" s="143" t="s">
        <v>773</v>
      </c>
      <c r="L139" s="143" t="s">
        <v>764</v>
      </c>
      <c r="M139" s="143" t="s">
        <v>680</v>
      </c>
      <c r="N139" s="143">
        <v>4875</v>
      </c>
      <c r="O139" s="354">
        <v>0.4</v>
      </c>
      <c r="P139" s="354">
        <v>0.6</v>
      </c>
      <c r="Q139" s="354">
        <v>1</v>
      </c>
      <c r="R139" s="137" t="s">
        <v>3184</v>
      </c>
      <c r="S139" s="137">
        <v>0.8</v>
      </c>
      <c r="T139" s="137" t="s">
        <v>3184</v>
      </c>
      <c r="W139" s="143" t="s">
        <v>773</v>
      </c>
      <c r="X139" s="143" t="s">
        <v>764</v>
      </c>
      <c r="Y139" s="143" t="s">
        <v>680</v>
      </c>
      <c r="Z139" s="143">
        <v>4875</v>
      </c>
      <c r="AA139" s="143">
        <v>0</v>
      </c>
      <c r="AD139" s="137">
        <v>0</v>
      </c>
      <c r="AE139" s="137">
        <v>0.4</v>
      </c>
      <c r="AG139" s="143" t="s">
        <v>773</v>
      </c>
      <c r="AH139" s="143" t="s">
        <v>764</v>
      </c>
      <c r="AI139" s="143" t="s">
        <v>680</v>
      </c>
      <c r="AJ139" s="143">
        <v>4875</v>
      </c>
      <c r="AK139" s="143">
        <v>2</v>
      </c>
      <c r="AL139" s="156">
        <v>2</v>
      </c>
      <c r="AM139" s="156">
        <v>3</v>
      </c>
      <c r="AN139" s="156">
        <v>3</v>
      </c>
      <c r="AO139" s="156">
        <v>3</v>
      </c>
      <c r="AP139" s="156">
        <v>4</v>
      </c>
      <c r="AQ139" s="156">
        <v>3</v>
      </c>
      <c r="AR139" s="156">
        <v>2</v>
      </c>
      <c r="AS139" s="169">
        <v>3</v>
      </c>
    </row>
    <row r="140" spans="1:45" x14ac:dyDescent="0.25">
      <c r="A140" s="143" t="s">
        <v>774</v>
      </c>
      <c r="B140" s="143" t="s">
        <v>758</v>
      </c>
      <c r="C140" s="143" t="s">
        <v>727</v>
      </c>
      <c r="D140" s="143">
        <v>15</v>
      </c>
      <c r="E140" s="143">
        <v>3</v>
      </c>
      <c r="F140" s="390">
        <v>1</v>
      </c>
      <c r="G140" s="390">
        <v>1</v>
      </c>
      <c r="H140" s="137">
        <v>1</v>
      </c>
      <c r="I140" s="137">
        <v>0</v>
      </c>
      <c r="K140" s="143" t="s">
        <v>774</v>
      </c>
      <c r="L140" s="143" t="s">
        <v>758</v>
      </c>
      <c r="M140" s="143" t="s">
        <v>727</v>
      </c>
      <c r="N140" s="143">
        <v>15</v>
      </c>
      <c r="O140" s="354">
        <v>0.4</v>
      </c>
      <c r="P140" s="354">
        <v>0.6</v>
      </c>
      <c r="Q140" s="354">
        <v>1</v>
      </c>
      <c r="R140" s="137" t="s">
        <v>3184</v>
      </c>
      <c r="S140" s="137">
        <v>0.57142859999999995</v>
      </c>
      <c r="T140" s="137" t="s">
        <v>3184</v>
      </c>
      <c r="U140" s="137" t="s">
        <v>3184</v>
      </c>
      <c r="W140" s="143" t="s">
        <v>774</v>
      </c>
      <c r="X140" s="143" t="s">
        <v>758</v>
      </c>
      <c r="Y140" s="143" t="s">
        <v>727</v>
      </c>
      <c r="Z140" s="143">
        <v>15</v>
      </c>
      <c r="AA140" s="143">
        <v>0</v>
      </c>
      <c r="AD140" s="137">
        <v>0.2142857</v>
      </c>
      <c r="AE140" s="137">
        <v>0</v>
      </c>
      <c r="AG140" s="143" t="s">
        <v>774</v>
      </c>
      <c r="AH140" s="143" t="s">
        <v>758</v>
      </c>
      <c r="AI140" s="143" t="s">
        <v>727</v>
      </c>
      <c r="AJ140" s="143">
        <v>15</v>
      </c>
      <c r="AK140" s="143">
        <v>3</v>
      </c>
      <c r="AL140" s="156">
        <v>1</v>
      </c>
      <c r="AM140" s="156">
        <v>3</v>
      </c>
      <c r="AN140" s="156">
        <v>3</v>
      </c>
      <c r="AO140" s="156">
        <v>3</v>
      </c>
      <c r="AP140" s="156">
        <v>3.3333332538604701</v>
      </c>
      <c r="AQ140" s="156">
        <v>3.3333332538604701</v>
      </c>
      <c r="AR140" s="156">
        <v>3</v>
      </c>
      <c r="AS140" s="169">
        <v>3.2380949999999999</v>
      </c>
    </row>
    <row r="141" spans="1:45" x14ac:dyDescent="0.25">
      <c r="A141" s="143" t="s">
        <v>774</v>
      </c>
      <c r="B141" s="143" t="s">
        <v>758</v>
      </c>
      <c r="C141" s="143" t="s">
        <v>728</v>
      </c>
      <c r="D141" s="143">
        <v>29</v>
      </c>
      <c r="E141" s="143">
        <v>2</v>
      </c>
      <c r="F141" s="390">
        <v>1</v>
      </c>
      <c r="G141" s="390">
        <v>1</v>
      </c>
      <c r="H141" s="137">
        <v>1</v>
      </c>
      <c r="I141" s="137">
        <v>0</v>
      </c>
      <c r="K141" s="143" t="s">
        <v>774</v>
      </c>
      <c r="L141" s="143" t="s">
        <v>758</v>
      </c>
      <c r="M141" s="143" t="s">
        <v>728</v>
      </c>
      <c r="N141" s="143">
        <v>29</v>
      </c>
      <c r="O141" s="354">
        <v>0.4</v>
      </c>
      <c r="P141" s="354">
        <v>0.6</v>
      </c>
      <c r="Q141" s="354">
        <v>1</v>
      </c>
      <c r="R141" s="137" t="s">
        <v>3184</v>
      </c>
      <c r="S141" s="137">
        <v>0.5</v>
      </c>
      <c r="T141" s="137" t="s">
        <v>3184</v>
      </c>
      <c r="U141" s="137" t="s">
        <v>3184</v>
      </c>
      <c r="W141" s="143" t="s">
        <v>774</v>
      </c>
      <c r="X141" s="143" t="s">
        <v>758</v>
      </c>
      <c r="Y141" s="143" t="s">
        <v>728</v>
      </c>
      <c r="Z141" s="143">
        <v>29</v>
      </c>
      <c r="AA141" s="143">
        <v>0</v>
      </c>
      <c r="AD141" s="137">
        <v>0.1666667</v>
      </c>
      <c r="AE141" s="137">
        <v>0</v>
      </c>
      <c r="AG141" s="143" t="s">
        <v>774</v>
      </c>
      <c r="AH141" s="143" t="s">
        <v>758</v>
      </c>
      <c r="AI141" s="143" t="s">
        <v>728</v>
      </c>
      <c r="AJ141" s="143">
        <v>29</v>
      </c>
      <c r="AK141" s="143">
        <v>2</v>
      </c>
      <c r="AL141" s="156">
        <v>1</v>
      </c>
      <c r="AM141" s="156">
        <v>3.5</v>
      </c>
      <c r="AN141" s="156">
        <v>3</v>
      </c>
      <c r="AO141" s="156">
        <v>3</v>
      </c>
      <c r="AP141" s="156">
        <v>3</v>
      </c>
      <c r="AQ141" s="156">
        <v>3</v>
      </c>
      <c r="AR141" s="156">
        <v>3.5</v>
      </c>
      <c r="AS141" s="169">
        <v>3.285714</v>
      </c>
    </row>
    <row r="142" spans="1:45" x14ac:dyDescent="0.25">
      <c r="A142" s="143" t="s">
        <v>774</v>
      </c>
      <c r="B142" s="143" t="s">
        <v>758</v>
      </c>
      <c r="C142" s="143" t="s">
        <v>728</v>
      </c>
      <c r="D142" s="143">
        <v>41</v>
      </c>
      <c r="E142" s="143">
        <v>2</v>
      </c>
      <c r="F142" s="390">
        <v>1</v>
      </c>
      <c r="G142" s="390">
        <v>1</v>
      </c>
      <c r="H142" s="137">
        <v>1</v>
      </c>
      <c r="I142" s="137">
        <v>0</v>
      </c>
      <c r="K142" s="143" t="s">
        <v>774</v>
      </c>
      <c r="L142" s="143" t="s">
        <v>758</v>
      </c>
      <c r="M142" s="143" t="s">
        <v>728</v>
      </c>
      <c r="N142" s="143">
        <v>41</v>
      </c>
      <c r="O142" s="354">
        <v>0.4</v>
      </c>
      <c r="P142" s="354">
        <v>0.6</v>
      </c>
      <c r="Q142" s="354">
        <v>1</v>
      </c>
      <c r="R142" s="137" t="s">
        <v>3184</v>
      </c>
      <c r="S142" s="137">
        <v>0.3333333</v>
      </c>
      <c r="T142" s="137" t="s">
        <v>3184</v>
      </c>
      <c r="U142" s="137" t="s">
        <v>3184</v>
      </c>
      <c r="W142" s="143" t="s">
        <v>774</v>
      </c>
      <c r="X142" s="143" t="s">
        <v>758</v>
      </c>
      <c r="Y142" s="143" t="s">
        <v>728</v>
      </c>
      <c r="Z142" s="143">
        <v>41</v>
      </c>
      <c r="AA142" s="143">
        <v>0</v>
      </c>
      <c r="AD142" s="137">
        <v>0.5</v>
      </c>
      <c r="AE142" s="137">
        <v>0</v>
      </c>
      <c r="AG142" s="143" t="s">
        <v>774</v>
      </c>
      <c r="AH142" s="143" t="s">
        <v>758</v>
      </c>
      <c r="AI142" s="143" t="s">
        <v>728</v>
      </c>
      <c r="AJ142" s="143">
        <v>41</v>
      </c>
      <c r="AK142" s="143">
        <v>2</v>
      </c>
      <c r="AL142" s="156">
        <v>2</v>
      </c>
      <c r="AM142" s="156">
        <v>3</v>
      </c>
      <c r="AN142" s="156">
        <v>3</v>
      </c>
      <c r="AO142" s="156">
        <v>3</v>
      </c>
      <c r="AP142" s="156">
        <v>3</v>
      </c>
      <c r="AQ142" s="156">
        <v>3</v>
      </c>
      <c r="AR142" s="156">
        <v>3</v>
      </c>
      <c r="AS142" s="169">
        <v>3</v>
      </c>
    </row>
    <row r="143" spans="1:45" x14ac:dyDescent="0.25">
      <c r="A143" s="143" t="s">
        <v>774</v>
      </c>
      <c r="B143" s="143" t="s">
        <v>758</v>
      </c>
      <c r="C143" s="143" t="s">
        <v>728</v>
      </c>
      <c r="D143" s="143">
        <v>1666</v>
      </c>
      <c r="E143" s="143">
        <v>2</v>
      </c>
      <c r="F143" s="390">
        <v>1</v>
      </c>
      <c r="G143" s="390">
        <v>1</v>
      </c>
      <c r="H143" s="137">
        <v>1</v>
      </c>
      <c r="I143" s="137">
        <v>0</v>
      </c>
      <c r="K143" s="143" t="s">
        <v>774</v>
      </c>
      <c r="L143" s="143" t="s">
        <v>758</v>
      </c>
      <c r="M143" s="143" t="s">
        <v>728</v>
      </c>
      <c r="N143" s="143">
        <v>1666</v>
      </c>
      <c r="O143" s="354">
        <v>0.4</v>
      </c>
      <c r="P143" s="354">
        <v>0.6</v>
      </c>
      <c r="Q143" s="354">
        <v>1</v>
      </c>
      <c r="R143" s="137" t="s">
        <v>3184</v>
      </c>
      <c r="S143" s="137">
        <v>0.5</v>
      </c>
      <c r="T143" s="137" t="s">
        <v>3184</v>
      </c>
      <c r="U143" s="137" t="s">
        <v>3184</v>
      </c>
      <c r="W143" s="143" t="s">
        <v>774</v>
      </c>
      <c r="X143" s="143" t="s">
        <v>758</v>
      </c>
      <c r="Y143" s="143" t="s">
        <v>728</v>
      </c>
      <c r="Z143" s="143">
        <v>1666</v>
      </c>
      <c r="AA143" s="143">
        <v>0</v>
      </c>
      <c r="AD143" s="137">
        <v>0</v>
      </c>
      <c r="AG143" s="143" t="s">
        <v>774</v>
      </c>
      <c r="AH143" s="143" t="s">
        <v>758</v>
      </c>
      <c r="AI143" s="143" t="s">
        <v>728</v>
      </c>
      <c r="AJ143" s="143">
        <v>1666</v>
      </c>
      <c r="AK143" s="143">
        <v>2</v>
      </c>
      <c r="AL143" s="156">
        <v>2</v>
      </c>
      <c r="AM143" s="156">
        <v>3.5</v>
      </c>
      <c r="AN143" s="156">
        <v>3</v>
      </c>
      <c r="AO143" s="156">
        <v>3</v>
      </c>
      <c r="AP143" s="156">
        <v>3</v>
      </c>
      <c r="AQ143" s="156">
        <v>3.5</v>
      </c>
      <c r="AR143" s="156">
        <v>3.5</v>
      </c>
      <c r="AS143" s="169">
        <v>3.214286</v>
      </c>
    </row>
    <row r="144" spans="1:45" x14ac:dyDescent="0.25">
      <c r="A144" s="143" t="s">
        <v>774</v>
      </c>
      <c r="B144" s="143" t="s">
        <v>758</v>
      </c>
      <c r="C144" s="143" t="s">
        <v>727</v>
      </c>
      <c r="D144" s="143">
        <v>1672</v>
      </c>
      <c r="E144" s="143">
        <v>3</v>
      </c>
      <c r="F144" s="390">
        <v>1</v>
      </c>
      <c r="G144" s="390">
        <v>1</v>
      </c>
      <c r="H144" s="137">
        <v>1</v>
      </c>
      <c r="I144" s="137">
        <v>0</v>
      </c>
      <c r="K144" s="143" t="s">
        <v>774</v>
      </c>
      <c r="L144" s="143" t="s">
        <v>758</v>
      </c>
      <c r="M144" s="143" t="s">
        <v>727</v>
      </c>
      <c r="N144" s="143">
        <v>1672</v>
      </c>
      <c r="O144" s="354">
        <v>0.4</v>
      </c>
      <c r="P144" s="354">
        <v>0.6</v>
      </c>
      <c r="Q144" s="354">
        <v>1</v>
      </c>
      <c r="R144" s="137" t="s">
        <v>3184</v>
      </c>
      <c r="S144" s="137">
        <v>0.53846159999999998</v>
      </c>
      <c r="T144" s="137" t="s">
        <v>3184</v>
      </c>
      <c r="U144" s="137" t="s">
        <v>3184</v>
      </c>
      <c r="W144" s="143" t="s">
        <v>774</v>
      </c>
      <c r="X144" s="143" t="s">
        <v>758</v>
      </c>
      <c r="Y144" s="143" t="s">
        <v>727</v>
      </c>
      <c r="Z144" s="143">
        <v>1672</v>
      </c>
      <c r="AA144" s="143">
        <v>0</v>
      </c>
      <c r="AD144" s="137">
        <v>0.53846159999999998</v>
      </c>
      <c r="AE144" s="137">
        <v>0</v>
      </c>
      <c r="AG144" s="143" t="s">
        <v>774</v>
      </c>
      <c r="AH144" s="143" t="s">
        <v>758</v>
      </c>
      <c r="AI144" s="143" t="s">
        <v>727</v>
      </c>
      <c r="AJ144" s="143">
        <v>1672</v>
      </c>
      <c r="AK144" s="143">
        <v>3</v>
      </c>
      <c r="AL144" s="156">
        <v>2</v>
      </c>
      <c r="AM144" s="156">
        <v>3</v>
      </c>
      <c r="AN144" s="156">
        <v>3</v>
      </c>
      <c r="AO144" s="156">
        <v>2.6666667461395299</v>
      </c>
      <c r="AP144" s="156">
        <v>2.6666667461395299</v>
      </c>
      <c r="AQ144" s="156">
        <v>3</v>
      </c>
      <c r="AR144" s="156">
        <v>3</v>
      </c>
      <c r="AS144" s="169">
        <v>2.9047619999999998</v>
      </c>
    </row>
    <row r="145" spans="1:45" x14ac:dyDescent="0.25">
      <c r="A145" s="143" t="s">
        <v>774</v>
      </c>
      <c r="B145" s="143" t="s">
        <v>758</v>
      </c>
      <c r="C145" s="143" t="s">
        <v>728</v>
      </c>
      <c r="D145" s="143">
        <v>1714</v>
      </c>
      <c r="E145" s="143">
        <v>2</v>
      </c>
      <c r="F145" s="137">
        <v>1</v>
      </c>
      <c r="G145" s="137">
        <v>1</v>
      </c>
      <c r="H145" s="137">
        <v>1</v>
      </c>
      <c r="I145" s="137">
        <v>0</v>
      </c>
      <c r="K145" s="143" t="s">
        <v>774</v>
      </c>
      <c r="L145" s="143" t="s">
        <v>758</v>
      </c>
      <c r="M145" s="143" t="s">
        <v>728</v>
      </c>
      <c r="N145" s="143">
        <v>1714</v>
      </c>
      <c r="O145" s="354">
        <v>0.39740259999999999</v>
      </c>
      <c r="P145" s="354">
        <v>0.6</v>
      </c>
      <c r="Q145" s="354">
        <v>0.99740260000000003</v>
      </c>
      <c r="R145" s="137" t="s">
        <v>3185</v>
      </c>
      <c r="S145" s="137">
        <v>0.375</v>
      </c>
      <c r="T145" s="137" t="s">
        <v>3184</v>
      </c>
      <c r="U145" s="137" t="s">
        <v>3184</v>
      </c>
      <c r="W145" s="143" t="s">
        <v>774</v>
      </c>
      <c r="X145" s="143" t="s">
        <v>758</v>
      </c>
      <c r="Y145" s="143" t="s">
        <v>728</v>
      </c>
      <c r="Z145" s="143">
        <v>1714</v>
      </c>
      <c r="AA145" s="143">
        <v>0</v>
      </c>
      <c r="AD145" s="137">
        <v>0.25</v>
      </c>
      <c r="AE145" s="137">
        <v>0</v>
      </c>
      <c r="AG145" s="143" t="s">
        <v>774</v>
      </c>
      <c r="AH145" s="143" t="s">
        <v>758</v>
      </c>
      <c r="AI145" s="143" t="s">
        <v>728</v>
      </c>
      <c r="AJ145" s="143">
        <v>1714</v>
      </c>
      <c r="AK145" s="143">
        <v>2</v>
      </c>
      <c r="AL145" s="156">
        <v>2</v>
      </c>
      <c r="AM145" s="156">
        <v>3.5</v>
      </c>
      <c r="AN145" s="156">
        <v>3.5</v>
      </c>
      <c r="AO145" s="156">
        <v>3</v>
      </c>
      <c r="AP145" s="156">
        <v>3</v>
      </c>
      <c r="AQ145" s="156">
        <v>3</v>
      </c>
      <c r="AR145" s="156">
        <v>3</v>
      </c>
      <c r="AS145" s="169">
        <v>3.1428569999999998</v>
      </c>
    </row>
    <row r="146" spans="1:45" x14ac:dyDescent="0.25">
      <c r="A146" s="143" t="s">
        <v>774</v>
      </c>
      <c r="B146" s="143" t="s">
        <v>758</v>
      </c>
      <c r="C146" s="143" t="s">
        <v>728</v>
      </c>
      <c r="D146" s="143">
        <v>1743</v>
      </c>
      <c r="E146" s="143">
        <v>2</v>
      </c>
      <c r="F146" s="137">
        <v>1</v>
      </c>
      <c r="G146" s="137">
        <v>1</v>
      </c>
      <c r="H146" s="137">
        <v>1</v>
      </c>
      <c r="I146" s="137">
        <v>0</v>
      </c>
      <c r="K146" s="143" t="s">
        <v>774</v>
      </c>
      <c r="L146" s="143" t="s">
        <v>758</v>
      </c>
      <c r="M146" s="143" t="s">
        <v>728</v>
      </c>
      <c r="N146" s="143">
        <v>1743</v>
      </c>
      <c r="O146" s="354">
        <v>0.4</v>
      </c>
      <c r="P146" s="354">
        <v>0.6</v>
      </c>
      <c r="Q146" s="354">
        <v>1</v>
      </c>
      <c r="R146" s="137" t="s">
        <v>3184</v>
      </c>
      <c r="S146" s="137">
        <v>0.5</v>
      </c>
      <c r="T146" s="137" t="s">
        <v>3184</v>
      </c>
      <c r="U146" s="137" t="s">
        <v>3184</v>
      </c>
      <c r="W146" s="143" t="s">
        <v>774</v>
      </c>
      <c r="X146" s="143" t="s">
        <v>758</v>
      </c>
      <c r="Y146" s="143" t="s">
        <v>728</v>
      </c>
      <c r="Z146" s="143">
        <v>1743</v>
      </c>
      <c r="AA146" s="143">
        <v>0</v>
      </c>
      <c r="AD146" s="137">
        <v>0.1666667</v>
      </c>
      <c r="AE146" s="137">
        <v>0</v>
      </c>
      <c r="AG146" s="143" t="s">
        <v>774</v>
      </c>
      <c r="AH146" s="143" t="s">
        <v>758</v>
      </c>
      <c r="AI146" s="143" t="s">
        <v>728</v>
      </c>
      <c r="AJ146" s="143">
        <v>1743</v>
      </c>
      <c r="AK146" s="143">
        <v>2</v>
      </c>
      <c r="AL146" s="156">
        <v>1</v>
      </c>
      <c r="AM146" s="156">
        <v>4</v>
      </c>
      <c r="AN146" s="156">
        <v>3</v>
      </c>
      <c r="AO146" s="156">
        <v>3</v>
      </c>
      <c r="AP146" s="156">
        <v>3</v>
      </c>
      <c r="AQ146" s="156">
        <v>3</v>
      </c>
      <c r="AR146" s="156">
        <v>3.5</v>
      </c>
      <c r="AS146" s="169">
        <v>3.3571430000000002</v>
      </c>
    </row>
    <row r="147" spans="1:45" x14ac:dyDescent="0.25">
      <c r="A147" s="143" t="s">
        <v>774</v>
      </c>
      <c r="B147" s="143" t="s">
        <v>758</v>
      </c>
      <c r="C147" s="143" t="s">
        <v>728</v>
      </c>
      <c r="D147" s="143">
        <v>2148</v>
      </c>
      <c r="E147" s="143">
        <v>2</v>
      </c>
      <c r="F147" s="137">
        <v>1</v>
      </c>
      <c r="G147" s="137">
        <v>1</v>
      </c>
      <c r="H147" s="137">
        <v>1</v>
      </c>
      <c r="I147" s="137">
        <v>0</v>
      </c>
      <c r="K147" s="143" t="s">
        <v>774</v>
      </c>
      <c r="L147" s="143" t="s">
        <v>758</v>
      </c>
      <c r="M147" s="143" t="s">
        <v>728</v>
      </c>
      <c r="N147" s="143">
        <v>2148</v>
      </c>
      <c r="O147" s="354">
        <v>0.4</v>
      </c>
      <c r="P147" s="354">
        <v>0.6</v>
      </c>
      <c r="Q147" s="354">
        <v>1</v>
      </c>
      <c r="R147" s="137" t="s">
        <v>3184</v>
      </c>
      <c r="S147" s="137">
        <v>0.5</v>
      </c>
      <c r="T147" s="137" t="s">
        <v>3184</v>
      </c>
      <c r="U147" s="137" t="s">
        <v>3184</v>
      </c>
      <c r="W147" s="143" t="s">
        <v>774</v>
      </c>
      <c r="X147" s="143" t="s">
        <v>758</v>
      </c>
      <c r="Y147" s="143" t="s">
        <v>728</v>
      </c>
      <c r="Z147" s="143">
        <v>2148</v>
      </c>
      <c r="AA147" s="143">
        <v>0</v>
      </c>
      <c r="AD147" s="137">
        <v>0.5</v>
      </c>
      <c r="AE147" s="137">
        <v>0</v>
      </c>
      <c r="AG147" s="143" t="s">
        <v>774</v>
      </c>
      <c r="AH147" s="143" t="s">
        <v>758</v>
      </c>
      <c r="AI147" s="143" t="s">
        <v>728</v>
      </c>
      <c r="AJ147" s="143">
        <v>2148</v>
      </c>
      <c r="AK147" s="143">
        <v>2</v>
      </c>
      <c r="AL147" s="156">
        <v>1</v>
      </c>
      <c r="AM147" s="156">
        <v>3</v>
      </c>
      <c r="AN147" s="156">
        <v>3</v>
      </c>
      <c r="AO147" s="156">
        <v>3</v>
      </c>
      <c r="AP147" s="156">
        <v>3</v>
      </c>
      <c r="AQ147" s="156">
        <v>3</v>
      </c>
      <c r="AR147" s="156">
        <v>3</v>
      </c>
      <c r="AS147" s="169">
        <v>3.1428569999999998</v>
      </c>
    </row>
    <row r="148" spans="1:45" x14ac:dyDescent="0.25">
      <c r="A148" s="143" t="s">
        <v>774</v>
      </c>
      <c r="B148" s="143" t="s">
        <v>758</v>
      </c>
      <c r="C148" s="143" t="s">
        <v>680</v>
      </c>
      <c r="D148" s="143">
        <v>3959</v>
      </c>
      <c r="E148" s="143">
        <v>2</v>
      </c>
      <c r="F148" s="137">
        <v>1</v>
      </c>
      <c r="G148" s="137">
        <v>1</v>
      </c>
      <c r="H148" s="137">
        <v>1</v>
      </c>
      <c r="I148" s="137">
        <v>0</v>
      </c>
      <c r="K148" s="143" t="s">
        <v>774</v>
      </c>
      <c r="L148" s="143" t="s">
        <v>758</v>
      </c>
      <c r="M148" s="143" t="s">
        <v>680</v>
      </c>
      <c r="N148" s="143">
        <v>3959</v>
      </c>
      <c r="O148" s="354">
        <v>0.4</v>
      </c>
      <c r="P148" s="354">
        <v>0.6</v>
      </c>
      <c r="Q148" s="354">
        <v>1</v>
      </c>
      <c r="R148" s="137" t="s">
        <v>3184</v>
      </c>
      <c r="S148" s="137">
        <v>0.75</v>
      </c>
      <c r="T148" s="137" t="s">
        <v>3184</v>
      </c>
      <c r="W148" s="143" t="s">
        <v>774</v>
      </c>
      <c r="X148" s="143" t="s">
        <v>758</v>
      </c>
      <c r="Y148" s="143" t="s">
        <v>680</v>
      </c>
      <c r="Z148" s="143">
        <v>3959</v>
      </c>
      <c r="AA148" s="143">
        <v>0</v>
      </c>
      <c r="AD148" s="137">
        <v>0</v>
      </c>
      <c r="AG148" s="143" t="s">
        <v>774</v>
      </c>
      <c r="AH148" s="143" t="s">
        <v>758</v>
      </c>
      <c r="AI148" s="143" t="s">
        <v>680</v>
      </c>
      <c r="AJ148" s="143">
        <v>3959</v>
      </c>
      <c r="AK148" s="143">
        <v>2</v>
      </c>
      <c r="AL148" s="156">
        <v>2</v>
      </c>
      <c r="AM148" s="156">
        <v>3</v>
      </c>
      <c r="AN148" s="156">
        <v>3</v>
      </c>
      <c r="AO148" s="156">
        <v>3</v>
      </c>
      <c r="AP148" s="156">
        <v>3</v>
      </c>
      <c r="AQ148" s="156">
        <v>3</v>
      </c>
      <c r="AR148" s="156">
        <v>3</v>
      </c>
      <c r="AS148" s="169">
        <v>3</v>
      </c>
    </row>
    <row r="149" spans="1:45" x14ac:dyDescent="0.25">
      <c r="A149" s="143" t="s">
        <v>774</v>
      </c>
      <c r="B149" s="143" t="s">
        <v>758</v>
      </c>
      <c r="C149" s="143" t="s">
        <v>729</v>
      </c>
      <c r="D149" s="143">
        <v>4018</v>
      </c>
      <c r="E149" s="143">
        <v>8</v>
      </c>
      <c r="F149" s="137">
        <v>1</v>
      </c>
      <c r="G149" s="137">
        <v>1</v>
      </c>
      <c r="H149" s="137">
        <v>1</v>
      </c>
      <c r="I149" s="137">
        <v>0</v>
      </c>
      <c r="K149" s="143" t="s">
        <v>774</v>
      </c>
      <c r="L149" s="143" t="s">
        <v>758</v>
      </c>
      <c r="M149" s="143" t="s">
        <v>729</v>
      </c>
      <c r="N149" s="143">
        <v>4018</v>
      </c>
      <c r="O149" s="354">
        <v>0.3993506</v>
      </c>
      <c r="P149" s="354">
        <v>0.6</v>
      </c>
      <c r="Q149" s="137">
        <v>0.99935070000000004</v>
      </c>
      <c r="R149" s="137" t="s">
        <v>3185</v>
      </c>
      <c r="S149" s="137">
        <v>0.48571429999999999</v>
      </c>
      <c r="T149" s="137" t="s">
        <v>3184</v>
      </c>
      <c r="U149" s="137" t="s">
        <v>3184</v>
      </c>
      <c r="W149" s="143" t="s">
        <v>774</v>
      </c>
      <c r="X149" s="143" t="s">
        <v>758</v>
      </c>
      <c r="Y149" s="143" t="s">
        <v>729</v>
      </c>
      <c r="Z149" s="143">
        <v>4018</v>
      </c>
      <c r="AA149" s="143">
        <v>8</v>
      </c>
      <c r="AB149" s="137">
        <v>0.5</v>
      </c>
      <c r="AC149" s="137">
        <v>0.5</v>
      </c>
      <c r="AD149" s="137">
        <v>0.48571429999999999</v>
      </c>
      <c r="AE149" s="137">
        <v>0</v>
      </c>
      <c r="AG149" s="143" t="s">
        <v>774</v>
      </c>
      <c r="AH149" s="143" t="s">
        <v>758</v>
      </c>
      <c r="AI149" s="143" t="s">
        <v>729</v>
      </c>
      <c r="AJ149" s="143">
        <v>4018</v>
      </c>
      <c r="AK149" s="143">
        <v>8</v>
      </c>
      <c r="AL149" s="156">
        <v>1.875</v>
      </c>
      <c r="AM149" s="156">
        <v>3</v>
      </c>
      <c r="AN149" s="156">
        <v>3.125</v>
      </c>
      <c r="AO149" s="156">
        <v>3</v>
      </c>
      <c r="AP149" s="156">
        <v>2.5</v>
      </c>
      <c r="AQ149" s="156">
        <v>2.75</v>
      </c>
      <c r="AR149" s="156">
        <v>3</v>
      </c>
      <c r="AS149" s="169">
        <v>2.9285709999999998</v>
      </c>
    </row>
    <row r="150" spans="1:45" x14ac:dyDescent="0.25">
      <c r="A150" s="143" t="s">
        <v>774</v>
      </c>
      <c r="B150" s="143" t="s">
        <v>758</v>
      </c>
      <c r="C150" s="143" t="s">
        <v>680</v>
      </c>
      <c r="D150" s="143">
        <v>4161</v>
      </c>
      <c r="E150" s="143">
        <v>2</v>
      </c>
      <c r="F150" s="137">
        <v>1</v>
      </c>
      <c r="G150" s="137">
        <v>1</v>
      </c>
      <c r="H150" s="137">
        <v>1</v>
      </c>
      <c r="I150" s="137">
        <v>0</v>
      </c>
      <c r="K150" s="143" t="s">
        <v>774</v>
      </c>
      <c r="L150" s="143" t="s">
        <v>758</v>
      </c>
      <c r="M150" s="143" t="s">
        <v>680</v>
      </c>
      <c r="N150" s="143">
        <v>4161</v>
      </c>
      <c r="O150" s="354">
        <v>0.38961040000000002</v>
      </c>
      <c r="P150" s="354">
        <v>0.6</v>
      </c>
      <c r="Q150" s="354">
        <v>0.9896104</v>
      </c>
      <c r="R150" s="137" t="s">
        <v>3185</v>
      </c>
      <c r="S150" s="137">
        <v>0.75</v>
      </c>
      <c r="T150" s="137" t="s">
        <v>3184</v>
      </c>
      <c r="W150" s="143" t="s">
        <v>774</v>
      </c>
      <c r="X150" s="143" t="s">
        <v>758</v>
      </c>
      <c r="Y150" s="143" t="s">
        <v>680</v>
      </c>
      <c r="Z150" s="143">
        <v>4161</v>
      </c>
      <c r="AA150" s="143">
        <v>0</v>
      </c>
      <c r="AD150" s="137">
        <v>0</v>
      </c>
      <c r="AE150" s="137">
        <v>0.25</v>
      </c>
      <c r="AG150" s="143" t="s">
        <v>774</v>
      </c>
      <c r="AH150" s="143" t="s">
        <v>758</v>
      </c>
      <c r="AI150" s="143" t="s">
        <v>680</v>
      </c>
      <c r="AJ150" s="143">
        <v>4161</v>
      </c>
      <c r="AK150" s="143">
        <v>2</v>
      </c>
      <c r="AL150" s="156">
        <v>1</v>
      </c>
      <c r="AM150" s="156">
        <v>3</v>
      </c>
      <c r="AN150" s="156">
        <v>3</v>
      </c>
      <c r="AO150" s="156">
        <v>3</v>
      </c>
      <c r="AP150" s="156">
        <v>3</v>
      </c>
      <c r="AQ150" s="156">
        <v>3</v>
      </c>
      <c r="AR150" s="156">
        <v>3</v>
      </c>
      <c r="AS150" s="169">
        <v>3.1428569999999998</v>
      </c>
    </row>
    <row r="151" spans="1:45" x14ac:dyDescent="0.25">
      <c r="A151" s="143" t="s">
        <v>775</v>
      </c>
      <c r="B151" s="143" t="s">
        <v>766</v>
      </c>
      <c r="C151" s="143" t="s">
        <v>727</v>
      </c>
      <c r="D151" s="143">
        <v>741</v>
      </c>
      <c r="E151" s="143">
        <v>3</v>
      </c>
      <c r="F151" s="137">
        <v>1</v>
      </c>
      <c r="G151" s="137">
        <v>1</v>
      </c>
      <c r="H151" s="137">
        <v>1</v>
      </c>
      <c r="I151" s="137">
        <v>0</v>
      </c>
      <c r="K151" s="143" t="s">
        <v>775</v>
      </c>
      <c r="L151" s="143" t="s">
        <v>766</v>
      </c>
      <c r="M151" s="143" t="s">
        <v>727</v>
      </c>
      <c r="N151" s="143">
        <v>741</v>
      </c>
      <c r="O151" s="354">
        <v>0.4</v>
      </c>
      <c r="P151" s="354">
        <v>0.6</v>
      </c>
      <c r="Q151" s="354">
        <v>1</v>
      </c>
      <c r="R151" s="137" t="s">
        <v>3184</v>
      </c>
      <c r="S151" s="137">
        <v>0.4</v>
      </c>
      <c r="T151" s="137" t="s">
        <v>3184</v>
      </c>
      <c r="U151" s="137" t="s">
        <v>3184</v>
      </c>
      <c r="W151" s="143" t="s">
        <v>775</v>
      </c>
      <c r="X151" s="143" t="s">
        <v>766</v>
      </c>
      <c r="Y151" s="143" t="s">
        <v>727</v>
      </c>
      <c r="Z151" s="143">
        <v>741</v>
      </c>
      <c r="AA151" s="143">
        <v>0</v>
      </c>
      <c r="AD151" s="137">
        <v>0</v>
      </c>
      <c r="AG151" s="143" t="s">
        <v>775</v>
      </c>
      <c r="AH151" s="143" t="s">
        <v>766</v>
      </c>
      <c r="AI151" s="143" t="s">
        <v>727</v>
      </c>
      <c r="AJ151" s="143">
        <v>741</v>
      </c>
      <c r="AK151" s="143">
        <v>3</v>
      </c>
      <c r="AL151" s="156">
        <v>1</v>
      </c>
      <c r="AM151" s="156">
        <v>3.6666667461395299</v>
      </c>
      <c r="AN151" s="156">
        <v>4</v>
      </c>
      <c r="AO151" s="156">
        <v>4</v>
      </c>
      <c r="AP151" s="156">
        <v>4</v>
      </c>
      <c r="AQ151" s="156">
        <v>4</v>
      </c>
      <c r="AR151" s="156">
        <v>4</v>
      </c>
      <c r="AS151" s="169">
        <v>3.9523809999999999</v>
      </c>
    </row>
    <row r="152" spans="1:45" x14ac:dyDescent="0.25">
      <c r="A152" s="143" t="s">
        <v>775</v>
      </c>
      <c r="B152" s="143" t="s">
        <v>766</v>
      </c>
      <c r="C152" s="143" t="s">
        <v>727</v>
      </c>
      <c r="D152" s="143">
        <v>747</v>
      </c>
      <c r="E152" s="143">
        <v>3</v>
      </c>
      <c r="F152" s="137">
        <v>1</v>
      </c>
      <c r="G152" s="137">
        <v>1</v>
      </c>
      <c r="H152" s="137">
        <v>1</v>
      </c>
      <c r="I152" s="137">
        <v>0</v>
      </c>
      <c r="K152" s="143" t="s">
        <v>775</v>
      </c>
      <c r="L152" s="143" t="s">
        <v>766</v>
      </c>
      <c r="M152" s="143" t="s">
        <v>727</v>
      </c>
      <c r="N152" s="143">
        <v>747</v>
      </c>
      <c r="O152" s="354">
        <v>0.4</v>
      </c>
      <c r="P152" s="354">
        <v>0.6</v>
      </c>
      <c r="Q152" s="354">
        <v>1</v>
      </c>
      <c r="R152" s="137" t="s">
        <v>3184</v>
      </c>
      <c r="S152" s="137">
        <v>0.53846159999999998</v>
      </c>
      <c r="T152" s="137" t="s">
        <v>3184</v>
      </c>
      <c r="U152" s="137" t="s">
        <v>3184</v>
      </c>
      <c r="W152" s="143" t="s">
        <v>775</v>
      </c>
      <c r="X152" s="143" t="s">
        <v>766</v>
      </c>
      <c r="Y152" s="143" t="s">
        <v>727</v>
      </c>
      <c r="Z152" s="143">
        <v>747</v>
      </c>
      <c r="AA152" s="143">
        <v>0</v>
      </c>
      <c r="AD152" s="137">
        <v>0</v>
      </c>
      <c r="AG152" s="143" t="s">
        <v>775</v>
      </c>
      <c r="AH152" s="143" t="s">
        <v>766</v>
      </c>
      <c r="AI152" s="143" t="s">
        <v>727</v>
      </c>
      <c r="AJ152" s="143">
        <v>747</v>
      </c>
      <c r="AK152" s="143">
        <v>3</v>
      </c>
      <c r="AL152" s="156">
        <v>1</v>
      </c>
      <c r="AM152" s="156">
        <v>4</v>
      </c>
      <c r="AN152" s="156">
        <v>3.6666667461395299</v>
      </c>
      <c r="AO152" s="156">
        <v>4</v>
      </c>
      <c r="AP152" s="156">
        <v>3.6666667461395299</v>
      </c>
      <c r="AQ152" s="156">
        <v>3.6666667461395299</v>
      </c>
      <c r="AR152" s="156">
        <v>4</v>
      </c>
      <c r="AS152" s="169">
        <v>3.8571430000000002</v>
      </c>
    </row>
    <row r="153" spans="1:45" x14ac:dyDescent="0.25">
      <c r="A153" s="143" t="s">
        <v>775</v>
      </c>
      <c r="B153" s="143" t="s">
        <v>766</v>
      </c>
      <c r="C153" s="143" t="s">
        <v>729</v>
      </c>
      <c r="D153" s="143">
        <v>751</v>
      </c>
      <c r="E153" s="143">
        <v>8</v>
      </c>
      <c r="F153" s="137">
        <v>1</v>
      </c>
      <c r="G153" s="137">
        <v>1</v>
      </c>
      <c r="H153" s="137">
        <v>1</v>
      </c>
      <c r="I153" s="137">
        <v>0.125</v>
      </c>
      <c r="K153" s="143" t="s">
        <v>775</v>
      </c>
      <c r="L153" s="143" t="s">
        <v>766</v>
      </c>
      <c r="M153" s="143" t="s">
        <v>729</v>
      </c>
      <c r="N153" s="143">
        <v>751</v>
      </c>
      <c r="O153" s="354">
        <v>0.4</v>
      </c>
      <c r="P153" s="354">
        <v>0.6</v>
      </c>
      <c r="Q153" s="354">
        <v>1</v>
      </c>
      <c r="R153" s="137" t="s">
        <v>3184</v>
      </c>
      <c r="S153" s="137">
        <v>0.34693879999999999</v>
      </c>
      <c r="T153" s="137" t="s">
        <v>3184</v>
      </c>
      <c r="U153" s="137" t="s">
        <v>3184</v>
      </c>
      <c r="W153" s="143" t="s">
        <v>775</v>
      </c>
      <c r="X153" s="143" t="s">
        <v>766</v>
      </c>
      <c r="Y153" s="143" t="s">
        <v>729</v>
      </c>
      <c r="Z153" s="143">
        <v>751</v>
      </c>
      <c r="AA153" s="143">
        <v>8</v>
      </c>
      <c r="AB153" s="137">
        <v>0</v>
      </c>
      <c r="AC153" s="137">
        <v>0</v>
      </c>
      <c r="AD153" s="137">
        <v>0</v>
      </c>
      <c r="AG153" s="143" t="s">
        <v>775</v>
      </c>
      <c r="AH153" s="143" t="s">
        <v>766</v>
      </c>
      <c r="AI153" s="143" t="s">
        <v>729</v>
      </c>
      <c r="AJ153" s="143">
        <v>751</v>
      </c>
      <c r="AK153" s="143">
        <v>8</v>
      </c>
      <c r="AL153" s="156">
        <v>1.625</v>
      </c>
      <c r="AM153" s="156">
        <v>3.625</v>
      </c>
      <c r="AN153" s="156">
        <v>3.375</v>
      </c>
      <c r="AO153" s="156">
        <v>3.625</v>
      </c>
      <c r="AP153" s="156">
        <v>3.625</v>
      </c>
      <c r="AQ153" s="156">
        <v>3.5</v>
      </c>
      <c r="AR153" s="156">
        <v>3.375</v>
      </c>
      <c r="AS153" s="169">
        <v>3.5</v>
      </c>
    </row>
    <row r="154" spans="1:45" x14ac:dyDescent="0.25">
      <c r="A154" s="143" t="s">
        <v>775</v>
      </c>
      <c r="B154" s="143" t="s">
        <v>766</v>
      </c>
      <c r="C154" s="143" t="s">
        <v>727</v>
      </c>
      <c r="D154" s="143">
        <v>2185</v>
      </c>
      <c r="E154" s="143">
        <v>3</v>
      </c>
      <c r="F154" s="137">
        <v>1</v>
      </c>
      <c r="G154" s="137">
        <v>1</v>
      </c>
      <c r="H154" s="137">
        <v>1</v>
      </c>
      <c r="I154" s="137">
        <v>0</v>
      </c>
      <c r="K154" s="143" t="s">
        <v>775</v>
      </c>
      <c r="L154" s="143" t="s">
        <v>766</v>
      </c>
      <c r="M154" s="143" t="s">
        <v>727</v>
      </c>
      <c r="N154" s="143">
        <v>2185</v>
      </c>
      <c r="O154" s="354">
        <v>0.4</v>
      </c>
      <c r="P154" s="354">
        <v>0.6</v>
      </c>
      <c r="Q154" s="354">
        <v>1</v>
      </c>
      <c r="R154" s="137" t="s">
        <v>3184</v>
      </c>
      <c r="S154" s="137">
        <v>0.5</v>
      </c>
      <c r="T154" s="137" t="s">
        <v>3184</v>
      </c>
      <c r="U154" s="137" t="s">
        <v>3184</v>
      </c>
      <c r="W154" s="143" t="s">
        <v>775</v>
      </c>
      <c r="X154" s="143" t="s">
        <v>766</v>
      </c>
      <c r="Y154" s="143" t="s">
        <v>727</v>
      </c>
      <c r="Z154" s="143">
        <v>2185</v>
      </c>
      <c r="AA154" s="143">
        <v>0</v>
      </c>
      <c r="AD154" s="137">
        <v>0</v>
      </c>
      <c r="AG154" s="143" t="s">
        <v>775</v>
      </c>
      <c r="AH154" s="143" t="s">
        <v>766</v>
      </c>
      <c r="AI154" s="143" t="s">
        <v>727</v>
      </c>
      <c r="AJ154" s="143">
        <v>2185</v>
      </c>
      <c r="AK154" s="143">
        <v>3</v>
      </c>
      <c r="AL154" s="156">
        <v>1</v>
      </c>
      <c r="AM154" s="156">
        <v>3.3333332538604701</v>
      </c>
      <c r="AN154" s="156">
        <v>3</v>
      </c>
      <c r="AO154" s="156">
        <v>3</v>
      </c>
      <c r="AP154" s="156">
        <v>3.6666667461395299</v>
      </c>
      <c r="AQ154" s="156">
        <v>3.6666667461395299</v>
      </c>
      <c r="AR154" s="156">
        <v>3.6666667461395299</v>
      </c>
      <c r="AS154" s="169">
        <v>3.476191</v>
      </c>
    </row>
    <row r="155" spans="1:45" x14ac:dyDescent="0.25">
      <c r="A155" s="143" t="s">
        <v>775</v>
      </c>
      <c r="B155" s="143" t="s">
        <v>766</v>
      </c>
      <c r="C155" s="143" t="s">
        <v>728</v>
      </c>
      <c r="D155" s="143">
        <v>2896</v>
      </c>
      <c r="E155" s="143">
        <v>2</v>
      </c>
      <c r="F155" s="137">
        <v>1</v>
      </c>
      <c r="G155" s="137">
        <v>1</v>
      </c>
      <c r="H155" s="137">
        <v>1</v>
      </c>
      <c r="I155" s="137">
        <v>0.5</v>
      </c>
      <c r="K155" s="143" t="s">
        <v>775</v>
      </c>
      <c r="L155" s="143" t="s">
        <v>766</v>
      </c>
      <c r="M155" s="143" t="s">
        <v>728</v>
      </c>
      <c r="N155" s="143">
        <v>2896</v>
      </c>
      <c r="O155" s="354">
        <v>0.39480520000000002</v>
      </c>
      <c r="P155" s="354">
        <v>0.6</v>
      </c>
      <c r="Q155" s="137">
        <v>0.99480519999999995</v>
      </c>
      <c r="R155" s="137" t="s">
        <v>3185</v>
      </c>
      <c r="S155" s="137">
        <v>0.5</v>
      </c>
      <c r="T155" s="137" t="s">
        <v>3184</v>
      </c>
      <c r="U155" s="137" t="s">
        <v>3184</v>
      </c>
      <c r="W155" s="143" t="s">
        <v>775</v>
      </c>
      <c r="X155" s="143" t="s">
        <v>766</v>
      </c>
      <c r="Y155" s="143" t="s">
        <v>728</v>
      </c>
      <c r="Z155" s="143">
        <v>2896</v>
      </c>
      <c r="AA155" s="143">
        <v>0</v>
      </c>
      <c r="AD155" s="137">
        <v>0</v>
      </c>
      <c r="AE155" s="137">
        <v>0.1666667</v>
      </c>
      <c r="AG155" s="143" t="s">
        <v>775</v>
      </c>
      <c r="AH155" s="143" t="s">
        <v>766</v>
      </c>
      <c r="AI155" s="143" t="s">
        <v>728</v>
      </c>
      <c r="AJ155" s="143">
        <v>2896</v>
      </c>
      <c r="AK155" s="143">
        <v>2</v>
      </c>
      <c r="AL155" s="156">
        <v>2</v>
      </c>
      <c r="AM155" s="156">
        <v>4</v>
      </c>
      <c r="AN155" s="156">
        <v>4</v>
      </c>
      <c r="AO155" s="156">
        <v>4</v>
      </c>
      <c r="AP155" s="156">
        <v>3.5</v>
      </c>
      <c r="AQ155" s="156">
        <v>4</v>
      </c>
      <c r="AR155" s="156">
        <v>4</v>
      </c>
      <c r="AS155" s="169">
        <v>3.785714</v>
      </c>
    </row>
    <row r="156" spans="1:45" x14ac:dyDescent="0.25">
      <c r="A156" s="143" t="s">
        <v>775</v>
      </c>
      <c r="B156" s="143" t="s">
        <v>766</v>
      </c>
      <c r="C156" s="143" t="s">
        <v>680</v>
      </c>
      <c r="D156" s="143">
        <v>3637</v>
      </c>
      <c r="E156" s="143">
        <v>2</v>
      </c>
      <c r="F156" s="137">
        <v>1</v>
      </c>
      <c r="G156" s="137">
        <v>1</v>
      </c>
      <c r="H156" s="137">
        <v>1</v>
      </c>
      <c r="I156" s="137">
        <v>0</v>
      </c>
      <c r="K156" s="143" t="s">
        <v>775</v>
      </c>
      <c r="L156" s="143" t="s">
        <v>766</v>
      </c>
      <c r="M156" s="143" t="s">
        <v>680</v>
      </c>
      <c r="N156" s="143">
        <v>3637</v>
      </c>
      <c r="O156" s="354">
        <v>0.4</v>
      </c>
      <c r="P156" s="354">
        <v>0.6</v>
      </c>
      <c r="Q156" s="354">
        <v>1</v>
      </c>
      <c r="R156" s="137" t="s">
        <v>3184</v>
      </c>
      <c r="S156" s="137">
        <v>0.6</v>
      </c>
      <c r="T156" s="137" t="s">
        <v>3184</v>
      </c>
      <c r="W156" s="143" t="s">
        <v>775</v>
      </c>
      <c r="X156" s="143" t="s">
        <v>766</v>
      </c>
      <c r="Y156" s="143" t="s">
        <v>680</v>
      </c>
      <c r="Z156" s="143">
        <v>3637</v>
      </c>
      <c r="AA156" s="143">
        <v>0</v>
      </c>
      <c r="AD156" s="137">
        <v>0</v>
      </c>
      <c r="AG156" s="143" t="s">
        <v>775</v>
      </c>
      <c r="AH156" s="143" t="s">
        <v>766</v>
      </c>
      <c r="AI156" s="143" t="s">
        <v>680</v>
      </c>
      <c r="AJ156" s="143">
        <v>3637</v>
      </c>
      <c r="AK156" s="143">
        <v>2</v>
      </c>
      <c r="AL156" s="156">
        <v>1</v>
      </c>
      <c r="AM156" s="156">
        <v>4</v>
      </c>
      <c r="AN156" s="156">
        <v>3</v>
      </c>
      <c r="AO156" s="156">
        <v>3.5</v>
      </c>
      <c r="AP156" s="156">
        <v>2.5</v>
      </c>
      <c r="AQ156" s="156">
        <v>3.5</v>
      </c>
      <c r="AR156" s="156">
        <v>3.5</v>
      </c>
      <c r="AS156" s="169">
        <v>3.4285709999999998</v>
      </c>
    </row>
    <row r="157" spans="1:45" x14ac:dyDescent="0.25">
      <c r="A157" s="143" t="s">
        <v>775</v>
      </c>
      <c r="B157" s="143" t="s">
        <v>766</v>
      </c>
      <c r="C157" s="143" t="s">
        <v>680</v>
      </c>
      <c r="D157" s="143">
        <v>4252</v>
      </c>
      <c r="E157" s="143">
        <v>2</v>
      </c>
      <c r="F157" s="137">
        <v>1</v>
      </c>
      <c r="G157" s="137">
        <v>1</v>
      </c>
      <c r="H157" s="137">
        <v>1</v>
      </c>
      <c r="I157" s="137">
        <v>0</v>
      </c>
      <c r="K157" s="143" t="s">
        <v>775</v>
      </c>
      <c r="L157" s="143" t="s">
        <v>766</v>
      </c>
      <c r="M157" s="143" t="s">
        <v>680</v>
      </c>
      <c r="N157" s="143">
        <v>4252</v>
      </c>
      <c r="O157" s="354">
        <v>0.30129869999999997</v>
      </c>
      <c r="P157" s="354">
        <v>0.6</v>
      </c>
      <c r="Q157" s="137">
        <v>0.90129879999999996</v>
      </c>
      <c r="R157" s="137" t="s">
        <v>3185</v>
      </c>
      <c r="S157" s="137">
        <v>0.5</v>
      </c>
      <c r="T157" s="137" t="s">
        <v>3184</v>
      </c>
      <c r="W157" s="143" t="s">
        <v>775</v>
      </c>
      <c r="X157" s="143" t="s">
        <v>766</v>
      </c>
      <c r="Y157" s="143" t="s">
        <v>680</v>
      </c>
      <c r="Z157" s="143">
        <v>4252</v>
      </c>
      <c r="AA157" s="143">
        <v>0</v>
      </c>
      <c r="AD157" s="137">
        <v>0</v>
      </c>
      <c r="AG157" s="143" t="s">
        <v>775</v>
      </c>
      <c r="AH157" s="143" t="s">
        <v>766</v>
      </c>
      <c r="AI157" s="143" t="s">
        <v>680</v>
      </c>
      <c r="AJ157" s="143">
        <v>4252</v>
      </c>
      <c r="AK157" s="143">
        <v>2</v>
      </c>
      <c r="AL157" s="156">
        <v>1.5</v>
      </c>
      <c r="AM157" s="156">
        <v>3.5</v>
      </c>
      <c r="AN157" s="156">
        <v>3</v>
      </c>
      <c r="AO157" s="156">
        <v>3</v>
      </c>
      <c r="AP157" s="156">
        <v>1.5</v>
      </c>
      <c r="AQ157" s="156">
        <v>3.5</v>
      </c>
      <c r="AR157" s="156">
        <v>3</v>
      </c>
      <c r="AS157" s="169">
        <v>3</v>
      </c>
    </row>
    <row r="158" spans="1:45" x14ac:dyDescent="0.25">
      <c r="A158" s="143" t="s">
        <v>775</v>
      </c>
      <c r="B158" s="143" t="s">
        <v>766</v>
      </c>
      <c r="C158" s="143" t="s">
        <v>680</v>
      </c>
      <c r="D158" s="143">
        <v>4644</v>
      </c>
      <c r="E158" s="143">
        <v>2</v>
      </c>
      <c r="F158" s="137">
        <v>1</v>
      </c>
      <c r="G158" s="137">
        <v>1</v>
      </c>
      <c r="H158" s="137">
        <v>1</v>
      </c>
      <c r="I158" s="137">
        <v>0</v>
      </c>
      <c r="K158" s="143" t="s">
        <v>775</v>
      </c>
      <c r="L158" s="143" t="s">
        <v>766</v>
      </c>
      <c r="M158" s="143" t="s">
        <v>680</v>
      </c>
      <c r="N158" s="143">
        <v>4644</v>
      </c>
      <c r="O158" s="354">
        <v>0.4</v>
      </c>
      <c r="P158" s="354">
        <v>0.6</v>
      </c>
      <c r="Q158" s="354">
        <v>1</v>
      </c>
      <c r="R158" s="137" t="s">
        <v>3184</v>
      </c>
      <c r="S158" s="137">
        <v>0.6</v>
      </c>
      <c r="T158" s="137" t="s">
        <v>3184</v>
      </c>
      <c r="W158" s="143" t="s">
        <v>775</v>
      </c>
      <c r="X158" s="143" t="s">
        <v>766</v>
      </c>
      <c r="Y158" s="143" t="s">
        <v>680</v>
      </c>
      <c r="Z158" s="143">
        <v>4644</v>
      </c>
      <c r="AA158" s="143">
        <v>0</v>
      </c>
      <c r="AD158" s="137">
        <v>0</v>
      </c>
      <c r="AG158" s="143" t="s">
        <v>775</v>
      </c>
      <c r="AH158" s="143" t="s">
        <v>766</v>
      </c>
      <c r="AI158" s="143" t="s">
        <v>680</v>
      </c>
      <c r="AJ158" s="143">
        <v>4644</v>
      </c>
      <c r="AK158" s="143">
        <v>2</v>
      </c>
      <c r="AL158" s="156">
        <v>1</v>
      </c>
      <c r="AM158" s="156">
        <v>4</v>
      </c>
      <c r="AN158" s="156">
        <v>4</v>
      </c>
      <c r="AO158" s="156">
        <v>4</v>
      </c>
      <c r="AP158" s="156">
        <v>4</v>
      </c>
      <c r="AQ158" s="156">
        <v>3</v>
      </c>
      <c r="AR158" s="156">
        <v>3</v>
      </c>
      <c r="AS158" s="169">
        <v>3.714286</v>
      </c>
    </row>
    <row r="159" spans="1:45" x14ac:dyDescent="0.25">
      <c r="A159" s="143" t="s">
        <v>775</v>
      </c>
      <c r="B159" s="143" t="s">
        <v>766</v>
      </c>
      <c r="C159" s="143" t="s">
        <v>680</v>
      </c>
      <c r="D159" s="143">
        <v>4645</v>
      </c>
      <c r="E159" s="143">
        <v>2</v>
      </c>
      <c r="F159" s="137">
        <v>1</v>
      </c>
      <c r="G159" s="137">
        <v>1</v>
      </c>
      <c r="H159" s="137">
        <v>1</v>
      </c>
      <c r="I159" s="137">
        <v>0</v>
      </c>
      <c r="K159" s="143" t="s">
        <v>775</v>
      </c>
      <c r="L159" s="143" t="s">
        <v>766</v>
      </c>
      <c r="M159" s="143" t="s">
        <v>680</v>
      </c>
      <c r="N159" s="143">
        <v>4645</v>
      </c>
      <c r="O159" s="354">
        <v>0.4</v>
      </c>
      <c r="P159" s="354">
        <v>0.6</v>
      </c>
      <c r="Q159" s="354">
        <v>1</v>
      </c>
      <c r="R159" s="137" t="s">
        <v>3184</v>
      </c>
      <c r="S159" s="137">
        <v>0.6</v>
      </c>
      <c r="T159" s="137" t="s">
        <v>3184</v>
      </c>
      <c r="W159" s="143" t="s">
        <v>775</v>
      </c>
      <c r="X159" s="143" t="s">
        <v>766</v>
      </c>
      <c r="Y159" s="143" t="s">
        <v>680</v>
      </c>
      <c r="Z159" s="143">
        <v>4645</v>
      </c>
      <c r="AA159" s="143">
        <v>0</v>
      </c>
      <c r="AD159" s="137">
        <v>0</v>
      </c>
      <c r="AE159" s="137">
        <v>0.2</v>
      </c>
      <c r="AG159" s="143" t="s">
        <v>775</v>
      </c>
      <c r="AH159" s="143" t="s">
        <v>766</v>
      </c>
      <c r="AI159" s="143" t="s">
        <v>680</v>
      </c>
      <c r="AJ159" s="143">
        <v>4645</v>
      </c>
      <c r="AK159" s="143">
        <v>2</v>
      </c>
      <c r="AL159" s="156">
        <v>4</v>
      </c>
      <c r="AM159" s="156">
        <v>4</v>
      </c>
      <c r="AN159" s="156">
        <v>3.5</v>
      </c>
      <c r="AO159" s="156">
        <v>4</v>
      </c>
      <c r="AP159" s="156">
        <v>4</v>
      </c>
      <c r="AQ159" s="156">
        <v>4</v>
      </c>
      <c r="AR159" s="156">
        <v>3.5</v>
      </c>
      <c r="AS159" s="169">
        <v>3.8571430000000002</v>
      </c>
    </row>
    <row r="160" spans="1:45" x14ac:dyDescent="0.25">
      <c r="A160" s="143" t="s">
        <v>775</v>
      </c>
      <c r="B160" s="143" t="s">
        <v>766</v>
      </c>
      <c r="C160" s="143" t="s">
        <v>680</v>
      </c>
      <c r="D160" s="143">
        <v>4647</v>
      </c>
      <c r="E160" s="143">
        <v>2</v>
      </c>
      <c r="F160" s="137">
        <v>1</v>
      </c>
      <c r="G160" s="137">
        <v>1</v>
      </c>
      <c r="H160" s="137">
        <v>1</v>
      </c>
      <c r="I160" s="137">
        <v>0</v>
      </c>
      <c r="K160" s="143" t="s">
        <v>775</v>
      </c>
      <c r="L160" s="143" t="s">
        <v>766</v>
      </c>
      <c r="M160" s="143" t="s">
        <v>680</v>
      </c>
      <c r="N160" s="143">
        <v>4647</v>
      </c>
      <c r="O160" s="354">
        <v>0.4</v>
      </c>
      <c r="P160" s="354">
        <v>0.6</v>
      </c>
      <c r="Q160" s="354">
        <v>1</v>
      </c>
      <c r="R160" s="137" t="s">
        <v>3184</v>
      </c>
      <c r="S160" s="137">
        <v>0.6</v>
      </c>
      <c r="T160" s="137" t="s">
        <v>3184</v>
      </c>
      <c r="W160" s="143" t="s">
        <v>775</v>
      </c>
      <c r="X160" s="143" t="s">
        <v>766</v>
      </c>
      <c r="Y160" s="143" t="s">
        <v>680</v>
      </c>
      <c r="Z160" s="143">
        <v>4647</v>
      </c>
      <c r="AA160" s="143">
        <v>0</v>
      </c>
      <c r="AD160" s="137">
        <v>0</v>
      </c>
      <c r="AG160" s="143" t="s">
        <v>775</v>
      </c>
      <c r="AH160" s="143" t="s">
        <v>766</v>
      </c>
      <c r="AI160" s="143" t="s">
        <v>680</v>
      </c>
      <c r="AJ160" s="143">
        <v>4647</v>
      </c>
      <c r="AK160" s="143">
        <v>2</v>
      </c>
      <c r="AL160" s="156">
        <v>2</v>
      </c>
      <c r="AM160" s="156">
        <v>3</v>
      </c>
      <c r="AN160" s="156">
        <v>3</v>
      </c>
      <c r="AO160" s="156">
        <v>3</v>
      </c>
      <c r="AP160" s="156">
        <v>3.5</v>
      </c>
      <c r="AQ160" s="156">
        <v>3.5</v>
      </c>
      <c r="AR160" s="156">
        <v>3.5</v>
      </c>
      <c r="AS160" s="169">
        <v>3.214286</v>
      </c>
    </row>
    <row r="161" spans="1:45" x14ac:dyDescent="0.25">
      <c r="A161" s="143" t="s">
        <v>775</v>
      </c>
      <c r="B161" s="143" t="s">
        <v>766</v>
      </c>
      <c r="C161" s="143" t="s">
        <v>680</v>
      </c>
      <c r="D161" s="143">
        <v>4675</v>
      </c>
      <c r="E161" s="143">
        <v>2</v>
      </c>
      <c r="F161" s="137">
        <v>1</v>
      </c>
      <c r="G161" s="137">
        <v>1</v>
      </c>
      <c r="H161" s="137">
        <v>1</v>
      </c>
      <c r="I161" s="137">
        <v>0</v>
      </c>
      <c r="K161" s="143" t="s">
        <v>775</v>
      </c>
      <c r="L161" s="143" t="s">
        <v>766</v>
      </c>
      <c r="M161" s="143" t="s">
        <v>680</v>
      </c>
      <c r="N161" s="143">
        <v>4675</v>
      </c>
      <c r="O161" s="354">
        <v>0.4</v>
      </c>
      <c r="P161" s="354">
        <v>0.6</v>
      </c>
      <c r="Q161" s="354">
        <v>1</v>
      </c>
      <c r="R161" s="137" t="s">
        <v>3184</v>
      </c>
      <c r="S161" s="137">
        <v>0.6</v>
      </c>
      <c r="T161" s="137" t="s">
        <v>3184</v>
      </c>
      <c r="W161" s="143" t="s">
        <v>775</v>
      </c>
      <c r="X161" s="143" t="s">
        <v>766</v>
      </c>
      <c r="Y161" s="143" t="s">
        <v>680</v>
      </c>
      <c r="Z161" s="143">
        <v>4675</v>
      </c>
      <c r="AA161" s="143">
        <v>0</v>
      </c>
      <c r="AD161" s="137">
        <v>0</v>
      </c>
      <c r="AG161" s="143" t="s">
        <v>775</v>
      </c>
      <c r="AH161" s="143" t="s">
        <v>766</v>
      </c>
      <c r="AI161" s="143" t="s">
        <v>680</v>
      </c>
      <c r="AJ161" s="143">
        <v>4675</v>
      </c>
      <c r="AK161" s="143">
        <v>2</v>
      </c>
      <c r="AL161" s="156">
        <v>2</v>
      </c>
      <c r="AM161" s="156">
        <v>4</v>
      </c>
      <c r="AN161" s="156">
        <v>3</v>
      </c>
      <c r="AO161" s="156">
        <v>3</v>
      </c>
      <c r="AP161" s="156">
        <v>3.5</v>
      </c>
      <c r="AQ161" s="156">
        <v>3.5</v>
      </c>
      <c r="AR161" s="156">
        <v>3.5</v>
      </c>
      <c r="AS161" s="169">
        <v>3.3571430000000002</v>
      </c>
    </row>
    <row r="162" spans="1:45" x14ac:dyDescent="0.25">
      <c r="A162" s="143" t="s">
        <v>775</v>
      </c>
      <c r="B162" s="143" t="s">
        <v>766</v>
      </c>
      <c r="C162" s="143" t="s">
        <v>680</v>
      </c>
      <c r="D162" s="143">
        <v>4728</v>
      </c>
      <c r="E162" s="143">
        <v>2</v>
      </c>
      <c r="F162" s="137">
        <v>1</v>
      </c>
      <c r="G162" s="137">
        <v>1</v>
      </c>
      <c r="H162" s="137">
        <v>1</v>
      </c>
      <c r="I162" s="137">
        <v>0</v>
      </c>
      <c r="K162" s="143" t="s">
        <v>775</v>
      </c>
      <c r="L162" s="143" t="s">
        <v>766</v>
      </c>
      <c r="M162" s="143" t="s">
        <v>680</v>
      </c>
      <c r="N162" s="143">
        <v>4728</v>
      </c>
      <c r="O162" s="354">
        <v>0.4</v>
      </c>
      <c r="P162" s="354">
        <v>0.6</v>
      </c>
      <c r="Q162" s="354">
        <v>1</v>
      </c>
      <c r="R162" s="137" t="s">
        <v>3184</v>
      </c>
      <c r="S162" s="137">
        <v>0.6</v>
      </c>
      <c r="T162" s="137" t="s">
        <v>3184</v>
      </c>
      <c r="W162" s="143" t="s">
        <v>775</v>
      </c>
      <c r="X162" s="143" t="s">
        <v>766</v>
      </c>
      <c r="Y162" s="143" t="s">
        <v>680</v>
      </c>
      <c r="Z162" s="143">
        <v>4728</v>
      </c>
      <c r="AA162" s="143">
        <v>0</v>
      </c>
      <c r="AD162" s="137">
        <v>0</v>
      </c>
      <c r="AG162" s="143" t="s">
        <v>775</v>
      </c>
      <c r="AH162" s="143" t="s">
        <v>766</v>
      </c>
      <c r="AI162" s="143" t="s">
        <v>680</v>
      </c>
      <c r="AJ162" s="143">
        <v>4728</v>
      </c>
      <c r="AK162" s="143">
        <v>2</v>
      </c>
      <c r="AL162" s="156">
        <v>2</v>
      </c>
      <c r="AM162" s="156">
        <v>3</v>
      </c>
      <c r="AN162" s="156">
        <v>3.5</v>
      </c>
      <c r="AO162" s="156">
        <v>3.5</v>
      </c>
      <c r="AP162" s="156">
        <v>1</v>
      </c>
      <c r="AQ162" s="156">
        <v>3</v>
      </c>
      <c r="AR162" s="156">
        <v>3.5</v>
      </c>
      <c r="AS162" s="169">
        <v>2.9285709999999998</v>
      </c>
    </row>
    <row r="163" spans="1:45" x14ac:dyDescent="0.25">
      <c r="A163" s="143" t="s">
        <v>775</v>
      </c>
      <c r="B163" s="143" t="s">
        <v>766</v>
      </c>
      <c r="C163" s="143" t="s">
        <v>680</v>
      </c>
      <c r="D163" s="143">
        <v>4731</v>
      </c>
      <c r="E163" s="143">
        <v>2</v>
      </c>
      <c r="F163" s="137">
        <v>1</v>
      </c>
      <c r="G163" s="137">
        <v>1</v>
      </c>
      <c r="H163" s="137">
        <v>1</v>
      </c>
      <c r="I163" s="137">
        <v>0</v>
      </c>
      <c r="K163" s="143" t="s">
        <v>775</v>
      </c>
      <c r="L163" s="143" t="s">
        <v>766</v>
      </c>
      <c r="M163" s="143" t="s">
        <v>680</v>
      </c>
      <c r="N163" s="143">
        <v>4731</v>
      </c>
      <c r="O163" s="354">
        <v>0.4</v>
      </c>
      <c r="P163" s="354">
        <v>0.6</v>
      </c>
      <c r="Q163" s="354">
        <v>1</v>
      </c>
      <c r="R163" s="137" t="s">
        <v>3184</v>
      </c>
      <c r="S163" s="137">
        <v>0.6</v>
      </c>
      <c r="T163" s="137" t="s">
        <v>3184</v>
      </c>
      <c r="W163" s="143" t="s">
        <v>775</v>
      </c>
      <c r="X163" s="143" t="s">
        <v>766</v>
      </c>
      <c r="Y163" s="143" t="s">
        <v>680</v>
      </c>
      <c r="Z163" s="143">
        <v>4731</v>
      </c>
      <c r="AA163" s="143">
        <v>0</v>
      </c>
      <c r="AD163" s="137">
        <v>0</v>
      </c>
      <c r="AG163" s="143" t="s">
        <v>775</v>
      </c>
      <c r="AH163" s="143" t="s">
        <v>766</v>
      </c>
      <c r="AI163" s="143" t="s">
        <v>680</v>
      </c>
      <c r="AJ163" s="143">
        <v>4731</v>
      </c>
      <c r="AK163" s="143">
        <v>2</v>
      </c>
      <c r="AL163" s="156">
        <v>1</v>
      </c>
      <c r="AM163" s="156">
        <v>3.5</v>
      </c>
      <c r="AN163" s="156">
        <v>3</v>
      </c>
      <c r="AO163" s="156">
        <v>3</v>
      </c>
      <c r="AP163" s="156">
        <v>2</v>
      </c>
      <c r="AQ163" s="156">
        <v>3</v>
      </c>
      <c r="AR163" s="156">
        <v>3.5</v>
      </c>
      <c r="AS163" s="169">
        <v>3.1428569999999998</v>
      </c>
    </row>
    <row r="164" spans="1:45" x14ac:dyDescent="0.25">
      <c r="A164" s="143" t="s">
        <v>775</v>
      </c>
      <c r="B164" s="143" t="s">
        <v>766</v>
      </c>
      <c r="C164" s="143" t="s">
        <v>728</v>
      </c>
      <c r="D164" s="143">
        <v>10312</v>
      </c>
      <c r="E164" s="143">
        <v>2</v>
      </c>
      <c r="F164" s="137">
        <v>1</v>
      </c>
      <c r="G164" s="137">
        <v>1</v>
      </c>
      <c r="H164" s="137">
        <v>1</v>
      </c>
      <c r="I164" s="137">
        <v>0</v>
      </c>
      <c r="K164" s="143" t="s">
        <v>775</v>
      </c>
      <c r="L164" s="143" t="s">
        <v>766</v>
      </c>
      <c r="M164" s="143" t="s">
        <v>728</v>
      </c>
      <c r="N164" s="143">
        <v>10312</v>
      </c>
      <c r="O164" s="354">
        <v>0.4</v>
      </c>
      <c r="P164" s="354">
        <v>0.6</v>
      </c>
      <c r="Q164" s="354">
        <v>1</v>
      </c>
      <c r="R164" s="137" t="s">
        <v>3184</v>
      </c>
      <c r="S164" s="137">
        <v>0.6</v>
      </c>
      <c r="T164" s="137" t="s">
        <v>3184</v>
      </c>
      <c r="U164" s="137" t="s">
        <v>3184</v>
      </c>
      <c r="W164" s="143" t="s">
        <v>775</v>
      </c>
      <c r="X164" s="143" t="s">
        <v>766</v>
      </c>
      <c r="Y164" s="143" t="s">
        <v>728</v>
      </c>
      <c r="Z164" s="143">
        <v>10312</v>
      </c>
      <c r="AA164" s="143">
        <v>0</v>
      </c>
      <c r="AD164" s="137">
        <v>0</v>
      </c>
      <c r="AG164" s="143" t="s">
        <v>775</v>
      </c>
      <c r="AH164" s="143" t="s">
        <v>766</v>
      </c>
      <c r="AI164" s="143" t="s">
        <v>728</v>
      </c>
      <c r="AJ164" s="143">
        <v>10312</v>
      </c>
      <c r="AK164" s="143">
        <v>2</v>
      </c>
      <c r="AL164" s="156">
        <v>1</v>
      </c>
      <c r="AM164" s="156">
        <v>3.5</v>
      </c>
      <c r="AN164" s="156">
        <v>3</v>
      </c>
      <c r="AO164" s="156">
        <v>3</v>
      </c>
      <c r="AP164" s="156">
        <v>2.5</v>
      </c>
      <c r="AQ164" s="156">
        <v>4</v>
      </c>
      <c r="AR164" s="156">
        <v>4</v>
      </c>
      <c r="AS164" s="169">
        <v>3.4285709999999998</v>
      </c>
    </row>
    <row r="165" spans="1:45" x14ac:dyDescent="0.25">
      <c r="A165" s="143" t="s">
        <v>775</v>
      </c>
      <c r="B165" s="143" t="s">
        <v>766</v>
      </c>
      <c r="C165" s="143" t="s">
        <v>728</v>
      </c>
      <c r="D165" s="143">
        <v>10318</v>
      </c>
      <c r="E165" s="143">
        <v>2</v>
      </c>
      <c r="F165" s="137">
        <v>1</v>
      </c>
      <c r="G165" s="137">
        <v>1</v>
      </c>
      <c r="H165" s="137">
        <v>1</v>
      </c>
      <c r="I165" s="137">
        <v>0</v>
      </c>
      <c r="K165" s="143" t="s">
        <v>775</v>
      </c>
      <c r="L165" s="143" t="s">
        <v>766</v>
      </c>
      <c r="M165" s="143" t="s">
        <v>728</v>
      </c>
      <c r="N165" s="143">
        <v>10318</v>
      </c>
      <c r="O165" s="354">
        <v>0.4</v>
      </c>
      <c r="P165" s="354">
        <v>0.6</v>
      </c>
      <c r="Q165" s="354">
        <v>1</v>
      </c>
      <c r="R165" s="137" t="s">
        <v>3184</v>
      </c>
      <c r="S165" s="137">
        <v>0.6</v>
      </c>
      <c r="T165" s="137" t="s">
        <v>3184</v>
      </c>
      <c r="U165" s="137" t="s">
        <v>3184</v>
      </c>
      <c r="W165" s="143" t="s">
        <v>775</v>
      </c>
      <c r="X165" s="143" t="s">
        <v>766</v>
      </c>
      <c r="Y165" s="143" t="s">
        <v>728</v>
      </c>
      <c r="Z165" s="143">
        <v>10318</v>
      </c>
      <c r="AA165" s="143">
        <v>0</v>
      </c>
      <c r="AD165" s="137">
        <v>0</v>
      </c>
      <c r="AG165" s="143" t="s">
        <v>775</v>
      </c>
      <c r="AH165" s="143" t="s">
        <v>766</v>
      </c>
      <c r="AI165" s="143" t="s">
        <v>728</v>
      </c>
      <c r="AJ165" s="143">
        <v>10318</v>
      </c>
      <c r="AK165" s="143">
        <v>2</v>
      </c>
      <c r="AL165" s="156">
        <v>1</v>
      </c>
      <c r="AM165" s="156">
        <v>3.5</v>
      </c>
      <c r="AN165" s="156">
        <v>3</v>
      </c>
      <c r="AO165" s="156">
        <v>3</v>
      </c>
      <c r="AP165" s="156">
        <v>1.5</v>
      </c>
      <c r="AQ165" s="156">
        <v>3.5</v>
      </c>
      <c r="AR165" s="156">
        <v>3</v>
      </c>
      <c r="AS165" s="169">
        <v>3.0714290000000002</v>
      </c>
    </row>
    <row r="166" spans="1:45" x14ac:dyDescent="0.25">
      <c r="A166" s="143" t="s">
        <v>775</v>
      </c>
      <c r="B166" s="143" t="s">
        <v>766</v>
      </c>
      <c r="C166" s="143" t="s">
        <v>728</v>
      </c>
      <c r="D166" s="143">
        <v>10320</v>
      </c>
      <c r="E166" s="143">
        <v>2</v>
      </c>
      <c r="F166" s="137">
        <v>1</v>
      </c>
      <c r="G166" s="137">
        <v>1</v>
      </c>
      <c r="H166" s="137">
        <v>1</v>
      </c>
      <c r="I166" s="137">
        <v>0.5</v>
      </c>
      <c r="K166" s="143" t="s">
        <v>775</v>
      </c>
      <c r="L166" s="143" t="s">
        <v>766</v>
      </c>
      <c r="M166" s="143" t="s">
        <v>728</v>
      </c>
      <c r="N166" s="143">
        <v>10320</v>
      </c>
      <c r="O166" s="354">
        <v>0.4</v>
      </c>
      <c r="P166" s="354">
        <v>0.6</v>
      </c>
      <c r="Q166" s="354">
        <v>1</v>
      </c>
      <c r="R166" s="137" t="s">
        <v>3184</v>
      </c>
      <c r="S166" s="137">
        <v>0.6</v>
      </c>
      <c r="T166" s="137" t="s">
        <v>3184</v>
      </c>
      <c r="U166" s="137" t="s">
        <v>3184</v>
      </c>
      <c r="W166" s="143" t="s">
        <v>775</v>
      </c>
      <c r="X166" s="143" t="s">
        <v>766</v>
      </c>
      <c r="Y166" s="143" t="s">
        <v>728</v>
      </c>
      <c r="Z166" s="143">
        <v>10320</v>
      </c>
      <c r="AA166" s="143">
        <v>0</v>
      </c>
      <c r="AD166" s="137">
        <v>0</v>
      </c>
      <c r="AG166" s="143" t="s">
        <v>775</v>
      </c>
      <c r="AH166" s="143" t="s">
        <v>766</v>
      </c>
      <c r="AI166" s="143" t="s">
        <v>728</v>
      </c>
      <c r="AJ166" s="143">
        <v>10320</v>
      </c>
      <c r="AK166" s="143">
        <v>2</v>
      </c>
      <c r="AL166" s="156">
        <v>2.5</v>
      </c>
      <c r="AM166" s="156">
        <v>3.5</v>
      </c>
      <c r="AN166" s="156">
        <v>2.5</v>
      </c>
      <c r="AO166" s="156">
        <v>3</v>
      </c>
      <c r="AP166" s="156">
        <v>2</v>
      </c>
      <c r="AQ166" s="156">
        <v>4</v>
      </c>
      <c r="AR166" s="156">
        <v>3</v>
      </c>
      <c r="AS166" s="169">
        <v>2.9285709999999998</v>
      </c>
    </row>
    <row r="167" spans="1:45" x14ac:dyDescent="0.25">
      <c r="A167" s="143" t="s">
        <v>776</v>
      </c>
      <c r="B167" s="143" t="s">
        <v>777</v>
      </c>
      <c r="C167" s="143" t="s">
        <v>729</v>
      </c>
      <c r="D167" s="143">
        <v>1590</v>
      </c>
      <c r="E167" s="143">
        <v>8</v>
      </c>
      <c r="F167" s="137">
        <v>1</v>
      </c>
      <c r="G167" s="137">
        <v>1</v>
      </c>
      <c r="H167" s="137">
        <v>1</v>
      </c>
      <c r="I167" s="137">
        <v>0</v>
      </c>
      <c r="K167" s="143" t="s">
        <v>776</v>
      </c>
      <c r="L167" s="143" t="s">
        <v>777</v>
      </c>
      <c r="M167" s="143" t="s">
        <v>729</v>
      </c>
      <c r="N167" s="143">
        <v>1590</v>
      </c>
      <c r="O167" s="354">
        <v>0.4</v>
      </c>
      <c r="P167" s="354">
        <v>0.6</v>
      </c>
      <c r="Q167" s="354">
        <v>1</v>
      </c>
      <c r="R167" s="137" t="s">
        <v>3184</v>
      </c>
      <c r="S167" s="137">
        <v>0.40625</v>
      </c>
      <c r="T167" s="137" t="s">
        <v>3184</v>
      </c>
      <c r="U167" s="137" t="s">
        <v>3184</v>
      </c>
      <c r="W167" s="143" t="s">
        <v>776</v>
      </c>
      <c r="X167" s="143" t="s">
        <v>777</v>
      </c>
      <c r="Y167" s="143" t="s">
        <v>729</v>
      </c>
      <c r="Z167" s="143">
        <v>1590</v>
      </c>
      <c r="AA167" s="143">
        <v>8</v>
      </c>
      <c r="AB167" s="137">
        <v>0.25</v>
      </c>
      <c r="AC167" s="137">
        <v>0.3333333</v>
      </c>
      <c r="AD167" s="137">
        <v>0.625</v>
      </c>
      <c r="AE167" s="137">
        <v>0</v>
      </c>
      <c r="AG167" s="143" t="s">
        <v>776</v>
      </c>
      <c r="AH167" s="143" t="s">
        <v>777</v>
      </c>
      <c r="AI167" s="143" t="s">
        <v>729</v>
      </c>
      <c r="AJ167" s="143">
        <v>1590</v>
      </c>
      <c r="AK167" s="143">
        <v>8</v>
      </c>
      <c r="AL167" s="156">
        <v>1.5</v>
      </c>
      <c r="AM167" s="156">
        <v>3.375</v>
      </c>
      <c r="AN167" s="156">
        <v>3.5</v>
      </c>
      <c r="AO167" s="156">
        <v>3.25</v>
      </c>
      <c r="AP167" s="156">
        <v>3.875</v>
      </c>
      <c r="AQ167" s="156">
        <v>3</v>
      </c>
      <c r="AR167" s="156">
        <v>3.75</v>
      </c>
      <c r="AS167" s="169">
        <v>3.464286</v>
      </c>
    </row>
    <row r="168" spans="1:45" x14ac:dyDescent="0.25">
      <c r="A168" s="143" t="s">
        <v>776</v>
      </c>
      <c r="B168" s="143" t="s">
        <v>777</v>
      </c>
      <c r="C168" s="143" t="s">
        <v>727</v>
      </c>
      <c r="D168" s="143">
        <v>1591</v>
      </c>
      <c r="E168" s="143">
        <v>3</v>
      </c>
      <c r="F168" s="137">
        <v>1</v>
      </c>
      <c r="G168" s="137">
        <v>1</v>
      </c>
      <c r="H168" s="137">
        <v>1</v>
      </c>
      <c r="I168" s="137">
        <v>0</v>
      </c>
      <c r="K168" s="143" t="s">
        <v>776</v>
      </c>
      <c r="L168" s="143" t="s">
        <v>777</v>
      </c>
      <c r="M168" s="143" t="s">
        <v>727</v>
      </c>
      <c r="N168" s="143">
        <v>1591</v>
      </c>
      <c r="O168" s="354">
        <v>0.4</v>
      </c>
      <c r="P168" s="354">
        <v>0.6</v>
      </c>
      <c r="Q168" s="354">
        <v>1</v>
      </c>
      <c r="R168" s="137" t="s">
        <v>3184</v>
      </c>
      <c r="S168" s="137">
        <v>0.53846159999999998</v>
      </c>
      <c r="T168" s="137" t="s">
        <v>3184</v>
      </c>
      <c r="U168" s="137" t="s">
        <v>3184</v>
      </c>
      <c r="W168" s="143" t="s">
        <v>776</v>
      </c>
      <c r="X168" s="143" t="s">
        <v>777</v>
      </c>
      <c r="Y168" s="143" t="s">
        <v>727</v>
      </c>
      <c r="Z168" s="143">
        <v>1591</v>
      </c>
      <c r="AA168" s="143">
        <v>0</v>
      </c>
      <c r="AD168" s="137">
        <v>0.15384619999999999</v>
      </c>
      <c r="AE168" s="137">
        <v>0</v>
      </c>
      <c r="AG168" s="143" t="s">
        <v>776</v>
      </c>
      <c r="AH168" s="143" t="s">
        <v>777</v>
      </c>
      <c r="AI168" s="143" t="s">
        <v>727</v>
      </c>
      <c r="AJ168" s="143">
        <v>1591</v>
      </c>
      <c r="AK168" s="143">
        <v>3</v>
      </c>
      <c r="AL168" s="156">
        <v>2</v>
      </c>
      <c r="AM168" s="156">
        <v>3</v>
      </c>
      <c r="AN168" s="156">
        <v>3</v>
      </c>
      <c r="AO168" s="156">
        <v>3</v>
      </c>
      <c r="AP168" s="156">
        <v>3.3333332538604701</v>
      </c>
      <c r="AQ168" s="156">
        <v>3.3333332538604701</v>
      </c>
      <c r="AR168" s="156">
        <v>3.3333332538604701</v>
      </c>
      <c r="AS168" s="169">
        <v>3.1428569999999998</v>
      </c>
    </row>
    <row r="169" spans="1:45" x14ac:dyDescent="0.25">
      <c r="A169" s="143" t="s">
        <v>776</v>
      </c>
      <c r="B169" s="143" t="s">
        <v>777</v>
      </c>
      <c r="C169" s="143" t="s">
        <v>728</v>
      </c>
      <c r="D169" s="143">
        <v>1945</v>
      </c>
      <c r="E169" s="143">
        <v>2</v>
      </c>
      <c r="F169" s="137">
        <v>1</v>
      </c>
      <c r="G169" s="137">
        <v>1</v>
      </c>
      <c r="H169" s="137">
        <v>1</v>
      </c>
      <c r="I169" s="137">
        <v>0</v>
      </c>
      <c r="K169" s="143" t="s">
        <v>776</v>
      </c>
      <c r="L169" s="143" t="s">
        <v>777</v>
      </c>
      <c r="M169" s="143" t="s">
        <v>728</v>
      </c>
      <c r="N169" s="143">
        <v>1945</v>
      </c>
      <c r="O169" s="354">
        <v>0.4</v>
      </c>
      <c r="P169" s="354">
        <v>0.6</v>
      </c>
      <c r="Q169" s="354">
        <v>1</v>
      </c>
      <c r="R169" s="137" t="s">
        <v>3184</v>
      </c>
      <c r="S169" s="137">
        <v>0.375</v>
      </c>
      <c r="T169" s="137" t="s">
        <v>3184</v>
      </c>
      <c r="U169" s="137" t="s">
        <v>3184</v>
      </c>
      <c r="W169" s="143" t="s">
        <v>776</v>
      </c>
      <c r="X169" s="143" t="s">
        <v>777</v>
      </c>
      <c r="Y169" s="143" t="s">
        <v>728</v>
      </c>
      <c r="Z169" s="143">
        <v>1945</v>
      </c>
      <c r="AA169" s="143">
        <v>0</v>
      </c>
      <c r="AD169" s="137">
        <v>0.375</v>
      </c>
      <c r="AE169" s="137">
        <v>0</v>
      </c>
      <c r="AG169" s="143" t="s">
        <v>776</v>
      </c>
      <c r="AH169" s="143" t="s">
        <v>777</v>
      </c>
      <c r="AI169" s="143" t="s">
        <v>728</v>
      </c>
      <c r="AJ169" s="143">
        <v>1945</v>
      </c>
      <c r="AK169" s="143">
        <v>2</v>
      </c>
      <c r="AL169" s="156">
        <v>1</v>
      </c>
      <c r="AM169" s="156">
        <v>3</v>
      </c>
      <c r="AN169" s="156">
        <v>3.5</v>
      </c>
      <c r="AO169" s="156">
        <v>3.5</v>
      </c>
      <c r="AP169" s="156">
        <v>3.5</v>
      </c>
      <c r="AQ169" s="156">
        <v>3.5</v>
      </c>
      <c r="AR169" s="156">
        <v>4</v>
      </c>
      <c r="AS169" s="169">
        <v>3.5714290000000002</v>
      </c>
    </row>
    <row r="170" spans="1:45" x14ac:dyDescent="0.25">
      <c r="A170" s="143" t="s">
        <v>776</v>
      </c>
      <c r="B170" s="143" t="s">
        <v>777</v>
      </c>
      <c r="C170" s="143" t="s">
        <v>728</v>
      </c>
      <c r="D170" s="143">
        <v>2492</v>
      </c>
      <c r="E170" s="143">
        <v>2</v>
      </c>
      <c r="F170" s="137">
        <v>1</v>
      </c>
      <c r="G170" s="137">
        <v>1</v>
      </c>
      <c r="H170" s="137">
        <v>1</v>
      </c>
      <c r="I170" s="137">
        <v>0</v>
      </c>
      <c r="K170" s="143" t="s">
        <v>776</v>
      </c>
      <c r="L170" s="143" t="s">
        <v>777</v>
      </c>
      <c r="M170" s="143" t="s">
        <v>728</v>
      </c>
      <c r="N170" s="143">
        <v>2492</v>
      </c>
      <c r="O170" s="354">
        <v>0.4</v>
      </c>
      <c r="P170" s="354">
        <v>0.6</v>
      </c>
      <c r="Q170" s="354">
        <v>1</v>
      </c>
      <c r="R170" s="137" t="s">
        <v>3184</v>
      </c>
      <c r="S170" s="137">
        <v>0.5</v>
      </c>
      <c r="T170" s="137" t="s">
        <v>3184</v>
      </c>
      <c r="U170" s="137" t="s">
        <v>3184</v>
      </c>
      <c r="W170" s="143" t="s">
        <v>776</v>
      </c>
      <c r="X170" s="143" t="s">
        <v>777</v>
      </c>
      <c r="Y170" s="143" t="s">
        <v>728</v>
      </c>
      <c r="Z170" s="143">
        <v>2492</v>
      </c>
      <c r="AA170" s="143">
        <v>0</v>
      </c>
      <c r="AD170" s="137">
        <v>0</v>
      </c>
      <c r="AE170" s="137">
        <v>0.66666669999999995</v>
      </c>
      <c r="AG170" s="143" t="s">
        <v>776</v>
      </c>
      <c r="AH170" s="143" t="s">
        <v>777</v>
      </c>
      <c r="AI170" s="143" t="s">
        <v>728</v>
      </c>
      <c r="AJ170" s="143">
        <v>2492</v>
      </c>
      <c r="AK170" s="143">
        <v>2</v>
      </c>
      <c r="AL170" s="156">
        <v>2</v>
      </c>
      <c r="AM170" s="156">
        <v>3.5</v>
      </c>
      <c r="AN170" s="156">
        <v>3.5</v>
      </c>
      <c r="AO170" s="156">
        <v>3.5</v>
      </c>
      <c r="AP170" s="156">
        <v>3</v>
      </c>
      <c r="AQ170" s="156">
        <v>3</v>
      </c>
      <c r="AR170" s="156">
        <v>3</v>
      </c>
      <c r="AS170" s="169">
        <v>3.214286</v>
      </c>
    </row>
    <row r="171" spans="1:45" x14ac:dyDescent="0.25">
      <c r="A171" s="143" t="s">
        <v>776</v>
      </c>
      <c r="B171" s="143" t="s">
        <v>777</v>
      </c>
      <c r="C171" s="143" t="s">
        <v>680</v>
      </c>
      <c r="D171" s="143">
        <v>2708</v>
      </c>
      <c r="E171" s="143">
        <v>2</v>
      </c>
      <c r="F171" s="137">
        <v>1</v>
      </c>
      <c r="G171" s="137">
        <v>1</v>
      </c>
      <c r="H171" s="137">
        <v>1</v>
      </c>
      <c r="I171" s="137">
        <v>0</v>
      </c>
      <c r="K171" s="143" t="s">
        <v>776</v>
      </c>
      <c r="L171" s="143" t="s">
        <v>777</v>
      </c>
      <c r="M171" s="143" t="s">
        <v>680</v>
      </c>
      <c r="N171" s="143">
        <v>2708</v>
      </c>
      <c r="O171" s="354">
        <v>0.4</v>
      </c>
      <c r="P171" s="354">
        <v>0.6</v>
      </c>
      <c r="Q171" s="354">
        <v>1</v>
      </c>
      <c r="R171" s="137" t="s">
        <v>3184</v>
      </c>
      <c r="S171" s="137">
        <v>0.5</v>
      </c>
      <c r="T171" s="137" t="s">
        <v>3184</v>
      </c>
      <c r="W171" s="143" t="s">
        <v>776</v>
      </c>
      <c r="X171" s="143" t="s">
        <v>777</v>
      </c>
      <c r="Y171" s="143" t="s">
        <v>680</v>
      </c>
      <c r="Z171" s="143">
        <v>2708</v>
      </c>
      <c r="AA171" s="143">
        <v>0</v>
      </c>
      <c r="AD171" s="137">
        <v>0</v>
      </c>
      <c r="AE171" s="137">
        <v>0.25</v>
      </c>
      <c r="AG171" s="143" t="s">
        <v>776</v>
      </c>
      <c r="AH171" s="143" t="s">
        <v>777</v>
      </c>
      <c r="AI171" s="143" t="s">
        <v>680</v>
      </c>
      <c r="AJ171" s="143">
        <v>2708</v>
      </c>
      <c r="AK171" s="143">
        <v>2</v>
      </c>
      <c r="AL171" s="156">
        <v>2</v>
      </c>
      <c r="AM171" s="156">
        <v>4</v>
      </c>
      <c r="AN171" s="156">
        <v>3.5</v>
      </c>
      <c r="AO171" s="156">
        <v>4</v>
      </c>
      <c r="AP171" s="156">
        <v>3</v>
      </c>
      <c r="AQ171" s="156">
        <v>4</v>
      </c>
      <c r="AR171" s="156">
        <v>4</v>
      </c>
      <c r="AS171" s="169">
        <v>3.6428569999999998</v>
      </c>
    </row>
    <row r="172" spans="1:45" x14ac:dyDescent="0.25">
      <c r="A172" s="143" t="s">
        <v>776</v>
      </c>
      <c r="B172" s="143" t="s">
        <v>777</v>
      </c>
      <c r="C172" s="143" t="s">
        <v>680</v>
      </c>
      <c r="D172" s="143">
        <v>2709</v>
      </c>
      <c r="E172" s="143">
        <v>2</v>
      </c>
      <c r="F172" s="137">
        <v>1</v>
      </c>
      <c r="G172" s="137">
        <v>1</v>
      </c>
      <c r="H172" s="137">
        <v>1</v>
      </c>
      <c r="I172" s="137">
        <v>0</v>
      </c>
      <c r="K172" s="143" t="s">
        <v>776</v>
      </c>
      <c r="L172" s="143" t="s">
        <v>777</v>
      </c>
      <c r="M172" s="143" t="s">
        <v>680</v>
      </c>
      <c r="N172" s="143">
        <v>2709</v>
      </c>
      <c r="O172" s="354">
        <v>0.4</v>
      </c>
      <c r="P172" s="354">
        <v>0.6</v>
      </c>
      <c r="Q172" s="354">
        <v>1</v>
      </c>
      <c r="R172" s="137" t="s">
        <v>3184</v>
      </c>
      <c r="S172" s="137">
        <v>0.5</v>
      </c>
      <c r="T172" s="137" t="s">
        <v>3184</v>
      </c>
      <c r="W172" s="143" t="s">
        <v>776</v>
      </c>
      <c r="X172" s="143" t="s">
        <v>777</v>
      </c>
      <c r="Y172" s="143" t="s">
        <v>680</v>
      </c>
      <c r="Z172" s="143">
        <v>2709</v>
      </c>
      <c r="AA172" s="143">
        <v>0</v>
      </c>
      <c r="AD172" s="137">
        <v>0</v>
      </c>
      <c r="AG172" s="143" t="s">
        <v>776</v>
      </c>
      <c r="AH172" s="143" t="s">
        <v>777</v>
      </c>
      <c r="AI172" s="143" t="s">
        <v>680</v>
      </c>
      <c r="AJ172" s="143">
        <v>2709</v>
      </c>
      <c r="AK172" s="143">
        <v>2</v>
      </c>
      <c r="AL172" s="156">
        <v>2</v>
      </c>
      <c r="AM172" s="156">
        <v>3.5</v>
      </c>
      <c r="AN172" s="156">
        <v>3.5</v>
      </c>
      <c r="AO172" s="156">
        <v>3.5</v>
      </c>
      <c r="AP172" s="156">
        <v>2.5</v>
      </c>
      <c r="AQ172" s="156">
        <v>3.5</v>
      </c>
      <c r="AR172" s="156">
        <v>4</v>
      </c>
      <c r="AS172" s="169">
        <v>3.3571430000000002</v>
      </c>
    </row>
    <row r="173" spans="1:45" x14ac:dyDescent="0.25">
      <c r="A173" s="143" t="s">
        <v>776</v>
      </c>
      <c r="B173" s="143" t="s">
        <v>777</v>
      </c>
      <c r="C173" s="143" t="s">
        <v>728</v>
      </c>
      <c r="D173" s="143">
        <v>2759</v>
      </c>
      <c r="E173" s="143">
        <v>2</v>
      </c>
      <c r="F173" s="137">
        <v>1</v>
      </c>
      <c r="G173" s="137">
        <v>1</v>
      </c>
      <c r="H173" s="137">
        <v>1</v>
      </c>
      <c r="I173" s="137">
        <v>0</v>
      </c>
      <c r="K173" s="143" t="s">
        <v>776</v>
      </c>
      <c r="L173" s="143" t="s">
        <v>777</v>
      </c>
      <c r="M173" s="143" t="s">
        <v>728</v>
      </c>
      <c r="N173" s="143">
        <v>2759</v>
      </c>
      <c r="O173" s="354">
        <v>0.4</v>
      </c>
      <c r="P173" s="354">
        <v>0.6</v>
      </c>
      <c r="Q173" s="137">
        <v>1</v>
      </c>
      <c r="R173" s="137" t="s">
        <v>3184</v>
      </c>
      <c r="S173" s="137">
        <v>0.5</v>
      </c>
      <c r="T173" s="137" t="s">
        <v>3184</v>
      </c>
      <c r="U173" s="137" t="s">
        <v>3184</v>
      </c>
      <c r="W173" s="143" t="s">
        <v>776</v>
      </c>
      <c r="X173" s="143" t="s">
        <v>777</v>
      </c>
      <c r="Y173" s="143" t="s">
        <v>728</v>
      </c>
      <c r="Z173" s="143">
        <v>2759</v>
      </c>
      <c r="AA173" s="143">
        <v>0</v>
      </c>
      <c r="AD173" s="137">
        <v>0</v>
      </c>
      <c r="AE173" s="137">
        <v>0.3333333</v>
      </c>
      <c r="AG173" s="143" t="s">
        <v>776</v>
      </c>
      <c r="AH173" s="143" t="s">
        <v>777</v>
      </c>
      <c r="AI173" s="143" t="s">
        <v>728</v>
      </c>
      <c r="AJ173" s="143">
        <v>2759</v>
      </c>
      <c r="AK173" s="143">
        <v>2</v>
      </c>
      <c r="AL173" s="156">
        <v>2</v>
      </c>
      <c r="AM173" s="156">
        <v>3</v>
      </c>
      <c r="AN173" s="156">
        <v>3</v>
      </c>
      <c r="AO173" s="156">
        <v>3</v>
      </c>
      <c r="AP173" s="156">
        <v>3</v>
      </c>
      <c r="AQ173" s="156">
        <v>3</v>
      </c>
      <c r="AR173" s="156">
        <v>3</v>
      </c>
      <c r="AS173" s="169">
        <v>3</v>
      </c>
    </row>
    <row r="174" spans="1:45" x14ac:dyDescent="0.25">
      <c r="A174" s="143" t="s">
        <v>776</v>
      </c>
      <c r="B174" s="143" t="s">
        <v>777</v>
      </c>
      <c r="C174" s="143" t="s">
        <v>680</v>
      </c>
      <c r="D174" s="143">
        <v>3094</v>
      </c>
      <c r="E174" s="143">
        <v>2</v>
      </c>
      <c r="F174" s="137">
        <v>1</v>
      </c>
      <c r="G174" s="137">
        <v>1</v>
      </c>
      <c r="H174" s="137">
        <v>1</v>
      </c>
      <c r="I174" s="137">
        <v>0</v>
      </c>
      <c r="K174" s="143" t="s">
        <v>776</v>
      </c>
      <c r="L174" s="143" t="s">
        <v>777</v>
      </c>
      <c r="M174" s="143" t="s">
        <v>680</v>
      </c>
      <c r="N174" s="143">
        <v>3094</v>
      </c>
      <c r="O174" s="354">
        <v>0.4</v>
      </c>
      <c r="P174" s="354">
        <v>0.6</v>
      </c>
      <c r="Q174" s="354">
        <v>1</v>
      </c>
      <c r="R174" s="137" t="s">
        <v>3184</v>
      </c>
      <c r="S174" s="137">
        <v>0.5</v>
      </c>
      <c r="T174" s="137" t="s">
        <v>3184</v>
      </c>
      <c r="W174" s="143" t="s">
        <v>776</v>
      </c>
      <c r="X174" s="143" t="s">
        <v>777</v>
      </c>
      <c r="Y174" s="143" t="s">
        <v>680</v>
      </c>
      <c r="Z174" s="143">
        <v>3094</v>
      </c>
      <c r="AA174" s="143">
        <v>0</v>
      </c>
      <c r="AD174" s="137">
        <v>0</v>
      </c>
      <c r="AE174" s="137">
        <v>0.25</v>
      </c>
      <c r="AG174" s="143" t="s">
        <v>776</v>
      </c>
      <c r="AH174" s="143" t="s">
        <v>777</v>
      </c>
      <c r="AI174" s="143" t="s">
        <v>680</v>
      </c>
      <c r="AJ174" s="143">
        <v>3094</v>
      </c>
      <c r="AK174" s="143">
        <v>2</v>
      </c>
      <c r="AL174" s="156">
        <v>1.5</v>
      </c>
      <c r="AM174" s="156">
        <v>3.5</v>
      </c>
      <c r="AN174" s="156">
        <v>3</v>
      </c>
      <c r="AO174" s="156">
        <v>3</v>
      </c>
      <c r="AP174" s="156">
        <v>3</v>
      </c>
      <c r="AQ174" s="156">
        <v>3</v>
      </c>
      <c r="AR174" s="156">
        <v>3</v>
      </c>
      <c r="AS174" s="169">
        <v>3.1428569999999998</v>
      </c>
    </row>
    <row r="175" spans="1:45" x14ac:dyDescent="0.25">
      <c r="A175" s="143" t="s">
        <v>776</v>
      </c>
      <c r="B175" s="143" t="s">
        <v>777</v>
      </c>
      <c r="C175" s="143" t="s">
        <v>680</v>
      </c>
      <c r="D175" s="143">
        <v>3172</v>
      </c>
      <c r="E175" s="143">
        <v>2</v>
      </c>
      <c r="F175" s="137">
        <v>1</v>
      </c>
      <c r="G175" s="137">
        <v>1</v>
      </c>
      <c r="H175" s="137">
        <v>1</v>
      </c>
      <c r="I175" s="137">
        <v>0</v>
      </c>
      <c r="K175" s="143" t="s">
        <v>776</v>
      </c>
      <c r="L175" s="143" t="s">
        <v>777</v>
      </c>
      <c r="M175" s="143" t="s">
        <v>680</v>
      </c>
      <c r="N175" s="143">
        <v>3172</v>
      </c>
      <c r="O175" s="354">
        <v>0.4</v>
      </c>
      <c r="P175" s="354">
        <v>0.6</v>
      </c>
      <c r="Q175" s="354">
        <v>1</v>
      </c>
      <c r="R175" s="137" t="s">
        <v>3184</v>
      </c>
      <c r="S175" s="137">
        <v>0.5</v>
      </c>
      <c r="T175" s="137" t="s">
        <v>3184</v>
      </c>
      <c r="W175" s="143" t="s">
        <v>776</v>
      </c>
      <c r="X175" s="143" t="s">
        <v>777</v>
      </c>
      <c r="Y175" s="143" t="s">
        <v>680</v>
      </c>
      <c r="Z175" s="143">
        <v>3172</v>
      </c>
      <c r="AA175" s="143">
        <v>0</v>
      </c>
      <c r="AD175" s="137">
        <v>0</v>
      </c>
      <c r="AE175" s="137">
        <v>0.25</v>
      </c>
      <c r="AG175" s="143" t="s">
        <v>776</v>
      </c>
      <c r="AH175" s="143" t="s">
        <v>777</v>
      </c>
      <c r="AI175" s="143" t="s">
        <v>680</v>
      </c>
      <c r="AJ175" s="143">
        <v>3172</v>
      </c>
      <c r="AK175" s="143">
        <v>2</v>
      </c>
      <c r="AL175" s="156">
        <v>2</v>
      </c>
      <c r="AM175" s="156">
        <v>3</v>
      </c>
      <c r="AN175" s="156">
        <v>3.5</v>
      </c>
      <c r="AO175" s="156">
        <v>3.5</v>
      </c>
      <c r="AP175" s="156">
        <v>2</v>
      </c>
      <c r="AQ175" s="156">
        <v>3</v>
      </c>
      <c r="AR175" s="156">
        <v>3.5</v>
      </c>
      <c r="AS175" s="169">
        <v>3.0714290000000002</v>
      </c>
    </row>
    <row r="176" spans="1:45" x14ac:dyDescent="0.25">
      <c r="A176" s="143" t="s">
        <v>776</v>
      </c>
      <c r="B176" s="143" t="s">
        <v>777</v>
      </c>
      <c r="C176" s="143" t="s">
        <v>680</v>
      </c>
      <c r="D176" s="143">
        <v>3941</v>
      </c>
      <c r="E176" s="143">
        <v>2</v>
      </c>
      <c r="F176" s="137">
        <v>1</v>
      </c>
      <c r="G176" s="137">
        <v>1</v>
      </c>
      <c r="H176" s="137">
        <v>1</v>
      </c>
      <c r="I176" s="137">
        <v>0</v>
      </c>
      <c r="K176" s="143" t="s">
        <v>776</v>
      </c>
      <c r="L176" s="143" t="s">
        <v>777</v>
      </c>
      <c r="M176" s="143" t="s">
        <v>680</v>
      </c>
      <c r="N176" s="143">
        <v>3941</v>
      </c>
      <c r="O176" s="354">
        <v>0.4</v>
      </c>
      <c r="P176" s="354">
        <v>0.6</v>
      </c>
      <c r="Q176" s="354">
        <v>1</v>
      </c>
      <c r="R176" s="137" t="s">
        <v>3184</v>
      </c>
      <c r="S176" s="137">
        <v>0.66666669999999995</v>
      </c>
      <c r="T176" s="137" t="s">
        <v>3184</v>
      </c>
      <c r="W176" s="143" t="s">
        <v>776</v>
      </c>
      <c r="X176" s="143" t="s">
        <v>777</v>
      </c>
      <c r="Y176" s="143" t="s">
        <v>680</v>
      </c>
      <c r="Z176" s="143">
        <v>3941</v>
      </c>
      <c r="AA176" s="143">
        <v>0</v>
      </c>
      <c r="AD176" s="137">
        <v>0</v>
      </c>
      <c r="AE176" s="137">
        <v>0.66666669999999995</v>
      </c>
      <c r="AG176" s="143" t="s">
        <v>776</v>
      </c>
      <c r="AH176" s="143" t="s">
        <v>777</v>
      </c>
      <c r="AI176" s="143" t="s">
        <v>680</v>
      </c>
      <c r="AJ176" s="143">
        <v>3941</v>
      </c>
      <c r="AK176" s="143">
        <v>2</v>
      </c>
      <c r="AL176" s="156">
        <v>2</v>
      </c>
      <c r="AM176" s="156">
        <v>3.5</v>
      </c>
      <c r="AN176" s="156">
        <v>3.5</v>
      </c>
      <c r="AO176" s="156">
        <v>3.5</v>
      </c>
      <c r="AP176" s="156">
        <v>3.5</v>
      </c>
      <c r="AQ176" s="156">
        <v>3.5</v>
      </c>
      <c r="AR176" s="156">
        <v>3.5</v>
      </c>
      <c r="AS176" s="169">
        <v>3.4285709999999998</v>
      </c>
    </row>
    <row r="177" spans="1:45" x14ac:dyDescent="0.25">
      <c r="A177" s="143" t="s">
        <v>776</v>
      </c>
      <c r="B177" s="143" t="s">
        <v>777</v>
      </c>
      <c r="C177" s="143" t="s">
        <v>680</v>
      </c>
      <c r="D177" s="143">
        <v>3944</v>
      </c>
      <c r="E177" s="143">
        <v>2</v>
      </c>
      <c r="F177" s="137">
        <v>1</v>
      </c>
      <c r="G177" s="137">
        <v>1</v>
      </c>
      <c r="H177" s="137">
        <v>1</v>
      </c>
      <c r="I177" s="137">
        <v>0</v>
      </c>
      <c r="K177" s="143" t="s">
        <v>776</v>
      </c>
      <c r="L177" s="143" t="s">
        <v>777</v>
      </c>
      <c r="M177" s="143" t="s">
        <v>680</v>
      </c>
      <c r="N177" s="143">
        <v>3944</v>
      </c>
      <c r="O177" s="354">
        <v>0.4</v>
      </c>
      <c r="P177" s="354">
        <v>0.6</v>
      </c>
      <c r="Q177" s="137">
        <v>1</v>
      </c>
      <c r="R177" s="137" t="s">
        <v>3184</v>
      </c>
      <c r="S177" s="137">
        <v>0.5</v>
      </c>
      <c r="T177" s="137" t="s">
        <v>3184</v>
      </c>
      <c r="W177" s="143" t="s">
        <v>776</v>
      </c>
      <c r="X177" s="143" t="s">
        <v>777</v>
      </c>
      <c r="Y177" s="143" t="s">
        <v>680</v>
      </c>
      <c r="Z177" s="143">
        <v>3944</v>
      </c>
      <c r="AA177" s="143">
        <v>0</v>
      </c>
      <c r="AD177" s="137">
        <v>0</v>
      </c>
      <c r="AG177" s="143" t="s">
        <v>776</v>
      </c>
      <c r="AH177" s="143" t="s">
        <v>777</v>
      </c>
      <c r="AI177" s="143" t="s">
        <v>680</v>
      </c>
      <c r="AJ177" s="143">
        <v>3944</v>
      </c>
      <c r="AK177" s="143">
        <v>2</v>
      </c>
      <c r="AL177" s="156">
        <v>2</v>
      </c>
      <c r="AM177" s="156">
        <v>4</v>
      </c>
      <c r="AN177" s="156">
        <v>4</v>
      </c>
      <c r="AO177" s="156">
        <v>4</v>
      </c>
      <c r="AP177" s="156">
        <v>2.5</v>
      </c>
      <c r="AQ177" s="156">
        <v>3.5</v>
      </c>
      <c r="AR177" s="156">
        <v>3.5</v>
      </c>
      <c r="AS177" s="169">
        <v>3.5</v>
      </c>
    </row>
    <row r="178" spans="1:45" x14ac:dyDescent="0.25">
      <c r="A178" s="143" t="s">
        <v>778</v>
      </c>
      <c r="B178" s="143" t="s">
        <v>766</v>
      </c>
      <c r="C178" s="143" t="s">
        <v>728</v>
      </c>
      <c r="D178" s="143">
        <v>501</v>
      </c>
      <c r="E178" s="143">
        <v>2</v>
      </c>
      <c r="F178" s="137">
        <v>1</v>
      </c>
      <c r="G178" s="137">
        <v>1</v>
      </c>
      <c r="H178" s="137">
        <v>1</v>
      </c>
      <c r="I178" s="137">
        <v>0</v>
      </c>
      <c r="K178" s="143" t="s">
        <v>778</v>
      </c>
      <c r="L178" s="143" t="s">
        <v>766</v>
      </c>
      <c r="M178" s="143" t="s">
        <v>728</v>
      </c>
      <c r="N178" s="143">
        <v>501</v>
      </c>
      <c r="O178" s="354">
        <v>0.4</v>
      </c>
      <c r="P178" s="354">
        <v>0.6</v>
      </c>
      <c r="Q178" s="354">
        <v>1</v>
      </c>
      <c r="R178" s="137" t="s">
        <v>3184</v>
      </c>
      <c r="S178" s="137">
        <v>0.57142859999999995</v>
      </c>
      <c r="T178" s="137" t="s">
        <v>3184</v>
      </c>
      <c r="U178" s="137" t="s">
        <v>3184</v>
      </c>
      <c r="W178" s="143" t="s">
        <v>778</v>
      </c>
      <c r="X178" s="143" t="s">
        <v>766</v>
      </c>
      <c r="Y178" s="143" t="s">
        <v>728</v>
      </c>
      <c r="Z178" s="143">
        <v>501</v>
      </c>
      <c r="AA178" s="143">
        <v>0</v>
      </c>
      <c r="AD178" s="137">
        <v>0</v>
      </c>
      <c r="AG178" s="143" t="s">
        <v>778</v>
      </c>
      <c r="AH178" s="143" t="s">
        <v>766</v>
      </c>
      <c r="AI178" s="143" t="s">
        <v>728</v>
      </c>
      <c r="AJ178" s="143">
        <v>501</v>
      </c>
      <c r="AK178" s="143">
        <v>2</v>
      </c>
      <c r="AL178" s="156">
        <v>1.5</v>
      </c>
      <c r="AM178" s="156">
        <v>3</v>
      </c>
      <c r="AN178" s="156">
        <v>3</v>
      </c>
      <c r="AO178" s="156">
        <v>3</v>
      </c>
      <c r="AP178" s="156">
        <v>2.5</v>
      </c>
      <c r="AQ178" s="156">
        <v>3</v>
      </c>
      <c r="AR178" s="156">
        <v>3</v>
      </c>
      <c r="AS178" s="169">
        <v>3</v>
      </c>
    </row>
    <row r="179" spans="1:45" x14ac:dyDescent="0.25">
      <c r="A179" s="143" t="s">
        <v>778</v>
      </c>
      <c r="B179" s="143" t="s">
        <v>766</v>
      </c>
      <c r="C179" s="143" t="s">
        <v>727</v>
      </c>
      <c r="D179" s="143">
        <v>1155</v>
      </c>
      <c r="E179" s="143">
        <v>3</v>
      </c>
      <c r="F179" s="137">
        <v>1</v>
      </c>
      <c r="G179" s="137">
        <v>1</v>
      </c>
      <c r="H179" s="137">
        <v>1</v>
      </c>
      <c r="I179" s="137">
        <v>0</v>
      </c>
      <c r="K179" s="143" t="s">
        <v>778</v>
      </c>
      <c r="L179" s="143" t="s">
        <v>766</v>
      </c>
      <c r="M179" s="143" t="s">
        <v>727</v>
      </c>
      <c r="N179" s="143">
        <v>1155</v>
      </c>
      <c r="O179" s="354">
        <v>0.4</v>
      </c>
      <c r="P179" s="354">
        <v>0.6</v>
      </c>
      <c r="Q179" s="354">
        <v>1</v>
      </c>
      <c r="R179" s="137" t="s">
        <v>3184</v>
      </c>
      <c r="S179" s="137">
        <v>0.57142859999999995</v>
      </c>
      <c r="T179" s="137" t="s">
        <v>3184</v>
      </c>
      <c r="U179" s="137" t="s">
        <v>3184</v>
      </c>
      <c r="W179" s="143" t="s">
        <v>778</v>
      </c>
      <c r="X179" s="143" t="s">
        <v>766</v>
      </c>
      <c r="Y179" s="143" t="s">
        <v>727</v>
      </c>
      <c r="Z179" s="143">
        <v>1155</v>
      </c>
      <c r="AA179" s="143">
        <v>0</v>
      </c>
      <c r="AD179" s="137">
        <v>0</v>
      </c>
      <c r="AG179" s="143" t="s">
        <v>778</v>
      </c>
      <c r="AH179" s="143" t="s">
        <v>766</v>
      </c>
      <c r="AI179" s="143" t="s">
        <v>727</v>
      </c>
      <c r="AJ179" s="143">
        <v>1155</v>
      </c>
      <c r="AK179" s="143">
        <v>3</v>
      </c>
      <c r="AL179" s="156">
        <v>1.6666666269302399</v>
      </c>
      <c r="AM179" s="156">
        <v>3.3333332538604701</v>
      </c>
      <c r="AN179" s="156">
        <v>3.3333332538604701</v>
      </c>
      <c r="AO179" s="156">
        <v>3.3333332538604701</v>
      </c>
      <c r="AP179" s="156">
        <v>2.3333332538604701</v>
      </c>
      <c r="AQ179" s="156">
        <v>3</v>
      </c>
      <c r="AR179" s="156">
        <v>3.3333332538604701</v>
      </c>
      <c r="AS179" s="169">
        <v>3.1428569999999998</v>
      </c>
    </row>
    <row r="180" spans="1:45" x14ac:dyDescent="0.25">
      <c r="A180" s="143" t="s">
        <v>778</v>
      </c>
      <c r="B180" s="143" t="s">
        <v>766</v>
      </c>
      <c r="C180" s="143" t="s">
        <v>729</v>
      </c>
      <c r="D180" s="143">
        <v>1159</v>
      </c>
      <c r="E180" s="143">
        <v>8</v>
      </c>
      <c r="F180" s="137">
        <v>1</v>
      </c>
      <c r="G180" s="137">
        <v>1</v>
      </c>
      <c r="H180" s="137">
        <v>1</v>
      </c>
      <c r="I180" s="137">
        <v>0</v>
      </c>
      <c r="K180" s="143" t="s">
        <v>778</v>
      </c>
      <c r="L180" s="143" t="s">
        <v>766</v>
      </c>
      <c r="M180" s="143" t="s">
        <v>729</v>
      </c>
      <c r="N180" s="143">
        <v>1159</v>
      </c>
      <c r="O180" s="354">
        <v>0.3993506</v>
      </c>
      <c r="P180" s="354">
        <v>0.6</v>
      </c>
      <c r="Q180" s="354">
        <v>0.99935070000000004</v>
      </c>
      <c r="R180" s="137" t="s">
        <v>3185</v>
      </c>
      <c r="S180" s="137">
        <v>0.3783784</v>
      </c>
      <c r="T180" s="137" t="s">
        <v>3184</v>
      </c>
      <c r="U180" s="137" t="s">
        <v>3184</v>
      </c>
      <c r="W180" s="143" t="s">
        <v>778</v>
      </c>
      <c r="X180" s="143" t="s">
        <v>766</v>
      </c>
      <c r="Y180" s="143" t="s">
        <v>729</v>
      </c>
      <c r="Z180" s="143">
        <v>1159</v>
      </c>
      <c r="AA180" s="143">
        <v>8</v>
      </c>
      <c r="AB180" s="137">
        <v>0</v>
      </c>
      <c r="AC180" s="137">
        <v>0</v>
      </c>
      <c r="AD180" s="137">
        <v>0</v>
      </c>
      <c r="AE180" s="137">
        <v>2.7026999999999999E-2</v>
      </c>
      <c r="AG180" s="143" t="s">
        <v>778</v>
      </c>
      <c r="AH180" s="143" t="s">
        <v>766</v>
      </c>
      <c r="AI180" s="143" t="s">
        <v>729</v>
      </c>
      <c r="AJ180" s="143">
        <v>1159</v>
      </c>
      <c r="AK180" s="143">
        <v>8</v>
      </c>
      <c r="AL180" s="156">
        <v>1.25</v>
      </c>
      <c r="AM180" s="156">
        <v>3.375</v>
      </c>
      <c r="AN180" s="156">
        <v>3.25</v>
      </c>
      <c r="AO180" s="156">
        <v>3</v>
      </c>
      <c r="AP180" s="156">
        <v>2.75</v>
      </c>
      <c r="AQ180" s="156">
        <v>3.5</v>
      </c>
      <c r="AR180" s="156">
        <v>3.5</v>
      </c>
      <c r="AS180" s="169">
        <v>3.3035709999999998</v>
      </c>
    </row>
    <row r="181" spans="1:45" x14ac:dyDescent="0.25">
      <c r="A181" s="143" t="s">
        <v>778</v>
      </c>
      <c r="B181" s="143" t="s">
        <v>766</v>
      </c>
      <c r="C181" s="143" t="s">
        <v>727</v>
      </c>
      <c r="D181" s="143">
        <v>1935</v>
      </c>
      <c r="E181" s="143">
        <v>3</v>
      </c>
      <c r="F181" s="137">
        <v>1</v>
      </c>
      <c r="G181" s="137">
        <v>1</v>
      </c>
      <c r="H181" s="137">
        <v>1</v>
      </c>
      <c r="I181" s="137">
        <v>0</v>
      </c>
      <c r="K181" s="143" t="s">
        <v>778</v>
      </c>
      <c r="L181" s="143" t="s">
        <v>766</v>
      </c>
      <c r="M181" s="143" t="s">
        <v>727</v>
      </c>
      <c r="N181" s="143">
        <v>1935</v>
      </c>
      <c r="O181" s="354">
        <v>0.39653680000000002</v>
      </c>
      <c r="P181" s="354">
        <v>0.6</v>
      </c>
      <c r="Q181" s="354">
        <v>0.99653689999999995</v>
      </c>
      <c r="R181" s="137" t="s">
        <v>3185</v>
      </c>
      <c r="S181" s="137">
        <v>0.53846159999999998</v>
      </c>
      <c r="T181" s="137" t="s">
        <v>3184</v>
      </c>
      <c r="U181" s="137" t="s">
        <v>3184</v>
      </c>
      <c r="W181" s="143" t="s">
        <v>778</v>
      </c>
      <c r="X181" s="143" t="s">
        <v>766</v>
      </c>
      <c r="Y181" s="143" t="s">
        <v>727</v>
      </c>
      <c r="Z181" s="143">
        <v>1935</v>
      </c>
      <c r="AA181" s="143">
        <v>0</v>
      </c>
      <c r="AD181" s="137">
        <v>0</v>
      </c>
      <c r="AG181" s="143" t="s">
        <v>778</v>
      </c>
      <c r="AH181" s="143" t="s">
        <v>766</v>
      </c>
      <c r="AI181" s="143" t="s">
        <v>727</v>
      </c>
      <c r="AJ181" s="143">
        <v>1935</v>
      </c>
      <c r="AK181" s="143">
        <v>3</v>
      </c>
      <c r="AL181" s="156">
        <v>1.6666666269302399</v>
      </c>
      <c r="AM181" s="156">
        <v>3.3333332538604701</v>
      </c>
      <c r="AN181" s="156">
        <v>3</v>
      </c>
      <c r="AO181" s="156">
        <v>3</v>
      </c>
      <c r="AP181" s="156">
        <v>3</v>
      </c>
      <c r="AQ181" s="156">
        <v>3.3333332538604701</v>
      </c>
      <c r="AR181" s="156">
        <v>3.3333332538604701</v>
      </c>
      <c r="AS181" s="169">
        <v>3.1904759999999999</v>
      </c>
    </row>
    <row r="182" spans="1:45" x14ac:dyDescent="0.25">
      <c r="A182" s="143" t="s">
        <v>778</v>
      </c>
      <c r="B182" s="143" t="s">
        <v>766</v>
      </c>
      <c r="C182" s="143" t="s">
        <v>728</v>
      </c>
      <c r="D182" s="143">
        <v>1936</v>
      </c>
      <c r="E182" s="143">
        <v>2</v>
      </c>
      <c r="F182" s="137">
        <v>1</v>
      </c>
      <c r="G182" s="137">
        <v>1</v>
      </c>
      <c r="H182" s="137">
        <v>1</v>
      </c>
      <c r="I182" s="137">
        <v>0</v>
      </c>
      <c r="K182" s="143" t="s">
        <v>778</v>
      </c>
      <c r="L182" s="143" t="s">
        <v>766</v>
      </c>
      <c r="M182" s="143" t="s">
        <v>728</v>
      </c>
      <c r="N182" s="143">
        <v>1936</v>
      </c>
      <c r="O182" s="354">
        <v>0.4</v>
      </c>
      <c r="P182" s="354">
        <v>0.6</v>
      </c>
      <c r="Q182" s="354">
        <v>1</v>
      </c>
      <c r="R182" s="137" t="s">
        <v>3184</v>
      </c>
      <c r="S182" s="137">
        <v>0.5</v>
      </c>
      <c r="T182" s="137" t="s">
        <v>3184</v>
      </c>
      <c r="U182" s="137" t="s">
        <v>3184</v>
      </c>
      <c r="W182" s="143" t="s">
        <v>778</v>
      </c>
      <c r="X182" s="143" t="s">
        <v>766</v>
      </c>
      <c r="Y182" s="143" t="s">
        <v>728</v>
      </c>
      <c r="Z182" s="143">
        <v>1936</v>
      </c>
      <c r="AA182" s="143">
        <v>0</v>
      </c>
      <c r="AD182" s="137">
        <v>0</v>
      </c>
      <c r="AG182" s="143" t="s">
        <v>778</v>
      </c>
      <c r="AH182" s="143" t="s">
        <v>766</v>
      </c>
      <c r="AI182" s="143" t="s">
        <v>728</v>
      </c>
      <c r="AJ182" s="143">
        <v>1936</v>
      </c>
      <c r="AK182" s="143">
        <v>2</v>
      </c>
      <c r="AL182" s="156">
        <v>1.5</v>
      </c>
      <c r="AM182" s="156">
        <v>4</v>
      </c>
      <c r="AN182" s="156">
        <v>3</v>
      </c>
      <c r="AO182" s="156">
        <v>3</v>
      </c>
      <c r="AP182" s="156">
        <v>2.5</v>
      </c>
      <c r="AQ182" s="156">
        <v>4</v>
      </c>
      <c r="AR182" s="156">
        <v>4</v>
      </c>
      <c r="AS182" s="169">
        <v>3.4285709999999998</v>
      </c>
    </row>
    <row r="183" spans="1:45" x14ac:dyDescent="0.25">
      <c r="A183" s="143" t="s">
        <v>778</v>
      </c>
      <c r="B183" s="143" t="s">
        <v>766</v>
      </c>
      <c r="C183" s="143" t="s">
        <v>728</v>
      </c>
      <c r="D183" s="143">
        <v>1953</v>
      </c>
      <c r="E183" s="143">
        <v>2</v>
      </c>
      <c r="F183" s="137">
        <v>1</v>
      </c>
      <c r="G183" s="137">
        <v>1</v>
      </c>
      <c r="H183" s="137">
        <v>1</v>
      </c>
      <c r="I183" s="137">
        <v>0</v>
      </c>
      <c r="K183" s="143" t="s">
        <v>778</v>
      </c>
      <c r="L183" s="143" t="s">
        <v>766</v>
      </c>
      <c r="M183" s="143" t="s">
        <v>728</v>
      </c>
      <c r="N183" s="143">
        <v>1953</v>
      </c>
      <c r="O183" s="354">
        <v>0.38961040000000002</v>
      </c>
      <c r="P183" s="354">
        <v>0.6</v>
      </c>
      <c r="Q183" s="137">
        <v>0.9896104</v>
      </c>
      <c r="R183" s="137" t="s">
        <v>3185</v>
      </c>
      <c r="S183" s="137">
        <v>0.57142859999999995</v>
      </c>
      <c r="T183" s="137" t="s">
        <v>3184</v>
      </c>
      <c r="U183" s="137" t="s">
        <v>3184</v>
      </c>
      <c r="W183" s="143" t="s">
        <v>778</v>
      </c>
      <c r="X183" s="143" t="s">
        <v>766</v>
      </c>
      <c r="Y183" s="143" t="s">
        <v>728</v>
      </c>
      <c r="Z183" s="143">
        <v>1953</v>
      </c>
      <c r="AA183" s="143">
        <v>0</v>
      </c>
      <c r="AD183" s="137">
        <v>0</v>
      </c>
      <c r="AE183" s="137">
        <v>0.28571429999999998</v>
      </c>
      <c r="AG183" s="143" t="s">
        <v>778</v>
      </c>
      <c r="AH183" s="143" t="s">
        <v>766</v>
      </c>
      <c r="AI183" s="143" t="s">
        <v>728</v>
      </c>
      <c r="AJ183" s="143">
        <v>1953</v>
      </c>
      <c r="AK183" s="143">
        <v>2</v>
      </c>
      <c r="AL183" s="156">
        <v>2</v>
      </c>
      <c r="AM183" s="156">
        <v>4</v>
      </c>
      <c r="AN183" s="156">
        <v>3</v>
      </c>
      <c r="AO183" s="156">
        <v>3</v>
      </c>
      <c r="AP183" s="156">
        <v>3</v>
      </c>
      <c r="AQ183" s="156">
        <v>3.5</v>
      </c>
      <c r="AR183" s="156">
        <v>3.5</v>
      </c>
      <c r="AS183" s="169">
        <v>3.285714</v>
      </c>
    </row>
    <row r="184" spans="1:45" x14ac:dyDescent="0.25">
      <c r="A184" s="143" t="s">
        <v>778</v>
      </c>
      <c r="B184" s="143" t="s">
        <v>766</v>
      </c>
      <c r="C184" s="143" t="s">
        <v>728</v>
      </c>
      <c r="D184" s="143">
        <v>2000</v>
      </c>
      <c r="E184" s="143">
        <v>2</v>
      </c>
      <c r="F184" s="137">
        <v>1</v>
      </c>
      <c r="G184" s="137">
        <v>1</v>
      </c>
      <c r="H184" s="137">
        <v>1</v>
      </c>
      <c r="I184" s="137">
        <v>0</v>
      </c>
      <c r="K184" s="143" t="s">
        <v>778</v>
      </c>
      <c r="L184" s="143" t="s">
        <v>766</v>
      </c>
      <c r="M184" s="143" t="s">
        <v>728</v>
      </c>
      <c r="N184" s="143">
        <v>2000</v>
      </c>
      <c r="O184" s="354">
        <v>0.4</v>
      </c>
      <c r="P184" s="354">
        <v>0.6</v>
      </c>
      <c r="Q184" s="354">
        <v>1</v>
      </c>
      <c r="R184" s="137" t="s">
        <v>3184</v>
      </c>
      <c r="S184" s="137">
        <v>0.5</v>
      </c>
      <c r="T184" s="137" t="s">
        <v>3184</v>
      </c>
      <c r="U184" s="137" t="s">
        <v>3184</v>
      </c>
      <c r="W184" s="143" t="s">
        <v>778</v>
      </c>
      <c r="X184" s="143" t="s">
        <v>766</v>
      </c>
      <c r="Y184" s="143" t="s">
        <v>728</v>
      </c>
      <c r="Z184" s="143">
        <v>2000</v>
      </c>
      <c r="AA184" s="143">
        <v>0</v>
      </c>
      <c r="AD184" s="137">
        <v>0</v>
      </c>
      <c r="AG184" s="143" t="s">
        <v>778</v>
      </c>
      <c r="AH184" s="143" t="s">
        <v>766</v>
      </c>
      <c r="AI184" s="143" t="s">
        <v>728</v>
      </c>
      <c r="AJ184" s="143">
        <v>2000</v>
      </c>
      <c r="AK184" s="143">
        <v>2</v>
      </c>
      <c r="AL184" s="156">
        <v>1</v>
      </c>
      <c r="AM184" s="156">
        <v>4</v>
      </c>
      <c r="AN184" s="156">
        <v>3.5</v>
      </c>
      <c r="AO184" s="156">
        <v>3</v>
      </c>
      <c r="AP184" s="156">
        <v>3</v>
      </c>
      <c r="AQ184" s="156">
        <v>4</v>
      </c>
      <c r="AR184" s="156">
        <v>3</v>
      </c>
      <c r="AS184" s="169">
        <v>3.5</v>
      </c>
    </row>
    <row r="185" spans="1:45" x14ac:dyDescent="0.25">
      <c r="A185" s="143" t="s">
        <v>778</v>
      </c>
      <c r="B185" s="143" t="s">
        <v>766</v>
      </c>
      <c r="C185" s="143" t="s">
        <v>680</v>
      </c>
      <c r="D185" s="143">
        <v>2648</v>
      </c>
      <c r="E185" s="143">
        <v>2</v>
      </c>
      <c r="F185" s="137">
        <v>1</v>
      </c>
      <c r="G185" s="137">
        <v>1</v>
      </c>
      <c r="H185" s="137">
        <v>1</v>
      </c>
      <c r="I185" s="137">
        <v>0</v>
      </c>
      <c r="K185" s="143" t="s">
        <v>778</v>
      </c>
      <c r="L185" s="143" t="s">
        <v>766</v>
      </c>
      <c r="M185" s="143" t="s">
        <v>680</v>
      </c>
      <c r="N185" s="143">
        <v>2648</v>
      </c>
      <c r="O185" s="354">
        <v>0.3922078</v>
      </c>
      <c r="P185" s="354">
        <v>0.6</v>
      </c>
      <c r="Q185" s="354">
        <v>0.99220779999999997</v>
      </c>
      <c r="R185" s="137" t="s">
        <v>3185</v>
      </c>
      <c r="S185" s="137">
        <v>0.5</v>
      </c>
      <c r="T185" s="137" t="s">
        <v>3184</v>
      </c>
      <c r="W185" s="143" t="s">
        <v>778</v>
      </c>
      <c r="X185" s="143" t="s">
        <v>766</v>
      </c>
      <c r="Y185" s="143" t="s">
        <v>680</v>
      </c>
      <c r="Z185" s="143">
        <v>2648</v>
      </c>
      <c r="AA185" s="143">
        <v>0</v>
      </c>
      <c r="AD185" s="137">
        <v>0</v>
      </c>
      <c r="AG185" s="143" t="s">
        <v>778</v>
      </c>
      <c r="AH185" s="143" t="s">
        <v>766</v>
      </c>
      <c r="AI185" s="143" t="s">
        <v>680</v>
      </c>
      <c r="AJ185" s="143">
        <v>2648</v>
      </c>
      <c r="AK185" s="143">
        <v>2</v>
      </c>
      <c r="AL185" s="156">
        <v>1.5</v>
      </c>
      <c r="AM185" s="156">
        <v>4</v>
      </c>
      <c r="AN185" s="156">
        <v>3.5</v>
      </c>
      <c r="AO185" s="156">
        <v>3</v>
      </c>
      <c r="AP185" s="156">
        <v>3</v>
      </c>
      <c r="AQ185" s="156">
        <v>4</v>
      </c>
      <c r="AR185" s="156">
        <v>3.5</v>
      </c>
      <c r="AS185" s="169">
        <v>3.5</v>
      </c>
    </row>
    <row r="186" spans="1:45" x14ac:dyDescent="0.25">
      <c r="A186" s="143" t="s">
        <v>778</v>
      </c>
      <c r="B186" s="143" t="s">
        <v>766</v>
      </c>
      <c r="C186" s="143" t="s">
        <v>680</v>
      </c>
      <c r="D186" s="143">
        <v>2649</v>
      </c>
      <c r="E186" s="143">
        <v>2</v>
      </c>
      <c r="F186" s="137">
        <v>1</v>
      </c>
      <c r="G186" s="137">
        <v>1</v>
      </c>
      <c r="H186" s="137">
        <v>1</v>
      </c>
      <c r="I186" s="137">
        <v>0</v>
      </c>
      <c r="K186" s="143" t="s">
        <v>778</v>
      </c>
      <c r="L186" s="143" t="s">
        <v>766</v>
      </c>
      <c r="M186" s="143" t="s">
        <v>680</v>
      </c>
      <c r="N186" s="143">
        <v>2649</v>
      </c>
      <c r="O186" s="354">
        <v>0.3558441</v>
      </c>
      <c r="P186" s="354">
        <v>0.6</v>
      </c>
      <c r="Q186" s="354">
        <v>0.95584420000000003</v>
      </c>
      <c r="R186" s="137" t="s">
        <v>3185</v>
      </c>
      <c r="S186" s="137">
        <v>0.8</v>
      </c>
      <c r="T186" s="137" t="s">
        <v>3184</v>
      </c>
      <c r="W186" s="143" t="s">
        <v>778</v>
      </c>
      <c r="X186" s="143" t="s">
        <v>766</v>
      </c>
      <c r="Y186" s="143" t="s">
        <v>680</v>
      </c>
      <c r="Z186" s="143">
        <v>2649</v>
      </c>
      <c r="AA186" s="143">
        <v>0</v>
      </c>
      <c r="AD186" s="137">
        <v>0.2</v>
      </c>
      <c r="AE186" s="137">
        <v>0</v>
      </c>
      <c r="AG186" s="143" t="s">
        <v>778</v>
      </c>
      <c r="AH186" s="143" t="s">
        <v>766</v>
      </c>
      <c r="AI186" s="143" t="s">
        <v>680</v>
      </c>
      <c r="AJ186" s="143">
        <v>2649</v>
      </c>
      <c r="AK186" s="143">
        <v>2</v>
      </c>
      <c r="AL186" s="156">
        <v>2.5</v>
      </c>
      <c r="AM186" s="156">
        <v>3</v>
      </c>
      <c r="AN186" s="156">
        <v>2.5</v>
      </c>
      <c r="AO186" s="156">
        <v>3</v>
      </c>
      <c r="AP186" s="156">
        <v>2</v>
      </c>
      <c r="AQ186" s="156">
        <v>2.5</v>
      </c>
      <c r="AR186" s="156">
        <v>3.5</v>
      </c>
      <c r="AS186" s="169">
        <v>2.714286</v>
      </c>
    </row>
    <row r="187" spans="1:45" x14ac:dyDescent="0.25">
      <c r="A187" s="143" t="s">
        <v>778</v>
      </c>
      <c r="B187" s="143" t="s">
        <v>766</v>
      </c>
      <c r="C187" s="143" t="s">
        <v>680</v>
      </c>
      <c r="D187" s="143">
        <v>2949</v>
      </c>
      <c r="E187" s="143">
        <v>2</v>
      </c>
      <c r="F187" s="137">
        <v>1</v>
      </c>
      <c r="G187" s="137">
        <v>1</v>
      </c>
      <c r="H187" s="137">
        <v>1</v>
      </c>
      <c r="I187" s="137">
        <v>0</v>
      </c>
      <c r="K187" s="143" t="s">
        <v>778</v>
      </c>
      <c r="L187" s="143" t="s">
        <v>766</v>
      </c>
      <c r="M187" s="143" t="s">
        <v>680</v>
      </c>
      <c r="N187" s="143">
        <v>2949</v>
      </c>
      <c r="O187" s="354">
        <v>0.4</v>
      </c>
      <c r="P187" s="354">
        <v>0.6</v>
      </c>
      <c r="Q187" s="137">
        <v>1</v>
      </c>
      <c r="R187" s="137" t="s">
        <v>3184</v>
      </c>
      <c r="S187" s="137">
        <v>0.75</v>
      </c>
      <c r="T187" s="137" t="s">
        <v>3184</v>
      </c>
      <c r="W187" s="143" t="s">
        <v>778</v>
      </c>
      <c r="X187" s="143" t="s">
        <v>766</v>
      </c>
      <c r="Y187" s="143" t="s">
        <v>680</v>
      </c>
      <c r="Z187" s="143">
        <v>2949</v>
      </c>
      <c r="AA187" s="143">
        <v>0</v>
      </c>
      <c r="AD187" s="137">
        <v>0</v>
      </c>
      <c r="AG187" s="143" t="s">
        <v>778</v>
      </c>
      <c r="AH187" s="143" t="s">
        <v>766</v>
      </c>
      <c r="AI187" s="143" t="s">
        <v>680</v>
      </c>
      <c r="AJ187" s="143">
        <v>2949</v>
      </c>
      <c r="AK187" s="143">
        <v>2</v>
      </c>
      <c r="AL187" s="156">
        <v>1.5</v>
      </c>
      <c r="AM187" s="156">
        <v>4</v>
      </c>
      <c r="AN187" s="156">
        <v>3</v>
      </c>
      <c r="AO187" s="156">
        <v>3</v>
      </c>
      <c r="AP187" s="156">
        <v>1.5</v>
      </c>
      <c r="AQ187" s="156">
        <v>3.5</v>
      </c>
      <c r="AR187" s="156">
        <v>4</v>
      </c>
      <c r="AS187" s="169">
        <v>3.214286</v>
      </c>
    </row>
    <row r="188" spans="1:45" x14ac:dyDescent="0.25">
      <c r="A188" s="143" t="s">
        <v>778</v>
      </c>
      <c r="B188" s="143" t="s">
        <v>766</v>
      </c>
      <c r="C188" s="143" t="s">
        <v>680</v>
      </c>
      <c r="D188" s="143">
        <v>3966</v>
      </c>
      <c r="E188" s="143">
        <v>2</v>
      </c>
      <c r="F188" s="137">
        <v>1</v>
      </c>
      <c r="G188" s="137">
        <v>1</v>
      </c>
      <c r="H188" s="137">
        <v>1</v>
      </c>
      <c r="I188" s="137">
        <v>0</v>
      </c>
      <c r="K188" s="143" t="s">
        <v>778</v>
      </c>
      <c r="L188" s="143" t="s">
        <v>766</v>
      </c>
      <c r="M188" s="143" t="s">
        <v>680</v>
      </c>
      <c r="N188" s="143">
        <v>3966</v>
      </c>
      <c r="O188" s="354">
        <v>0.4</v>
      </c>
      <c r="P188" s="354">
        <v>0</v>
      </c>
      <c r="Q188" s="354">
        <v>0.4</v>
      </c>
      <c r="R188" s="137" t="s">
        <v>3185</v>
      </c>
      <c r="S188" s="137">
        <v>0.5</v>
      </c>
      <c r="T188" s="137" t="s">
        <v>3185</v>
      </c>
      <c r="W188" s="143" t="s">
        <v>778</v>
      </c>
      <c r="X188" s="143" t="s">
        <v>766</v>
      </c>
      <c r="Y188" s="143" t="s">
        <v>680</v>
      </c>
      <c r="Z188" s="143">
        <v>3966</v>
      </c>
      <c r="AA188" s="143">
        <v>0</v>
      </c>
      <c r="AD188" s="137">
        <v>0</v>
      </c>
      <c r="AG188" s="143" t="s">
        <v>778</v>
      </c>
      <c r="AH188" s="143" t="s">
        <v>766</v>
      </c>
      <c r="AI188" s="143" t="s">
        <v>680</v>
      </c>
      <c r="AJ188" s="143">
        <v>3966</v>
      </c>
      <c r="AK188" s="143">
        <v>2</v>
      </c>
      <c r="AL188" s="156">
        <v>2</v>
      </c>
      <c r="AM188" s="156">
        <v>3</v>
      </c>
      <c r="AN188" s="156">
        <v>2.5</v>
      </c>
      <c r="AO188" s="156">
        <v>3</v>
      </c>
      <c r="AP188" s="156">
        <v>1.5</v>
      </c>
      <c r="AQ188" s="156">
        <v>3</v>
      </c>
      <c r="AR188" s="156">
        <v>3</v>
      </c>
      <c r="AS188" s="169">
        <v>2.714286</v>
      </c>
    </row>
    <row r="189" spans="1:45" x14ac:dyDescent="0.25">
      <c r="A189" s="143" t="s">
        <v>779</v>
      </c>
      <c r="B189" s="143" t="s">
        <v>780</v>
      </c>
      <c r="C189" s="143" t="s">
        <v>727</v>
      </c>
      <c r="D189" s="143">
        <v>227</v>
      </c>
      <c r="E189" s="143">
        <v>3</v>
      </c>
      <c r="F189" s="137">
        <v>1</v>
      </c>
      <c r="G189" s="137">
        <v>1</v>
      </c>
      <c r="H189" s="137">
        <v>0</v>
      </c>
      <c r="I189" s="137">
        <v>0</v>
      </c>
      <c r="K189" s="143" t="s">
        <v>779</v>
      </c>
      <c r="L189" s="143" t="s">
        <v>780</v>
      </c>
      <c r="M189" s="143" t="s">
        <v>727</v>
      </c>
      <c r="N189" s="143">
        <v>227</v>
      </c>
      <c r="O189" s="354">
        <v>0.4</v>
      </c>
      <c r="P189" s="354">
        <v>0.6</v>
      </c>
      <c r="Q189" s="354">
        <v>1</v>
      </c>
      <c r="R189" s="137" t="s">
        <v>3184</v>
      </c>
      <c r="S189" s="137">
        <v>0.46666669999999999</v>
      </c>
      <c r="T189" s="137" t="s">
        <v>3184</v>
      </c>
      <c r="U189" s="137" t="s">
        <v>3184</v>
      </c>
      <c r="W189" s="143" t="s">
        <v>779</v>
      </c>
      <c r="X189" s="143" t="s">
        <v>780</v>
      </c>
      <c r="Y189" s="143" t="s">
        <v>727</v>
      </c>
      <c r="Z189" s="143">
        <v>227</v>
      </c>
      <c r="AA189" s="143">
        <v>0</v>
      </c>
      <c r="AD189" s="137">
        <v>0</v>
      </c>
      <c r="AE189" s="137">
        <v>6.6666699999999995E-2</v>
      </c>
      <c r="AG189" s="143" t="s">
        <v>779</v>
      </c>
      <c r="AH189" s="143" t="s">
        <v>780</v>
      </c>
      <c r="AI189" s="143" t="s">
        <v>727</v>
      </c>
      <c r="AJ189" s="143">
        <v>227</v>
      </c>
      <c r="AK189" s="143">
        <v>3</v>
      </c>
      <c r="AL189" s="156">
        <v>1.6666666269302399</v>
      </c>
      <c r="AM189" s="156">
        <v>3.6666667461395299</v>
      </c>
      <c r="AN189" s="156">
        <v>3.6666667461395299</v>
      </c>
      <c r="AO189" s="156">
        <v>3.6666667461395299</v>
      </c>
      <c r="AP189" s="156">
        <v>4</v>
      </c>
      <c r="AQ189" s="156">
        <v>2</v>
      </c>
      <c r="AR189" s="156">
        <v>4</v>
      </c>
      <c r="AS189" s="169">
        <v>3.476191</v>
      </c>
    </row>
    <row r="190" spans="1:45" x14ac:dyDescent="0.25">
      <c r="A190" s="143" t="s">
        <v>779</v>
      </c>
      <c r="B190" s="143" t="s">
        <v>780</v>
      </c>
      <c r="C190" s="143" t="s">
        <v>728</v>
      </c>
      <c r="D190" s="143">
        <v>229</v>
      </c>
      <c r="E190" s="143">
        <v>2</v>
      </c>
      <c r="F190" s="137">
        <v>1</v>
      </c>
      <c r="G190" s="137">
        <v>1</v>
      </c>
      <c r="H190" s="137">
        <v>0</v>
      </c>
      <c r="I190" s="137">
        <v>0</v>
      </c>
      <c r="K190" s="143" t="s">
        <v>779</v>
      </c>
      <c r="L190" s="143" t="s">
        <v>780</v>
      </c>
      <c r="M190" s="143" t="s">
        <v>728</v>
      </c>
      <c r="N190" s="143">
        <v>229</v>
      </c>
      <c r="O190" s="354">
        <v>0.39740259999999999</v>
      </c>
      <c r="P190" s="354">
        <v>0.6</v>
      </c>
      <c r="Q190" s="354">
        <v>0.99740260000000003</v>
      </c>
      <c r="R190" s="137" t="s">
        <v>3185</v>
      </c>
      <c r="S190" s="137">
        <v>0.5</v>
      </c>
      <c r="T190" s="137" t="s">
        <v>3184</v>
      </c>
      <c r="U190" s="137" t="s">
        <v>3184</v>
      </c>
      <c r="W190" s="143" t="s">
        <v>779</v>
      </c>
      <c r="X190" s="143" t="s">
        <v>780</v>
      </c>
      <c r="Y190" s="143" t="s">
        <v>728</v>
      </c>
      <c r="Z190" s="143">
        <v>229</v>
      </c>
      <c r="AA190" s="143">
        <v>0</v>
      </c>
      <c r="AD190" s="137">
        <v>0</v>
      </c>
      <c r="AG190" s="143" t="s">
        <v>779</v>
      </c>
      <c r="AH190" s="143" t="s">
        <v>780</v>
      </c>
      <c r="AI190" s="143" t="s">
        <v>728</v>
      </c>
      <c r="AJ190" s="143">
        <v>229</v>
      </c>
      <c r="AK190" s="143">
        <v>2</v>
      </c>
      <c r="AL190" s="156">
        <v>2</v>
      </c>
      <c r="AM190" s="156">
        <v>3</v>
      </c>
      <c r="AN190" s="156">
        <v>3.5</v>
      </c>
      <c r="AO190" s="156">
        <v>3.5</v>
      </c>
      <c r="AP190" s="156">
        <v>2.5</v>
      </c>
      <c r="AQ190" s="156">
        <v>2</v>
      </c>
      <c r="AR190" s="156">
        <v>2.5</v>
      </c>
      <c r="AS190" s="169">
        <v>2.8571430000000002</v>
      </c>
    </row>
    <row r="191" spans="1:45" x14ac:dyDescent="0.25">
      <c r="A191" s="143" t="s">
        <v>779</v>
      </c>
      <c r="B191" s="143" t="s">
        <v>780</v>
      </c>
      <c r="C191" s="143" t="s">
        <v>729</v>
      </c>
      <c r="D191" s="143">
        <v>238</v>
      </c>
      <c r="E191" s="143">
        <v>8</v>
      </c>
      <c r="F191" s="137">
        <v>1</v>
      </c>
      <c r="G191" s="137">
        <v>1</v>
      </c>
      <c r="H191" s="137">
        <v>0</v>
      </c>
      <c r="I191" s="137">
        <v>0</v>
      </c>
      <c r="K191" s="143" t="s">
        <v>779</v>
      </c>
      <c r="L191" s="143" t="s">
        <v>780</v>
      </c>
      <c r="M191" s="143" t="s">
        <v>729</v>
      </c>
      <c r="N191" s="143">
        <v>238</v>
      </c>
      <c r="O191" s="354">
        <v>0.3993506</v>
      </c>
      <c r="P191" s="354">
        <v>0.6</v>
      </c>
      <c r="Q191" s="137">
        <v>0.99935070000000004</v>
      </c>
      <c r="R191" s="137" t="s">
        <v>3185</v>
      </c>
      <c r="S191" s="137">
        <v>0.368421</v>
      </c>
      <c r="T191" s="137" t="s">
        <v>3184</v>
      </c>
      <c r="U191" s="137" t="s">
        <v>3185</v>
      </c>
      <c r="W191" s="143" t="s">
        <v>779</v>
      </c>
      <c r="X191" s="143" t="s">
        <v>780</v>
      </c>
      <c r="Y191" s="143" t="s">
        <v>729</v>
      </c>
      <c r="Z191" s="143">
        <v>238</v>
      </c>
      <c r="AA191" s="143">
        <v>8</v>
      </c>
      <c r="AB191" s="137">
        <v>0.125</v>
      </c>
      <c r="AC191" s="137">
        <v>0</v>
      </c>
      <c r="AD191" s="137">
        <v>0</v>
      </c>
      <c r="AE191" s="137">
        <v>5.2631600000000001E-2</v>
      </c>
      <c r="AG191" s="143" t="s">
        <v>779</v>
      </c>
      <c r="AH191" s="143" t="s">
        <v>780</v>
      </c>
      <c r="AI191" s="143" t="s">
        <v>729</v>
      </c>
      <c r="AJ191" s="143">
        <v>238</v>
      </c>
      <c r="AK191" s="143">
        <v>8</v>
      </c>
      <c r="AL191" s="156">
        <v>1.625</v>
      </c>
      <c r="AM191" s="156">
        <v>3.625</v>
      </c>
      <c r="AN191" s="156">
        <v>3.625</v>
      </c>
      <c r="AO191" s="156">
        <v>3.375</v>
      </c>
      <c r="AP191" s="156">
        <v>2.875</v>
      </c>
      <c r="AQ191" s="156">
        <v>3.25</v>
      </c>
      <c r="AR191" s="156">
        <v>3.75</v>
      </c>
      <c r="AS191" s="169">
        <v>3.410714</v>
      </c>
    </row>
    <row r="192" spans="1:45" x14ac:dyDescent="0.25">
      <c r="A192" s="143" t="s">
        <v>779</v>
      </c>
      <c r="B192" s="143" t="s">
        <v>780</v>
      </c>
      <c r="C192" s="143" t="s">
        <v>728</v>
      </c>
      <c r="D192" s="143">
        <v>1523</v>
      </c>
      <c r="E192" s="143">
        <v>2</v>
      </c>
      <c r="F192" s="137">
        <v>1</v>
      </c>
      <c r="G192" s="137">
        <v>1</v>
      </c>
      <c r="H192" s="137">
        <v>0</v>
      </c>
      <c r="I192" s="137">
        <v>0</v>
      </c>
      <c r="K192" s="143" t="s">
        <v>779</v>
      </c>
      <c r="L192" s="143" t="s">
        <v>780</v>
      </c>
      <c r="M192" s="143" t="s">
        <v>728</v>
      </c>
      <c r="N192" s="143">
        <v>1523</v>
      </c>
      <c r="O192" s="354">
        <v>0.4</v>
      </c>
      <c r="P192" s="354">
        <v>0.6</v>
      </c>
      <c r="Q192" s="354">
        <v>1</v>
      </c>
      <c r="R192" s="137" t="s">
        <v>3184</v>
      </c>
      <c r="S192" s="137">
        <v>0.5</v>
      </c>
      <c r="T192" s="137" t="s">
        <v>3184</v>
      </c>
      <c r="U192" s="137" t="s">
        <v>3184</v>
      </c>
      <c r="W192" s="143" t="s">
        <v>779</v>
      </c>
      <c r="X192" s="143" t="s">
        <v>780</v>
      </c>
      <c r="Y192" s="143" t="s">
        <v>728</v>
      </c>
      <c r="Z192" s="143">
        <v>1523</v>
      </c>
      <c r="AA192" s="143">
        <v>0</v>
      </c>
      <c r="AD192" s="137">
        <v>0</v>
      </c>
      <c r="AE192" s="137">
        <v>0.1666667</v>
      </c>
      <c r="AG192" s="143" t="s">
        <v>779</v>
      </c>
      <c r="AH192" s="143" t="s">
        <v>780</v>
      </c>
      <c r="AI192" s="143" t="s">
        <v>728</v>
      </c>
      <c r="AJ192" s="143">
        <v>1523</v>
      </c>
      <c r="AK192" s="143">
        <v>2</v>
      </c>
      <c r="AL192" s="156">
        <v>1.5</v>
      </c>
      <c r="AM192" s="156">
        <v>3</v>
      </c>
      <c r="AN192" s="156">
        <v>3.5</v>
      </c>
      <c r="AO192" s="156">
        <v>4</v>
      </c>
      <c r="AP192" s="156">
        <v>1.5</v>
      </c>
      <c r="AQ192" s="156">
        <v>4</v>
      </c>
      <c r="AR192" s="156">
        <v>3.5</v>
      </c>
      <c r="AS192" s="169">
        <v>3.285714</v>
      </c>
    </row>
    <row r="193" spans="1:45" x14ac:dyDescent="0.25">
      <c r="A193" s="143" t="s">
        <v>779</v>
      </c>
      <c r="B193" s="143" t="s">
        <v>780</v>
      </c>
      <c r="C193" s="143" t="s">
        <v>728</v>
      </c>
      <c r="D193" s="143">
        <v>1876</v>
      </c>
      <c r="E193" s="143">
        <v>2</v>
      </c>
      <c r="F193" s="137">
        <v>1</v>
      </c>
      <c r="G193" s="137">
        <v>1</v>
      </c>
      <c r="H193" s="137">
        <v>0</v>
      </c>
      <c r="I193" s="137">
        <v>0</v>
      </c>
      <c r="K193" s="143" t="s">
        <v>779</v>
      </c>
      <c r="L193" s="143" t="s">
        <v>780</v>
      </c>
      <c r="M193" s="143" t="s">
        <v>728</v>
      </c>
      <c r="N193" s="143">
        <v>1876</v>
      </c>
      <c r="O193" s="354">
        <v>0.4</v>
      </c>
      <c r="P193" s="354">
        <v>0.6</v>
      </c>
      <c r="Q193" s="137">
        <v>1</v>
      </c>
      <c r="R193" s="137" t="s">
        <v>3184</v>
      </c>
      <c r="S193" s="137">
        <v>0.28571429999999998</v>
      </c>
      <c r="T193" s="137" t="s">
        <v>3184</v>
      </c>
      <c r="U193" s="137" t="s">
        <v>3185</v>
      </c>
      <c r="W193" s="143" t="s">
        <v>779</v>
      </c>
      <c r="X193" s="143" t="s">
        <v>780</v>
      </c>
      <c r="Y193" s="143" t="s">
        <v>728</v>
      </c>
      <c r="Z193" s="143">
        <v>1876</v>
      </c>
      <c r="AA193" s="143">
        <v>0</v>
      </c>
      <c r="AD193" s="137">
        <v>0</v>
      </c>
      <c r="AG193" s="143" t="s">
        <v>779</v>
      </c>
      <c r="AH193" s="143" t="s">
        <v>780</v>
      </c>
      <c r="AI193" s="143" t="s">
        <v>728</v>
      </c>
      <c r="AJ193" s="143">
        <v>1876</v>
      </c>
      <c r="AK193" s="143">
        <v>2</v>
      </c>
      <c r="AL193" s="156">
        <v>1.5</v>
      </c>
      <c r="AM193" s="156">
        <v>3.5</v>
      </c>
      <c r="AN193" s="156">
        <v>3.5</v>
      </c>
      <c r="AO193" s="156">
        <v>4</v>
      </c>
      <c r="AP193" s="156">
        <v>2.5</v>
      </c>
      <c r="AQ193" s="156">
        <v>3.5</v>
      </c>
      <c r="AR193" s="156">
        <v>4</v>
      </c>
      <c r="AS193" s="169">
        <v>3.5</v>
      </c>
    </row>
    <row r="194" spans="1:45" x14ac:dyDescent="0.25">
      <c r="A194" s="143" t="s">
        <v>779</v>
      </c>
      <c r="B194" s="143" t="s">
        <v>780</v>
      </c>
      <c r="C194" s="143" t="s">
        <v>728</v>
      </c>
      <c r="D194" s="143">
        <v>2074</v>
      </c>
      <c r="E194" s="143">
        <v>2</v>
      </c>
      <c r="F194" s="137">
        <v>1</v>
      </c>
      <c r="G194" s="137">
        <v>1</v>
      </c>
      <c r="H194" s="137">
        <v>0</v>
      </c>
      <c r="I194" s="137">
        <v>0</v>
      </c>
      <c r="K194" s="143" t="s">
        <v>779</v>
      </c>
      <c r="L194" s="143" t="s">
        <v>780</v>
      </c>
      <c r="M194" s="143" t="s">
        <v>728</v>
      </c>
      <c r="N194" s="143">
        <v>2074</v>
      </c>
      <c r="O194" s="354">
        <v>0.4</v>
      </c>
      <c r="P194" s="354">
        <v>0.6</v>
      </c>
      <c r="Q194" s="354">
        <v>1</v>
      </c>
      <c r="R194" s="137" t="s">
        <v>3184</v>
      </c>
      <c r="S194" s="137">
        <v>0.5</v>
      </c>
      <c r="T194" s="137" t="s">
        <v>3184</v>
      </c>
      <c r="U194" s="137" t="s">
        <v>3184</v>
      </c>
      <c r="W194" s="143" t="s">
        <v>779</v>
      </c>
      <c r="X194" s="143" t="s">
        <v>780</v>
      </c>
      <c r="Y194" s="143" t="s">
        <v>728</v>
      </c>
      <c r="Z194" s="143">
        <v>2074</v>
      </c>
      <c r="AA194" s="143">
        <v>0</v>
      </c>
      <c r="AD194" s="137">
        <v>0.1666667</v>
      </c>
      <c r="AE194" s="137">
        <v>0</v>
      </c>
      <c r="AG194" s="143" t="s">
        <v>779</v>
      </c>
      <c r="AH194" s="143" t="s">
        <v>780</v>
      </c>
      <c r="AI194" s="143" t="s">
        <v>728</v>
      </c>
      <c r="AJ194" s="143">
        <v>2074</v>
      </c>
      <c r="AK194" s="143">
        <v>2</v>
      </c>
      <c r="AL194" s="156">
        <v>3</v>
      </c>
      <c r="AM194" s="156">
        <v>3.5</v>
      </c>
      <c r="AN194" s="156">
        <v>3</v>
      </c>
      <c r="AO194" s="156">
        <v>4</v>
      </c>
      <c r="AP194" s="156">
        <v>2</v>
      </c>
      <c r="AQ194" s="156">
        <v>3</v>
      </c>
      <c r="AR194" s="156">
        <v>3</v>
      </c>
      <c r="AS194" s="169">
        <v>2.9285709999999998</v>
      </c>
    </row>
    <row r="195" spans="1:45" x14ac:dyDescent="0.25">
      <c r="A195" s="143" t="s">
        <v>779</v>
      </c>
      <c r="B195" s="143" t="s">
        <v>780</v>
      </c>
      <c r="C195" s="143" t="s">
        <v>728</v>
      </c>
      <c r="D195" s="143">
        <v>2111</v>
      </c>
      <c r="E195" s="143">
        <v>2</v>
      </c>
      <c r="F195" s="137">
        <v>1</v>
      </c>
      <c r="G195" s="137">
        <v>1</v>
      </c>
      <c r="H195" s="137">
        <v>0</v>
      </c>
      <c r="I195" s="137">
        <v>0</v>
      </c>
      <c r="K195" s="143" t="s">
        <v>779</v>
      </c>
      <c r="L195" s="143" t="s">
        <v>780</v>
      </c>
      <c r="M195" s="143" t="s">
        <v>728</v>
      </c>
      <c r="N195" s="143">
        <v>2111</v>
      </c>
      <c r="O195" s="354">
        <v>0.4</v>
      </c>
      <c r="P195" s="354">
        <v>0.6</v>
      </c>
      <c r="Q195" s="354">
        <v>1</v>
      </c>
      <c r="R195" s="137" t="s">
        <v>3184</v>
      </c>
      <c r="S195" s="137">
        <v>0.3333333</v>
      </c>
      <c r="T195" s="137" t="s">
        <v>3184</v>
      </c>
      <c r="U195" s="137" t="s">
        <v>3184</v>
      </c>
      <c r="W195" s="143" t="s">
        <v>779</v>
      </c>
      <c r="X195" s="143" t="s">
        <v>780</v>
      </c>
      <c r="Y195" s="143" t="s">
        <v>728</v>
      </c>
      <c r="Z195" s="143">
        <v>2111</v>
      </c>
      <c r="AA195" s="143">
        <v>0</v>
      </c>
      <c r="AD195" s="137">
        <v>0.3333333</v>
      </c>
      <c r="AE195" s="137">
        <v>0</v>
      </c>
      <c r="AG195" s="143" t="s">
        <v>779</v>
      </c>
      <c r="AH195" s="143" t="s">
        <v>780</v>
      </c>
      <c r="AI195" s="143" t="s">
        <v>728</v>
      </c>
      <c r="AJ195" s="143">
        <v>2111</v>
      </c>
      <c r="AK195" s="143">
        <v>2</v>
      </c>
      <c r="AL195" s="156">
        <v>3</v>
      </c>
      <c r="AM195" s="156">
        <v>3.5</v>
      </c>
      <c r="AN195" s="156">
        <v>3.5</v>
      </c>
      <c r="AO195" s="156">
        <v>3.5</v>
      </c>
      <c r="AP195" s="156">
        <v>3.5</v>
      </c>
      <c r="AQ195" s="156">
        <v>2.5</v>
      </c>
      <c r="AR195" s="156">
        <v>3.5</v>
      </c>
      <c r="AS195" s="169">
        <v>3.1428569999999998</v>
      </c>
    </row>
    <row r="196" spans="1:45" x14ac:dyDescent="0.25">
      <c r="A196" s="143" t="s">
        <v>779</v>
      </c>
      <c r="B196" s="143" t="s">
        <v>780</v>
      </c>
      <c r="C196" s="143" t="s">
        <v>680</v>
      </c>
      <c r="D196" s="143">
        <v>2576</v>
      </c>
      <c r="E196" s="143">
        <v>2</v>
      </c>
      <c r="F196" s="137">
        <v>1</v>
      </c>
      <c r="G196" s="137">
        <v>1</v>
      </c>
      <c r="H196" s="137">
        <v>0</v>
      </c>
      <c r="I196" s="137">
        <v>0</v>
      </c>
      <c r="K196" s="143" t="s">
        <v>779</v>
      </c>
      <c r="L196" s="143" t="s">
        <v>780</v>
      </c>
      <c r="M196" s="143" t="s">
        <v>680</v>
      </c>
      <c r="N196" s="143">
        <v>2576</v>
      </c>
      <c r="O196" s="354">
        <v>0.4</v>
      </c>
      <c r="P196" s="354">
        <v>0.6</v>
      </c>
      <c r="Q196" s="354">
        <v>1</v>
      </c>
      <c r="R196" s="137" t="s">
        <v>3184</v>
      </c>
      <c r="S196" s="137">
        <v>0.5</v>
      </c>
      <c r="T196" s="137" t="s">
        <v>3184</v>
      </c>
      <c r="W196" s="143" t="s">
        <v>779</v>
      </c>
      <c r="X196" s="143" t="s">
        <v>780</v>
      </c>
      <c r="Y196" s="143" t="s">
        <v>680</v>
      </c>
      <c r="Z196" s="143">
        <v>2576</v>
      </c>
      <c r="AA196" s="143">
        <v>0</v>
      </c>
      <c r="AD196" s="137">
        <v>0</v>
      </c>
      <c r="AG196" s="143" t="s">
        <v>779</v>
      </c>
      <c r="AH196" s="143" t="s">
        <v>780</v>
      </c>
      <c r="AI196" s="143" t="s">
        <v>680</v>
      </c>
      <c r="AJ196" s="143">
        <v>2576</v>
      </c>
      <c r="AK196" s="143">
        <v>2</v>
      </c>
      <c r="AL196" s="156">
        <v>3</v>
      </c>
      <c r="AM196" s="156">
        <v>3.5</v>
      </c>
      <c r="AN196" s="156">
        <v>3.5</v>
      </c>
      <c r="AO196" s="156">
        <v>3.5</v>
      </c>
      <c r="AP196" s="156">
        <v>1.5</v>
      </c>
      <c r="AQ196" s="156">
        <v>3</v>
      </c>
      <c r="AR196" s="156">
        <v>3.5</v>
      </c>
      <c r="AS196" s="169">
        <v>2.9285709999999998</v>
      </c>
    </row>
    <row r="197" spans="1:45" x14ac:dyDescent="0.25">
      <c r="A197" s="143" t="s">
        <v>779</v>
      </c>
      <c r="B197" s="143" t="s">
        <v>780</v>
      </c>
      <c r="C197" s="143" t="s">
        <v>727</v>
      </c>
      <c r="D197" s="143">
        <v>2577</v>
      </c>
      <c r="E197" s="143">
        <v>3</v>
      </c>
      <c r="F197" s="137">
        <v>1</v>
      </c>
      <c r="G197" s="137">
        <v>1</v>
      </c>
      <c r="H197" s="137">
        <v>0</v>
      </c>
      <c r="I197" s="137">
        <v>0</v>
      </c>
      <c r="K197" s="143" t="s">
        <v>779</v>
      </c>
      <c r="L197" s="143" t="s">
        <v>780</v>
      </c>
      <c r="M197" s="143" t="s">
        <v>727</v>
      </c>
      <c r="N197" s="143">
        <v>2577</v>
      </c>
      <c r="O197" s="354">
        <v>0.4</v>
      </c>
      <c r="P197" s="354">
        <v>0.6</v>
      </c>
      <c r="Q197" s="354">
        <v>1</v>
      </c>
      <c r="R197" s="137" t="s">
        <v>3184</v>
      </c>
      <c r="S197" s="137">
        <v>0.35714289999999999</v>
      </c>
      <c r="T197" s="137" t="s">
        <v>3184</v>
      </c>
      <c r="U197" s="137" t="s">
        <v>3184</v>
      </c>
      <c r="W197" s="143" t="s">
        <v>779</v>
      </c>
      <c r="X197" s="143" t="s">
        <v>780</v>
      </c>
      <c r="Y197" s="143" t="s">
        <v>727</v>
      </c>
      <c r="Z197" s="143">
        <v>2577</v>
      </c>
      <c r="AA197" s="143">
        <v>0</v>
      </c>
      <c r="AD197" s="137">
        <v>0.14285709999999999</v>
      </c>
      <c r="AE197" s="137">
        <v>0</v>
      </c>
      <c r="AG197" s="143" t="s">
        <v>779</v>
      </c>
      <c r="AH197" s="143" t="s">
        <v>780</v>
      </c>
      <c r="AI197" s="143" t="s">
        <v>727</v>
      </c>
      <c r="AJ197" s="143">
        <v>2577</v>
      </c>
      <c r="AK197" s="143">
        <v>3</v>
      </c>
      <c r="AL197" s="156">
        <v>3</v>
      </c>
      <c r="AM197" s="156">
        <v>3</v>
      </c>
      <c r="AN197" s="156">
        <v>3</v>
      </c>
      <c r="AO197" s="156">
        <v>2</v>
      </c>
      <c r="AP197" s="156">
        <v>2.6666667461395299</v>
      </c>
      <c r="AQ197" s="156">
        <v>3</v>
      </c>
      <c r="AR197" s="156">
        <v>3.6666667461395299</v>
      </c>
      <c r="AS197" s="169">
        <v>2.7619050000000001</v>
      </c>
    </row>
    <row r="198" spans="1:45" x14ac:dyDescent="0.25">
      <c r="A198" s="143" t="s">
        <v>779</v>
      </c>
      <c r="B198" s="143" t="s">
        <v>780</v>
      </c>
      <c r="C198" s="143" t="s">
        <v>680</v>
      </c>
      <c r="D198" s="143">
        <v>3809</v>
      </c>
      <c r="E198" s="143">
        <v>2</v>
      </c>
      <c r="F198" s="137">
        <v>1</v>
      </c>
      <c r="G198" s="137">
        <v>1</v>
      </c>
      <c r="H198" s="137">
        <v>0</v>
      </c>
      <c r="I198" s="137">
        <v>0</v>
      </c>
      <c r="K198" s="143" t="s">
        <v>779</v>
      </c>
      <c r="L198" s="143" t="s">
        <v>780</v>
      </c>
      <c r="M198" s="143" t="s">
        <v>680</v>
      </c>
      <c r="N198" s="143">
        <v>3809</v>
      </c>
      <c r="O198" s="354">
        <v>0.4</v>
      </c>
      <c r="P198" s="354">
        <v>0.6</v>
      </c>
      <c r="Q198" s="354">
        <v>1</v>
      </c>
      <c r="R198" s="137" t="s">
        <v>3184</v>
      </c>
      <c r="S198" s="137">
        <v>0.5</v>
      </c>
      <c r="T198" s="137" t="s">
        <v>3184</v>
      </c>
      <c r="W198" s="143" t="s">
        <v>779</v>
      </c>
      <c r="X198" s="143" t="s">
        <v>780</v>
      </c>
      <c r="Y198" s="143" t="s">
        <v>680</v>
      </c>
      <c r="Z198" s="143">
        <v>3809</v>
      </c>
      <c r="AA198" s="143">
        <v>0</v>
      </c>
      <c r="AD198" s="137">
        <v>0</v>
      </c>
      <c r="AE198" s="137">
        <v>0.25</v>
      </c>
      <c r="AG198" s="143" t="s">
        <v>779</v>
      </c>
      <c r="AH198" s="143" t="s">
        <v>780</v>
      </c>
      <c r="AI198" s="143" t="s">
        <v>680</v>
      </c>
      <c r="AJ198" s="143">
        <v>3809</v>
      </c>
      <c r="AK198" s="143">
        <v>2</v>
      </c>
      <c r="AL198" s="156">
        <v>2</v>
      </c>
      <c r="AM198" s="156">
        <v>3.5</v>
      </c>
      <c r="AN198" s="156">
        <v>4</v>
      </c>
      <c r="AO198" s="156">
        <v>4</v>
      </c>
      <c r="AP198" s="156">
        <v>1</v>
      </c>
      <c r="AQ198" s="156">
        <v>3</v>
      </c>
      <c r="AR198" s="156">
        <v>3.5</v>
      </c>
      <c r="AS198" s="169">
        <v>3.1428569999999998</v>
      </c>
    </row>
    <row r="199" spans="1:45" x14ac:dyDescent="0.25">
      <c r="A199" s="143" t="s">
        <v>779</v>
      </c>
      <c r="B199" s="143" t="s">
        <v>780</v>
      </c>
      <c r="C199" s="143" t="s">
        <v>680</v>
      </c>
      <c r="D199" s="143">
        <v>3810</v>
      </c>
      <c r="E199" s="143">
        <v>2</v>
      </c>
      <c r="F199" s="137">
        <v>1</v>
      </c>
      <c r="G199" s="137">
        <v>1</v>
      </c>
      <c r="H199" s="137">
        <v>0</v>
      </c>
      <c r="I199" s="137">
        <v>0</v>
      </c>
      <c r="K199" s="143" t="s">
        <v>779</v>
      </c>
      <c r="L199" s="143" t="s">
        <v>780</v>
      </c>
      <c r="M199" s="143" t="s">
        <v>680</v>
      </c>
      <c r="N199" s="143">
        <v>3810</v>
      </c>
      <c r="O199" s="354">
        <v>0.3922078</v>
      </c>
      <c r="P199" s="354">
        <v>0.6</v>
      </c>
      <c r="Q199" s="354">
        <v>0.99220779999999997</v>
      </c>
      <c r="R199" s="137" t="s">
        <v>3185</v>
      </c>
      <c r="S199" s="137">
        <v>0.5</v>
      </c>
      <c r="T199" s="137" t="s">
        <v>3184</v>
      </c>
      <c r="W199" s="143" t="s">
        <v>779</v>
      </c>
      <c r="X199" s="143" t="s">
        <v>780</v>
      </c>
      <c r="Y199" s="143" t="s">
        <v>680</v>
      </c>
      <c r="Z199" s="143">
        <v>3810</v>
      </c>
      <c r="AA199" s="143">
        <v>0</v>
      </c>
      <c r="AD199" s="137">
        <v>0.5</v>
      </c>
      <c r="AE199" s="137">
        <v>0</v>
      </c>
      <c r="AG199" s="143" t="s">
        <v>779</v>
      </c>
      <c r="AH199" s="143" t="s">
        <v>780</v>
      </c>
      <c r="AI199" s="143" t="s">
        <v>680</v>
      </c>
      <c r="AJ199" s="143">
        <v>3810</v>
      </c>
      <c r="AK199" s="143">
        <v>2</v>
      </c>
      <c r="AL199" s="156">
        <v>3</v>
      </c>
      <c r="AM199" s="156">
        <v>3.5</v>
      </c>
      <c r="AN199" s="156">
        <v>3</v>
      </c>
      <c r="AO199" s="156">
        <v>3</v>
      </c>
      <c r="AP199" s="156">
        <v>2</v>
      </c>
      <c r="AQ199" s="156">
        <v>2.5</v>
      </c>
      <c r="AR199" s="156">
        <v>3.5</v>
      </c>
      <c r="AS199" s="169">
        <v>2.785714</v>
      </c>
    </row>
    <row r="200" spans="1:45" x14ac:dyDescent="0.25">
      <c r="A200" s="143" t="s">
        <v>781</v>
      </c>
      <c r="B200" s="143" t="s">
        <v>782</v>
      </c>
      <c r="C200" s="143" t="s">
        <v>731</v>
      </c>
      <c r="D200" s="143">
        <v>686</v>
      </c>
      <c r="E200" s="143">
        <v>20</v>
      </c>
      <c r="F200" s="137">
        <v>1</v>
      </c>
      <c r="G200" s="137">
        <v>1</v>
      </c>
      <c r="H200" s="137">
        <v>1</v>
      </c>
      <c r="I200" s="137">
        <v>0</v>
      </c>
      <c r="K200" s="143" t="s">
        <v>781</v>
      </c>
      <c r="L200" s="143" t="s">
        <v>782</v>
      </c>
      <c r="M200" s="143" t="s">
        <v>731</v>
      </c>
      <c r="N200" s="143">
        <v>686</v>
      </c>
      <c r="O200" s="354">
        <v>0.36709960000000003</v>
      </c>
      <c r="P200" s="354">
        <v>0.55238100000000001</v>
      </c>
      <c r="Q200" s="354">
        <v>0.91948050000000003</v>
      </c>
      <c r="R200" s="137" t="s">
        <v>3185</v>
      </c>
      <c r="S200" s="137">
        <v>0.44444440000000002</v>
      </c>
      <c r="T200" s="137" t="s">
        <v>3184</v>
      </c>
      <c r="W200" s="143" t="s">
        <v>781</v>
      </c>
      <c r="X200" s="143" t="s">
        <v>782</v>
      </c>
      <c r="Y200" s="143" t="s">
        <v>731</v>
      </c>
      <c r="Z200" s="143">
        <v>686</v>
      </c>
      <c r="AA200" s="143">
        <v>20</v>
      </c>
      <c r="AB200" s="137">
        <v>0</v>
      </c>
      <c r="AC200" s="137">
        <v>0</v>
      </c>
      <c r="AD200" s="137">
        <v>0</v>
      </c>
      <c r="AG200" s="143" t="s">
        <v>781</v>
      </c>
      <c r="AH200" s="143" t="s">
        <v>782</v>
      </c>
      <c r="AI200" s="143" t="s">
        <v>731</v>
      </c>
      <c r="AJ200" s="143">
        <v>686</v>
      </c>
      <c r="AK200" s="143">
        <v>20</v>
      </c>
      <c r="AL200" s="156">
        <v>1.1000000238418599</v>
      </c>
      <c r="AM200" s="156">
        <v>3.9000000953674299</v>
      </c>
      <c r="AN200" s="156">
        <v>3.7999999523162802</v>
      </c>
      <c r="AO200" s="156">
        <v>3.5499999523162802</v>
      </c>
      <c r="AP200" s="156">
        <v>1.8999999761581401</v>
      </c>
      <c r="AQ200" s="156">
        <v>3.3499999046325701</v>
      </c>
      <c r="AR200" s="156">
        <v>3.7999999523162802</v>
      </c>
      <c r="AS200" s="169">
        <v>3.4571429999999999</v>
      </c>
    </row>
    <row r="201" spans="1:45" x14ac:dyDescent="0.25">
      <c r="A201" s="143" t="s">
        <v>781</v>
      </c>
      <c r="B201" s="143" t="s">
        <v>782</v>
      </c>
      <c r="C201" s="143" t="s">
        <v>728</v>
      </c>
      <c r="D201" s="143">
        <v>688</v>
      </c>
      <c r="E201" s="143">
        <v>2</v>
      </c>
      <c r="F201" s="137">
        <v>1</v>
      </c>
      <c r="G201" s="137">
        <v>1</v>
      </c>
      <c r="H201" s="137">
        <v>1</v>
      </c>
      <c r="I201" s="137">
        <v>0</v>
      </c>
      <c r="K201" s="143" t="s">
        <v>781</v>
      </c>
      <c r="L201" s="143" t="s">
        <v>782</v>
      </c>
      <c r="M201" s="143" t="s">
        <v>728</v>
      </c>
      <c r="N201" s="143">
        <v>688</v>
      </c>
      <c r="O201" s="354">
        <v>0.4</v>
      </c>
      <c r="P201" s="354">
        <v>0.3</v>
      </c>
      <c r="Q201" s="354">
        <v>0.7</v>
      </c>
      <c r="R201" s="137" t="s">
        <v>3185</v>
      </c>
      <c r="S201" s="137">
        <v>0.44444440000000002</v>
      </c>
      <c r="T201" s="137" t="s">
        <v>3184</v>
      </c>
      <c r="U201" s="137" t="s">
        <v>3184</v>
      </c>
      <c r="W201" s="143" t="s">
        <v>781</v>
      </c>
      <c r="X201" s="143" t="s">
        <v>782</v>
      </c>
      <c r="Y201" s="143" t="s">
        <v>728</v>
      </c>
      <c r="Z201" s="143">
        <v>688</v>
      </c>
      <c r="AA201" s="143">
        <v>0</v>
      </c>
      <c r="AD201" s="137">
        <v>0</v>
      </c>
      <c r="AG201" s="143" t="s">
        <v>781</v>
      </c>
      <c r="AH201" s="143" t="s">
        <v>782</v>
      </c>
      <c r="AI201" s="143" t="s">
        <v>728</v>
      </c>
      <c r="AJ201" s="143">
        <v>688</v>
      </c>
      <c r="AK201" s="143">
        <v>2</v>
      </c>
      <c r="AL201" s="156">
        <v>1</v>
      </c>
      <c r="AM201" s="156">
        <v>4</v>
      </c>
      <c r="AN201" s="156">
        <v>4</v>
      </c>
      <c r="AO201" s="156">
        <v>4</v>
      </c>
      <c r="AP201" s="156">
        <v>3.5</v>
      </c>
      <c r="AQ201" s="156">
        <v>3.5</v>
      </c>
      <c r="AR201" s="156">
        <v>3.5</v>
      </c>
      <c r="AS201" s="169">
        <v>3.785714</v>
      </c>
    </row>
    <row r="202" spans="1:45" x14ac:dyDescent="0.25">
      <c r="A202" s="143" t="s">
        <v>781</v>
      </c>
      <c r="B202" s="143" t="s">
        <v>782</v>
      </c>
      <c r="C202" s="143" t="s">
        <v>728</v>
      </c>
      <c r="D202" s="143">
        <v>690</v>
      </c>
      <c r="E202" s="143">
        <v>2</v>
      </c>
      <c r="F202" s="137">
        <v>1</v>
      </c>
      <c r="G202" s="137">
        <v>1</v>
      </c>
      <c r="H202" s="137">
        <v>1</v>
      </c>
      <c r="I202" s="137">
        <v>0</v>
      </c>
      <c r="K202" s="143" t="s">
        <v>781</v>
      </c>
      <c r="L202" s="143" t="s">
        <v>782</v>
      </c>
      <c r="M202" s="143" t="s">
        <v>728</v>
      </c>
      <c r="N202" s="143">
        <v>690</v>
      </c>
      <c r="O202" s="354">
        <v>0.3922078</v>
      </c>
      <c r="P202" s="354">
        <v>0.6</v>
      </c>
      <c r="Q202" s="354">
        <v>0.99220779999999997</v>
      </c>
      <c r="R202" s="137" t="s">
        <v>3185</v>
      </c>
      <c r="S202" s="137">
        <v>0.375</v>
      </c>
      <c r="T202" s="137" t="s">
        <v>3184</v>
      </c>
      <c r="U202" s="137" t="s">
        <v>3184</v>
      </c>
      <c r="W202" s="143" t="s">
        <v>781</v>
      </c>
      <c r="X202" s="143" t="s">
        <v>782</v>
      </c>
      <c r="Y202" s="143" t="s">
        <v>728</v>
      </c>
      <c r="Z202" s="143">
        <v>690</v>
      </c>
      <c r="AA202" s="143">
        <v>0</v>
      </c>
      <c r="AD202" s="137">
        <v>0</v>
      </c>
      <c r="AE202" s="137">
        <v>0.125</v>
      </c>
      <c r="AG202" s="143" t="s">
        <v>781</v>
      </c>
      <c r="AH202" s="143" t="s">
        <v>782</v>
      </c>
      <c r="AI202" s="143" t="s">
        <v>728</v>
      </c>
      <c r="AJ202" s="143">
        <v>690</v>
      </c>
      <c r="AK202" s="143">
        <v>2</v>
      </c>
      <c r="AL202" s="156">
        <v>1</v>
      </c>
      <c r="AM202" s="156">
        <v>4</v>
      </c>
      <c r="AN202" s="156">
        <v>3.5</v>
      </c>
      <c r="AO202" s="156">
        <v>3.5</v>
      </c>
      <c r="AP202" s="156">
        <v>2.5</v>
      </c>
      <c r="AQ202" s="156">
        <v>2.5</v>
      </c>
      <c r="AR202" s="156">
        <v>4</v>
      </c>
      <c r="AS202" s="169">
        <v>3.4285709999999998</v>
      </c>
    </row>
    <row r="203" spans="1:45" x14ac:dyDescent="0.25">
      <c r="A203" s="143" t="s">
        <v>781</v>
      </c>
      <c r="B203" s="143" t="s">
        <v>782</v>
      </c>
      <c r="C203" s="143" t="s">
        <v>727</v>
      </c>
      <c r="D203" s="143">
        <v>1031</v>
      </c>
      <c r="E203" s="143">
        <v>3</v>
      </c>
      <c r="F203" s="137">
        <v>1</v>
      </c>
      <c r="G203" s="137">
        <v>1</v>
      </c>
      <c r="H203" s="137">
        <v>1</v>
      </c>
      <c r="I203" s="137">
        <v>0</v>
      </c>
      <c r="K203" s="143" t="s">
        <v>781</v>
      </c>
      <c r="L203" s="143" t="s">
        <v>782</v>
      </c>
      <c r="M203" s="143" t="s">
        <v>727</v>
      </c>
      <c r="N203" s="143">
        <v>1031</v>
      </c>
      <c r="O203" s="354">
        <v>0.4</v>
      </c>
      <c r="P203" s="354">
        <v>0.6</v>
      </c>
      <c r="Q203" s="354">
        <v>1</v>
      </c>
      <c r="R203" s="137" t="s">
        <v>3184</v>
      </c>
      <c r="S203" s="137">
        <v>0.61111110000000002</v>
      </c>
      <c r="T203" s="137" t="s">
        <v>3184</v>
      </c>
      <c r="U203" s="137" t="s">
        <v>3184</v>
      </c>
      <c r="W203" s="143" t="s">
        <v>781</v>
      </c>
      <c r="X203" s="143" t="s">
        <v>782</v>
      </c>
      <c r="Y203" s="143" t="s">
        <v>727</v>
      </c>
      <c r="Z203" s="143">
        <v>1031</v>
      </c>
      <c r="AA203" s="143">
        <v>0</v>
      </c>
      <c r="AD203" s="137">
        <v>0</v>
      </c>
      <c r="AE203" s="137">
        <v>5.5555599999999997E-2</v>
      </c>
      <c r="AG203" s="143" t="s">
        <v>781</v>
      </c>
      <c r="AH203" s="143" t="s">
        <v>782</v>
      </c>
      <c r="AI203" s="143" t="s">
        <v>727</v>
      </c>
      <c r="AJ203" s="143">
        <v>1031</v>
      </c>
      <c r="AK203" s="143">
        <v>3</v>
      </c>
      <c r="AL203" s="156">
        <v>1</v>
      </c>
      <c r="AM203" s="156">
        <v>3.6666667461395299</v>
      </c>
      <c r="AN203" s="156">
        <v>4</v>
      </c>
      <c r="AO203" s="156">
        <v>4</v>
      </c>
      <c r="AP203" s="156">
        <v>3.3333332538604701</v>
      </c>
      <c r="AQ203" s="156">
        <v>3</v>
      </c>
      <c r="AR203" s="156">
        <v>3.3333332538604701</v>
      </c>
      <c r="AS203" s="169">
        <v>3.6190479999999998</v>
      </c>
    </row>
    <row r="204" spans="1:45" x14ac:dyDescent="0.25">
      <c r="A204" s="143" t="s">
        <v>781</v>
      </c>
      <c r="B204" s="143" t="s">
        <v>782</v>
      </c>
      <c r="C204" s="143" t="s">
        <v>728</v>
      </c>
      <c r="D204" s="143">
        <v>1967</v>
      </c>
      <c r="E204" s="143">
        <v>2</v>
      </c>
      <c r="F204" s="137">
        <v>1</v>
      </c>
      <c r="G204" s="137">
        <v>1</v>
      </c>
      <c r="H204" s="137">
        <v>1</v>
      </c>
      <c r="I204" s="137">
        <v>0</v>
      </c>
      <c r="K204" s="143" t="s">
        <v>781</v>
      </c>
      <c r="L204" s="143" t="s">
        <v>782</v>
      </c>
      <c r="M204" s="143" t="s">
        <v>728</v>
      </c>
      <c r="N204" s="143">
        <v>1967</v>
      </c>
      <c r="O204" s="354">
        <v>0.4</v>
      </c>
      <c r="P204" s="354">
        <v>0.6</v>
      </c>
      <c r="Q204" s="354">
        <v>1</v>
      </c>
      <c r="R204" s="137" t="s">
        <v>3184</v>
      </c>
      <c r="S204" s="137">
        <v>0.5</v>
      </c>
      <c r="T204" s="137" t="s">
        <v>3184</v>
      </c>
      <c r="U204" s="137" t="s">
        <v>3184</v>
      </c>
      <c r="W204" s="143" t="s">
        <v>781</v>
      </c>
      <c r="X204" s="143" t="s">
        <v>782</v>
      </c>
      <c r="Y204" s="143" t="s">
        <v>728</v>
      </c>
      <c r="Z204" s="143">
        <v>1967</v>
      </c>
      <c r="AA204" s="143">
        <v>0</v>
      </c>
      <c r="AD204" s="137">
        <v>0</v>
      </c>
      <c r="AE204" s="137">
        <v>0.1666667</v>
      </c>
      <c r="AG204" s="143" t="s">
        <v>781</v>
      </c>
      <c r="AH204" s="143" t="s">
        <v>782</v>
      </c>
      <c r="AI204" s="143" t="s">
        <v>728</v>
      </c>
      <c r="AJ204" s="143">
        <v>1967</v>
      </c>
      <c r="AK204" s="143">
        <v>2</v>
      </c>
      <c r="AL204" s="156">
        <v>2</v>
      </c>
      <c r="AM204" s="156">
        <v>3</v>
      </c>
      <c r="AN204" s="156">
        <v>4</v>
      </c>
      <c r="AO204" s="156">
        <v>3.5</v>
      </c>
      <c r="AP204" s="156">
        <v>4</v>
      </c>
      <c r="AQ204" s="156">
        <v>3</v>
      </c>
      <c r="AR204" s="156">
        <v>4</v>
      </c>
      <c r="AS204" s="169">
        <v>3.5</v>
      </c>
    </row>
    <row r="205" spans="1:45" x14ac:dyDescent="0.25">
      <c r="A205" s="143" t="s">
        <v>781</v>
      </c>
      <c r="B205" s="143" t="s">
        <v>782</v>
      </c>
      <c r="C205" s="143" t="s">
        <v>727</v>
      </c>
      <c r="D205" s="143">
        <v>1968</v>
      </c>
      <c r="E205" s="143">
        <v>3</v>
      </c>
      <c r="F205" s="137">
        <v>1</v>
      </c>
      <c r="G205" s="137">
        <v>1</v>
      </c>
      <c r="H205" s="137">
        <v>1</v>
      </c>
      <c r="I205" s="137">
        <v>0</v>
      </c>
      <c r="K205" s="143" t="s">
        <v>781</v>
      </c>
      <c r="L205" s="143" t="s">
        <v>782</v>
      </c>
      <c r="M205" s="143" t="s">
        <v>727</v>
      </c>
      <c r="N205" s="143">
        <v>1968</v>
      </c>
      <c r="O205" s="354">
        <v>0.4</v>
      </c>
      <c r="P205" s="354">
        <v>0.6</v>
      </c>
      <c r="Q205" s="354">
        <v>1</v>
      </c>
      <c r="R205" s="137" t="s">
        <v>3184</v>
      </c>
      <c r="S205" s="137">
        <v>0.5</v>
      </c>
      <c r="T205" s="137" t="s">
        <v>3184</v>
      </c>
      <c r="U205" s="137" t="s">
        <v>3185</v>
      </c>
      <c r="W205" s="143" t="s">
        <v>781</v>
      </c>
      <c r="X205" s="143" t="s">
        <v>782</v>
      </c>
      <c r="Y205" s="143" t="s">
        <v>727</v>
      </c>
      <c r="Z205" s="143">
        <v>1968</v>
      </c>
      <c r="AA205" s="143">
        <v>0</v>
      </c>
      <c r="AD205" s="137">
        <v>0</v>
      </c>
      <c r="AG205" s="143" t="s">
        <v>781</v>
      </c>
      <c r="AH205" s="143" t="s">
        <v>782</v>
      </c>
      <c r="AI205" s="143" t="s">
        <v>727</v>
      </c>
      <c r="AJ205" s="143">
        <v>1968</v>
      </c>
      <c r="AK205" s="143">
        <v>3</v>
      </c>
      <c r="AL205" s="156">
        <v>1.3333333730697601</v>
      </c>
      <c r="AM205" s="156">
        <v>4</v>
      </c>
      <c r="AN205" s="156">
        <v>4</v>
      </c>
      <c r="AO205" s="156">
        <v>3.3333332538604701</v>
      </c>
      <c r="AP205" s="156">
        <v>3.6666667461395299</v>
      </c>
      <c r="AQ205" s="156">
        <v>3.3333332538604701</v>
      </c>
      <c r="AR205" s="156">
        <v>4</v>
      </c>
      <c r="AS205" s="169">
        <v>3.714286</v>
      </c>
    </row>
    <row r="206" spans="1:45" x14ac:dyDescent="0.25">
      <c r="A206" s="143" t="s">
        <v>781</v>
      </c>
      <c r="B206" s="143" t="s">
        <v>782</v>
      </c>
      <c r="C206" s="143" t="s">
        <v>680</v>
      </c>
      <c r="D206" s="143">
        <v>2210</v>
      </c>
      <c r="E206" s="143">
        <v>2</v>
      </c>
      <c r="F206" s="137">
        <v>1</v>
      </c>
      <c r="G206" s="137">
        <v>1</v>
      </c>
      <c r="H206" s="137">
        <v>1</v>
      </c>
      <c r="I206" s="137">
        <v>0</v>
      </c>
      <c r="K206" s="143" t="s">
        <v>781</v>
      </c>
      <c r="L206" s="143" t="s">
        <v>782</v>
      </c>
      <c r="M206" s="143" t="s">
        <v>680</v>
      </c>
      <c r="N206" s="143">
        <v>2210</v>
      </c>
      <c r="O206" s="354">
        <v>0.4</v>
      </c>
      <c r="P206" s="354">
        <v>0.6</v>
      </c>
      <c r="Q206" s="137">
        <v>1</v>
      </c>
      <c r="R206" s="137" t="s">
        <v>3184</v>
      </c>
      <c r="S206" s="137">
        <v>0.75</v>
      </c>
      <c r="T206" s="137" t="s">
        <v>3184</v>
      </c>
      <c r="W206" s="143" t="s">
        <v>781</v>
      </c>
      <c r="X206" s="143" t="s">
        <v>782</v>
      </c>
      <c r="Y206" s="143" t="s">
        <v>680</v>
      </c>
      <c r="Z206" s="143">
        <v>2210</v>
      </c>
      <c r="AA206" s="143">
        <v>0</v>
      </c>
      <c r="AD206" s="137">
        <v>0</v>
      </c>
      <c r="AG206" s="143" t="s">
        <v>781</v>
      </c>
      <c r="AH206" s="143" t="s">
        <v>782</v>
      </c>
      <c r="AI206" s="143" t="s">
        <v>680</v>
      </c>
      <c r="AJ206" s="143">
        <v>2210</v>
      </c>
      <c r="AK206" s="143">
        <v>2</v>
      </c>
      <c r="AL206" s="156">
        <v>1.5</v>
      </c>
      <c r="AM206" s="156">
        <v>3</v>
      </c>
      <c r="AN206" s="156">
        <v>3</v>
      </c>
      <c r="AO206" s="156">
        <v>3</v>
      </c>
      <c r="AP206" s="156">
        <v>3</v>
      </c>
      <c r="AQ206" s="156">
        <v>3</v>
      </c>
      <c r="AR206" s="156">
        <v>4</v>
      </c>
      <c r="AS206" s="169">
        <v>3.214286</v>
      </c>
    </row>
    <row r="207" spans="1:45" x14ac:dyDescent="0.25">
      <c r="A207" s="143" t="s">
        <v>781</v>
      </c>
      <c r="B207" s="143" t="s">
        <v>782</v>
      </c>
      <c r="C207" s="143" t="s">
        <v>680</v>
      </c>
      <c r="D207" s="143">
        <v>2368</v>
      </c>
      <c r="E207" s="143">
        <v>2</v>
      </c>
      <c r="F207" s="137">
        <v>1</v>
      </c>
      <c r="G207" s="137">
        <v>1</v>
      </c>
      <c r="H207" s="137">
        <v>1</v>
      </c>
      <c r="I207" s="137">
        <v>0</v>
      </c>
      <c r="K207" s="143" t="s">
        <v>781</v>
      </c>
      <c r="L207" s="143" t="s">
        <v>782</v>
      </c>
      <c r="M207" s="143" t="s">
        <v>680</v>
      </c>
      <c r="N207" s="143">
        <v>2368</v>
      </c>
      <c r="O207" s="354">
        <v>0.4</v>
      </c>
      <c r="P207" s="354">
        <v>0.6</v>
      </c>
      <c r="Q207" s="354">
        <v>1</v>
      </c>
      <c r="R207" s="137" t="s">
        <v>3184</v>
      </c>
      <c r="S207" s="137">
        <v>0.75</v>
      </c>
      <c r="T207" s="137" t="s">
        <v>3184</v>
      </c>
      <c r="W207" s="143" t="s">
        <v>781</v>
      </c>
      <c r="X207" s="143" t="s">
        <v>782</v>
      </c>
      <c r="Y207" s="143" t="s">
        <v>680</v>
      </c>
      <c r="Z207" s="143">
        <v>2368</v>
      </c>
      <c r="AA207" s="143">
        <v>0</v>
      </c>
      <c r="AD207" s="137">
        <v>0</v>
      </c>
      <c r="AE207" s="137">
        <v>0.25</v>
      </c>
      <c r="AG207" s="143" t="s">
        <v>781</v>
      </c>
      <c r="AH207" s="143" t="s">
        <v>782</v>
      </c>
      <c r="AI207" s="143" t="s">
        <v>680</v>
      </c>
      <c r="AJ207" s="143">
        <v>2368</v>
      </c>
      <c r="AK207" s="143">
        <v>2</v>
      </c>
      <c r="AL207" s="156">
        <v>1</v>
      </c>
      <c r="AM207" s="156">
        <v>4</v>
      </c>
      <c r="AN207" s="156">
        <v>4</v>
      </c>
      <c r="AO207" s="156">
        <v>4</v>
      </c>
      <c r="AP207" s="156">
        <v>3.5</v>
      </c>
      <c r="AQ207" s="156">
        <v>3.5</v>
      </c>
      <c r="AR207" s="156">
        <v>4</v>
      </c>
      <c r="AS207" s="169">
        <v>3.8571430000000002</v>
      </c>
    </row>
    <row r="208" spans="1:45" x14ac:dyDescent="0.25">
      <c r="A208" s="143" t="s">
        <v>781</v>
      </c>
      <c r="B208" s="143" t="s">
        <v>782</v>
      </c>
      <c r="C208" s="143" t="s">
        <v>680</v>
      </c>
      <c r="D208" s="143">
        <v>2795</v>
      </c>
      <c r="E208" s="143">
        <v>2</v>
      </c>
      <c r="F208" s="137">
        <v>1</v>
      </c>
      <c r="G208" s="137">
        <v>1</v>
      </c>
      <c r="H208" s="137">
        <v>1</v>
      </c>
      <c r="I208" s="137">
        <v>0</v>
      </c>
      <c r="K208" s="143" t="s">
        <v>781</v>
      </c>
      <c r="L208" s="143" t="s">
        <v>782</v>
      </c>
      <c r="M208" s="143" t="s">
        <v>680</v>
      </c>
      <c r="N208" s="143">
        <v>2795</v>
      </c>
      <c r="O208" s="354">
        <v>0.4</v>
      </c>
      <c r="P208" s="354">
        <v>0.6</v>
      </c>
      <c r="Q208" s="354">
        <v>1</v>
      </c>
      <c r="R208" s="137" t="s">
        <v>3184</v>
      </c>
      <c r="S208" s="137">
        <v>0.8</v>
      </c>
      <c r="T208" s="137" t="s">
        <v>3184</v>
      </c>
      <c r="W208" s="143" t="s">
        <v>781</v>
      </c>
      <c r="X208" s="143" t="s">
        <v>782</v>
      </c>
      <c r="Y208" s="143" t="s">
        <v>680</v>
      </c>
      <c r="Z208" s="143">
        <v>2795</v>
      </c>
      <c r="AA208" s="143">
        <v>0</v>
      </c>
      <c r="AD208" s="137">
        <v>0</v>
      </c>
      <c r="AG208" s="143" t="s">
        <v>781</v>
      </c>
      <c r="AH208" s="143" t="s">
        <v>782</v>
      </c>
      <c r="AI208" s="143" t="s">
        <v>680</v>
      </c>
      <c r="AJ208" s="143">
        <v>2795</v>
      </c>
      <c r="AK208" s="143">
        <v>2</v>
      </c>
      <c r="AL208" s="156">
        <v>1</v>
      </c>
      <c r="AM208" s="156">
        <v>4</v>
      </c>
      <c r="AN208" s="156">
        <v>3.5</v>
      </c>
      <c r="AO208" s="156">
        <v>4</v>
      </c>
      <c r="AP208" s="156">
        <v>4</v>
      </c>
      <c r="AQ208" s="156">
        <v>3</v>
      </c>
      <c r="AR208" s="156">
        <v>4</v>
      </c>
      <c r="AS208" s="169">
        <v>3.785714</v>
      </c>
    </row>
    <row r="209" spans="1:45" x14ac:dyDescent="0.25">
      <c r="A209" s="143" t="s">
        <v>781</v>
      </c>
      <c r="B209" s="143" t="s">
        <v>782</v>
      </c>
      <c r="C209" s="143" t="s">
        <v>680</v>
      </c>
      <c r="D209" s="143">
        <v>3868</v>
      </c>
      <c r="E209" s="143">
        <v>2</v>
      </c>
      <c r="F209" s="137">
        <v>1</v>
      </c>
      <c r="G209" s="137">
        <v>1</v>
      </c>
      <c r="H209" s="137">
        <v>1</v>
      </c>
      <c r="I209" s="137">
        <v>0</v>
      </c>
      <c r="K209" s="143" t="s">
        <v>781</v>
      </c>
      <c r="L209" s="143" t="s">
        <v>782</v>
      </c>
      <c r="M209" s="143" t="s">
        <v>680</v>
      </c>
      <c r="N209" s="143">
        <v>3868</v>
      </c>
      <c r="O209" s="354">
        <v>0.4</v>
      </c>
      <c r="P209" s="354">
        <v>0.6</v>
      </c>
      <c r="Q209" s="354">
        <v>1</v>
      </c>
      <c r="R209" s="137" t="s">
        <v>3184</v>
      </c>
      <c r="S209" s="137">
        <v>0.57142859999999995</v>
      </c>
      <c r="T209" s="137" t="s">
        <v>3184</v>
      </c>
      <c r="W209" s="143" t="s">
        <v>781</v>
      </c>
      <c r="X209" s="143" t="s">
        <v>782</v>
      </c>
      <c r="Y209" s="143" t="s">
        <v>680</v>
      </c>
      <c r="Z209" s="143">
        <v>3868</v>
      </c>
      <c r="AA209" s="143">
        <v>0</v>
      </c>
      <c r="AD209" s="137">
        <v>0</v>
      </c>
      <c r="AE209" s="137">
        <v>0.14285709999999999</v>
      </c>
      <c r="AG209" s="143" t="s">
        <v>781</v>
      </c>
      <c r="AH209" s="143" t="s">
        <v>782</v>
      </c>
      <c r="AI209" s="143" t="s">
        <v>680</v>
      </c>
      <c r="AJ209" s="143">
        <v>3868</v>
      </c>
      <c r="AK209" s="143">
        <v>2</v>
      </c>
      <c r="AL209" s="156">
        <v>1</v>
      </c>
      <c r="AM209" s="156">
        <v>4</v>
      </c>
      <c r="AN209" s="156">
        <v>4</v>
      </c>
      <c r="AO209" s="156">
        <v>4</v>
      </c>
      <c r="AP209" s="156">
        <v>2</v>
      </c>
      <c r="AQ209" s="156">
        <v>3</v>
      </c>
      <c r="AR209" s="156">
        <v>4</v>
      </c>
      <c r="AS209" s="169">
        <v>3.5714290000000002</v>
      </c>
    </row>
    <row r="210" spans="1:45" x14ac:dyDescent="0.25">
      <c r="A210" s="143" t="s">
        <v>781</v>
      </c>
      <c r="B210" s="143" t="s">
        <v>782</v>
      </c>
      <c r="C210" s="143" t="s">
        <v>728</v>
      </c>
      <c r="D210" s="143">
        <v>3869</v>
      </c>
      <c r="E210" s="143">
        <v>2</v>
      </c>
      <c r="F210" s="137">
        <v>1</v>
      </c>
      <c r="G210" s="137">
        <v>1</v>
      </c>
      <c r="H210" s="137">
        <v>1</v>
      </c>
      <c r="I210" s="137">
        <v>0</v>
      </c>
      <c r="K210" s="143" t="s">
        <v>781</v>
      </c>
      <c r="L210" s="143" t="s">
        <v>782</v>
      </c>
      <c r="M210" s="143" t="s">
        <v>728</v>
      </c>
      <c r="N210" s="143">
        <v>3869</v>
      </c>
      <c r="O210" s="354">
        <v>0.4</v>
      </c>
      <c r="P210" s="354">
        <v>0.6</v>
      </c>
      <c r="Q210" s="354">
        <v>1</v>
      </c>
      <c r="R210" s="137" t="s">
        <v>3184</v>
      </c>
      <c r="S210" s="137">
        <v>0.5</v>
      </c>
      <c r="T210" s="137" t="s">
        <v>3184</v>
      </c>
      <c r="U210" s="137" t="s">
        <v>3184</v>
      </c>
      <c r="W210" s="143" t="s">
        <v>781</v>
      </c>
      <c r="X210" s="143" t="s">
        <v>782</v>
      </c>
      <c r="Y210" s="143" t="s">
        <v>728</v>
      </c>
      <c r="Z210" s="143">
        <v>3869</v>
      </c>
      <c r="AA210" s="143">
        <v>0</v>
      </c>
      <c r="AD210" s="137">
        <v>0</v>
      </c>
      <c r="AG210" s="143" t="s">
        <v>781</v>
      </c>
      <c r="AH210" s="143" t="s">
        <v>782</v>
      </c>
      <c r="AI210" s="143" t="s">
        <v>728</v>
      </c>
      <c r="AJ210" s="143">
        <v>3869</v>
      </c>
      <c r="AK210" s="143">
        <v>2</v>
      </c>
      <c r="AL210" s="156">
        <v>1.5</v>
      </c>
      <c r="AM210" s="156">
        <v>2.5</v>
      </c>
      <c r="AN210" s="156">
        <v>4</v>
      </c>
      <c r="AO210" s="156">
        <v>4</v>
      </c>
      <c r="AP210" s="156">
        <v>3.5</v>
      </c>
      <c r="AQ210" s="156">
        <v>3.5</v>
      </c>
      <c r="AR210" s="156">
        <v>4</v>
      </c>
      <c r="AS210" s="169">
        <v>3.5714290000000002</v>
      </c>
    </row>
    <row r="211" spans="1:45" x14ac:dyDescent="0.25">
      <c r="A211" s="143" t="s">
        <v>783</v>
      </c>
      <c r="B211" s="143" t="s">
        <v>772</v>
      </c>
      <c r="C211" s="143" t="s">
        <v>727</v>
      </c>
      <c r="D211" s="143">
        <v>1578</v>
      </c>
      <c r="E211" s="143">
        <v>3</v>
      </c>
      <c r="F211" s="137">
        <v>1</v>
      </c>
      <c r="G211" s="137">
        <v>1</v>
      </c>
      <c r="H211" s="137">
        <v>1</v>
      </c>
      <c r="I211" s="137">
        <v>0</v>
      </c>
      <c r="K211" s="143" t="s">
        <v>783</v>
      </c>
      <c r="L211" s="143" t="s">
        <v>772</v>
      </c>
      <c r="M211" s="143" t="s">
        <v>727</v>
      </c>
      <c r="N211" s="143">
        <v>1578</v>
      </c>
      <c r="O211" s="354">
        <v>0.4</v>
      </c>
      <c r="P211" s="354">
        <v>0.4</v>
      </c>
      <c r="Q211" s="354">
        <v>0.8</v>
      </c>
      <c r="R211" s="137" t="s">
        <v>3185</v>
      </c>
      <c r="S211" s="137">
        <v>0.4166667</v>
      </c>
      <c r="T211" s="137" t="s">
        <v>3184</v>
      </c>
      <c r="U211" s="137" t="s">
        <v>3184</v>
      </c>
      <c r="W211" s="143" t="s">
        <v>783</v>
      </c>
      <c r="X211" s="143" t="s">
        <v>772</v>
      </c>
      <c r="Y211" s="143" t="s">
        <v>727</v>
      </c>
      <c r="Z211" s="143">
        <v>1578</v>
      </c>
      <c r="AA211" s="143">
        <v>0</v>
      </c>
      <c r="AD211" s="137">
        <v>0</v>
      </c>
      <c r="AG211" s="143" t="s">
        <v>783</v>
      </c>
      <c r="AH211" s="143" t="s">
        <v>772</v>
      </c>
      <c r="AI211" s="143" t="s">
        <v>727</v>
      </c>
      <c r="AJ211" s="143">
        <v>1578</v>
      </c>
      <c r="AK211" s="143">
        <v>3</v>
      </c>
      <c r="AL211" s="156">
        <v>1.6666666269302399</v>
      </c>
      <c r="AM211" s="156">
        <v>3.3333332538604701</v>
      </c>
      <c r="AN211" s="156">
        <v>3.3333332538604701</v>
      </c>
      <c r="AO211" s="156">
        <v>3.6666667461395299</v>
      </c>
      <c r="AP211" s="156">
        <v>1</v>
      </c>
      <c r="AQ211" s="156">
        <v>3</v>
      </c>
      <c r="AR211" s="156">
        <v>3.6666667461395299</v>
      </c>
      <c r="AS211" s="169">
        <v>3.0476190000000001</v>
      </c>
    </row>
    <row r="212" spans="1:45" x14ac:dyDescent="0.25">
      <c r="A212" s="143" t="s">
        <v>783</v>
      </c>
      <c r="B212" s="143" t="s">
        <v>772</v>
      </c>
      <c r="C212" s="143" t="s">
        <v>728</v>
      </c>
      <c r="D212" s="143">
        <v>2077</v>
      </c>
      <c r="E212" s="143">
        <v>2</v>
      </c>
      <c r="F212" s="137">
        <v>1</v>
      </c>
      <c r="G212" s="137">
        <v>1</v>
      </c>
      <c r="H212" s="137">
        <v>1</v>
      </c>
      <c r="I212" s="137">
        <v>0</v>
      </c>
      <c r="K212" s="143" t="s">
        <v>783</v>
      </c>
      <c r="L212" s="143" t="s">
        <v>772</v>
      </c>
      <c r="M212" s="143" t="s">
        <v>728</v>
      </c>
      <c r="N212" s="143">
        <v>2077</v>
      </c>
      <c r="O212" s="354">
        <v>0.4</v>
      </c>
      <c r="P212" s="354">
        <v>0.6</v>
      </c>
      <c r="Q212" s="354">
        <v>1</v>
      </c>
      <c r="R212" s="137" t="s">
        <v>3184</v>
      </c>
      <c r="S212" s="137">
        <v>0.4</v>
      </c>
      <c r="T212" s="137" t="s">
        <v>3184</v>
      </c>
      <c r="U212" s="137" t="s">
        <v>3184</v>
      </c>
      <c r="W212" s="143" t="s">
        <v>783</v>
      </c>
      <c r="X212" s="143" t="s">
        <v>772</v>
      </c>
      <c r="Y212" s="143" t="s">
        <v>728</v>
      </c>
      <c r="Z212" s="143">
        <v>2077</v>
      </c>
      <c r="AA212" s="143">
        <v>0</v>
      </c>
      <c r="AD212" s="137">
        <v>0.1</v>
      </c>
      <c r="AE212" s="137">
        <v>0</v>
      </c>
      <c r="AG212" s="143" t="s">
        <v>783</v>
      </c>
      <c r="AH212" s="143" t="s">
        <v>772</v>
      </c>
      <c r="AI212" s="143" t="s">
        <v>728</v>
      </c>
      <c r="AJ212" s="143">
        <v>2077</v>
      </c>
      <c r="AK212" s="143">
        <v>2</v>
      </c>
      <c r="AL212" s="156">
        <v>2</v>
      </c>
      <c r="AM212" s="156">
        <v>4</v>
      </c>
      <c r="AN212" s="156">
        <v>3.5</v>
      </c>
      <c r="AO212" s="156">
        <v>3</v>
      </c>
      <c r="AP212" s="156">
        <v>4</v>
      </c>
      <c r="AQ212" s="156">
        <v>3</v>
      </c>
      <c r="AR212" s="156">
        <v>4</v>
      </c>
      <c r="AS212" s="169">
        <v>3.5</v>
      </c>
    </row>
    <row r="213" spans="1:45" x14ac:dyDescent="0.25">
      <c r="A213" s="143" t="s">
        <v>783</v>
      </c>
      <c r="B213" s="143" t="s">
        <v>772</v>
      </c>
      <c r="C213" s="143" t="s">
        <v>729</v>
      </c>
      <c r="D213" s="143">
        <v>2078</v>
      </c>
      <c r="E213" s="143">
        <v>8</v>
      </c>
      <c r="F213" s="137">
        <v>0.75</v>
      </c>
      <c r="G213" s="137">
        <v>0.75</v>
      </c>
      <c r="H213" s="137">
        <v>0.75</v>
      </c>
      <c r="I213" s="137">
        <v>0</v>
      </c>
      <c r="K213" s="143" t="s">
        <v>783</v>
      </c>
      <c r="L213" s="143" t="s">
        <v>772</v>
      </c>
      <c r="M213" s="143" t="s">
        <v>729</v>
      </c>
      <c r="N213" s="143">
        <v>2078</v>
      </c>
      <c r="O213" s="354">
        <v>0.4</v>
      </c>
      <c r="P213" s="354">
        <v>0.6</v>
      </c>
      <c r="Q213" s="354">
        <v>1</v>
      </c>
      <c r="R213" s="137" t="s">
        <v>3184</v>
      </c>
      <c r="S213" s="137">
        <v>0.42857139999999999</v>
      </c>
      <c r="T213" s="137" t="s">
        <v>3184</v>
      </c>
      <c r="U213" s="137" t="s">
        <v>3184</v>
      </c>
      <c r="W213" s="143" t="s">
        <v>783</v>
      </c>
      <c r="X213" s="143" t="s">
        <v>772</v>
      </c>
      <c r="Y213" s="143" t="s">
        <v>729</v>
      </c>
      <c r="Z213" s="143">
        <v>2078</v>
      </c>
      <c r="AA213" s="143">
        <v>8</v>
      </c>
      <c r="AB213" s="137">
        <v>0.625</v>
      </c>
      <c r="AC213" s="137">
        <v>0</v>
      </c>
      <c r="AD213" s="137">
        <v>0.1142857</v>
      </c>
      <c r="AE213" s="137">
        <v>0</v>
      </c>
      <c r="AG213" s="143" t="s">
        <v>783</v>
      </c>
      <c r="AH213" s="143" t="s">
        <v>772</v>
      </c>
      <c r="AI213" s="143" t="s">
        <v>729</v>
      </c>
      <c r="AJ213" s="143">
        <v>2078</v>
      </c>
      <c r="AK213" s="143">
        <v>8</v>
      </c>
      <c r="AL213" s="156">
        <v>1.125</v>
      </c>
      <c r="AM213" s="156">
        <v>3.75</v>
      </c>
      <c r="AN213" s="156">
        <v>3.625</v>
      </c>
      <c r="AO213" s="156">
        <v>3.375</v>
      </c>
      <c r="AP213" s="156">
        <v>3.125</v>
      </c>
      <c r="AQ213" s="156">
        <v>3</v>
      </c>
      <c r="AR213" s="156">
        <v>3.875</v>
      </c>
      <c r="AS213" s="169">
        <v>3.5178569999999998</v>
      </c>
    </row>
    <row r="214" spans="1:45" x14ac:dyDescent="0.25">
      <c r="A214" s="143" t="s">
        <v>783</v>
      </c>
      <c r="B214" s="143" t="s">
        <v>772</v>
      </c>
      <c r="C214" s="143" t="s">
        <v>728</v>
      </c>
      <c r="D214" s="143">
        <v>2140</v>
      </c>
      <c r="E214" s="143">
        <v>2</v>
      </c>
      <c r="F214" s="137">
        <v>1</v>
      </c>
      <c r="G214" s="137">
        <v>1</v>
      </c>
      <c r="H214" s="137">
        <v>1</v>
      </c>
      <c r="I214" s="137">
        <v>0</v>
      </c>
      <c r="K214" s="143" t="s">
        <v>783</v>
      </c>
      <c r="L214" s="143" t="s">
        <v>772</v>
      </c>
      <c r="M214" s="143" t="s">
        <v>728</v>
      </c>
      <c r="N214" s="143">
        <v>2140</v>
      </c>
      <c r="O214" s="354">
        <v>0.4</v>
      </c>
      <c r="P214" s="354">
        <v>0.6</v>
      </c>
      <c r="Q214" s="137">
        <v>1</v>
      </c>
      <c r="R214" s="137" t="s">
        <v>3184</v>
      </c>
      <c r="S214" s="137">
        <v>0.4</v>
      </c>
      <c r="T214" s="137" t="s">
        <v>3184</v>
      </c>
      <c r="U214" s="137" t="s">
        <v>3184</v>
      </c>
      <c r="W214" s="143" t="s">
        <v>783</v>
      </c>
      <c r="X214" s="143" t="s">
        <v>772</v>
      </c>
      <c r="Y214" s="143" t="s">
        <v>728</v>
      </c>
      <c r="Z214" s="143">
        <v>2140</v>
      </c>
      <c r="AA214" s="143">
        <v>0</v>
      </c>
      <c r="AD214" s="137">
        <v>0.1</v>
      </c>
      <c r="AE214" s="137">
        <v>0</v>
      </c>
      <c r="AG214" s="143" t="s">
        <v>783</v>
      </c>
      <c r="AH214" s="143" t="s">
        <v>772</v>
      </c>
      <c r="AI214" s="143" t="s">
        <v>728</v>
      </c>
      <c r="AJ214" s="143">
        <v>2140</v>
      </c>
      <c r="AK214" s="143">
        <v>2</v>
      </c>
      <c r="AL214" s="156">
        <v>1</v>
      </c>
      <c r="AM214" s="156">
        <v>3</v>
      </c>
      <c r="AN214" s="156">
        <v>4</v>
      </c>
      <c r="AO214" s="156">
        <v>4</v>
      </c>
      <c r="AP214" s="156">
        <v>3.5</v>
      </c>
      <c r="AQ214" s="156">
        <v>3</v>
      </c>
      <c r="AR214" s="156">
        <v>4</v>
      </c>
      <c r="AS214" s="169">
        <v>3.6428569999999998</v>
      </c>
    </row>
    <row r="215" spans="1:45" x14ac:dyDescent="0.25">
      <c r="A215" s="143" t="s">
        <v>783</v>
      </c>
      <c r="B215" s="143" t="s">
        <v>772</v>
      </c>
      <c r="C215" s="143" t="s">
        <v>680</v>
      </c>
      <c r="D215" s="143">
        <v>2141</v>
      </c>
      <c r="E215" s="143">
        <v>2</v>
      </c>
      <c r="F215" s="137">
        <v>1</v>
      </c>
      <c r="G215" s="137">
        <v>1</v>
      </c>
      <c r="H215" s="137">
        <v>1</v>
      </c>
      <c r="I215" s="137">
        <v>0</v>
      </c>
      <c r="K215" s="143" t="s">
        <v>783</v>
      </c>
      <c r="L215" s="143" t="s">
        <v>772</v>
      </c>
      <c r="M215" s="143" t="s">
        <v>680</v>
      </c>
      <c r="N215" s="143">
        <v>2141</v>
      </c>
      <c r="O215" s="354">
        <v>0.39480520000000002</v>
      </c>
      <c r="P215" s="354">
        <v>0.6</v>
      </c>
      <c r="Q215" s="354">
        <v>0.99480519999999995</v>
      </c>
      <c r="R215" s="137" t="s">
        <v>3185</v>
      </c>
      <c r="S215" s="137">
        <v>0.4</v>
      </c>
      <c r="T215" s="137" t="s">
        <v>3184</v>
      </c>
      <c r="W215" s="143" t="s">
        <v>783</v>
      </c>
      <c r="X215" s="143" t="s">
        <v>772</v>
      </c>
      <c r="Y215" s="143" t="s">
        <v>680</v>
      </c>
      <c r="Z215" s="143">
        <v>2141</v>
      </c>
      <c r="AA215" s="143">
        <v>0</v>
      </c>
      <c r="AD215" s="137">
        <v>0</v>
      </c>
      <c r="AE215" s="137">
        <v>0.2</v>
      </c>
      <c r="AG215" s="143" t="s">
        <v>783</v>
      </c>
      <c r="AH215" s="143" t="s">
        <v>772</v>
      </c>
      <c r="AI215" s="143" t="s">
        <v>680</v>
      </c>
      <c r="AJ215" s="143">
        <v>2141</v>
      </c>
      <c r="AK215" s="143">
        <v>2</v>
      </c>
      <c r="AL215" s="156">
        <v>2.5</v>
      </c>
      <c r="AM215" s="156">
        <v>3</v>
      </c>
      <c r="AN215" s="156">
        <v>3</v>
      </c>
      <c r="AO215" s="156">
        <v>3</v>
      </c>
      <c r="AP215" s="156">
        <v>1</v>
      </c>
      <c r="AQ215" s="156">
        <v>4</v>
      </c>
      <c r="AR215" s="156">
        <v>2.5</v>
      </c>
      <c r="AS215" s="169">
        <v>2.9285709999999998</v>
      </c>
    </row>
    <row r="216" spans="1:45" x14ac:dyDescent="0.25">
      <c r="A216" s="143" t="s">
        <v>783</v>
      </c>
      <c r="B216" s="143" t="s">
        <v>772</v>
      </c>
      <c r="C216" s="143" t="s">
        <v>680</v>
      </c>
      <c r="D216" s="143">
        <v>2695</v>
      </c>
      <c r="E216" s="143">
        <v>2</v>
      </c>
      <c r="F216" s="137">
        <v>1</v>
      </c>
      <c r="G216" s="137">
        <v>1</v>
      </c>
      <c r="H216" s="137">
        <v>1</v>
      </c>
      <c r="I216" s="137">
        <v>0</v>
      </c>
      <c r="K216" s="143" t="s">
        <v>783</v>
      </c>
      <c r="L216" s="143" t="s">
        <v>772</v>
      </c>
      <c r="M216" s="143" t="s">
        <v>680</v>
      </c>
      <c r="N216" s="143">
        <v>2695</v>
      </c>
      <c r="O216" s="354">
        <v>0.3662338</v>
      </c>
      <c r="P216" s="354">
        <v>0.6</v>
      </c>
      <c r="Q216" s="354">
        <v>0.96623380000000003</v>
      </c>
      <c r="R216" s="137" t="s">
        <v>3185</v>
      </c>
      <c r="S216" s="137">
        <v>0.5</v>
      </c>
      <c r="T216" s="137" t="s">
        <v>3184</v>
      </c>
      <c r="W216" s="143" t="s">
        <v>783</v>
      </c>
      <c r="X216" s="143" t="s">
        <v>772</v>
      </c>
      <c r="Y216" s="143" t="s">
        <v>680</v>
      </c>
      <c r="Z216" s="143">
        <v>2695</v>
      </c>
      <c r="AA216" s="143">
        <v>0</v>
      </c>
      <c r="AD216" s="137">
        <v>0</v>
      </c>
      <c r="AG216" s="143" t="s">
        <v>783</v>
      </c>
      <c r="AH216" s="143" t="s">
        <v>772</v>
      </c>
      <c r="AI216" s="143" t="s">
        <v>680</v>
      </c>
      <c r="AJ216" s="143">
        <v>2695</v>
      </c>
      <c r="AK216" s="143">
        <v>2</v>
      </c>
      <c r="AL216" s="156">
        <v>1.5</v>
      </c>
      <c r="AM216" s="156">
        <v>3.5</v>
      </c>
      <c r="AN216" s="156">
        <v>3.5</v>
      </c>
      <c r="AO216" s="156">
        <v>3</v>
      </c>
      <c r="AP216" s="156">
        <v>3</v>
      </c>
      <c r="AQ216" s="156">
        <v>3</v>
      </c>
      <c r="AR216" s="156">
        <v>4</v>
      </c>
      <c r="AS216" s="169">
        <v>3.3571430000000002</v>
      </c>
    </row>
    <row r="217" spans="1:45" x14ac:dyDescent="0.25">
      <c r="A217" s="143" t="s">
        <v>783</v>
      </c>
      <c r="B217" s="143" t="s">
        <v>772</v>
      </c>
      <c r="C217" s="143" t="s">
        <v>680</v>
      </c>
      <c r="D217" s="143">
        <v>2697</v>
      </c>
      <c r="E217" s="143">
        <v>2</v>
      </c>
      <c r="F217" s="137">
        <v>1</v>
      </c>
      <c r="G217" s="137">
        <v>1</v>
      </c>
      <c r="H217" s="137">
        <v>1</v>
      </c>
      <c r="I217" s="137">
        <v>0</v>
      </c>
      <c r="K217" s="143" t="s">
        <v>783</v>
      </c>
      <c r="L217" s="143" t="s">
        <v>772</v>
      </c>
      <c r="M217" s="143" t="s">
        <v>680</v>
      </c>
      <c r="N217" s="143">
        <v>2697</v>
      </c>
      <c r="O217" s="354">
        <v>0.4</v>
      </c>
      <c r="P217" s="354">
        <v>0.6</v>
      </c>
      <c r="Q217" s="354">
        <v>1</v>
      </c>
      <c r="R217" s="137" t="s">
        <v>3184</v>
      </c>
      <c r="S217" s="137">
        <v>0.4</v>
      </c>
      <c r="T217" s="137" t="s">
        <v>3184</v>
      </c>
      <c r="W217" s="143" t="s">
        <v>783</v>
      </c>
      <c r="X217" s="143" t="s">
        <v>772</v>
      </c>
      <c r="Y217" s="143" t="s">
        <v>680</v>
      </c>
      <c r="Z217" s="143">
        <v>2697</v>
      </c>
      <c r="AA217" s="143">
        <v>0</v>
      </c>
      <c r="AD217" s="137">
        <v>0.2</v>
      </c>
      <c r="AE217" s="137">
        <v>0</v>
      </c>
      <c r="AG217" s="143" t="s">
        <v>783</v>
      </c>
      <c r="AH217" s="143" t="s">
        <v>772</v>
      </c>
      <c r="AI217" s="143" t="s">
        <v>680</v>
      </c>
      <c r="AJ217" s="143">
        <v>2697</v>
      </c>
      <c r="AK217" s="143">
        <v>2</v>
      </c>
      <c r="AL217" s="156">
        <v>2</v>
      </c>
      <c r="AM217" s="156">
        <v>3</v>
      </c>
      <c r="AN217" s="156">
        <v>3.5</v>
      </c>
      <c r="AO217" s="156">
        <v>4</v>
      </c>
      <c r="AP217" s="156">
        <v>2.5</v>
      </c>
      <c r="AQ217" s="156">
        <v>3</v>
      </c>
      <c r="AR217" s="156">
        <v>4</v>
      </c>
      <c r="AS217" s="169">
        <v>3.285714</v>
      </c>
    </row>
    <row r="218" spans="1:45" x14ac:dyDescent="0.25">
      <c r="A218" s="143" t="s">
        <v>783</v>
      </c>
      <c r="B218" s="143" t="s">
        <v>772</v>
      </c>
      <c r="C218" s="143" t="s">
        <v>680</v>
      </c>
      <c r="D218" s="143">
        <v>2699</v>
      </c>
      <c r="E218" s="143">
        <v>2</v>
      </c>
      <c r="F218" s="137">
        <v>1</v>
      </c>
      <c r="G218" s="137">
        <v>1</v>
      </c>
      <c r="H218" s="137">
        <v>1</v>
      </c>
      <c r="I218" s="137">
        <v>0</v>
      </c>
      <c r="K218" s="143" t="s">
        <v>783</v>
      </c>
      <c r="L218" s="143" t="s">
        <v>772</v>
      </c>
      <c r="M218" s="143" t="s">
        <v>680</v>
      </c>
      <c r="N218" s="143">
        <v>2699</v>
      </c>
      <c r="O218" s="354">
        <v>0.3922078</v>
      </c>
      <c r="P218" s="354">
        <v>0.6</v>
      </c>
      <c r="Q218" s="354">
        <v>0.99220779999999997</v>
      </c>
      <c r="R218" s="137" t="s">
        <v>3185</v>
      </c>
      <c r="S218" s="137">
        <v>0.4</v>
      </c>
      <c r="T218" s="137" t="s">
        <v>3184</v>
      </c>
      <c r="W218" s="143" t="s">
        <v>783</v>
      </c>
      <c r="X218" s="143" t="s">
        <v>772</v>
      </c>
      <c r="Y218" s="143" t="s">
        <v>680</v>
      </c>
      <c r="Z218" s="143">
        <v>2699</v>
      </c>
      <c r="AA218" s="143">
        <v>0</v>
      </c>
      <c r="AD218" s="137">
        <v>0</v>
      </c>
      <c r="AG218" s="143" t="s">
        <v>783</v>
      </c>
      <c r="AH218" s="143" t="s">
        <v>772</v>
      </c>
      <c r="AI218" s="143" t="s">
        <v>680</v>
      </c>
      <c r="AJ218" s="143">
        <v>2699</v>
      </c>
      <c r="AK218" s="143">
        <v>2</v>
      </c>
      <c r="AL218" s="156">
        <v>1</v>
      </c>
      <c r="AM218" s="156">
        <v>4</v>
      </c>
      <c r="AN218" s="156">
        <v>4</v>
      </c>
      <c r="AO218" s="156">
        <v>3.5</v>
      </c>
      <c r="AP218" s="156">
        <v>2.5</v>
      </c>
      <c r="AQ218" s="156">
        <v>3</v>
      </c>
      <c r="AR218" s="156">
        <v>4</v>
      </c>
      <c r="AS218" s="169">
        <v>3.5714290000000002</v>
      </c>
    </row>
    <row r="219" spans="1:45" x14ac:dyDescent="0.25">
      <c r="A219" s="143" t="s">
        <v>783</v>
      </c>
      <c r="B219" s="143" t="s">
        <v>772</v>
      </c>
      <c r="C219" s="143" t="s">
        <v>680</v>
      </c>
      <c r="D219" s="143">
        <v>3222</v>
      </c>
      <c r="E219" s="143">
        <v>2</v>
      </c>
      <c r="F219" s="137">
        <v>0.5</v>
      </c>
      <c r="G219" s="137">
        <v>0.5</v>
      </c>
      <c r="H219" s="137">
        <v>0.5</v>
      </c>
      <c r="I219" s="137">
        <v>0</v>
      </c>
      <c r="K219" s="143" t="s">
        <v>783</v>
      </c>
      <c r="L219" s="143" t="s">
        <v>772</v>
      </c>
      <c r="M219" s="143" t="s">
        <v>680</v>
      </c>
      <c r="N219" s="143">
        <v>3222</v>
      </c>
      <c r="O219" s="354">
        <v>0.4</v>
      </c>
      <c r="P219" s="354">
        <v>0.6</v>
      </c>
      <c r="Q219" s="354">
        <v>1</v>
      </c>
      <c r="R219" s="137" t="s">
        <v>3184</v>
      </c>
      <c r="S219" s="137">
        <v>0.5</v>
      </c>
      <c r="T219" s="137" t="s">
        <v>3184</v>
      </c>
      <c r="W219" s="143" t="s">
        <v>783</v>
      </c>
      <c r="X219" s="143" t="s">
        <v>772</v>
      </c>
      <c r="Y219" s="143" t="s">
        <v>680</v>
      </c>
      <c r="Z219" s="143">
        <v>3222</v>
      </c>
      <c r="AA219" s="143">
        <v>0</v>
      </c>
      <c r="AD219" s="137">
        <v>0.1666667</v>
      </c>
      <c r="AE219" s="137">
        <v>0</v>
      </c>
      <c r="AG219" s="143" t="s">
        <v>783</v>
      </c>
      <c r="AH219" s="143" t="s">
        <v>772</v>
      </c>
      <c r="AI219" s="143" t="s">
        <v>680</v>
      </c>
      <c r="AJ219" s="143">
        <v>3222</v>
      </c>
      <c r="AK219" s="143">
        <v>2</v>
      </c>
      <c r="AL219" s="156">
        <v>1</v>
      </c>
      <c r="AM219" s="156">
        <v>3.5</v>
      </c>
      <c r="AN219" s="156">
        <v>3.5</v>
      </c>
      <c r="AO219" s="156">
        <v>3.5</v>
      </c>
      <c r="AP219" s="156">
        <v>2</v>
      </c>
      <c r="AQ219" s="156">
        <v>2.5</v>
      </c>
      <c r="AR219" s="156">
        <v>4</v>
      </c>
      <c r="AS219" s="169">
        <v>3.285714</v>
      </c>
    </row>
    <row r="220" spans="1:45" x14ac:dyDescent="0.25">
      <c r="A220" s="143" t="s">
        <v>783</v>
      </c>
      <c r="B220" s="143" t="s">
        <v>772</v>
      </c>
      <c r="C220" s="143" t="s">
        <v>680</v>
      </c>
      <c r="D220" s="143">
        <v>3449</v>
      </c>
      <c r="E220" s="143">
        <v>2</v>
      </c>
      <c r="F220" s="137">
        <v>1</v>
      </c>
      <c r="G220" s="137">
        <v>1</v>
      </c>
      <c r="H220" s="137">
        <v>1</v>
      </c>
      <c r="I220" s="137">
        <v>0</v>
      </c>
      <c r="K220" s="143" t="s">
        <v>783</v>
      </c>
      <c r="L220" s="143" t="s">
        <v>772</v>
      </c>
      <c r="M220" s="143" t="s">
        <v>680</v>
      </c>
      <c r="N220" s="143">
        <v>3449</v>
      </c>
      <c r="O220" s="354">
        <v>0.4</v>
      </c>
      <c r="P220" s="354">
        <v>0.6</v>
      </c>
      <c r="Q220" s="354">
        <v>1</v>
      </c>
      <c r="R220" s="137" t="s">
        <v>3184</v>
      </c>
      <c r="S220" s="137">
        <v>0.5</v>
      </c>
      <c r="T220" s="137" t="s">
        <v>3184</v>
      </c>
      <c r="W220" s="143" t="s">
        <v>783</v>
      </c>
      <c r="X220" s="143" t="s">
        <v>772</v>
      </c>
      <c r="Y220" s="143" t="s">
        <v>680</v>
      </c>
      <c r="Z220" s="143">
        <v>3449</v>
      </c>
      <c r="AA220" s="143">
        <v>0</v>
      </c>
      <c r="AD220" s="137">
        <v>0.5</v>
      </c>
      <c r="AE220" s="137">
        <v>0</v>
      </c>
      <c r="AG220" s="143" t="s">
        <v>783</v>
      </c>
      <c r="AH220" s="143" t="s">
        <v>772</v>
      </c>
      <c r="AI220" s="143" t="s">
        <v>680</v>
      </c>
      <c r="AJ220" s="143">
        <v>3449</v>
      </c>
      <c r="AK220" s="143">
        <v>2</v>
      </c>
      <c r="AL220" s="156">
        <v>1</v>
      </c>
      <c r="AM220" s="156">
        <v>3.5</v>
      </c>
      <c r="AN220" s="156">
        <v>3.5</v>
      </c>
      <c r="AO220" s="156">
        <v>3</v>
      </c>
      <c r="AP220" s="156">
        <v>1</v>
      </c>
      <c r="AQ220" s="156">
        <v>4</v>
      </c>
      <c r="AR220" s="156">
        <v>3.5</v>
      </c>
      <c r="AS220" s="169">
        <v>3.214286</v>
      </c>
    </row>
    <row r="221" spans="1:45" x14ac:dyDescent="0.25">
      <c r="A221" s="143" t="s">
        <v>783</v>
      </c>
      <c r="B221" s="143" t="s">
        <v>772</v>
      </c>
      <c r="C221" s="143" t="s">
        <v>680</v>
      </c>
      <c r="D221" s="143">
        <v>3764</v>
      </c>
      <c r="E221" s="143">
        <v>2</v>
      </c>
      <c r="F221" s="137">
        <v>0.5</v>
      </c>
      <c r="G221" s="137">
        <v>0.5</v>
      </c>
      <c r="H221" s="137">
        <v>0.5</v>
      </c>
      <c r="I221" s="137">
        <v>0</v>
      </c>
      <c r="K221" s="143" t="s">
        <v>783</v>
      </c>
      <c r="L221" s="143" t="s">
        <v>772</v>
      </c>
      <c r="M221" s="143" t="s">
        <v>680</v>
      </c>
      <c r="N221" s="143">
        <v>3764</v>
      </c>
      <c r="O221" s="354">
        <v>0.4</v>
      </c>
      <c r="P221" s="354">
        <v>0.6</v>
      </c>
      <c r="Q221" s="354">
        <v>1</v>
      </c>
      <c r="R221" s="137" t="s">
        <v>3184</v>
      </c>
      <c r="S221" s="137">
        <v>0.4</v>
      </c>
      <c r="T221" s="137" t="s">
        <v>3184</v>
      </c>
      <c r="W221" s="143" t="s">
        <v>783</v>
      </c>
      <c r="X221" s="143" t="s">
        <v>772</v>
      </c>
      <c r="Y221" s="143" t="s">
        <v>680</v>
      </c>
      <c r="Z221" s="143">
        <v>3764</v>
      </c>
      <c r="AA221" s="143">
        <v>0</v>
      </c>
      <c r="AD221" s="137">
        <v>0</v>
      </c>
      <c r="AG221" s="143" t="s">
        <v>783</v>
      </c>
      <c r="AH221" s="143" t="s">
        <v>772</v>
      </c>
      <c r="AI221" s="143" t="s">
        <v>680</v>
      </c>
      <c r="AJ221" s="143">
        <v>3764</v>
      </c>
      <c r="AK221" s="143">
        <v>2</v>
      </c>
      <c r="AL221" s="156">
        <v>1.5</v>
      </c>
      <c r="AM221" s="156">
        <v>4</v>
      </c>
      <c r="AN221" s="156">
        <v>3.5</v>
      </c>
      <c r="AO221" s="156">
        <v>3.5</v>
      </c>
      <c r="AP221" s="156">
        <v>1.5</v>
      </c>
      <c r="AQ221" s="156">
        <v>2.5</v>
      </c>
      <c r="AR221" s="156">
        <v>4</v>
      </c>
      <c r="AS221" s="169">
        <v>3.214286</v>
      </c>
    </row>
    <row r="222" spans="1:45" x14ac:dyDescent="0.25">
      <c r="A222" s="143" t="s">
        <v>784</v>
      </c>
      <c r="B222" s="143" t="s">
        <v>768</v>
      </c>
      <c r="C222" s="143" t="s">
        <v>729</v>
      </c>
      <c r="D222" s="143">
        <v>815</v>
      </c>
      <c r="E222" s="143">
        <v>8</v>
      </c>
      <c r="F222" s="137">
        <v>0.125</v>
      </c>
      <c r="G222" s="137">
        <v>0</v>
      </c>
      <c r="H222" s="137">
        <v>0</v>
      </c>
      <c r="I222" s="137">
        <v>0</v>
      </c>
      <c r="K222" s="143" t="s">
        <v>784</v>
      </c>
      <c r="L222" s="143" t="s">
        <v>768</v>
      </c>
      <c r="M222" s="143" t="s">
        <v>729</v>
      </c>
      <c r="N222" s="143">
        <v>815</v>
      </c>
      <c r="O222" s="354">
        <v>0.37272729999999998</v>
      </c>
      <c r="P222" s="354">
        <v>0.52500000000000002</v>
      </c>
      <c r="Q222" s="354">
        <v>0.89772730000000001</v>
      </c>
      <c r="R222" s="137" t="s">
        <v>3185</v>
      </c>
      <c r="S222" s="137">
        <v>0.29411769999999998</v>
      </c>
      <c r="T222" s="137" t="s">
        <v>3184</v>
      </c>
      <c r="U222" s="137" t="s">
        <v>3184</v>
      </c>
      <c r="W222" s="143" t="s">
        <v>784</v>
      </c>
      <c r="X222" s="143" t="s">
        <v>768</v>
      </c>
      <c r="Y222" s="143" t="s">
        <v>729</v>
      </c>
      <c r="Z222" s="143">
        <v>815</v>
      </c>
      <c r="AA222" s="143">
        <v>8</v>
      </c>
      <c r="AB222" s="137">
        <v>0.25</v>
      </c>
      <c r="AC222" s="137">
        <v>0</v>
      </c>
      <c r="AD222" s="137">
        <v>0</v>
      </c>
      <c r="AG222" s="143" t="s">
        <v>784</v>
      </c>
      <c r="AH222" s="143" t="s">
        <v>768</v>
      </c>
      <c r="AI222" s="143" t="s">
        <v>729</v>
      </c>
      <c r="AJ222" s="143">
        <v>815</v>
      </c>
      <c r="AK222" s="143">
        <v>8</v>
      </c>
      <c r="AL222" s="156">
        <v>2.125</v>
      </c>
      <c r="AM222" s="156">
        <v>3</v>
      </c>
      <c r="AN222" s="156">
        <v>2.5</v>
      </c>
      <c r="AO222" s="156">
        <v>2.125</v>
      </c>
      <c r="AP222" s="156">
        <v>3.125</v>
      </c>
      <c r="AQ222" s="156">
        <v>2.625</v>
      </c>
      <c r="AR222" s="156">
        <v>2.75</v>
      </c>
      <c r="AS222" s="169">
        <v>2.714286</v>
      </c>
    </row>
    <row r="223" spans="1:45" x14ac:dyDescent="0.25">
      <c r="A223" s="143" t="s">
        <v>784</v>
      </c>
      <c r="B223" s="143" t="s">
        <v>768</v>
      </c>
      <c r="C223" s="143" t="s">
        <v>728</v>
      </c>
      <c r="D223" s="143">
        <v>830</v>
      </c>
      <c r="E223" s="143">
        <v>2</v>
      </c>
      <c r="F223" s="137">
        <v>1</v>
      </c>
      <c r="G223" s="137">
        <v>1</v>
      </c>
      <c r="H223" s="137">
        <v>1</v>
      </c>
      <c r="I223" s="137">
        <v>0</v>
      </c>
      <c r="K223" s="143" t="s">
        <v>784</v>
      </c>
      <c r="L223" s="143" t="s">
        <v>768</v>
      </c>
      <c r="M223" s="143" t="s">
        <v>728</v>
      </c>
      <c r="N223" s="143">
        <v>830</v>
      </c>
      <c r="O223" s="354">
        <v>0.4</v>
      </c>
      <c r="P223" s="354">
        <v>0</v>
      </c>
      <c r="Q223" s="354">
        <v>0.4</v>
      </c>
      <c r="R223" s="137" t="s">
        <v>3185</v>
      </c>
      <c r="S223" s="137">
        <v>0.42857139999999999</v>
      </c>
      <c r="T223" s="137" t="s">
        <v>3185</v>
      </c>
      <c r="U223" s="137" t="s">
        <v>3184</v>
      </c>
      <c r="W223" s="143" t="s">
        <v>784</v>
      </c>
      <c r="X223" s="143" t="s">
        <v>768</v>
      </c>
      <c r="Y223" s="143" t="s">
        <v>728</v>
      </c>
      <c r="Z223" s="143">
        <v>830</v>
      </c>
      <c r="AA223" s="143">
        <v>0</v>
      </c>
      <c r="AD223" s="137">
        <v>0.14285709999999999</v>
      </c>
      <c r="AE223" s="137">
        <v>0</v>
      </c>
      <c r="AG223" s="143" t="s">
        <v>784</v>
      </c>
      <c r="AH223" s="143" t="s">
        <v>768</v>
      </c>
      <c r="AI223" s="143" t="s">
        <v>728</v>
      </c>
      <c r="AJ223" s="143">
        <v>830</v>
      </c>
      <c r="AK223" s="143">
        <v>2</v>
      </c>
      <c r="AL223" s="156">
        <v>3</v>
      </c>
      <c r="AM223" s="156">
        <v>3</v>
      </c>
      <c r="AN223" s="156">
        <v>4</v>
      </c>
      <c r="AO223" s="156">
        <v>4</v>
      </c>
      <c r="AP223" s="156">
        <v>1</v>
      </c>
      <c r="AQ223" s="156">
        <v>4</v>
      </c>
      <c r="AR223" s="156">
        <v>4</v>
      </c>
      <c r="AS223" s="169">
        <v>3.3571430000000002</v>
      </c>
    </row>
    <row r="224" spans="1:45" x14ac:dyDescent="0.25">
      <c r="A224" s="143" t="s">
        <v>784</v>
      </c>
      <c r="B224" s="143" t="s">
        <v>768</v>
      </c>
      <c r="C224" s="143" t="s">
        <v>728</v>
      </c>
      <c r="D224" s="143">
        <v>837</v>
      </c>
      <c r="E224" s="143">
        <v>2</v>
      </c>
      <c r="F224" s="137">
        <v>1</v>
      </c>
      <c r="G224" s="137">
        <v>1</v>
      </c>
      <c r="H224" s="137">
        <v>1</v>
      </c>
      <c r="I224" s="137">
        <v>0.5</v>
      </c>
      <c r="K224" s="143" t="s">
        <v>784</v>
      </c>
      <c r="L224" s="143" t="s">
        <v>768</v>
      </c>
      <c r="M224" s="143" t="s">
        <v>728</v>
      </c>
      <c r="N224" s="143">
        <v>837</v>
      </c>
      <c r="O224" s="354">
        <v>0.3766234</v>
      </c>
      <c r="P224" s="354">
        <v>0.6</v>
      </c>
      <c r="Q224" s="354">
        <v>0.97662340000000003</v>
      </c>
      <c r="R224" s="137" t="s">
        <v>3185</v>
      </c>
      <c r="S224" s="137">
        <v>0.375</v>
      </c>
      <c r="T224" s="137" t="s">
        <v>3184</v>
      </c>
      <c r="U224" s="137" t="s">
        <v>3184</v>
      </c>
      <c r="W224" s="143" t="s">
        <v>784</v>
      </c>
      <c r="X224" s="143" t="s">
        <v>768</v>
      </c>
      <c r="Y224" s="143" t="s">
        <v>728</v>
      </c>
      <c r="Z224" s="143">
        <v>837</v>
      </c>
      <c r="AA224" s="143">
        <v>0</v>
      </c>
      <c r="AD224" s="137">
        <v>0</v>
      </c>
      <c r="AG224" s="143" t="s">
        <v>784</v>
      </c>
      <c r="AH224" s="143" t="s">
        <v>768</v>
      </c>
      <c r="AI224" s="143" t="s">
        <v>728</v>
      </c>
      <c r="AJ224" s="143">
        <v>837</v>
      </c>
      <c r="AK224" s="143">
        <v>2</v>
      </c>
      <c r="AL224" s="156">
        <v>2</v>
      </c>
      <c r="AM224" s="156">
        <v>3</v>
      </c>
      <c r="AN224" s="156">
        <v>4</v>
      </c>
      <c r="AO224" s="156">
        <v>3.5</v>
      </c>
      <c r="AP224" s="156">
        <v>4</v>
      </c>
      <c r="AQ224" s="156">
        <v>3.5</v>
      </c>
      <c r="AR224" s="156">
        <v>3.5</v>
      </c>
      <c r="AS224" s="169">
        <v>3.5</v>
      </c>
    </row>
    <row r="225" spans="1:45" x14ac:dyDescent="0.25">
      <c r="A225" s="143" t="s">
        <v>784</v>
      </c>
      <c r="B225" s="143" t="s">
        <v>768</v>
      </c>
      <c r="C225" s="143" t="s">
        <v>727</v>
      </c>
      <c r="D225" s="143">
        <v>840</v>
      </c>
      <c r="E225" s="143">
        <v>3</v>
      </c>
      <c r="F225" s="137">
        <v>1</v>
      </c>
      <c r="G225" s="137">
        <v>1</v>
      </c>
      <c r="H225" s="137">
        <v>1</v>
      </c>
      <c r="I225" s="137">
        <v>0</v>
      </c>
      <c r="K225" s="143" t="s">
        <v>784</v>
      </c>
      <c r="L225" s="143" t="s">
        <v>768</v>
      </c>
      <c r="M225" s="143" t="s">
        <v>727</v>
      </c>
      <c r="N225" s="143">
        <v>840</v>
      </c>
      <c r="O225" s="354">
        <v>0.4</v>
      </c>
      <c r="P225" s="354">
        <v>0.6</v>
      </c>
      <c r="Q225" s="354">
        <v>1</v>
      </c>
      <c r="R225" s="137" t="s">
        <v>3184</v>
      </c>
      <c r="S225" s="137">
        <v>0.23529410000000001</v>
      </c>
      <c r="T225" s="137" t="s">
        <v>3184</v>
      </c>
      <c r="U225" s="137" t="s">
        <v>3184</v>
      </c>
      <c r="W225" s="143" t="s">
        <v>784</v>
      </c>
      <c r="X225" s="143" t="s">
        <v>768</v>
      </c>
      <c r="Y225" s="143" t="s">
        <v>727</v>
      </c>
      <c r="Z225" s="143">
        <v>840</v>
      </c>
      <c r="AA225" s="143">
        <v>0</v>
      </c>
      <c r="AD225" s="137">
        <v>0</v>
      </c>
      <c r="AG225" s="143" t="s">
        <v>784</v>
      </c>
      <c r="AH225" s="143" t="s">
        <v>768</v>
      </c>
      <c r="AI225" s="143" t="s">
        <v>727</v>
      </c>
      <c r="AJ225" s="143">
        <v>840</v>
      </c>
      <c r="AK225" s="143">
        <v>3</v>
      </c>
      <c r="AL225" s="156">
        <v>1.6666666269302399</v>
      </c>
      <c r="AM225" s="156">
        <v>3</v>
      </c>
      <c r="AN225" s="156">
        <v>3</v>
      </c>
      <c r="AO225" s="156">
        <v>2</v>
      </c>
      <c r="AP225" s="156">
        <v>3</v>
      </c>
      <c r="AQ225" s="156">
        <v>3</v>
      </c>
      <c r="AR225" s="156">
        <v>3</v>
      </c>
      <c r="AS225" s="169">
        <v>2.9047619999999998</v>
      </c>
    </row>
    <row r="226" spans="1:45" x14ac:dyDescent="0.25">
      <c r="A226" s="143" t="s">
        <v>784</v>
      </c>
      <c r="B226" s="143" t="s">
        <v>768</v>
      </c>
      <c r="C226" s="143" t="s">
        <v>727</v>
      </c>
      <c r="D226" s="143">
        <v>841</v>
      </c>
      <c r="E226" s="143">
        <v>3</v>
      </c>
      <c r="F226" s="137">
        <v>1</v>
      </c>
      <c r="G226" s="137">
        <v>1</v>
      </c>
      <c r="H226" s="137">
        <v>1</v>
      </c>
      <c r="I226" s="137">
        <v>0</v>
      </c>
      <c r="K226" s="143" t="s">
        <v>784</v>
      </c>
      <c r="L226" s="143" t="s">
        <v>768</v>
      </c>
      <c r="M226" s="143" t="s">
        <v>727</v>
      </c>
      <c r="N226" s="143">
        <v>841</v>
      </c>
      <c r="O226" s="354">
        <v>0.4</v>
      </c>
      <c r="P226" s="354">
        <v>0.6</v>
      </c>
      <c r="Q226" s="137">
        <v>1</v>
      </c>
      <c r="R226" s="137" t="s">
        <v>3184</v>
      </c>
      <c r="S226" s="137">
        <v>0.3333333</v>
      </c>
      <c r="T226" s="137" t="s">
        <v>3184</v>
      </c>
      <c r="U226" s="137" t="s">
        <v>3184</v>
      </c>
      <c r="W226" s="143" t="s">
        <v>784</v>
      </c>
      <c r="X226" s="143" t="s">
        <v>768</v>
      </c>
      <c r="Y226" s="143" t="s">
        <v>727</v>
      </c>
      <c r="Z226" s="143">
        <v>841</v>
      </c>
      <c r="AA226" s="143">
        <v>0</v>
      </c>
      <c r="AD226" s="137">
        <v>8.3333299999999999E-2</v>
      </c>
      <c r="AE226" s="137">
        <v>0</v>
      </c>
      <c r="AG226" s="143" t="s">
        <v>784</v>
      </c>
      <c r="AH226" s="143" t="s">
        <v>768</v>
      </c>
      <c r="AI226" s="143" t="s">
        <v>727</v>
      </c>
      <c r="AJ226" s="143">
        <v>841</v>
      </c>
      <c r="AK226" s="143">
        <v>3</v>
      </c>
      <c r="AL226" s="156">
        <v>2.3333332538604701</v>
      </c>
      <c r="AM226" s="156">
        <v>3</v>
      </c>
      <c r="AN226" s="156">
        <v>3.3333332538604701</v>
      </c>
      <c r="AO226" s="156">
        <v>3</v>
      </c>
      <c r="AP226" s="156">
        <v>2.6666667461395299</v>
      </c>
      <c r="AQ226" s="156">
        <v>2.3333332538604701</v>
      </c>
      <c r="AR226" s="156">
        <v>3</v>
      </c>
      <c r="AS226" s="169">
        <v>2.8571430000000002</v>
      </c>
    </row>
    <row r="227" spans="1:45" x14ac:dyDescent="0.25">
      <c r="A227" s="143" t="s">
        <v>784</v>
      </c>
      <c r="B227" s="143" t="s">
        <v>768</v>
      </c>
      <c r="C227" s="143" t="s">
        <v>728</v>
      </c>
      <c r="D227" s="143">
        <v>1629</v>
      </c>
      <c r="E227" s="143">
        <v>2</v>
      </c>
      <c r="F227" s="137">
        <v>1</v>
      </c>
      <c r="G227" s="137">
        <v>1</v>
      </c>
      <c r="H227" s="137">
        <v>1</v>
      </c>
      <c r="I227" s="137">
        <v>0</v>
      </c>
      <c r="K227" s="143" t="s">
        <v>784</v>
      </c>
      <c r="L227" s="143" t="s">
        <v>768</v>
      </c>
      <c r="M227" s="143" t="s">
        <v>728</v>
      </c>
      <c r="N227" s="143">
        <v>1629</v>
      </c>
      <c r="O227" s="354">
        <v>0.39740259999999999</v>
      </c>
      <c r="P227" s="354">
        <v>0.6</v>
      </c>
      <c r="Q227" s="354">
        <v>0.99740260000000003</v>
      </c>
      <c r="R227" s="137" t="s">
        <v>3185</v>
      </c>
      <c r="S227" s="137">
        <v>0.28571429999999998</v>
      </c>
      <c r="T227" s="137" t="s">
        <v>3184</v>
      </c>
      <c r="U227" s="137" t="s">
        <v>3184</v>
      </c>
      <c r="W227" s="143" t="s">
        <v>784</v>
      </c>
      <c r="X227" s="143" t="s">
        <v>768</v>
      </c>
      <c r="Y227" s="143" t="s">
        <v>728</v>
      </c>
      <c r="Z227" s="143">
        <v>1629</v>
      </c>
      <c r="AA227" s="143">
        <v>0</v>
      </c>
      <c r="AD227" s="137">
        <v>0</v>
      </c>
      <c r="AG227" s="143" t="s">
        <v>784</v>
      </c>
      <c r="AH227" s="143" t="s">
        <v>768</v>
      </c>
      <c r="AI227" s="143" t="s">
        <v>728</v>
      </c>
      <c r="AJ227" s="143">
        <v>1629</v>
      </c>
      <c r="AK227" s="143">
        <v>2</v>
      </c>
      <c r="AL227" s="156">
        <v>3</v>
      </c>
      <c r="AM227" s="156">
        <v>3</v>
      </c>
      <c r="AN227" s="156">
        <v>2</v>
      </c>
      <c r="AO227" s="156">
        <v>2.5</v>
      </c>
      <c r="AP227" s="156">
        <v>1</v>
      </c>
      <c r="AQ227" s="156">
        <v>2.5</v>
      </c>
      <c r="AR227" s="156">
        <v>3</v>
      </c>
      <c r="AS227" s="169">
        <v>2.5</v>
      </c>
    </row>
    <row r="228" spans="1:45" x14ac:dyDescent="0.25">
      <c r="A228" s="143" t="s">
        <v>784</v>
      </c>
      <c r="B228" s="143" t="s">
        <v>768</v>
      </c>
      <c r="C228" s="143" t="s">
        <v>680</v>
      </c>
      <c r="D228" s="143">
        <v>3705</v>
      </c>
      <c r="E228" s="143">
        <v>2</v>
      </c>
      <c r="F228" s="137">
        <v>1</v>
      </c>
      <c r="G228" s="137">
        <v>1</v>
      </c>
      <c r="H228" s="137">
        <v>1</v>
      </c>
      <c r="I228" s="137">
        <v>0</v>
      </c>
      <c r="K228" s="143" t="s">
        <v>784</v>
      </c>
      <c r="L228" s="143" t="s">
        <v>768</v>
      </c>
      <c r="M228" s="143" t="s">
        <v>680</v>
      </c>
      <c r="N228" s="143">
        <v>3705</v>
      </c>
      <c r="O228" s="354">
        <v>0.4</v>
      </c>
      <c r="P228" s="354">
        <v>0.6</v>
      </c>
      <c r="Q228" s="354">
        <v>1</v>
      </c>
      <c r="R228" s="137" t="s">
        <v>3184</v>
      </c>
      <c r="S228" s="137">
        <v>0.5</v>
      </c>
      <c r="T228" s="137" t="s">
        <v>3184</v>
      </c>
      <c r="W228" s="143" t="s">
        <v>784</v>
      </c>
      <c r="X228" s="143" t="s">
        <v>768</v>
      </c>
      <c r="Y228" s="143" t="s">
        <v>680</v>
      </c>
      <c r="Z228" s="143">
        <v>3705</v>
      </c>
      <c r="AA228" s="143">
        <v>0</v>
      </c>
      <c r="AD228" s="137">
        <v>0.25</v>
      </c>
      <c r="AE228" s="137">
        <v>0</v>
      </c>
      <c r="AG228" s="143" t="s">
        <v>784</v>
      </c>
      <c r="AH228" s="143" t="s">
        <v>768</v>
      </c>
      <c r="AI228" s="143" t="s">
        <v>680</v>
      </c>
      <c r="AJ228" s="143">
        <v>3705</v>
      </c>
      <c r="AK228" s="143">
        <v>2</v>
      </c>
      <c r="AL228" s="156">
        <v>2.5</v>
      </c>
      <c r="AM228" s="156">
        <v>3.5</v>
      </c>
      <c r="AN228" s="156">
        <v>1.5</v>
      </c>
      <c r="AO228" s="156">
        <v>2</v>
      </c>
      <c r="AP228" s="156">
        <v>1</v>
      </c>
      <c r="AQ228" s="156">
        <v>1.5</v>
      </c>
      <c r="AR228" s="156">
        <v>3</v>
      </c>
      <c r="AS228" s="169">
        <v>2.1428569999999998</v>
      </c>
    </row>
    <row r="229" spans="1:45" x14ac:dyDescent="0.25">
      <c r="A229" s="143" t="s">
        <v>784</v>
      </c>
      <c r="B229" s="143" t="s">
        <v>768</v>
      </c>
      <c r="C229" s="143" t="s">
        <v>680</v>
      </c>
      <c r="D229" s="143">
        <v>4337</v>
      </c>
      <c r="E229" s="143">
        <v>2</v>
      </c>
      <c r="F229" s="137">
        <v>1</v>
      </c>
      <c r="G229" s="137">
        <v>1</v>
      </c>
      <c r="H229" s="137">
        <v>1</v>
      </c>
      <c r="I229" s="137">
        <v>0</v>
      </c>
      <c r="K229" s="143" t="s">
        <v>784</v>
      </c>
      <c r="L229" s="143" t="s">
        <v>768</v>
      </c>
      <c r="M229" s="143" t="s">
        <v>680</v>
      </c>
      <c r="N229" s="143">
        <v>4337</v>
      </c>
      <c r="O229" s="354">
        <v>0.4</v>
      </c>
      <c r="P229" s="354">
        <v>0.6</v>
      </c>
      <c r="Q229" s="137">
        <v>1</v>
      </c>
      <c r="R229" s="137" t="s">
        <v>3184</v>
      </c>
      <c r="S229" s="137">
        <v>0.5</v>
      </c>
      <c r="T229" s="137" t="s">
        <v>3184</v>
      </c>
      <c r="W229" s="143" t="s">
        <v>784</v>
      </c>
      <c r="X229" s="143" t="s">
        <v>768</v>
      </c>
      <c r="Y229" s="143" t="s">
        <v>680</v>
      </c>
      <c r="Z229" s="143">
        <v>4337</v>
      </c>
      <c r="AA229" s="143">
        <v>0</v>
      </c>
      <c r="AD229" s="137">
        <v>0.25</v>
      </c>
      <c r="AE229" s="137">
        <v>0</v>
      </c>
      <c r="AG229" s="143" t="s">
        <v>784</v>
      </c>
      <c r="AH229" s="143" t="s">
        <v>768</v>
      </c>
      <c r="AI229" s="143" t="s">
        <v>680</v>
      </c>
      <c r="AJ229" s="143">
        <v>4337</v>
      </c>
      <c r="AK229" s="143">
        <v>2</v>
      </c>
      <c r="AL229" s="156">
        <v>1.5</v>
      </c>
      <c r="AM229" s="156">
        <v>3.5</v>
      </c>
      <c r="AN229" s="156">
        <v>3.5</v>
      </c>
      <c r="AO229" s="156">
        <v>3.5</v>
      </c>
      <c r="AP229" s="156">
        <v>1</v>
      </c>
      <c r="AQ229" s="156">
        <v>3.5</v>
      </c>
      <c r="AR229" s="156">
        <v>3.5</v>
      </c>
      <c r="AS229" s="169">
        <v>3.1428569999999998</v>
      </c>
    </row>
    <row r="230" spans="1:45" x14ac:dyDescent="0.25">
      <c r="A230" s="143" t="s">
        <v>784</v>
      </c>
      <c r="B230" s="143" t="s">
        <v>768</v>
      </c>
      <c r="C230" s="143" t="s">
        <v>680</v>
      </c>
      <c r="D230" s="143">
        <v>4343</v>
      </c>
      <c r="E230" s="143">
        <v>2</v>
      </c>
      <c r="F230" s="137">
        <v>1</v>
      </c>
      <c r="G230" s="137">
        <v>1</v>
      </c>
      <c r="H230" s="137">
        <v>1</v>
      </c>
      <c r="I230" s="137">
        <v>0</v>
      </c>
      <c r="K230" s="143" t="s">
        <v>784</v>
      </c>
      <c r="L230" s="143" t="s">
        <v>768</v>
      </c>
      <c r="M230" s="143" t="s">
        <v>680</v>
      </c>
      <c r="N230" s="143">
        <v>4343</v>
      </c>
      <c r="O230" s="354">
        <v>0.3922078</v>
      </c>
      <c r="P230" s="354">
        <v>0.6</v>
      </c>
      <c r="Q230" s="354">
        <v>0.99220779999999997</v>
      </c>
      <c r="R230" s="137" t="s">
        <v>3185</v>
      </c>
      <c r="S230" s="137">
        <v>0.5</v>
      </c>
      <c r="T230" s="137" t="s">
        <v>3184</v>
      </c>
      <c r="W230" s="143" t="s">
        <v>784</v>
      </c>
      <c r="X230" s="143" t="s">
        <v>768</v>
      </c>
      <c r="Y230" s="143" t="s">
        <v>680</v>
      </c>
      <c r="Z230" s="143">
        <v>4343</v>
      </c>
      <c r="AA230" s="143">
        <v>0</v>
      </c>
      <c r="AD230" s="137">
        <v>0.25</v>
      </c>
      <c r="AE230" s="137">
        <v>0</v>
      </c>
      <c r="AG230" s="143" t="s">
        <v>784</v>
      </c>
      <c r="AH230" s="143" t="s">
        <v>768</v>
      </c>
      <c r="AI230" s="143" t="s">
        <v>680</v>
      </c>
      <c r="AJ230" s="143">
        <v>4343</v>
      </c>
      <c r="AK230" s="143">
        <v>2</v>
      </c>
      <c r="AL230" s="156">
        <v>1.5</v>
      </c>
      <c r="AM230" s="156">
        <v>2</v>
      </c>
      <c r="AN230" s="156">
        <v>3.5</v>
      </c>
      <c r="AO230" s="156">
        <v>3.5</v>
      </c>
      <c r="AP230" s="156">
        <v>1.5</v>
      </c>
      <c r="AQ230" s="156">
        <v>3</v>
      </c>
      <c r="AR230" s="156">
        <v>4</v>
      </c>
      <c r="AS230" s="169">
        <v>3</v>
      </c>
    </row>
    <row r="231" spans="1:45" x14ac:dyDescent="0.25">
      <c r="A231" s="143" t="s">
        <v>784</v>
      </c>
      <c r="B231" s="143" t="s">
        <v>768</v>
      </c>
      <c r="C231" s="143" t="s">
        <v>680</v>
      </c>
      <c r="D231" s="143">
        <v>4344</v>
      </c>
      <c r="E231" s="143">
        <v>2</v>
      </c>
      <c r="F231" s="137">
        <v>0.5</v>
      </c>
      <c r="G231" s="137">
        <v>0.5</v>
      </c>
      <c r="H231" s="137">
        <v>0.5</v>
      </c>
      <c r="I231" s="137">
        <v>0</v>
      </c>
      <c r="K231" s="143" t="s">
        <v>784</v>
      </c>
      <c r="L231" s="143" t="s">
        <v>768</v>
      </c>
      <c r="M231" s="143" t="s">
        <v>680</v>
      </c>
      <c r="N231" s="143">
        <v>4344</v>
      </c>
      <c r="O231" s="354">
        <v>0.4</v>
      </c>
      <c r="P231" s="354">
        <v>0.6</v>
      </c>
      <c r="Q231" s="354">
        <v>1</v>
      </c>
      <c r="R231" s="137" t="s">
        <v>3184</v>
      </c>
      <c r="S231" s="137">
        <v>0.5</v>
      </c>
      <c r="T231" s="137" t="s">
        <v>3184</v>
      </c>
      <c r="W231" s="143" t="s">
        <v>784</v>
      </c>
      <c r="X231" s="143" t="s">
        <v>768</v>
      </c>
      <c r="Y231" s="143" t="s">
        <v>680</v>
      </c>
      <c r="Z231" s="143">
        <v>4344</v>
      </c>
      <c r="AA231" s="143">
        <v>0</v>
      </c>
      <c r="AD231" s="137">
        <v>0.25</v>
      </c>
      <c r="AE231" s="137">
        <v>0</v>
      </c>
      <c r="AG231" s="143" t="s">
        <v>784</v>
      </c>
      <c r="AH231" s="143" t="s">
        <v>768</v>
      </c>
      <c r="AI231" s="143" t="s">
        <v>680</v>
      </c>
      <c r="AJ231" s="143">
        <v>4344</v>
      </c>
      <c r="AK231" s="143">
        <v>2</v>
      </c>
      <c r="AL231" s="156">
        <v>2.5</v>
      </c>
      <c r="AM231" s="156">
        <v>3</v>
      </c>
      <c r="AN231" s="156">
        <v>3.5</v>
      </c>
      <c r="AO231" s="156">
        <v>3.5</v>
      </c>
      <c r="AP231" s="156">
        <v>2</v>
      </c>
      <c r="AQ231" s="156">
        <v>2.5</v>
      </c>
      <c r="AR231" s="156">
        <v>3.5</v>
      </c>
      <c r="AS231" s="169">
        <v>2.9285709999999998</v>
      </c>
    </row>
    <row r="232" spans="1:45" x14ac:dyDescent="0.25">
      <c r="A232" s="143" t="s">
        <v>784</v>
      </c>
      <c r="B232" s="143" t="s">
        <v>768</v>
      </c>
      <c r="C232" s="143" t="s">
        <v>680</v>
      </c>
      <c r="D232" s="143">
        <v>4345</v>
      </c>
      <c r="E232" s="143">
        <v>2</v>
      </c>
      <c r="F232" s="137">
        <v>0.5</v>
      </c>
      <c r="G232" s="137">
        <v>0.5</v>
      </c>
      <c r="H232" s="137">
        <v>0.5</v>
      </c>
      <c r="I232" s="137">
        <v>0</v>
      </c>
      <c r="K232" s="143" t="s">
        <v>784</v>
      </c>
      <c r="L232" s="143" t="s">
        <v>768</v>
      </c>
      <c r="M232" s="143" t="s">
        <v>680</v>
      </c>
      <c r="N232" s="143">
        <v>4345</v>
      </c>
      <c r="O232" s="354">
        <v>0.39740259999999999</v>
      </c>
      <c r="P232" s="354">
        <v>0.6</v>
      </c>
      <c r="Q232" s="354">
        <v>0.99740260000000003</v>
      </c>
      <c r="R232" s="137" t="s">
        <v>3185</v>
      </c>
      <c r="S232" s="137">
        <v>0.5</v>
      </c>
      <c r="T232" s="137" t="s">
        <v>3184</v>
      </c>
      <c r="W232" s="143" t="s">
        <v>784</v>
      </c>
      <c r="X232" s="143" t="s">
        <v>768</v>
      </c>
      <c r="Y232" s="143" t="s">
        <v>680</v>
      </c>
      <c r="Z232" s="143">
        <v>4345</v>
      </c>
      <c r="AA232" s="143">
        <v>0</v>
      </c>
      <c r="AD232" s="137">
        <v>0.25</v>
      </c>
      <c r="AE232" s="137">
        <v>0</v>
      </c>
      <c r="AG232" s="143" t="s">
        <v>784</v>
      </c>
      <c r="AH232" s="143" t="s">
        <v>768</v>
      </c>
      <c r="AI232" s="143" t="s">
        <v>680</v>
      </c>
      <c r="AJ232" s="143">
        <v>4345</v>
      </c>
      <c r="AK232" s="143">
        <v>2</v>
      </c>
      <c r="AL232" s="156">
        <v>1.5</v>
      </c>
      <c r="AM232" s="156">
        <v>3</v>
      </c>
      <c r="AN232" s="156">
        <v>2.5</v>
      </c>
      <c r="AO232" s="156">
        <v>3</v>
      </c>
      <c r="AP232" s="156">
        <v>1.5</v>
      </c>
      <c r="AQ232" s="156">
        <v>3</v>
      </c>
      <c r="AR232" s="156">
        <v>3.5</v>
      </c>
      <c r="AS232" s="169">
        <v>2.8571430000000002</v>
      </c>
    </row>
    <row r="233" spans="1:45" x14ac:dyDescent="0.25">
      <c r="A233" s="143" t="s">
        <v>785</v>
      </c>
      <c r="B233" s="143" t="s">
        <v>772</v>
      </c>
      <c r="C233" s="143" t="s">
        <v>680</v>
      </c>
      <c r="D233" s="143">
        <v>281</v>
      </c>
      <c r="E233" s="143">
        <v>2</v>
      </c>
      <c r="F233" s="137">
        <v>1</v>
      </c>
      <c r="G233" s="137">
        <v>1</v>
      </c>
      <c r="H233" s="137">
        <v>1</v>
      </c>
      <c r="I233" s="137">
        <v>0</v>
      </c>
      <c r="K233" s="143" t="s">
        <v>785</v>
      </c>
      <c r="L233" s="143" t="s">
        <v>772</v>
      </c>
      <c r="M233" s="143" t="s">
        <v>680</v>
      </c>
      <c r="N233" s="143">
        <v>281</v>
      </c>
      <c r="O233" s="354">
        <v>0.4</v>
      </c>
      <c r="P233" s="354">
        <v>0.6</v>
      </c>
      <c r="Q233" s="354">
        <v>1</v>
      </c>
      <c r="R233" s="137" t="s">
        <v>3184</v>
      </c>
      <c r="S233" s="137">
        <v>0.5</v>
      </c>
      <c r="T233" s="137" t="s">
        <v>3184</v>
      </c>
      <c r="W233" s="143" t="s">
        <v>785</v>
      </c>
      <c r="X233" s="143" t="s">
        <v>772</v>
      </c>
      <c r="Y233" s="143" t="s">
        <v>680</v>
      </c>
      <c r="Z233" s="143">
        <v>281</v>
      </c>
      <c r="AA233" s="143">
        <v>0</v>
      </c>
      <c r="AD233" s="137">
        <v>0.75</v>
      </c>
      <c r="AE233" s="137">
        <v>0</v>
      </c>
      <c r="AG233" s="143" t="s">
        <v>785</v>
      </c>
      <c r="AH233" s="143" t="s">
        <v>772</v>
      </c>
      <c r="AI233" s="143" t="s">
        <v>680</v>
      </c>
      <c r="AJ233" s="143">
        <v>281</v>
      </c>
      <c r="AK233" s="143">
        <v>2</v>
      </c>
      <c r="AL233" s="156">
        <v>2</v>
      </c>
      <c r="AM233" s="156">
        <v>3</v>
      </c>
      <c r="AN233" s="156">
        <v>2</v>
      </c>
      <c r="AO233" s="156">
        <v>2.5</v>
      </c>
      <c r="AP233" s="156">
        <v>2</v>
      </c>
      <c r="AQ233" s="156">
        <v>2</v>
      </c>
      <c r="AR233" s="156">
        <v>3.5</v>
      </c>
      <c r="AS233" s="169">
        <v>2.5714290000000002</v>
      </c>
    </row>
    <row r="234" spans="1:45" x14ac:dyDescent="0.25">
      <c r="A234" s="143" t="s">
        <v>785</v>
      </c>
      <c r="B234" s="143" t="s">
        <v>772</v>
      </c>
      <c r="C234" s="143" t="s">
        <v>729</v>
      </c>
      <c r="D234" s="143">
        <v>282</v>
      </c>
      <c r="E234" s="143">
        <v>8</v>
      </c>
      <c r="F234" s="137">
        <v>1</v>
      </c>
      <c r="G234" s="137">
        <v>1</v>
      </c>
      <c r="H234" s="137">
        <v>1</v>
      </c>
      <c r="I234" s="137">
        <v>0.125</v>
      </c>
      <c r="K234" s="143" t="s">
        <v>785</v>
      </c>
      <c r="L234" s="143" t="s">
        <v>772</v>
      </c>
      <c r="M234" s="143" t="s">
        <v>729</v>
      </c>
      <c r="N234" s="143">
        <v>282</v>
      </c>
      <c r="O234" s="354">
        <v>0.35</v>
      </c>
      <c r="P234" s="354">
        <v>0.52500000000000002</v>
      </c>
      <c r="Q234" s="354">
        <v>0.875</v>
      </c>
      <c r="R234" s="137" t="s">
        <v>3185</v>
      </c>
      <c r="S234" s="137">
        <v>0.3170732</v>
      </c>
      <c r="T234" s="137" t="s">
        <v>3184</v>
      </c>
      <c r="U234" s="137" t="s">
        <v>3184</v>
      </c>
      <c r="W234" s="143" t="s">
        <v>785</v>
      </c>
      <c r="X234" s="143" t="s">
        <v>772</v>
      </c>
      <c r="Y234" s="143" t="s">
        <v>729</v>
      </c>
      <c r="Z234" s="143">
        <v>282</v>
      </c>
      <c r="AA234" s="143">
        <v>8</v>
      </c>
      <c r="AB234" s="137">
        <v>0.5</v>
      </c>
      <c r="AC234" s="137">
        <v>0.25</v>
      </c>
      <c r="AD234" s="137">
        <v>0.70731710000000003</v>
      </c>
      <c r="AE234" s="137">
        <v>0</v>
      </c>
      <c r="AG234" s="143" t="s">
        <v>785</v>
      </c>
      <c r="AH234" s="143" t="s">
        <v>772</v>
      </c>
      <c r="AI234" s="143" t="s">
        <v>729</v>
      </c>
      <c r="AJ234" s="143">
        <v>282</v>
      </c>
      <c r="AK234" s="143">
        <v>8</v>
      </c>
      <c r="AL234" s="156">
        <v>1.75</v>
      </c>
      <c r="AM234" s="156">
        <v>3.125</v>
      </c>
      <c r="AN234" s="156">
        <v>3.125</v>
      </c>
      <c r="AO234" s="156">
        <v>2.25</v>
      </c>
      <c r="AP234" s="156">
        <v>3</v>
      </c>
      <c r="AQ234" s="156">
        <v>2.125</v>
      </c>
      <c r="AR234" s="156">
        <v>3.125</v>
      </c>
      <c r="AS234" s="169">
        <v>2.8571430000000002</v>
      </c>
    </row>
    <row r="235" spans="1:45" x14ac:dyDescent="0.25">
      <c r="A235" s="143" t="s">
        <v>785</v>
      </c>
      <c r="B235" s="143" t="s">
        <v>772</v>
      </c>
      <c r="C235" s="143" t="s">
        <v>728</v>
      </c>
      <c r="D235" s="143">
        <v>1519</v>
      </c>
      <c r="E235" s="143">
        <v>2</v>
      </c>
      <c r="F235" s="137">
        <v>0</v>
      </c>
      <c r="G235" s="137">
        <v>0</v>
      </c>
      <c r="H235" s="137">
        <v>1</v>
      </c>
      <c r="I235" s="137">
        <v>0</v>
      </c>
      <c r="K235" s="143" t="s">
        <v>785</v>
      </c>
      <c r="L235" s="143" t="s">
        <v>772</v>
      </c>
      <c r="M235" s="143" t="s">
        <v>728</v>
      </c>
      <c r="N235" s="143">
        <v>1519</v>
      </c>
      <c r="O235" s="354">
        <v>0.2</v>
      </c>
      <c r="P235" s="354">
        <v>0.3</v>
      </c>
      <c r="Q235" s="354">
        <v>0.5</v>
      </c>
      <c r="R235" s="137" t="s">
        <v>3185</v>
      </c>
      <c r="S235" s="137">
        <v>0.42857139999999999</v>
      </c>
      <c r="T235" s="137" t="s">
        <v>3184</v>
      </c>
      <c r="U235" s="137" t="s">
        <v>3184</v>
      </c>
      <c r="W235" s="143" t="s">
        <v>785</v>
      </c>
      <c r="X235" s="143" t="s">
        <v>772</v>
      </c>
      <c r="Y235" s="143" t="s">
        <v>728</v>
      </c>
      <c r="Z235" s="143">
        <v>1519</v>
      </c>
      <c r="AA235" s="143">
        <v>0</v>
      </c>
      <c r="AD235" s="137">
        <v>0.28571429999999998</v>
      </c>
      <c r="AE235" s="137">
        <v>0</v>
      </c>
      <c r="AG235" s="143" t="s">
        <v>785</v>
      </c>
      <c r="AH235" s="143" t="s">
        <v>772</v>
      </c>
      <c r="AI235" s="143" t="s">
        <v>728</v>
      </c>
      <c r="AJ235" s="143">
        <v>1519</v>
      </c>
      <c r="AK235" s="143">
        <v>2</v>
      </c>
      <c r="AL235" s="156">
        <v>2.5</v>
      </c>
      <c r="AM235" s="156">
        <v>3</v>
      </c>
      <c r="AN235" s="156">
        <v>2</v>
      </c>
      <c r="AO235" s="156">
        <v>2.5</v>
      </c>
      <c r="AP235" s="156">
        <v>3</v>
      </c>
      <c r="AQ235" s="156">
        <v>2.5</v>
      </c>
      <c r="AR235" s="156">
        <v>3</v>
      </c>
      <c r="AS235" s="169">
        <v>2.6428569999999998</v>
      </c>
    </row>
    <row r="236" spans="1:45" x14ac:dyDescent="0.25">
      <c r="A236" s="143" t="s">
        <v>785</v>
      </c>
      <c r="B236" s="143" t="s">
        <v>772</v>
      </c>
      <c r="C236" s="143" t="s">
        <v>727</v>
      </c>
      <c r="D236" s="143">
        <v>1520</v>
      </c>
      <c r="E236" s="143">
        <v>3</v>
      </c>
      <c r="F236" s="137">
        <v>0</v>
      </c>
      <c r="G236" s="137">
        <v>0</v>
      </c>
      <c r="H236" s="137">
        <v>1</v>
      </c>
      <c r="I236" s="137">
        <v>0</v>
      </c>
      <c r="K236" s="143" t="s">
        <v>785</v>
      </c>
      <c r="L236" s="143" t="s">
        <v>772</v>
      </c>
      <c r="M236" s="143" t="s">
        <v>727</v>
      </c>
      <c r="N236" s="143">
        <v>1520</v>
      </c>
      <c r="O236" s="354">
        <v>0.4</v>
      </c>
      <c r="P236" s="354">
        <v>0.6</v>
      </c>
      <c r="Q236" s="354">
        <v>1</v>
      </c>
      <c r="R236" s="137" t="s">
        <v>3184</v>
      </c>
      <c r="S236" s="137">
        <v>0.45454549999999999</v>
      </c>
      <c r="T236" s="137" t="s">
        <v>3184</v>
      </c>
      <c r="U236" s="137" t="s">
        <v>3184</v>
      </c>
      <c r="W236" s="143" t="s">
        <v>785</v>
      </c>
      <c r="X236" s="143" t="s">
        <v>772</v>
      </c>
      <c r="Y236" s="143" t="s">
        <v>727</v>
      </c>
      <c r="Z236" s="143">
        <v>1520</v>
      </c>
      <c r="AA236" s="143">
        <v>0</v>
      </c>
      <c r="AD236" s="137">
        <v>0</v>
      </c>
      <c r="AE236" s="137">
        <v>0.54545460000000001</v>
      </c>
      <c r="AG236" s="143" t="s">
        <v>785</v>
      </c>
      <c r="AH236" s="143" t="s">
        <v>772</v>
      </c>
      <c r="AI236" s="143" t="s">
        <v>727</v>
      </c>
      <c r="AJ236" s="143">
        <v>1520</v>
      </c>
      <c r="AK236" s="143">
        <v>3</v>
      </c>
      <c r="AL236" s="156">
        <v>2.3333332538604701</v>
      </c>
      <c r="AM236" s="156">
        <v>3.3333332538604701</v>
      </c>
      <c r="AN236" s="156">
        <v>3</v>
      </c>
      <c r="AO236" s="156">
        <v>2</v>
      </c>
      <c r="AP236" s="156">
        <v>3</v>
      </c>
      <c r="AQ236" s="156">
        <v>1.6666666269302399</v>
      </c>
      <c r="AR236" s="156">
        <v>3</v>
      </c>
      <c r="AS236" s="169">
        <v>2.6666669999999999</v>
      </c>
    </row>
    <row r="237" spans="1:45" x14ac:dyDescent="0.25">
      <c r="A237" s="143" t="s">
        <v>785</v>
      </c>
      <c r="B237" s="143" t="s">
        <v>772</v>
      </c>
      <c r="C237" s="143" t="s">
        <v>727</v>
      </c>
      <c r="D237" s="143">
        <v>1549</v>
      </c>
      <c r="E237" s="143">
        <v>3</v>
      </c>
      <c r="F237" s="137">
        <v>0</v>
      </c>
      <c r="G237" s="137">
        <v>0</v>
      </c>
      <c r="H237" s="137">
        <v>0.3333333</v>
      </c>
      <c r="I237" s="137">
        <v>0</v>
      </c>
      <c r="K237" s="143" t="s">
        <v>785</v>
      </c>
      <c r="L237" s="143" t="s">
        <v>772</v>
      </c>
      <c r="M237" s="143" t="s">
        <v>727</v>
      </c>
      <c r="N237" s="143">
        <v>1549</v>
      </c>
      <c r="O237" s="354">
        <v>0.4</v>
      </c>
      <c r="P237" s="354">
        <v>0.6</v>
      </c>
      <c r="Q237" s="137">
        <v>1</v>
      </c>
      <c r="R237" s="137" t="s">
        <v>3184</v>
      </c>
      <c r="S237" s="137">
        <v>0.3333333</v>
      </c>
      <c r="T237" s="137" t="s">
        <v>3184</v>
      </c>
      <c r="U237" s="137" t="s">
        <v>3184</v>
      </c>
      <c r="W237" s="143" t="s">
        <v>785</v>
      </c>
      <c r="X237" s="143" t="s">
        <v>772</v>
      </c>
      <c r="Y237" s="143" t="s">
        <v>727</v>
      </c>
      <c r="Z237" s="143">
        <v>1549</v>
      </c>
      <c r="AA237" s="143">
        <v>0</v>
      </c>
      <c r="AD237" s="137">
        <v>0</v>
      </c>
      <c r="AE237" s="137">
        <v>0.5</v>
      </c>
      <c r="AG237" s="143" t="s">
        <v>785</v>
      </c>
      <c r="AH237" s="143" t="s">
        <v>772</v>
      </c>
      <c r="AI237" s="143" t="s">
        <v>727</v>
      </c>
      <c r="AJ237" s="143">
        <v>1549</v>
      </c>
      <c r="AK237" s="143">
        <v>3</v>
      </c>
      <c r="AL237" s="156">
        <v>1.3333333730697601</v>
      </c>
      <c r="AM237" s="156">
        <v>3.3333332538604701</v>
      </c>
      <c r="AN237" s="156">
        <v>2.3333332538604701</v>
      </c>
      <c r="AO237" s="156">
        <v>2.6666667461395299</v>
      </c>
      <c r="AP237" s="156">
        <v>1.6666666269302399</v>
      </c>
      <c r="AQ237" s="156">
        <v>2</v>
      </c>
      <c r="AR237" s="156">
        <v>3.3333332538604701</v>
      </c>
      <c r="AS237" s="169">
        <v>2.714286</v>
      </c>
    </row>
    <row r="238" spans="1:45" x14ac:dyDescent="0.25">
      <c r="A238" s="143" t="s">
        <v>785</v>
      </c>
      <c r="B238" s="143" t="s">
        <v>772</v>
      </c>
      <c r="C238" s="143" t="s">
        <v>728</v>
      </c>
      <c r="D238" s="143">
        <v>1734</v>
      </c>
      <c r="E238" s="143">
        <v>2</v>
      </c>
      <c r="F238" s="137">
        <v>1</v>
      </c>
      <c r="G238" s="137">
        <v>1</v>
      </c>
      <c r="H238" s="137">
        <v>1</v>
      </c>
      <c r="I238" s="137">
        <v>0</v>
      </c>
      <c r="K238" s="143" t="s">
        <v>785</v>
      </c>
      <c r="L238" s="143" t="s">
        <v>772</v>
      </c>
      <c r="M238" s="143" t="s">
        <v>728</v>
      </c>
      <c r="N238" s="143">
        <v>1734</v>
      </c>
      <c r="O238" s="354">
        <v>0.39480520000000002</v>
      </c>
      <c r="P238" s="354">
        <v>0.6</v>
      </c>
      <c r="Q238" s="354">
        <v>0.99480519999999995</v>
      </c>
      <c r="R238" s="137" t="s">
        <v>3185</v>
      </c>
      <c r="S238" s="137">
        <v>0.28571429999999998</v>
      </c>
      <c r="T238" s="137" t="s">
        <v>3184</v>
      </c>
      <c r="U238" s="137" t="s">
        <v>3184</v>
      </c>
      <c r="W238" s="143" t="s">
        <v>785</v>
      </c>
      <c r="X238" s="143" t="s">
        <v>772</v>
      </c>
      <c r="Y238" s="143" t="s">
        <v>728</v>
      </c>
      <c r="Z238" s="143">
        <v>1734</v>
      </c>
      <c r="AA238" s="143">
        <v>0</v>
      </c>
      <c r="AD238" s="137">
        <v>0</v>
      </c>
      <c r="AE238" s="137">
        <v>0.14285709999999999</v>
      </c>
      <c r="AG238" s="143" t="s">
        <v>785</v>
      </c>
      <c r="AH238" s="143" t="s">
        <v>772</v>
      </c>
      <c r="AI238" s="143" t="s">
        <v>728</v>
      </c>
      <c r="AJ238" s="143">
        <v>1734</v>
      </c>
      <c r="AK238" s="143">
        <v>2</v>
      </c>
      <c r="AL238" s="156">
        <v>1</v>
      </c>
      <c r="AM238" s="156">
        <v>3.5</v>
      </c>
      <c r="AN238" s="156">
        <v>3.5</v>
      </c>
      <c r="AO238" s="156">
        <v>3.5</v>
      </c>
      <c r="AP238" s="156">
        <v>3.5</v>
      </c>
      <c r="AQ238" s="156">
        <v>2.5</v>
      </c>
      <c r="AR238" s="156">
        <v>3.5</v>
      </c>
      <c r="AS238" s="169">
        <v>3.4285709999999998</v>
      </c>
    </row>
    <row r="239" spans="1:45" x14ac:dyDescent="0.25">
      <c r="A239" s="143" t="s">
        <v>785</v>
      </c>
      <c r="B239" s="143" t="s">
        <v>772</v>
      </c>
      <c r="C239" s="143" t="s">
        <v>728</v>
      </c>
      <c r="D239" s="143">
        <v>2081</v>
      </c>
      <c r="E239" s="143">
        <v>2</v>
      </c>
      <c r="F239" s="137">
        <v>1</v>
      </c>
      <c r="G239" s="137">
        <v>1</v>
      </c>
      <c r="H239" s="137">
        <v>1</v>
      </c>
      <c r="I239" s="137">
        <v>0</v>
      </c>
      <c r="K239" s="143" t="s">
        <v>785</v>
      </c>
      <c r="L239" s="143" t="s">
        <v>772</v>
      </c>
      <c r="M239" s="143" t="s">
        <v>728</v>
      </c>
      <c r="N239" s="143">
        <v>2081</v>
      </c>
      <c r="O239" s="354">
        <v>0.4</v>
      </c>
      <c r="P239" s="354">
        <v>0.6</v>
      </c>
      <c r="Q239" s="354">
        <v>1</v>
      </c>
      <c r="R239" s="137" t="s">
        <v>3184</v>
      </c>
      <c r="S239" s="137">
        <v>0.25</v>
      </c>
      <c r="T239" s="137" t="s">
        <v>3184</v>
      </c>
      <c r="U239" s="137" t="s">
        <v>3184</v>
      </c>
      <c r="W239" s="143" t="s">
        <v>785</v>
      </c>
      <c r="X239" s="143" t="s">
        <v>772</v>
      </c>
      <c r="Y239" s="143" t="s">
        <v>728</v>
      </c>
      <c r="Z239" s="143">
        <v>2081</v>
      </c>
      <c r="AA239" s="143">
        <v>0</v>
      </c>
      <c r="AD239" s="137">
        <v>0.375</v>
      </c>
      <c r="AE239" s="137">
        <v>0</v>
      </c>
      <c r="AG239" s="143" t="s">
        <v>785</v>
      </c>
      <c r="AH239" s="143" t="s">
        <v>772</v>
      </c>
      <c r="AI239" s="143" t="s">
        <v>728</v>
      </c>
      <c r="AJ239" s="143">
        <v>2081</v>
      </c>
      <c r="AK239" s="143">
        <v>2</v>
      </c>
      <c r="AL239" s="156">
        <v>3</v>
      </c>
      <c r="AM239" s="156">
        <v>3.5</v>
      </c>
      <c r="AN239" s="156">
        <v>2.5</v>
      </c>
      <c r="AO239" s="156">
        <v>2</v>
      </c>
      <c r="AP239" s="156">
        <v>2.5</v>
      </c>
      <c r="AQ239" s="156">
        <v>3</v>
      </c>
      <c r="AR239" s="156">
        <v>3</v>
      </c>
      <c r="AS239" s="169">
        <v>2.6428569999999998</v>
      </c>
    </row>
    <row r="240" spans="1:45" x14ac:dyDescent="0.25">
      <c r="A240" s="143" t="s">
        <v>785</v>
      </c>
      <c r="B240" s="143" t="s">
        <v>772</v>
      </c>
      <c r="C240" s="143" t="s">
        <v>728</v>
      </c>
      <c r="D240" s="143">
        <v>2192</v>
      </c>
      <c r="E240" s="143">
        <v>2</v>
      </c>
      <c r="F240" s="137">
        <v>1</v>
      </c>
      <c r="G240" s="137">
        <v>1</v>
      </c>
      <c r="H240" s="137">
        <v>1</v>
      </c>
      <c r="I240" s="137">
        <v>0</v>
      </c>
      <c r="K240" s="143" t="s">
        <v>785</v>
      </c>
      <c r="L240" s="143" t="s">
        <v>772</v>
      </c>
      <c r="M240" s="143" t="s">
        <v>728</v>
      </c>
      <c r="N240" s="143">
        <v>2192</v>
      </c>
      <c r="O240" s="354">
        <v>0.3818182</v>
      </c>
      <c r="P240" s="354">
        <v>0.6</v>
      </c>
      <c r="Q240" s="354">
        <v>0.98181819999999997</v>
      </c>
      <c r="R240" s="137" t="s">
        <v>3185</v>
      </c>
      <c r="S240" s="137">
        <v>0.42857139999999999</v>
      </c>
      <c r="T240" s="137" t="s">
        <v>3184</v>
      </c>
      <c r="U240" s="137" t="s">
        <v>3185</v>
      </c>
      <c r="W240" s="143" t="s">
        <v>785</v>
      </c>
      <c r="X240" s="143" t="s">
        <v>772</v>
      </c>
      <c r="Y240" s="143" t="s">
        <v>728</v>
      </c>
      <c r="Z240" s="143">
        <v>2192</v>
      </c>
      <c r="AA240" s="143">
        <v>0</v>
      </c>
      <c r="AD240" s="137">
        <v>0.28571429999999998</v>
      </c>
      <c r="AE240" s="137">
        <v>0</v>
      </c>
      <c r="AG240" s="143" t="s">
        <v>785</v>
      </c>
      <c r="AH240" s="143" t="s">
        <v>772</v>
      </c>
      <c r="AI240" s="143" t="s">
        <v>728</v>
      </c>
      <c r="AJ240" s="143">
        <v>2192</v>
      </c>
      <c r="AK240" s="143">
        <v>2</v>
      </c>
      <c r="AL240" s="156">
        <v>2</v>
      </c>
      <c r="AM240" s="156">
        <v>3</v>
      </c>
      <c r="AN240" s="156">
        <v>3</v>
      </c>
      <c r="AO240" s="156">
        <v>2.5</v>
      </c>
      <c r="AP240" s="156">
        <v>2.5</v>
      </c>
      <c r="AQ240" s="156">
        <v>3</v>
      </c>
      <c r="AR240" s="156">
        <v>3</v>
      </c>
      <c r="AS240" s="169">
        <v>2.8571430000000002</v>
      </c>
    </row>
    <row r="241" spans="1:45" x14ac:dyDescent="0.25">
      <c r="A241" s="143" t="s">
        <v>785</v>
      </c>
      <c r="B241" s="143" t="s">
        <v>772</v>
      </c>
      <c r="C241" s="143" t="s">
        <v>680</v>
      </c>
      <c r="D241" s="143">
        <v>2475</v>
      </c>
      <c r="E241" s="143">
        <v>2</v>
      </c>
      <c r="F241" s="137">
        <v>0</v>
      </c>
      <c r="G241" s="137">
        <v>0</v>
      </c>
      <c r="H241" s="137">
        <v>1</v>
      </c>
      <c r="I241" s="137">
        <v>0</v>
      </c>
      <c r="K241" s="143" t="s">
        <v>785</v>
      </c>
      <c r="L241" s="143" t="s">
        <v>772</v>
      </c>
      <c r="M241" s="143" t="s">
        <v>680</v>
      </c>
      <c r="N241" s="143">
        <v>2475</v>
      </c>
      <c r="O241" s="354">
        <v>0.4</v>
      </c>
      <c r="P241" s="354">
        <v>0.6</v>
      </c>
      <c r="Q241" s="354">
        <v>1</v>
      </c>
      <c r="R241" s="137" t="s">
        <v>3184</v>
      </c>
      <c r="S241" s="137">
        <v>0.5</v>
      </c>
      <c r="T241" s="137" t="s">
        <v>3184</v>
      </c>
      <c r="W241" s="143" t="s">
        <v>785</v>
      </c>
      <c r="X241" s="143" t="s">
        <v>772</v>
      </c>
      <c r="Y241" s="143" t="s">
        <v>680</v>
      </c>
      <c r="Z241" s="143">
        <v>2475</v>
      </c>
      <c r="AA241" s="143">
        <v>0</v>
      </c>
      <c r="AD241" s="137">
        <v>0.25</v>
      </c>
      <c r="AE241" s="137">
        <v>0</v>
      </c>
      <c r="AG241" s="143" t="s">
        <v>785</v>
      </c>
      <c r="AH241" s="143" t="s">
        <v>772</v>
      </c>
      <c r="AI241" s="143" t="s">
        <v>680</v>
      </c>
      <c r="AJ241" s="143">
        <v>2475</v>
      </c>
      <c r="AK241" s="143">
        <v>2</v>
      </c>
      <c r="AL241" s="156">
        <v>1</v>
      </c>
      <c r="AM241" s="156">
        <v>4</v>
      </c>
      <c r="AN241" s="156">
        <v>3</v>
      </c>
      <c r="AO241" s="156">
        <v>2.5</v>
      </c>
      <c r="AP241" s="156">
        <v>4</v>
      </c>
      <c r="AQ241" s="156">
        <v>3</v>
      </c>
      <c r="AR241" s="156">
        <v>4</v>
      </c>
      <c r="AS241" s="169">
        <v>3.5</v>
      </c>
    </row>
    <row r="242" spans="1:45" x14ac:dyDescent="0.25">
      <c r="A242" s="143" t="s">
        <v>785</v>
      </c>
      <c r="B242" s="143" t="s">
        <v>772</v>
      </c>
      <c r="C242" s="143" t="s">
        <v>680</v>
      </c>
      <c r="D242" s="143">
        <v>2540</v>
      </c>
      <c r="E242" s="143">
        <v>2</v>
      </c>
      <c r="F242" s="137">
        <v>0</v>
      </c>
      <c r="G242" s="137">
        <v>0</v>
      </c>
      <c r="H242" s="137">
        <v>1</v>
      </c>
      <c r="I242" s="137">
        <v>0</v>
      </c>
      <c r="K242" s="143" t="s">
        <v>785</v>
      </c>
      <c r="L242" s="143" t="s">
        <v>772</v>
      </c>
      <c r="M242" s="143" t="s">
        <v>680</v>
      </c>
      <c r="N242" s="143">
        <v>2540</v>
      </c>
      <c r="O242" s="354">
        <v>0.39740259999999999</v>
      </c>
      <c r="P242" s="354">
        <v>0.6</v>
      </c>
      <c r="Q242" s="354">
        <v>0.99740260000000003</v>
      </c>
      <c r="R242" s="137" t="s">
        <v>3185</v>
      </c>
      <c r="S242" s="137">
        <v>0.5</v>
      </c>
      <c r="T242" s="137" t="s">
        <v>3184</v>
      </c>
      <c r="W242" s="143" t="s">
        <v>785</v>
      </c>
      <c r="X242" s="143" t="s">
        <v>772</v>
      </c>
      <c r="Y242" s="143" t="s">
        <v>680</v>
      </c>
      <c r="Z242" s="143">
        <v>2540</v>
      </c>
      <c r="AA242" s="143">
        <v>0</v>
      </c>
      <c r="AD242" s="137">
        <v>0</v>
      </c>
      <c r="AE242" s="137">
        <v>0.5</v>
      </c>
      <c r="AG242" s="143" t="s">
        <v>785</v>
      </c>
      <c r="AH242" s="143" t="s">
        <v>772</v>
      </c>
      <c r="AI242" s="143" t="s">
        <v>680</v>
      </c>
      <c r="AJ242" s="143">
        <v>2540</v>
      </c>
      <c r="AK242" s="143">
        <v>2</v>
      </c>
      <c r="AL242" s="156">
        <v>1.5</v>
      </c>
      <c r="AM242" s="156">
        <v>4</v>
      </c>
      <c r="AN242" s="156">
        <v>3</v>
      </c>
      <c r="AO242" s="156">
        <v>3.5</v>
      </c>
      <c r="AP242" s="156">
        <v>1.5</v>
      </c>
      <c r="AQ242" s="156">
        <v>2.5</v>
      </c>
      <c r="AR242" s="156">
        <v>3.5</v>
      </c>
      <c r="AS242" s="169">
        <v>3.0714290000000002</v>
      </c>
    </row>
    <row r="243" spans="1:45" x14ac:dyDescent="0.25">
      <c r="A243" s="143" t="s">
        <v>785</v>
      </c>
      <c r="B243" s="143" t="s">
        <v>772</v>
      </c>
      <c r="C243" s="143" t="s">
        <v>680</v>
      </c>
      <c r="D243" s="143">
        <v>2981</v>
      </c>
      <c r="E243" s="143">
        <v>2</v>
      </c>
      <c r="F243" s="137">
        <v>1</v>
      </c>
      <c r="G243" s="137">
        <v>1</v>
      </c>
      <c r="H243" s="137">
        <v>1</v>
      </c>
      <c r="I243" s="137">
        <v>0</v>
      </c>
      <c r="K243" s="143" t="s">
        <v>785</v>
      </c>
      <c r="L243" s="143" t="s">
        <v>772</v>
      </c>
      <c r="M243" s="143" t="s">
        <v>680</v>
      </c>
      <c r="N243" s="143">
        <v>2981</v>
      </c>
      <c r="O243" s="354">
        <v>0.4</v>
      </c>
      <c r="P243" s="354">
        <v>0.6</v>
      </c>
      <c r="Q243" s="354">
        <v>1</v>
      </c>
      <c r="R243" s="137" t="s">
        <v>3184</v>
      </c>
      <c r="S243" s="137">
        <v>0.66666669999999995</v>
      </c>
      <c r="T243" s="137" t="s">
        <v>3184</v>
      </c>
      <c r="W243" s="143" t="s">
        <v>785</v>
      </c>
      <c r="X243" s="143" t="s">
        <v>772</v>
      </c>
      <c r="Y243" s="143" t="s">
        <v>680</v>
      </c>
      <c r="Z243" s="143">
        <v>2981</v>
      </c>
      <c r="AA243" s="143">
        <v>0</v>
      </c>
      <c r="AD243" s="137">
        <v>1</v>
      </c>
      <c r="AE243" s="137">
        <v>0</v>
      </c>
      <c r="AG243" s="143" t="s">
        <v>785</v>
      </c>
      <c r="AH243" s="143" t="s">
        <v>772</v>
      </c>
      <c r="AI243" s="143" t="s">
        <v>680</v>
      </c>
      <c r="AJ243" s="143">
        <v>2981</v>
      </c>
      <c r="AK243" s="143">
        <v>2</v>
      </c>
      <c r="AL243" s="156">
        <v>2</v>
      </c>
      <c r="AM243" s="156">
        <v>3</v>
      </c>
      <c r="AN243" s="156">
        <v>3</v>
      </c>
      <c r="AO243" s="156">
        <v>3</v>
      </c>
      <c r="AP243" s="156">
        <v>1.5</v>
      </c>
      <c r="AQ243" s="156">
        <v>3</v>
      </c>
      <c r="AR243" s="156">
        <v>3</v>
      </c>
      <c r="AS243" s="169">
        <v>2.785714</v>
      </c>
    </row>
    <row r="244" spans="1:45" x14ac:dyDescent="0.25">
      <c r="A244" s="143" t="s">
        <v>786</v>
      </c>
      <c r="B244" s="143" t="s">
        <v>787</v>
      </c>
      <c r="C244" s="143" t="s">
        <v>729</v>
      </c>
      <c r="D244" s="143">
        <v>21</v>
      </c>
      <c r="E244" s="143">
        <v>8</v>
      </c>
      <c r="F244" s="137">
        <v>1</v>
      </c>
      <c r="G244" s="137">
        <v>1</v>
      </c>
      <c r="H244" s="137">
        <v>1</v>
      </c>
      <c r="I244" s="137">
        <v>1</v>
      </c>
      <c r="K244" s="143" t="s">
        <v>786</v>
      </c>
      <c r="L244" s="143" t="s">
        <v>787</v>
      </c>
      <c r="M244" s="143" t="s">
        <v>729</v>
      </c>
      <c r="N244" s="143">
        <v>21</v>
      </c>
      <c r="O244" s="354">
        <v>0.3993506</v>
      </c>
      <c r="P244" s="354">
        <v>0.375</v>
      </c>
      <c r="Q244" s="354">
        <v>0.7743506</v>
      </c>
      <c r="R244" s="137" t="s">
        <v>3185</v>
      </c>
      <c r="S244" s="137">
        <v>0.30232560000000003</v>
      </c>
      <c r="T244" s="137" t="s">
        <v>3184</v>
      </c>
      <c r="U244" s="137" t="s">
        <v>3184</v>
      </c>
      <c r="W244" s="143" t="s">
        <v>786</v>
      </c>
      <c r="X244" s="143" t="s">
        <v>787</v>
      </c>
      <c r="Y244" s="143" t="s">
        <v>729</v>
      </c>
      <c r="Z244" s="143">
        <v>21</v>
      </c>
      <c r="AA244" s="143">
        <v>8</v>
      </c>
      <c r="AB244" s="137">
        <v>0</v>
      </c>
      <c r="AC244" s="137">
        <v>0.125</v>
      </c>
      <c r="AD244" s="137">
        <v>0</v>
      </c>
      <c r="AE244" s="137">
        <v>4.65116E-2</v>
      </c>
      <c r="AG244" s="143" t="s">
        <v>786</v>
      </c>
      <c r="AH244" s="143" t="s">
        <v>787</v>
      </c>
      <c r="AI244" s="143" t="s">
        <v>729</v>
      </c>
      <c r="AJ244" s="143">
        <v>21</v>
      </c>
      <c r="AK244" s="143">
        <v>8</v>
      </c>
      <c r="AL244" s="156">
        <v>2.125</v>
      </c>
      <c r="AM244" s="156">
        <v>2.625</v>
      </c>
      <c r="AN244" s="156">
        <v>2.75</v>
      </c>
      <c r="AO244" s="156">
        <v>2</v>
      </c>
      <c r="AP244" s="156">
        <v>2.125</v>
      </c>
      <c r="AQ244" s="156">
        <v>2.625</v>
      </c>
      <c r="AR244" s="156">
        <v>3</v>
      </c>
      <c r="AS244" s="169">
        <v>2.5714290000000002</v>
      </c>
    </row>
    <row r="245" spans="1:45" x14ac:dyDescent="0.25">
      <c r="A245" s="143" t="s">
        <v>786</v>
      </c>
      <c r="B245" s="143" t="s">
        <v>787</v>
      </c>
      <c r="C245" s="143" t="s">
        <v>728</v>
      </c>
      <c r="D245" s="143">
        <v>77</v>
      </c>
      <c r="E245" s="143">
        <v>2</v>
      </c>
      <c r="F245" s="137">
        <v>1</v>
      </c>
      <c r="G245" s="137">
        <v>1</v>
      </c>
      <c r="H245" s="137">
        <v>1</v>
      </c>
      <c r="I245" s="137">
        <v>1</v>
      </c>
      <c r="K245" s="143" t="s">
        <v>786</v>
      </c>
      <c r="L245" s="143" t="s">
        <v>787</v>
      </c>
      <c r="M245" s="143" t="s">
        <v>728</v>
      </c>
      <c r="N245" s="143">
        <v>77</v>
      </c>
      <c r="O245" s="354">
        <v>0.4</v>
      </c>
      <c r="P245" s="354">
        <v>0.6</v>
      </c>
      <c r="Q245" s="354">
        <v>1</v>
      </c>
      <c r="R245" s="137" t="s">
        <v>3184</v>
      </c>
      <c r="S245" s="137">
        <v>0.42857139999999999</v>
      </c>
      <c r="T245" s="137" t="s">
        <v>3184</v>
      </c>
      <c r="U245" s="137" t="s">
        <v>3184</v>
      </c>
      <c r="W245" s="143" t="s">
        <v>786</v>
      </c>
      <c r="X245" s="143" t="s">
        <v>787</v>
      </c>
      <c r="Y245" s="143" t="s">
        <v>728</v>
      </c>
      <c r="Z245" s="143">
        <v>77</v>
      </c>
      <c r="AA245" s="143">
        <v>0</v>
      </c>
      <c r="AD245" s="137">
        <v>0</v>
      </c>
      <c r="AE245" s="137">
        <v>0.14285709999999999</v>
      </c>
      <c r="AG245" s="143" t="s">
        <v>786</v>
      </c>
      <c r="AH245" s="143" t="s">
        <v>787</v>
      </c>
      <c r="AI245" s="143" t="s">
        <v>728</v>
      </c>
      <c r="AJ245" s="143">
        <v>77</v>
      </c>
      <c r="AK245" s="143">
        <v>2</v>
      </c>
      <c r="AL245" s="156">
        <v>1.5</v>
      </c>
      <c r="AM245" s="156">
        <v>3</v>
      </c>
      <c r="AN245" s="156">
        <v>3</v>
      </c>
      <c r="AO245" s="156">
        <v>2</v>
      </c>
      <c r="AP245" s="156">
        <v>3</v>
      </c>
      <c r="AQ245" s="156">
        <v>3</v>
      </c>
      <c r="AR245" s="156">
        <v>3</v>
      </c>
      <c r="AS245" s="169">
        <v>2.9285709999999998</v>
      </c>
    </row>
    <row r="246" spans="1:45" x14ac:dyDescent="0.25">
      <c r="A246" s="143" t="s">
        <v>786</v>
      </c>
      <c r="B246" s="143" t="s">
        <v>787</v>
      </c>
      <c r="C246" s="143" t="s">
        <v>728</v>
      </c>
      <c r="D246" s="143">
        <v>79</v>
      </c>
      <c r="E246" s="143">
        <v>2</v>
      </c>
      <c r="F246" s="137">
        <v>1</v>
      </c>
      <c r="G246" s="137">
        <v>1</v>
      </c>
      <c r="H246" s="137">
        <v>1</v>
      </c>
      <c r="I246" s="137">
        <v>1</v>
      </c>
      <c r="K246" s="143" t="s">
        <v>786</v>
      </c>
      <c r="L246" s="143" t="s">
        <v>787</v>
      </c>
      <c r="M246" s="143" t="s">
        <v>728</v>
      </c>
      <c r="N246" s="143">
        <v>79</v>
      </c>
      <c r="O246" s="354">
        <v>0.4</v>
      </c>
      <c r="P246" s="354">
        <v>0.6</v>
      </c>
      <c r="Q246" s="137">
        <v>1</v>
      </c>
      <c r="R246" s="137" t="s">
        <v>3184</v>
      </c>
      <c r="S246" s="137">
        <v>0.25</v>
      </c>
      <c r="T246" s="137" t="s">
        <v>3184</v>
      </c>
      <c r="U246" s="137" t="s">
        <v>3184</v>
      </c>
      <c r="W246" s="143" t="s">
        <v>786</v>
      </c>
      <c r="X246" s="143" t="s">
        <v>787</v>
      </c>
      <c r="Y246" s="143" t="s">
        <v>728</v>
      </c>
      <c r="Z246" s="143">
        <v>79</v>
      </c>
      <c r="AA246" s="143">
        <v>0</v>
      </c>
      <c r="AD246" s="137">
        <v>0</v>
      </c>
      <c r="AG246" s="143" t="s">
        <v>786</v>
      </c>
      <c r="AH246" s="143" t="s">
        <v>787</v>
      </c>
      <c r="AI246" s="143" t="s">
        <v>728</v>
      </c>
      <c r="AJ246" s="143">
        <v>79</v>
      </c>
      <c r="AK246" s="143">
        <v>2</v>
      </c>
      <c r="AL246" s="156">
        <v>2</v>
      </c>
      <c r="AM246" s="156">
        <v>3.5</v>
      </c>
      <c r="AN246" s="156">
        <v>3</v>
      </c>
      <c r="AO246" s="156">
        <v>3.5</v>
      </c>
      <c r="AP246" s="156">
        <v>2</v>
      </c>
      <c r="AQ246" s="156">
        <v>3</v>
      </c>
      <c r="AR246" s="156">
        <v>3.5</v>
      </c>
      <c r="AS246" s="169">
        <v>3.0714290000000002</v>
      </c>
    </row>
    <row r="247" spans="1:45" x14ac:dyDescent="0.25">
      <c r="A247" s="143" t="s">
        <v>786</v>
      </c>
      <c r="B247" s="143" t="s">
        <v>787</v>
      </c>
      <c r="C247" s="143" t="s">
        <v>727</v>
      </c>
      <c r="D247" s="143">
        <v>80</v>
      </c>
      <c r="E247" s="143">
        <v>3</v>
      </c>
      <c r="F247" s="137">
        <v>1</v>
      </c>
      <c r="G247" s="137">
        <v>1</v>
      </c>
      <c r="H247" s="137">
        <v>1</v>
      </c>
      <c r="I247" s="137">
        <v>1</v>
      </c>
      <c r="K247" s="143" t="s">
        <v>786</v>
      </c>
      <c r="L247" s="143" t="s">
        <v>787</v>
      </c>
      <c r="M247" s="143" t="s">
        <v>727</v>
      </c>
      <c r="N247" s="143">
        <v>80</v>
      </c>
      <c r="O247" s="354">
        <v>0.4</v>
      </c>
      <c r="P247" s="354">
        <v>0.6</v>
      </c>
      <c r="Q247" s="354">
        <v>1</v>
      </c>
      <c r="R247" s="137" t="s">
        <v>3184</v>
      </c>
      <c r="S247" s="137">
        <v>0.42857139999999999</v>
      </c>
      <c r="T247" s="137" t="s">
        <v>3184</v>
      </c>
      <c r="U247" s="137" t="s">
        <v>3184</v>
      </c>
      <c r="W247" s="143" t="s">
        <v>786</v>
      </c>
      <c r="X247" s="143" t="s">
        <v>787</v>
      </c>
      <c r="Y247" s="143" t="s">
        <v>727</v>
      </c>
      <c r="Z247" s="143">
        <v>80</v>
      </c>
      <c r="AA247" s="143">
        <v>0</v>
      </c>
      <c r="AD247" s="137">
        <v>0</v>
      </c>
      <c r="AE247" s="137">
        <v>7.1428599999999995E-2</v>
      </c>
      <c r="AG247" s="143" t="s">
        <v>786</v>
      </c>
      <c r="AH247" s="143" t="s">
        <v>787</v>
      </c>
      <c r="AI247" s="143" t="s">
        <v>727</v>
      </c>
      <c r="AJ247" s="143">
        <v>80</v>
      </c>
      <c r="AK247" s="143">
        <v>3</v>
      </c>
      <c r="AL247" s="156">
        <v>1.6666666269302399</v>
      </c>
      <c r="AM247" s="156">
        <v>3.6666667461395299</v>
      </c>
      <c r="AN247" s="156">
        <v>3.6666667461395299</v>
      </c>
      <c r="AO247" s="156">
        <v>3.3333332538604701</v>
      </c>
      <c r="AP247" s="156">
        <v>3.6666667461395299</v>
      </c>
      <c r="AQ247" s="156">
        <v>3.6666667461395299</v>
      </c>
      <c r="AR247" s="156">
        <v>4</v>
      </c>
      <c r="AS247" s="169">
        <v>3.6190479999999998</v>
      </c>
    </row>
    <row r="248" spans="1:45" x14ac:dyDescent="0.25">
      <c r="A248" s="143" t="s">
        <v>786</v>
      </c>
      <c r="B248" s="143" t="s">
        <v>787</v>
      </c>
      <c r="C248" s="143" t="s">
        <v>728</v>
      </c>
      <c r="D248" s="143">
        <v>1111</v>
      </c>
      <c r="E248" s="143">
        <v>2</v>
      </c>
      <c r="F248" s="137">
        <v>1</v>
      </c>
      <c r="G248" s="137">
        <v>1</v>
      </c>
      <c r="H248" s="137">
        <v>1</v>
      </c>
      <c r="I248" s="137">
        <v>1</v>
      </c>
      <c r="K248" s="143" t="s">
        <v>786</v>
      </c>
      <c r="L248" s="143" t="s">
        <v>787</v>
      </c>
      <c r="M248" s="143" t="s">
        <v>728</v>
      </c>
      <c r="N248" s="143">
        <v>1111</v>
      </c>
      <c r="O248" s="354">
        <v>0.4</v>
      </c>
      <c r="P248" s="354">
        <v>0.6</v>
      </c>
      <c r="Q248" s="354">
        <v>1</v>
      </c>
      <c r="R248" s="137" t="s">
        <v>3184</v>
      </c>
      <c r="S248" s="137">
        <v>0.3333333</v>
      </c>
      <c r="T248" s="137" t="s">
        <v>3184</v>
      </c>
      <c r="U248" s="137" t="s">
        <v>3184</v>
      </c>
      <c r="W248" s="143" t="s">
        <v>786</v>
      </c>
      <c r="X248" s="143" t="s">
        <v>787</v>
      </c>
      <c r="Y248" s="143" t="s">
        <v>728</v>
      </c>
      <c r="Z248" s="143">
        <v>1111</v>
      </c>
      <c r="AA248" s="143">
        <v>0</v>
      </c>
      <c r="AD248" s="137">
        <v>0</v>
      </c>
      <c r="AE248" s="137">
        <v>0.3333333</v>
      </c>
      <c r="AG248" s="143" t="s">
        <v>786</v>
      </c>
      <c r="AH248" s="143" t="s">
        <v>787</v>
      </c>
      <c r="AI248" s="143" t="s">
        <v>728</v>
      </c>
      <c r="AJ248" s="143">
        <v>1111</v>
      </c>
      <c r="AK248" s="143">
        <v>2</v>
      </c>
      <c r="AL248" s="156">
        <v>1.5</v>
      </c>
      <c r="AM248" s="156">
        <v>3</v>
      </c>
      <c r="AN248" s="156">
        <v>2.5</v>
      </c>
      <c r="AO248" s="156">
        <v>2</v>
      </c>
      <c r="AP248" s="156">
        <v>3</v>
      </c>
      <c r="AQ248" s="156">
        <v>3</v>
      </c>
      <c r="AR248" s="156">
        <v>4</v>
      </c>
      <c r="AS248" s="169">
        <v>3</v>
      </c>
    </row>
    <row r="249" spans="1:45" x14ac:dyDescent="0.25">
      <c r="A249" s="143" t="s">
        <v>786</v>
      </c>
      <c r="B249" s="143" t="s">
        <v>787</v>
      </c>
      <c r="C249" s="143" t="s">
        <v>680</v>
      </c>
      <c r="D249" s="143">
        <v>2286</v>
      </c>
      <c r="E249" s="143">
        <v>2</v>
      </c>
      <c r="F249" s="137">
        <v>1</v>
      </c>
      <c r="G249" s="137">
        <v>1</v>
      </c>
      <c r="H249" s="137">
        <v>1</v>
      </c>
      <c r="I249" s="137">
        <v>1</v>
      </c>
      <c r="K249" s="143" t="s">
        <v>786</v>
      </c>
      <c r="L249" s="143" t="s">
        <v>787</v>
      </c>
      <c r="M249" s="143" t="s">
        <v>680</v>
      </c>
      <c r="N249" s="143">
        <v>2286</v>
      </c>
      <c r="O249" s="354">
        <v>0.4</v>
      </c>
      <c r="P249" s="354">
        <v>0.6</v>
      </c>
      <c r="Q249" s="137">
        <v>1</v>
      </c>
      <c r="R249" s="137" t="s">
        <v>3184</v>
      </c>
      <c r="S249" s="137">
        <v>0.5</v>
      </c>
      <c r="T249" s="137" t="s">
        <v>3184</v>
      </c>
      <c r="W249" s="143" t="s">
        <v>786</v>
      </c>
      <c r="X249" s="143" t="s">
        <v>787</v>
      </c>
      <c r="Y249" s="143" t="s">
        <v>680</v>
      </c>
      <c r="Z249" s="143">
        <v>2286</v>
      </c>
      <c r="AA249" s="143">
        <v>0</v>
      </c>
      <c r="AD249" s="137">
        <v>0</v>
      </c>
      <c r="AG249" s="143" t="s">
        <v>786</v>
      </c>
      <c r="AH249" s="143" t="s">
        <v>787</v>
      </c>
      <c r="AI249" s="143" t="s">
        <v>680</v>
      </c>
      <c r="AJ249" s="143">
        <v>2286</v>
      </c>
      <c r="AK249" s="143">
        <v>2</v>
      </c>
      <c r="AL249" s="156">
        <v>2</v>
      </c>
      <c r="AM249" s="156">
        <v>4</v>
      </c>
      <c r="AN249" s="156">
        <v>3.5</v>
      </c>
      <c r="AO249" s="156">
        <v>4</v>
      </c>
      <c r="AP249" s="156">
        <v>3.5</v>
      </c>
      <c r="AQ249" s="156">
        <v>3.5</v>
      </c>
      <c r="AR249" s="156">
        <v>4</v>
      </c>
      <c r="AS249" s="169">
        <v>3.6428569999999998</v>
      </c>
    </row>
    <row r="250" spans="1:45" x14ac:dyDescent="0.25">
      <c r="A250" s="143" t="s">
        <v>786</v>
      </c>
      <c r="B250" s="143" t="s">
        <v>787</v>
      </c>
      <c r="C250" s="143" t="s">
        <v>680</v>
      </c>
      <c r="D250" s="143">
        <v>2867</v>
      </c>
      <c r="E250" s="143">
        <v>2</v>
      </c>
      <c r="F250" s="137">
        <v>1</v>
      </c>
      <c r="G250" s="137">
        <v>1</v>
      </c>
      <c r="H250" s="137">
        <v>1</v>
      </c>
      <c r="I250" s="137">
        <v>1</v>
      </c>
      <c r="K250" s="143" t="s">
        <v>786</v>
      </c>
      <c r="L250" s="143" t="s">
        <v>787</v>
      </c>
      <c r="M250" s="143" t="s">
        <v>680</v>
      </c>
      <c r="N250" s="143">
        <v>2867</v>
      </c>
      <c r="O250" s="354">
        <v>0.4</v>
      </c>
      <c r="P250" s="354">
        <v>0.6</v>
      </c>
      <c r="Q250" s="354">
        <v>1</v>
      </c>
      <c r="R250" s="137" t="s">
        <v>3184</v>
      </c>
      <c r="S250" s="137">
        <v>0.6</v>
      </c>
      <c r="T250" s="137" t="s">
        <v>3184</v>
      </c>
      <c r="W250" s="143" t="s">
        <v>786</v>
      </c>
      <c r="X250" s="143" t="s">
        <v>787</v>
      </c>
      <c r="Y250" s="143" t="s">
        <v>680</v>
      </c>
      <c r="Z250" s="143">
        <v>2867</v>
      </c>
      <c r="AA250" s="143">
        <v>0</v>
      </c>
      <c r="AD250" s="137">
        <v>0</v>
      </c>
      <c r="AE250" s="137">
        <v>1</v>
      </c>
      <c r="AG250" s="143" t="s">
        <v>786</v>
      </c>
      <c r="AH250" s="143" t="s">
        <v>787</v>
      </c>
      <c r="AI250" s="143" t="s">
        <v>680</v>
      </c>
      <c r="AJ250" s="143">
        <v>2867</v>
      </c>
      <c r="AK250" s="143">
        <v>2</v>
      </c>
      <c r="AL250" s="156">
        <v>2.5</v>
      </c>
      <c r="AM250" s="156">
        <v>3.5</v>
      </c>
      <c r="AN250" s="156">
        <v>3.5</v>
      </c>
      <c r="AO250" s="156">
        <v>3.5</v>
      </c>
      <c r="AP250" s="156">
        <v>4</v>
      </c>
      <c r="AQ250" s="156">
        <v>3.5</v>
      </c>
      <c r="AR250" s="156">
        <v>4</v>
      </c>
      <c r="AS250" s="169">
        <v>3.5</v>
      </c>
    </row>
    <row r="251" spans="1:45" x14ac:dyDescent="0.25">
      <c r="A251" s="143" t="s">
        <v>786</v>
      </c>
      <c r="B251" s="143" t="s">
        <v>787</v>
      </c>
      <c r="C251" s="143" t="s">
        <v>680</v>
      </c>
      <c r="D251" s="143">
        <v>2868</v>
      </c>
      <c r="E251" s="143">
        <v>2</v>
      </c>
      <c r="F251" s="137">
        <v>1</v>
      </c>
      <c r="G251" s="137">
        <v>1</v>
      </c>
      <c r="H251" s="137">
        <v>1</v>
      </c>
      <c r="I251" s="137">
        <v>1</v>
      </c>
      <c r="K251" s="143" t="s">
        <v>786</v>
      </c>
      <c r="L251" s="143" t="s">
        <v>787</v>
      </c>
      <c r="M251" s="143" t="s">
        <v>680</v>
      </c>
      <c r="N251" s="143">
        <v>2868</v>
      </c>
      <c r="O251" s="354">
        <v>0.4</v>
      </c>
      <c r="P251" s="354">
        <v>0.6</v>
      </c>
      <c r="Q251" s="354">
        <v>1</v>
      </c>
      <c r="R251" s="137" t="s">
        <v>3184</v>
      </c>
      <c r="S251" s="137">
        <v>0.5</v>
      </c>
      <c r="T251" s="137" t="s">
        <v>3184</v>
      </c>
      <c r="W251" s="143" t="s">
        <v>786</v>
      </c>
      <c r="X251" s="143" t="s">
        <v>787</v>
      </c>
      <c r="Y251" s="143" t="s">
        <v>680</v>
      </c>
      <c r="Z251" s="143">
        <v>2868</v>
      </c>
      <c r="AA251" s="143">
        <v>0</v>
      </c>
      <c r="AD251" s="137">
        <v>0</v>
      </c>
      <c r="AE251" s="137">
        <v>0.25</v>
      </c>
      <c r="AG251" s="143" t="s">
        <v>786</v>
      </c>
      <c r="AH251" s="143" t="s">
        <v>787</v>
      </c>
      <c r="AI251" s="143" t="s">
        <v>680</v>
      </c>
      <c r="AJ251" s="143">
        <v>2868</v>
      </c>
      <c r="AK251" s="143">
        <v>2</v>
      </c>
      <c r="AL251" s="156">
        <v>2</v>
      </c>
      <c r="AM251" s="156">
        <v>3.5</v>
      </c>
      <c r="AN251" s="156">
        <v>3.5</v>
      </c>
      <c r="AO251" s="156">
        <v>3.5</v>
      </c>
      <c r="AP251" s="156">
        <v>3.5</v>
      </c>
      <c r="AQ251" s="156">
        <v>3.5</v>
      </c>
      <c r="AR251" s="156">
        <v>3</v>
      </c>
      <c r="AS251" s="169">
        <v>3.3571430000000002</v>
      </c>
    </row>
    <row r="252" spans="1:45" x14ac:dyDescent="0.25">
      <c r="A252" s="143" t="s">
        <v>786</v>
      </c>
      <c r="B252" s="143" t="s">
        <v>787</v>
      </c>
      <c r="C252" s="143" t="s">
        <v>680</v>
      </c>
      <c r="D252" s="143">
        <v>4660</v>
      </c>
      <c r="E252" s="143">
        <v>2</v>
      </c>
      <c r="F252" s="137">
        <v>1</v>
      </c>
      <c r="G252" s="137">
        <v>1</v>
      </c>
      <c r="H252" s="137">
        <v>1</v>
      </c>
      <c r="I252" s="137">
        <v>1</v>
      </c>
      <c r="K252" s="143" t="s">
        <v>786</v>
      </c>
      <c r="L252" s="143" t="s">
        <v>787</v>
      </c>
      <c r="M252" s="143" t="s">
        <v>680</v>
      </c>
      <c r="N252" s="143">
        <v>4660</v>
      </c>
      <c r="O252" s="354">
        <v>0.4</v>
      </c>
      <c r="P252" s="354">
        <v>0.6</v>
      </c>
      <c r="Q252" s="354">
        <v>1</v>
      </c>
      <c r="R252" s="137" t="s">
        <v>3184</v>
      </c>
      <c r="S252" s="137">
        <v>0.4</v>
      </c>
      <c r="T252" s="137" t="s">
        <v>3184</v>
      </c>
      <c r="W252" s="143" t="s">
        <v>786</v>
      </c>
      <c r="X252" s="143" t="s">
        <v>787</v>
      </c>
      <c r="Y252" s="143" t="s">
        <v>680</v>
      </c>
      <c r="Z252" s="143">
        <v>4660</v>
      </c>
      <c r="AA252" s="143">
        <v>0</v>
      </c>
      <c r="AD252" s="137">
        <v>0.2</v>
      </c>
      <c r="AE252" s="137">
        <v>0</v>
      </c>
      <c r="AG252" s="143" t="s">
        <v>786</v>
      </c>
      <c r="AH252" s="143" t="s">
        <v>787</v>
      </c>
      <c r="AI252" s="143" t="s">
        <v>680</v>
      </c>
      <c r="AJ252" s="143">
        <v>4660</v>
      </c>
      <c r="AK252" s="143">
        <v>2</v>
      </c>
      <c r="AL252" s="156">
        <v>2</v>
      </c>
      <c r="AM252" s="156">
        <v>4</v>
      </c>
      <c r="AN252" s="156">
        <v>4</v>
      </c>
      <c r="AO252" s="156">
        <v>3.5</v>
      </c>
      <c r="AP252" s="156">
        <v>1.5</v>
      </c>
      <c r="AQ252" s="156">
        <v>3.5</v>
      </c>
      <c r="AR252" s="156">
        <v>4</v>
      </c>
      <c r="AS252" s="169">
        <v>3.3571430000000002</v>
      </c>
    </row>
    <row r="253" spans="1:45" x14ac:dyDescent="0.25">
      <c r="A253" s="143" t="s">
        <v>786</v>
      </c>
      <c r="B253" s="143" t="s">
        <v>787</v>
      </c>
      <c r="C253" s="143" t="s">
        <v>680</v>
      </c>
      <c r="D253" s="143">
        <v>9375</v>
      </c>
      <c r="E253" s="143">
        <v>2</v>
      </c>
      <c r="F253" s="137">
        <v>1</v>
      </c>
      <c r="G253" s="137">
        <v>1</v>
      </c>
      <c r="H253" s="137">
        <v>1</v>
      </c>
      <c r="I253" s="137">
        <v>1</v>
      </c>
      <c r="K253" s="143" t="s">
        <v>786</v>
      </c>
      <c r="L253" s="143" t="s">
        <v>787</v>
      </c>
      <c r="M253" s="143" t="s">
        <v>680</v>
      </c>
      <c r="N253" s="143">
        <v>9375</v>
      </c>
      <c r="O253" s="354">
        <v>0.39740259999999999</v>
      </c>
      <c r="P253" s="354">
        <v>0.6</v>
      </c>
      <c r="Q253" s="354">
        <v>0.99740260000000003</v>
      </c>
      <c r="R253" s="137" t="s">
        <v>3185</v>
      </c>
      <c r="S253" s="137">
        <v>0.5</v>
      </c>
      <c r="T253" s="137" t="s">
        <v>3184</v>
      </c>
      <c r="W253" s="143" t="s">
        <v>786</v>
      </c>
      <c r="X253" s="143" t="s">
        <v>787</v>
      </c>
      <c r="Y253" s="143" t="s">
        <v>680</v>
      </c>
      <c r="Z253" s="143">
        <v>9375</v>
      </c>
      <c r="AA253" s="143">
        <v>0</v>
      </c>
      <c r="AD253" s="137">
        <v>0</v>
      </c>
      <c r="AG253" s="143" t="s">
        <v>786</v>
      </c>
      <c r="AH253" s="143" t="s">
        <v>787</v>
      </c>
      <c r="AI253" s="143" t="s">
        <v>680</v>
      </c>
      <c r="AJ253" s="143">
        <v>9375</v>
      </c>
      <c r="AK253" s="143">
        <v>2</v>
      </c>
      <c r="AL253" s="156">
        <v>1.5</v>
      </c>
      <c r="AM253" s="156">
        <v>4</v>
      </c>
      <c r="AN253" s="156">
        <v>3</v>
      </c>
      <c r="AO253" s="156">
        <v>3.5</v>
      </c>
      <c r="AP253" s="156">
        <v>1.5</v>
      </c>
      <c r="AQ253" s="156">
        <v>3.5</v>
      </c>
      <c r="AR253" s="156">
        <v>4</v>
      </c>
      <c r="AS253" s="169">
        <v>3.285714</v>
      </c>
    </row>
    <row r="254" spans="1:45" x14ac:dyDescent="0.25">
      <c r="A254" s="143" t="s">
        <v>786</v>
      </c>
      <c r="B254" s="143" t="s">
        <v>787</v>
      </c>
      <c r="C254" s="143" t="s">
        <v>680</v>
      </c>
      <c r="D254" s="143">
        <v>10038</v>
      </c>
      <c r="E254" s="143">
        <v>2</v>
      </c>
      <c r="F254" s="137">
        <v>1</v>
      </c>
      <c r="G254" s="137">
        <v>1</v>
      </c>
      <c r="H254" s="137">
        <v>1</v>
      </c>
      <c r="I254" s="137">
        <v>1</v>
      </c>
      <c r="K254" s="143" t="s">
        <v>786</v>
      </c>
      <c r="L254" s="143" t="s">
        <v>787</v>
      </c>
      <c r="M254" s="143" t="s">
        <v>680</v>
      </c>
      <c r="N254" s="143">
        <v>10038</v>
      </c>
      <c r="O254" s="354">
        <v>0.39740259999999999</v>
      </c>
      <c r="P254" s="354">
        <v>0.6</v>
      </c>
      <c r="Q254" s="354">
        <v>0.99740260000000003</v>
      </c>
      <c r="R254" s="137" t="s">
        <v>3185</v>
      </c>
      <c r="S254" s="137">
        <v>0.75</v>
      </c>
      <c r="T254" s="137" t="s">
        <v>3184</v>
      </c>
      <c r="W254" s="143" t="s">
        <v>786</v>
      </c>
      <c r="X254" s="143" t="s">
        <v>787</v>
      </c>
      <c r="Y254" s="143" t="s">
        <v>680</v>
      </c>
      <c r="Z254" s="143">
        <v>10038</v>
      </c>
      <c r="AA254" s="143">
        <v>0</v>
      </c>
      <c r="AD254" s="137">
        <v>0</v>
      </c>
      <c r="AE254" s="137">
        <v>0.25</v>
      </c>
      <c r="AG254" s="143" t="s">
        <v>786</v>
      </c>
      <c r="AH254" s="143" t="s">
        <v>787</v>
      </c>
      <c r="AI254" s="143" t="s">
        <v>680</v>
      </c>
      <c r="AJ254" s="143">
        <v>10038</v>
      </c>
      <c r="AK254" s="143">
        <v>2</v>
      </c>
      <c r="AL254" s="156">
        <v>1.5</v>
      </c>
      <c r="AM254" s="156">
        <v>3.5</v>
      </c>
      <c r="AN254" s="156">
        <v>3.5</v>
      </c>
      <c r="AO254" s="156">
        <v>3</v>
      </c>
      <c r="AP254" s="156">
        <v>3</v>
      </c>
      <c r="AQ254" s="156">
        <v>3</v>
      </c>
      <c r="AR254" s="156">
        <v>3</v>
      </c>
      <c r="AS254" s="169">
        <v>3.214286</v>
      </c>
    </row>
    <row r="255" spans="1:45" x14ac:dyDescent="0.25">
      <c r="A255" s="143" t="s">
        <v>788</v>
      </c>
      <c r="B255" s="143" t="s">
        <v>766</v>
      </c>
      <c r="C255" s="143" t="s">
        <v>731</v>
      </c>
      <c r="D255" s="143">
        <v>61</v>
      </c>
      <c r="E255" s="143">
        <v>20</v>
      </c>
      <c r="F255" s="137">
        <v>1</v>
      </c>
      <c r="G255" s="137">
        <v>1</v>
      </c>
      <c r="H255" s="137">
        <v>1</v>
      </c>
      <c r="I255" s="137">
        <v>0</v>
      </c>
      <c r="K255" s="143" t="s">
        <v>788</v>
      </c>
      <c r="L255" s="143" t="s">
        <v>766</v>
      </c>
      <c r="M255" s="143" t="s">
        <v>731</v>
      </c>
      <c r="N255" s="143">
        <v>61</v>
      </c>
      <c r="O255" s="354">
        <v>0.31539889999999998</v>
      </c>
      <c r="P255" s="354">
        <v>0.47619050000000002</v>
      </c>
      <c r="Q255" s="354">
        <v>0.7915894</v>
      </c>
      <c r="R255" s="137" t="s">
        <v>3185</v>
      </c>
      <c r="S255" s="137">
        <v>0.3125</v>
      </c>
      <c r="T255" s="137" t="s">
        <v>3184</v>
      </c>
      <c r="W255" s="143" t="s">
        <v>788</v>
      </c>
      <c r="X255" s="143" t="s">
        <v>766</v>
      </c>
      <c r="Y255" s="143" t="s">
        <v>731</v>
      </c>
      <c r="Z255" s="143">
        <v>61</v>
      </c>
      <c r="AA255" s="143">
        <v>20</v>
      </c>
      <c r="AB255" s="137">
        <v>0.5</v>
      </c>
      <c r="AC255" s="137">
        <v>0.3</v>
      </c>
      <c r="AD255" s="137">
        <v>0.3958333</v>
      </c>
      <c r="AE255" s="137">
        <v>0</v>
      </c>
      <c r="AG255" s="143" t="s">
        <v>788</v>
      </c>
      <c r="AH255" s="143" t="s">
        <v>766</v>
      </c>
      <c r="AI255" s="143" t="s">
        <v>731</v>
      </c>
      <c r="AJ255" s="143">
        <v>61</v>
      </c>
      <c r="AK255" s="143">
        <v>20</v>
      </c>
      <c r="AL255" s="156">
        <v>1.3500000238418599</v>
      </c>
      <c r="AM255" s="156">
        <v>3.5</v>
      </c>
      <c r="AN255" s="156">
        <v>2.8499999046325701</v>
      </c>
      <c r="AO255" s="156">
        <v>2.6500000953674299</v>
      </c>
      <c r="AP255" s="156">
        <v>2.5</v>
      </c>
      <c r="AQ255" s="156">
        <v>2.7000000476837198</v>
      </c>
      <c r="AR255" s="156">
        <v>3.4000000953674299</v>
      </c>
      <c r="AS255" s="169">
        <v>3.035714</v>
      </c>
    </row>
    <row r="256" spans="1:45" x14ac:dyDescent="0.25">
      <c r="A256" s="143" t="s">
        <v>788</v>
      </c>
      <c r="B256" s="143" t="s">
        <v>766</v>
      </c>
      <c r="C256" s="143" t="s">
        <v>728</v>
      </c>
      <c r="D256" s="143">
        <v>63</v>
      </c>
      <c r="E256" s="143">
        <v>2</v>
      </c>
      <c r="F256" s="137">
        <v>1</v>
      </c>
      <c r="G256" s="137">
        <v>1</v>
      </c>
      <c r="H256" s="137">
        <v>1</v>
      </c>
      <c r="I256" s="137">
        <v>0</v>
      </c>
      <c r="K256" s="143" t="s">
        <v>788</v>
      </c>
      <c r="L256" s="143" t="s">
        <v>766</v>
      </c>
      <c r="M256" s="143" t="s">
        <v>728</v>
      </c>
      <c r="N256" s="143">
        <v>63</v>
      </c>
      <c r="O256" s="354">
        <v>0.4</v>
      </c>
      <c r="P256" s="354">
        <v>0.6</v>
      </c>
      <c r="Q256" s="354">
        <v>1</v>
      </c>
      <c r="R256" s="137" t="s">
        <v>3184</v>
      </c>
      <c r="S256" s="137">
        <v>0.42857139999999999</v>
      </c>
      <c r="T256" s="137" t="s">
        <v>3184</v>
      </c>
      <c r="U256" s="137" t="s">
        <v>3184</v>
      </c>
      <c r="W256" s="143" t="s">
        <v>788</v>
      </c>
      <c r="X256" s="143" t="s">
        <v>766</v>
      </c>
      <c r="Y256" s="143" t="s">
        <v>728</v>
      </c>
      <c r="Z256" s="143">
        <v>63</v>
      </c>
      <c r="AA256" s="143">
        <v>0</v>
      </c>
      <c r="AD256" s="137">
        <v>0</v>
      </c>
      <c r="AE256" s="137">
        <v>0.14285709999999999</v>
      </c>
      <c r="AG256" s="143" t="s">
        <v>788</v>
      </c>
      <c r="AH256" s="143" t="s">
        <v>766</v>
      </c>
      <c r="AI256" s="143" t="s">
        <v>728</v>
      </c>
      <c r="AJ256" s="143">
        <v>63</v>
      </c>
      <c r="AK256" s="143">
        <v>2</v>
      </c>
      <c r="AL256" s="156">
        <v>1.5</v>
      </c>
      <c r="AM256" s="156">
        <v>3</v>
      </c>
      <c r="AN256" s="156">
        <v>3.5</v>
      </c>
      <c r="AO256" s="156">
        <v>3.5</v>
      </c>
      <c r="AP256" s="156">
        <v>3.5</v>
      </c>
      <c r="AQ256" s="156">
        <v>3.5</v>
      </c>
      <c r="AR256" s="156">
        <v>3.5</v>
      </c>
      <c r="AS256" s="169">
        <v>3.4285709999999998</v>
      </c>
    </row>
    <row r="257" spans="1:45" x14ac:dyDescent="0.25">
      <c r="A257" s="143" t="s">
        <v>788</v>
      </c>
      <c r="B257" s="143" t="s">
        <v>766</v>
      </c>
      <c r="C257" s="143" t="s">
        <v>727</v>
      </c>
      <c r="D257" s="143">
        <v>70</v>
      </c>
      <c r="E257" s="143">
        <v>3</v>
      </c>
      <c r="F257" s="137">
        <v>1</v>
      </c>
      <c r="G257" s="137">
        <v>1</v>
      </c>
      <c r="H257" s="137">
        <v>1</v>
      </c>
      <c r="I257" s="137">
        <v>0</v>
      </c>
      <c r="K257" s="143" t="s">
        <v>788</v>
      </c>
      <c r="L257" s="143" t="s">
        <v>766</v>
      </c>
      <c r="M257" s="143" t="s">
        <v>727</v>
      </c>
      <c r="N257" s="143">
        <v>70</v>
      </c>
      <c r="O257" s="354">
        <v>0.4</v>
      </c>
      <c r="P257" s="354">
        <v>0.6</v>
      </c>
      <c r="Q257" s="354">
        <v>1</v>
      </c>
      <c r="R257" s="137" t="s">
        <v>3184</v>
      </c>
      <c r="S257" s="137">
        <v>0.4166667</v>
      </c>
      <c r="T257" s="137" t="s">
        <v>3184</v>
      </c>
      <c r="U257" s="137" t="s">
        <v>3184</v>
      </c>
      <c r="W257" s="143" t="s">
        <v>788</v>
      </c>
      <c r="X257" s="143" t="s">
        <v>766</v>
      </c>
      <c r="Y257" s="143" t="s">
        <v>727</v>
      </c>
      <c r="Z257" s="143">
        <v>70</v>
      </c>
      <c r="AA257" s="143">
        <v>0</v>
      </c>
      <c r="AD257" s="137">
        <v>0.1666667</v>
      </c>
      <c r="AE257" s="137">
        <v>0</v>
      </c>
      <c r="AG257" s="143" t="s">
        <v>788</v>
      </c>
      <c r="AH257" s="143" t="s">
        <v>766</v>
      </c>
      <c r="AI257" s="143" t="s">
        <v>727</v>
      </c>
      <c r="AJ257" s="143">
        <v>70</v>
      </c>
      <c r="AK257" s="143">
        <v>3</v>
      </c>
      <c r="AL257" s="156">
        <v>1.6666666269302399</v>
      </c>
      <c r="AM257" s="156">
        <v>3</v>
      </c>
      <c r="AN257" s="156">
        <v>3.6666667461395299</v>
      </c>
      <c r="AO257" s="156">
        <v>3</v>
      </c>
      <c r="AP257" s="156">
        <v>1.6666666269302399</v>
      </c>
      <c r="AQ257" s="156">
        <v>2.3333332538604701</v>
      </c>
      <c r="AR257" s="156">
        <v>3</v>
      </c>
      <c r="AS257" s="169">
        <v>2.8571430000000002</v>
      </c>
    </row>
    <row r="258" spans="1:45" x14ac:dyDescent="0.25">
      <c r="A258" s="143" t="s">
        <v>788</v>
      </c>
      <c r="B258" s="143" t="s">
        <v>766</v>
      </c>
      <c r="C258" s="143" t="s">
        <v>728</v>
      </c>
      <c r="D258" s="143">
        <v>1633</v>
      </c>
      <c r="E258" s="143">
        <v>2</v>
      </c>
      <c r="F258" s="137">
        <v>1</v>
      </c>
      <c r="G258" s="137">
        <v>1</v>
      </c>
      <c r="H258" s="137">
        <v>1</v>
      </c>
      <c r="I258" s="137">
        <v>0</v>
      </c>
      <c r="K258" s="143" t="s">
        <v>788</v>
      </c>
      <c r="L258" s="143" t="s">
        <v>766</v>
      </c>
      <c r="M258" s="143" t="s">
        <v>728</v>
      </c>
      <c r="N258" s="143">
        <v>1633</v>
      </c>
      <c r="O258" s="354">
        <v>0.4</v>
      </c>
      <c r="P258" s="354">
        <v>0.6</v>
      </c>
      <c r="Q258" s="354">
        <v>1</v>
      </c>
      <c r="R258" s="137" t="s">
        <v>3184</v>
      </c>
      <c r="S258" s="137">
        <v>0.5</v>
      </c>
      <c r="T258" s="137" t="s">
        <v>3184</v>
      </c>
      <c r="U258" s="137" t="s">
        <v>3184</v>
      </c>
      <c r="W258" s="143" t="s">
        <v>788</v>
      </c>
      <c r="X258" s="143" t="s">
        <v>766</v>
      </c>
      <c r="Y258" s="143" t="s">
        <v>728</v>
      </c>
      <c r="Z258" s="143">
        <v>1633</v>
      </c>
      <c r="AA258" s="143">
        <v>0</v>
      </c>
      <c r="AD258" s="137">
        <v>0.3333333</v>
      </c>
      <c r="AE258" s="137">
        <v>0</v>
      </c>
      <c r="AG258" s="143" t="s">
        <v>788</v>
      </c>
      <c r="AH258" s="143" t="s">
        <v>766</v>
      </c>
      <c r="AI258" s="143" t="s">
        <v>728</v>
      </c>
      <c r="AJ258" s="143">
        <v>1633</v>
      </c>
      <c r="AK258" s="143">
        <v>2</v>
      </c>
      <c r="AL258" s="156">
        <v>1</v>
      </c>
      <c r="AM258" s="156">
        <v>4</v>
      </c>
      <c r="AN258" s="156">
        <v>4</v>
      </c>
      <c r="AO258" s="156">
        <v>4</v>
      </c>
      <c r="AP258" s="156">
        <v>3.5</v>
      </c>
      <c r="AQ258" s="156">
        <v>2</v>
      </c>
      <c r="AR258" s="156">
        <v>4</v>
      </c>
      <c r="AS258" s="169">
        <v>3.6428569999999998</v>
      </c>
    </row>
    <row r="259" spans="1:45" x14ac:dyDescent="0.25">
      <c r="A259" s="143" t="s">
        <v>788</v>
      </c>
      <c r="B259" s="143" t="s">
        <v>766</v>
      </c>
      <c r="C259" s="143" t="s">
        <v>728</v>
      </c>
      <c r="D259" s="143">
        <v>1956</v>
      </c>
      <c r="E259" s="143">
        <v>2</v>
      </c>
      <c r="F259" s="137">
        <v>1</v>
      </c>
      <c r="G259" s="137">
        <v>1</v>
      </c>
      <c r="H259" s="137">
        <v>1</v>
      </c>
      <c r="I259" s="137">
        <v>0</v>
      </c>
      <c r="K259" s="143" t="s">
        <v>788</v>
      </c>
      <c r="L259" s="143" t="s">
        <v>766</v>
      </c>
      <c r="M259" s="143" t="s">
        <v>728</v>
      </c>
      <c r="N259" s="143">
        <v>1956</v>
      </c>
      <c r="O259" s="354">
        <v>0.39480520000000002</v>
      </c>
      <c r="P259" s="354">
        <v>0.6</v>
      </c>
      <c r="Q259" s="354">
        <v>0.99480519999999995</v>
      </c>
      <c r="R259" s="137" t="s">
        <v>3185</v>
      </c>
      <c r="S259" s="137">
        <v>0.28571429999999998</v>
      </c>
      <c r="T259" s="137" t="s">
        <v>3184</v>
      </c>
      <c r="U259" s="137" t="s">
        <v>3184</v>
      </c>
      <c r="W259" s="143" t="s">
        <v>788</v>
      </c>
      <c r="X259" s="143" t="s">
        <v>766</v>
      </c>
      <c r="Y259" s="143" t="s">
        <v>728</v>
      </c>
      <c r="Z259" s="143">
        <v>1956</v>
      </c>
      <c r="AA259" s="143">
        <v>0</v>
      </c>
      <c r="AD259" s="137">
        <v>0.28571429999999998</v>
      </c>
      <c r="AE259" s="137">
        <v>0</v>
      </c>
      <c r="AG259" s="143" t="s">
        <v>788</v>
      </c>
      <c r="AH259" s="143" t="s">
        <v>766</v>
      </c>
      <c r="AI259" s="143" t="s">
        <v>728</v>
      </c>
      <c r="AJ259" s="143">
        <v>1956</v>
      </c>
      <c r="AK259" s="143">
        <v>2</v>
      </c>
      <c r="AL259" s="156">
        <v>2.5</v>
      </c>
      <c r="AM259" s="156">
        <v>3</v>
      </c>
      <c r="AN259" s="156">
        <v>3</v>
      </c>
      <c r="AO259" s="156">
        <v>3</v>
      </c>
      <c r="AP259" s="156">
        <v>3</v>
      </c>
      <c r="AQ259" s="156">
        <v>3</v>
      </c>
      <c r="AR259" s="156">
        <v>3</v>
      </c>
      <c r="AS259" s="169">
        <v>2.9285709999999998</v>
      </c>
    </row>
    <row r="260" spans="1:45" x14ac:dyDescent="0.25">
      <c r="A260" s="143" t="s">
        <v>788</v>
      </c>
      <c r="B260" s="143" t="s">
        <v>766</v>
      </c>
      <c r="C260" s="143" t="s">
        <v>728</v>
      </c>
      <c r="D260" s="143">
        <v>2019</v>
      </c>
      <c r="E260" s="143">
        <v>2</v>
      </c>
      <c r="F260" s="137">
        <v>1</v>
      </c>
      <c r="G260" s="137">
        <v>1</v>
      </c>
      <c r="H260" s="137">
        <v>1</v>
      </c>
      <c r="I260" s="137">
        <v>0</v>
      </c>
      <c r="K260" s="143" t="s">
        <v>788</v>
      </c>
      <c r="L260" s="143" t="s">
        <v>766</v>
      </c>
      <c r="M260" s="143" t="s">
        <v>728</v>
      </c>
      <c r="N260" s="143">
        <v>2019</v>
      </c>
      <c r="O260" s="354">
        <v>0.26493509999999998</v>
      </c>
      <c r="P260" s="354">
        <v>0.6</v>
      </c>
      <c r="Q260" s="354">
        <v>0.86493509999999996</v>
      </c>
      <c r="R260" s="137" t="s">
        <v>3185</v>
      </c>
      <c r="S260" s="137">
        <v>0.42857139999999999</v>
      </c>
      <c r="T260" s="137" t="s">
        <v>3184</v>
      </c>
      <c r="U260" s="137" t="s">
        <v>3184</v>
      </c>
      <c r="W260" s="143" t="s">
        <v>788</v>
      </c>
      <c r="X260" s="143" t="s">
        <v>766</v>
      </c>
      <c r="Y260" s="143" t="s">
        <v>728</v>
      </c>
      <c r="Z260" s="143">
        <v>2019</v>
      </c>
      <c r="AA260" s="143">
        <v>0</v>
      </c>
      <c r="AD260" s="137">
        <v>0</v>
      </c>
      <c r="AE260" s="137">
        <v>0.28571429999999998</v>
      </c>
      <c r="AG260" s="143" t="s">
        <v>788</v>
      </c>
      <c r="AH260" s="143" t="s">
        <v>766</v>
      </c>
      <c r="AI260" s="143" t="s">
        <v>728</v>
      </c>
      <c r="AJ260" s="143">
        <v>2019</v>
      </c>
      <c r="AK260" s="143">
        <v>2</v>
      </c>
      <c r="AL260" s="156">
        <v>2</v>
      </c>
      <c r="AM260" s="156">
        <v>3</v>
      </c>
      <c r="AN260" s="156">
        <v>3</v>
      </c>
      <c r="AO260" s="156">
        <v>3</v>
      </c>
      <c r="AP260" s="156">
        <v>2.5</v>
      </c>
      <c r="AQ260" s="156">
        <v>2.5</v>
      </c>
      <c r="AR260" s="156">
        <v>3</v>
      </c>
      <c r="AS260" s="169">
        <v>2.8571430000000002</v>
      </c>
    </row>
    <row r="261" spans="1:45" x14ac:dyDescent="0.25">
      <c r="A261" s="143" t="s">
        <v>788</v>
      </c>
      <c r="B261" s="143" t="s">
        <v>766</v>
      </c>
      <c r="C261" s="143" t="s">
        <v>680</v>
      </c>
      <c r="D261" s="143">
        <v>2336</v>
      </c>
      <c r="E261" s="143">
        <v>2</v>
      </c>
      <c r="F261" s="137">
        <v>1</v>
      </c>
      <c r="G261" s="137">
        <v>1</v>
      </c>
      <c r="H261" s="137">
        <v>1</v>
      </c>
      <c r="I261" s="137">
        <v>0</v>
      </c>
      <c r="K261" s="143" t="s">
        <v>788</v>
      </c>
      <c r="L261" s="143" t="s">
        <v>766</v>
      </c>
      <c r="M261" s="143" t="s">
        <v>680</v>
      </c>
      <c r="N261" s="143">
        <v>2336</v>
      </c>
      <c r="O261" s="354">
        <v>0.3402597</v>
      </c>
      <c r="P261" s="354">
        <v>0.6</v>
      </c>
      <c r="Q261" s="354">
        <v>0.94025979999999998</v>
      </c>
      <c r="R261" s="137" t="s">
        <v>3185</v>
      </c>
      <c r="S261" s="137">
        <v>0.75</v>
      </c>
      <c r="T261" s="137" t="s">
        <v>3184</v>
      </c>
      <c r="W261" s="143" t="s">
        <v>788</v>
      </c>
      <c r="X261" s="143" t="s">
        <v>766</v>
      </c>
      <c r="Y261" s="143" t="s">
        <v>680</v>
      </c>
      <c r="Z261" s="143">
        <v>2336</v>
      </c>
      <c r="AA261" s="143">
        <v>0</v>
      </c>
      <c r="AD261" s="137">
        <v>0.5</v>
      </c>
      <c r="AE261" s="137">
        <v>0</v>
      </c>
      <c r="AG261" s="143" t="s">
        <v>788</v>
      </c>
      <c r="AH261" s="143" t="s">
        <v>766</v>
      </c>
      <c r="AI261" s="143" t="s">
        <v>680</v>
      </c>
      <c r="AJ261" s="143">
        <v>2336</v>
      </c>
      <c r="AK261" s="143">
        <v>2</v>
      </c>
      <c r="AL261" s="156">
        <v>2</v>
      </c>
      <c r="AM261" s="156">
        <v>3.5</v>
      </c>
      <c r="AN261" s="156">
        <v>3</v>
      </c>
      <c r="AO261" s="156">
        <v>3.5</v>
      </c>
      <c r="AP261" s="156">
        <v>1.5</v>
      </c>
      <c r="AQ261" s="156">
        <v>2.5</v>
      </c>
      <c r="AR261" s="156">
        <v>4</v>
      </c>
      <c r="AS261" s="169">
        <v>3</v>
      </c>
    </row>
    <row r="262" spans="1:45" x14ac:dyDescent="0.25">
      <c r="A262" s="143" t="s">
        <v>788</v>
      </c>
      <c r="B262" s="143" t="s">
        <v>766</v>
      </c>
      <c r="C262" s="143" t="s">
        <v>680</v>
      </c>
      <c r="D262" s="143">
        <v>2341</v>
      </c>
      <c r="E262" s="143">
        <v>2</v>
      </c>
      <c r="F262" s="137">
        <v>1</v>
      </c>
      <c r="G262" s="137">
        <v>1</v>
      </c>
      <c r="H262" s="137">
        <v>1</v>
      </c>
      <c r="I262" s="137">
        <v>0</v>
      </c>
      <c r="K262" s="143" t="s">
        <v>788</v>
      </c>
      <c r="L262" s="143" t="s">
        <v>766</v>
      </c>
      <c r="M262" s="143" t="s">
        <v>680</v>
      </c>
      <c r="N262" s="143">
        <v>2341</v>
      </c>
      <c r="O262" s="354">
        <v>0.37922080000000002</v>
      </c>
      <c r="P262" s="354">
        <v>0.6</v>
      </c>
      <c r="Q262" s="354">
        <v>0.9792208</v>
      </c>
      <c r="R262" s="137" t="s">
        <v>3185</v>
      </c>
      <c r="S262" s="137">
        <v>0.6</v>
      </c>
      <c r="T262" s="137" t="s">
        <v>3184</v>
      </c>
      <c r="W262" s="143" t="s">
        <v>788</v>
      </c>
      <c r="X262" s="143" t="s">
        <v>766</v>
      </c>
      <c r="Y262" s="143" t="s">
        <v>680</v>
      </c>
      <c r="Z262" s="143">
        <v>2341</v>
      </c>
      <c r="AA262" s="143">
        <v>0</v>
      </c>
      <c r="AD262" s="137">
        <v>0.2</v>
      </c>
      <c r="AE262" s="137">
        <v>0</v>
      </c>
      <c r="AG262" s="143" t="s">
        <v>788</v>
      </c>
      <c r="AH262" s="143" t="s">
        <v>766</v>
      </c>
      <c r="AI262" s="143" t="s">
        <v>680</v>
      </c>
      <c r="AJ262" s="143">
        <v>2341</v>
      </c>
      <c r="AK262" s="143">
        <v>2</v>
      </c>
      <c r="AL262" s="156">
        <v>2.5</v>
      </c>
      <c r="AM262" s="156">
        <v>3</v>
      </c>
      <c r="AN262" s="156">
        <v>3</v>
      </c>
      <c r="AO262" s="156">
        <v>3</v>
      </c>
      <c r="AP262" s="156">
        <v>2.5</v>
      </c>
      <c r="AQ262" s="156">
        <v>3</v>
      </c>
      <c r="AR262" s="156">
        <v>3</v>
      </c>
      <c r="AS262" s="169">
        <v>2.8571430000000002</v>
      </c>
    </row>
    <row r="263" spans="1:45" x14ac:dyDescent="0.25">
      <c r="A263" s="143" t="s">
        <v>788</v>
      </c>
      <c r="B263" s="143" t="s">
        <v>766</v>
      </c>
      <c r="C263" s="143" t="s">
        <v>680</v>
      </c>
      <c r="D263" s="143">
        <v>2770</v>
      </c>
      <c r="E263" s="143">
        <v>2</v>
      </c>
      <c r="F263" s="137">
        <v>1</v>
      </c>
      <c r="G263" s="137">
        <v>1</v>
      </c>
      <c r="H263" s="137">
        <v>1</v>
      </c>
      <c r="I263" s="137">
        <v>0</v>
      </c>
      <c r="K263" s="143" t="s">
        <v>788</v>
      </c>
      <c r="L263" s="143" t="s">
        <v>766</v>
      </c>
      <c r="M263" s="143" t="s">
        <v>680</v>
      </c>
      <c r="N263" s="143">
        <v>2770</v>
      </c>
      <c r="O263" s="354">
        <v>0.38961040000000002</v>
      </c>
      <c r="P263" s="354">
        <v>0.3</v>
      </c>
      <c r="Q263" s="137">
        <v>0.68961039999999996</v>
      </c>
      <c r="R263" s="137" t="s">
        <v>3185</v>
      </c>
      <c r="S263" s="137">
        <v>0.75</v>
      </c>
      <c r="T263" s="137" t="s">
        <v>3185</v>
      </c>
      <c r="W263" s="143" t="s">
        <v>788</v>
      </c>
      <c r="X263" s="143" t="s">
        <v>766</v>
      </c>
      <c r="Y263" s="143" t="s">
        <v>680</v>
      </c>
      <c r="Z263" s="143">
        <v>2770</v>
      </c>
      <c r="AA263" s="143">
        <v>0</v>
      </c>
      <c r="AD263" s="137">
        <v>0.5</v>
      </c>
      <c r="AE263" s="137">
        <v>0</v>
      </c>
      <c r="AG263" s="143" t="s">
        <v>788</v>
      </c>
      <c r="AH263" s="143" t="s">
        <v>766</v>
      </c>
      <c r="AI263" s="143" t="s">
        <v>680</v>
      </c>
      <c r="AJ263" s="143">
        <v>2770</v>
      </c>
      <c r="AK263" s="143">
        <v>2</v>
      </c>
      <c r="AL263" s="156">
        <v>3</v>
      </c>
      <c r="AM263" s="156">
        <v>3</v>
      </c>
      <c r="AN263" s="156">
        <v>3</v>
      </c>
      <c r="AO263" s="156">
        <v>3</v>
      </c>
      <c r="AP263" s="156">
        <v>3</v>
      </c>
      <c r="AQ263" s="156">
        <v>2.5</v>
      </c>
      <c r="AR263" s="156">
        <v>3</v>
      </c>
      <c r="AS263" s="169">
        <v>3</v>
      </c>
    </row>
    <row r="264" spans="1:45" x14ac:dyDescent="0.25">
      <c r="A264" s="143" t="s">
        <v>788</v>
      </c>
      <c r="B264" s="143" t="s">
        <v>766</v>
      </c>
      <c r="C264" s="143" t="s">
        <v>680</v>
      </c>
      <c r="D264" s="143">
        <v>2790</v>
      </c>
      <c r="E264" s="143">
        <v>2</v>
      </c>
      <c r="F264" s="137">
        <v>1</v>
      </c>
      <c r="G264" s="137">
        <v>1</v>
      </c>
      <c r="H264" s="137">
        <v>1</v>
      </c>
      <c r="I264" s="137">
        <v>0</v>
      </c>
      <c r="K264" s="143" t="s">
        <v>788</v>
      </c>
      <c r="L264" s="143" t="s">
        <v>766</v>
      </c>
      <c r="M264" s="143" t="s">
        <v>680</v>
      </c>
      <c r="N264" s="143">
        <v>2790</v>
      </c>
      <c r="O264" s="354">
        <v>0.4</v>
      </c>
      <c r="P264" s="354">
        <v>0.6</v>
      </c>
      <c r="Q264" s="354">
        <v>1</v>
      </c>
      <c r="R264" s="137" t="s">
        <v>3184</v>
      </c>
      <c r="S264" s="137">
        <v>0.75</v>
      </c>
      <c r="T264" s="137" t="s">
        <v>3184</v>
      </c>
      <c r="W264" s="143" t="s">
        <v>788</v>
      </c>
      <c r="X264" s="143" t="s">
        <v>766</v>
      </c>
      <c r="Y264" s="143" t="s">
        <v>680</v>
      </c>
      <c r="Z264" s="143">
        <v>2790</v>
      </c>
      <c r="AA264" s="143">
        <v>0</v>
      </c>
      <c r="AD264" s="137">
        <v>0.25</v>
      </c>
      <c r="AE264" s="137">
        <v>0</v>
      </c>
      <c r="AG264" s="143" t="s">
        <v>788</v>
      </c>
      <c r="AH264" s="143" t="s">
        <v>766</v>
      </c>
      <c r="AI264" s="143" t="s">
        <v>680</v>
      </c>
      <c r="AJ264" s="143">
        <v>2790</v>
      </c>
      <c r="AK264" s="143">
        <v>2</v>
      </c>
      <c r="AL264" s="156">
        <v>1.5</v>
      </c>
      <c r="AM264" s="156">
        <v>3.5</v>
      </c>
      <c r="AN264" s="156">
        <v>3</v>
      </c>
      <c r="AO264" s="156">
        <v>3</v>
      </c>
      <c r="AP264" s="156">
        <v>2</v>
      </c>
      <c r="AQ264" s="156">
        <v>3.5</v>
      </c>
      <c r="AR264" s="156">
        <v>3.5</v>
      </c>
      <c r="AS264" s="169">
        <v>3.1428569999999998</v>
      </c>
    </row>
    <row r="265" spans="1:45" x14ac:dyDescent="0.25">
      <c r="A265" s="143" t="s">
        <v>788</v>
      </c>
      <c r="B265" s="143" t="s">
        <v>766</v>
      </c>
      <c r="C265" s="143" t="s">
        <v>680</v>
      </c>
      <c r="D265" s="143">
        <v>2967</v>
      </c>
      <c r="E265" s="143">
        <v>2</v>
      </c>
      <c r="F265" s="137">
        <v>1</v>
      </c>
      <c r="G265" s="137">
        <v>1</v>
      </c>
      <c r="H265" s="137">
        <v>1</v>
      </c>
      <c r="I265" s="137">
        <v>0</v>
      </c>
      <c r="K265" s="143" t="s">
        <v>788</v>
      </c>
      <c r="L265" s="143" t="s">
        <v>766</v>
      </c>
      <c r="M265" s="143" t="s">
        <v>680</v>
      </c>
      <c r="N265" s="143">
        <v>2967</v>
      </c>
      <c r="O265" s="354">
        <v>0.4</v>
      </c>
      <c r="P265" s="354">
        <v>0.3</v>
      </c>
      <c r="Q265" s="354">
        <v>0.7</v>
      </c>
      <c r="R265" s="137" t="s">
        <v>3185</v>
      </c>
      <c r="S265" s="137">
        <v>0.75</v>
      </c>
      <c r="T265" s="137" t="s">
        <v>3184</v>
      </c>
      <c r="W265" s="143" t="s">
        <v>788</v>
      </c>
      <c r="X265" s="143" t="s">
        <v>766</v>
      </c>
      <c r="Y265" s="143" t="s">
        <v>680</v>
      </c>
      <c r="Z265" s="143">
        <v>2967</v>
      </c>
      <c r="AA265" s="143">
        <v>0</v>
      </c>
      <c r="AD265" s="137">
        <v>0</v>
      </c>
      <c r="AG265" s="143" t="s">
        <v>788</v>
      </c>
      <c r="AH265" s="143" t="s">
        <v>766</v>
      </c>
      <c r="AI265" s="143" t="s">
        <v>680</v>
      </c>
      <c r="AJ265" s="143">
        <v>2967</v>
      </c>
      <c r="AK265" s="143">
        <v>2</v>
      </c>
      <c r="AL265" s="156">
        <v>3</v>
      </c>
      <c r="AM265" s="156">
        <v>3</v>
      </c>
      <c r="AN265" s="156">
        <v>2</v>
      </c>
      <c r="AO265" s="156">
        <v>2</v>
      </c>
      <c r="AP265" s="156">
        <v>2</v>
      </c>
      <c r="AQ265" s="156">
        <v>2</v>
      </c>
      <c r="AR265" s="156">
        <v>3</v>
      </c>
      <c r="AS265" s="169">
        <v>2.285714</v>
      </c>
    </row>
    <row r="266" spans="1:45" x14ac:dyDescent="0.25">
      <c r="A266" s="143" t="s">
        <v>789</v>
      </c>
      <c r="B266" s="143" t="s">
        <v>790</v>
      </c>
      <c r="C266" s="143" t="s">
        <v>729</v>
      </c>
      <c r="D266" s="143">
        <v>532</v>
      </c>
      <c r="E266" s="143">
        <v>8</v>
      </c>
      <c r="F266" s="137">
        <v>1</v>
      </c>
      <c r="G266" s="137">
        <v>1</v>
      </c>
      <c r="H266" s="137">
        <v>1</v>
      </c>
      <c r="I266" s="137">
        <v>0</v>
      </c>
      <c r="K266" s="143" t="s">
        <v>789</v>
      </c>
      <c r="L266" s="143" t="s">
        <v>790</v>
      </c>
      <c r="M266" s="143" t="s">
        <v>729</v>
      </c>
      <c r="N266" s="143">
        <v>532</v>
      </c>
      <c r="O266" s="354">
        <v>0.4</v>
      </c>
      <c r="P266" s="354">
        <v>0.6</v>
      </c>
      <c r="Q266" s="354">
        <v>1</v>
      </c>
      <c r="R266" s="137" t="s">
        <v>3184</v>
      </c>
      <c r="S266" s="137">
        <v>0.42424240000000002</v>
      </c>
      <c r="T266" s="137" t="s">
        <v>3184</v>
      </c>
      <c r="U266" s="137" t="s">
        <v>3184</v>
      </c>
      <c r="W266" s="143" t="s">
        <v>789</v>
      </c>
      <c r="X266" s="143" t="s">
        <v>790</v>
      </c>
      <c r="Y266" s="143" t="s">
        <v>729</v>
      </c>
      <c r="Z266" s="143">
        <v>532</v>
      </c>
      <c r="AA266" s="143">
        <v>8</v>
      </c>
      <c r="AB266" s="137">
        <v>1</v>
      </c>
      <c r="AD266" s="137">
        <v>1</v>
      </c>
      <c r="AE266" s="137">
        <v>0</v>
      </c>
      <c r="AG266" s="143" t="s">
        <v>789</v>
      </c>
      <c r="AH266" s="143" t="s">
        <v>790</v>
      </c>
      <c r="AI266" s="143" t="s">
        <v>729</v>
      </c>
      <c r="AJ266" s="143">
        <v>532</v>
      </c>
      <c r="AK266" s="143">
        <v>8</v>
      </c>
      <c r="AL266" s="156">
        <v>1.625</v>
      </c>
      <c r="AM266" s="156">
        <v>3.375</v>
      </c>
      <c r="AN266" s="156">
        <v>3.5</v>
      </c>
      <c r="AO266" s="156">
        <v>2.625</v>
      </c>
      <c r="AP266" s="156">
        <v>1.375</v>
      </c>
      <c r="AQ266" s="156">
        <v>4</v>
      </c>
      <c r="AR266" s="156">
        <v>3.875</v>
      </c>
      <c r="AS266" s="169">
        <v>3.160714</v>
      </c>
    </row>
    <row r="267" spans="1:45" x14ac:dyDescent="0.25">
      <c r="A267" s="143" t="s">
        <v>789</v>
      </c>
      <c r="B267" s="143" t="s">
        <v>790</v>
      </c>
      <c r="C267" s="143" t="s">
        <v>727</v>
      </c>
      <c r="D267" s="143">
        <v>538</v>
      </c>
      <c r="E267" s="143">
        <v>3</v>
      </c>
      <c r="F267" s="137">
        <v>1</v>
      </c>
      <c r="G267" s="137">
        <v>1</v>
      </c>
      <c r="H267" s="137">
        <v>1</v>
      </c>
      <c r="I267" s="137">
        <v>0</v>
      </c>
      <c r="K267" s="143" t="s">
        <v>789</v>
      </c>
      <c r="L267" s="143" t="s">
        <v>790</v>
      </c>
      <c r="M267" s="143" t="s">
        <v>727</v>
      </c>
      <c r="N267" s="143">
        <v>538</v>
      </c>
      <c r="O267" s="354">
        <v>0.4</v>
      </c>
      <c r="P267" s="354">
        <v>0.6</v>
      </c>
      <c r="Q267" s="137">
        <v>1</v>
      </c>
      <c r="R267" s="137" t="s">
        <v>3184</v>
      </c>
      <c r="S267" s="137">
        <v>0.46153850000000002</v>
      </c>
      <c r="T267" s="137" t="s">
        <v>3184</v>
      </c>
      <c r="U267" s="137" t="s">
        <v>3184</v>
      </c>
      <c r="W267" s="143" t="s">
        <v>789</v>
      </c>
      <c r="X267" s="143" t="s">
        <v>790</v>
      </c>
      <c r="Y267" s="143" t="s">
        <v>727</v>
      </c>
      <c r="Z267" s="143">
        <v>538</v>
      </c>
      <c r="AA267" s="143">
        <v>0</v>
      </c>
      <c r="AD267" s="137">
        <v>1</v>
      </c>
      <c r="AE267" s="137">
        <v>0</v>
      </c>
      <c r="AG267" s="143" t="s">
        <v>789</v>
      </c>
      <c r="AH267" s="143" t="s">
        <v>790</v>
      </c>
      <c r="AI267" s="143" t="s">
        <v>727</v>
      </c>
      <c r="AJ267" s="143">
        <v>538</v>
      </c>
      <c r="AK267" s="143">
        <v>3</v>
      </c>
      <c r="AL267" s="156">
        <v>3.6666667461395299</v>
      </c>
      <c r="AM267" s="156">
        <v>3.6666667461395299</v>
      </c>
      <c r="AN267" s="156">
        <v>3.6666667461395299</v>
      </c>
      <c r="AO267" s="156">
        <v>3.3333332538604701</v>
      </c>
      <c r="AP267" s="156">
        <v>4</v>
      </c>
      <c r="AQ267" s="156">
        <v>3.3333332538604701</v>
      </c>
      <c r="AR267" s="156">
        <v>3.6666667461395299</v>
      </c>
      <c r="AS267" s="169">
        <v>3.5714290000000002</v>
      </c>
    </row>
    <row r="268" spans="1:45" x14ac:dyDescent="0.25">
      <c r="A268" s="143" t="s">
        <v>789</v>
      </c>
      <c r="B268" s="143" t="s">
        <v>790</v>
      </c>
      <c r="C268" s="143" t="s">
        <v>728</v>
      </c>
      <c r="D268" s="143">
        <v>1885</v>
      </c>
      <c r="E268" s="143">
        <v>2</v>
      </c>
      <c r="F268" s="137">
        <v>1</v>
      </c>
      <c r="G268" s="137">
        <v>1</v>
      </c>
      <c r="H268" s="137">
        <v>1</v>
      </c>
      <c r="I268" s="137">
        <v>0</v>
      </c>
      <c r="K268" s="143" t="s">
        <v>789</v>
      </c>
      <c r="L268" s="143" t="s">
        <v>790</v>
      </c>
      <c r="M268" s="143" t="s">
        <v>728</v>
      </c>
      <c r="N268" s="143">
        <v>1885</v>
      </c>
      <c r="O268" s="354">
        <v>0.4</v>
      </c>
      <c r="P268" s="354">
        <v>0.6</v>
      </c>
      <c r="Q268" s="354">
        <v>1</v>
      </c>
      <c r="R268" s="137" t="s">
        <v>3184</v>
      </c>
      <c r="S268" s="137">
        <v>0.5</v>
      </c>
      <c r="T268" s="137" t="s">
        <v>3184</v>
      </c>
      <c r="U268" s="137" t="s">
        <v>3184</v>
      </c>
      <c r="W268" s="143" t="s">
        <v>789</v>
      </c>
      <c r="X268" s="143" t="s">
        <v>790</v>
      </c>
      <c r="Y268" s="143" t="s">
        <v>728</v>
      </c>
      <c r="Z268" s="143">
        <v>1885</v>
      </c>
      <c r="AA268" s="143">
        <v>0</v>
      </c>
      <c r="AD268" s="137">
        <v>1.1666669999999999</v>
      </c>
      <c r="AE268" s="137">
        <v>0</v>
      </c>
      <c r="AG268" s="143" t="s">
        <v>789</v>
      </c>
      <c r="AH268" s="143" t="s">
        <v>790</v>
      </c>
      <c r="AI268" s="143" t="s">
        <v>728</v>
      </c>
      <c r="AJ268" s="143">
        <v>1885</v>
      </c>
      <c r="AK268" s="143">
        <v>2</v>
      </c>
      <c r="AL268" s="156">
        <v>2</v>
      </c>
      <c r="AM268" s="156">
        <v>3.5</v>
      </c>
      <c r="AN268" s="156">
        <v>4</v>
      </c>
      <c r="AO268" s="156">
        <v>3.5</v>
      </c>
      <c r="AP268" s="156">
        <v>4</v>
      </c>
      <c r="AQ268" s="156">
        <v>4</v>
      </c>
      <c r="AR268" s="156">
        <v>4</v>
      </c>
      <c r="AS268" s="169">
        <v>3.714286</v>
      </c>
    </row>
    <row r="269" spans="1:45" x14ac:dyDescent="0.25">
      <c r="A269" s="143" t="s">
        <v>789</v>
      </c>
      <c r="B269" s="143" t="s">
        <v>790</v>
      </c>
      <c r="C269" s="143" t="s">
        <v>728</v>
      </c>
      <c r="D269" s="143">
        <v>1886</v>
      </c>
      <c r="E269" s="143">
        <v>2</v>
      </c>
      <c r="F269" s="137">
        <v>1</v>
      </c>
      <c r="G269" s="137">
        <v>1</v>
      </c>
      <c r="H269" s="137">
        <v>1</v>
      </c>
      <c r="I269" s="137">
        <v>0</v>
      </c>
      <c r="K269" s="143" t="s">
        <v>789</v>
      </c>
      <c r="L269" s="143" t="s">
        <v>790</v>
      </c>
      <c r="M269" s="143" t="s">
        <v>728</v>
      </c>
      <c r="N269" s="143">
        <v>1886</v>
      </c>
      <c r="O269" s="354">
        <v>0.4</v>
      </c>
      <c r="P269" s="354">
        <v>0.6</v>
      </c>
      <c r="Q269" s="354">
        <v>1</v>
      </c>
      <c r="R269" s="137" t="s">
        <v>3184</v>
      </c>
      <c r="S269" s="137">
        <v>0.5</v>
      </c>
      <c r="T269" s="137" t="s">
        <v>3184</v>
      </c>
      <c r="U269" s="137" t="s">
        <v>3184</v>
      </c>
      <c r="W269" s="143" t="s">
        <v>789</v>
      </c>
      <c r="X269" s="143" t="s">
        <v>790</v>
      </c>
      <c r="Y269" s="143" t="s">
        <v>728</v>
      </c>
      <c r="Z269" s="143">
        <v>1886</v>
      </c>
      <c r="AA269" s="143">
        <v>0</v>
      </c>
      <c r="AD269" s="137">
        <v>0</v>
      </c>
      <c r="AE269" s="137">
        <v>1.1666669999999999</v>
      </c>
      <c r="AG269" s="143" t="s">
        <v>789</v>
      </c>
      <c r="AH269" s="143" t="s">
        <v>790</v>
      </c>
      <c r="AI269" s="143" t="s">
        <v>728</v>
      </c>
      <c r="AJ269" s="143">
        <v>1886</v>
      </c>
      <c r="AK269" s="143">
        <v>2</v>
      </c>
      <c r="AL269" s="156">
        <v>1</v>
      </c>
      <c r="AM269" s="156">
        <v>4</v>
      </c>
      <c r="AN269" s="156">
        <v>3.5</v>
      </c>
      <c r="AO269" s="156">
        <v>3</v>
      </c>
      <c r="AP269" s="156">
        <v>3.5</v>
      </c>
      <c r="AQ269" s="156">
        <v>4</v>
      </c>
      <c r="AR269" s="156">
        <v>4</v>
      </c>
      <c r="AS269" s="169">
        <v>3.714286</v>
      </c>
    </row>
    <row r="270" spans="1:45" x14ac:dyDescent="0.25">
      <c r="A270" s="143" t="s">
        <v>789</v>
      </c>
      <c r="B270" s="143" t="s">
        <v>790</v>
      </c>
      <c r="C270" s="143" t="s">
        <v>728</v>
      </c>
      <c r="D270" s="143">
        <v>1923</v>
      </c>
      <c r="E270" s="143">
        <v>2</v>
      </c>
      <c r="F270" s="137">
        <v>1</v>
      </c>
      <c r="G270" s="137">
        <v>1</v>
      </c>
      <c r="H270" s="137">
        <v>1</v>
      </c>
      <c r="I270" s="137">
        <v>0</v>
      </c>
      <c r="K270" s="143" t="s">
        <v>789</v>
      </c>
      <c r="L270" s="143" t="s">
        <v>790</v>
      </c>
      <c r="M270" s="143" t="s">
        <v>728</v>
      </c>
      <c r="N270" s="143">
        <v>1923</v>
      </c>
      <c r="O270" s="354">
        <v>0.4</v>
      </c>
      <c r="P270" s="354">
        <v>0.6</v>
      </c>
      <c r="Q270" s="137">
        <v>1</v>
      </c>
      <c r="R270" s="137" t="s">
        <v>3184</v>
      </c>
      <c r="S270" s="137">
        <v>0.5</v>
      </c>
      <c r="T270" s="137" t="s">
        <v>3184</v>
      </c>
      <c r="U270" s="137" t="s">
        <v>3184</v>
      </c>
      <c r="W270" s="143" t="s">
        <v>789</v>
      </c>
      <c r="X270" s="143" t="s">
        <v>790</v>
      </c>
      <c r="Y270" s="143" t="s">
        <v>728</v>
      </c>
      <c r="Z270" s="143">
        <v>1923</v>
      </c>
      <c r="AA270" s="143">
        <v>0</v>
      </c>
      <c r="AD270" s="137">
        <v>1.1666669999999999</v>
      </c>
      <c r="AE270" s="137">
        <v>0</v>
      </c>
      <c r="AG270" s="143" t="s">
        <v>789</v>
      </c>
      <c r="AH270" s="143" t="s">
        <v>790</v>
      </c>
      <c r="AI270" s="143" t="s">
        <v>728</v>
      </c>
      <c r="AJ270" s="143">
        <v>1923</v>
      </c>
      <c r="AK270" s="143">
        <v>2</v>
      </c>
      <c r="AL270" s="156">
        <v>2</v>
      </c>
      <c r="AM270" s="156">
        <v>3</v>
      </c>
      <c r="AN270" s="156">
        <v>3</v>
      </c>
      <c r="AO270" s="156">
        <v>2.5</v>
      </c>
      <c r="AP270" s="156">
        <v>3</v>
      </c>
      <c r="AQ270" s="156">
        <v>3</v>
      </c>
      <c r="AR270" s="156">
        <v>3</v>
      </c>
      <c r="AS270" s="169">
        <v>2.9285709999999998</v>
      </c>
    </row>
    <row r="271" spans="1:45" x14ac:dyDescent="0.25">
      <c r="A271" s="143" t="s">
        <v>789</v>
      </c>
      <c r="B271" s="143" t="s">
        <v>790</v>
      </c>
      <c r="C271" s="143" t="s">
        <v>728</v>
      </c>
      <c r="D271" s="143">
        <v>2226</v>
      </c>
      <c r="E271" s="143">
        <v>2</v>
      </c>
      <c r="F271" s="137">
        <v>1</v>
      </c>
      <c r="G271" s="137">
        <v>1</v>
      </c>
      <c r="H271" s="137">
        <v>1</v>
      </c>
      <c r="I271" s="137">
        <v>0</v>
      </c>
      <c r="K271" s="143" t="s">
        <v>789</v>
      </c>
      <c r="L271" s="143" t="s">
        <v>790</v>
      </c>
      <c r="M271" s="143" t="s">
        <v>728</v>
      </c>
      <c r="N271" s="143">
        <v>2226</v>
      </c>
      <c r="O271" s="354">
        <v>0.4</v>
      </c>
      <c r="P271" s="354">
        <v>0.6</v>
      </c>
      <c r="Q271" s="137">
        <v>1</v>
      </c>
      <c r="R271" s="137" t="s">
        <v>3184</v>
      </c>
      <c r="S271" s="137">
        <v>0.5</v>
      </c>
      <c r="T271" s="137" t="s">
        <v>3184</v>
      </c>
      <c r="U271" s="137" t="s">
        <v>3184</v>
      </c>
      <c r="W271" s="143" t="s">
        <v>789</v>
      </c>
      <c r="X271" s="143" t="s">
        <v>790</v>
      </c>
      <c r="Y271" s="143" t="s">
        <v>728</v>
      </c>
      <c r="Z271" s="143">
        <v>2226</v>
      </c>
      <c r="AA271" s="143">
        <v>0</v>
      </c>
      <c r="AD271" s="137">
        <v>1.1666669999999999</v>
      </c>
      <c r="AE271" s="137">
        <v>0</v>
      </c>
      <c r="AG271" s="143" t="s">
        <v>789</v>
      </c>
      <c r="AH271" s="143" t="s">
        <v>790</v>
      </c>
      <c r="AI271" s="143" t="s">
        <v>728</v>
      </c>
      <c r="AJ271" s="143">
        <v>2226</v>
      </c>
      <c r="AK271" s="143">
        <v>2</v>
      </c>
      <c r="AL271" s="156">
        <v>1.5</v>
      </c>
      <c r="AM271" s="156">
        <v>3.5</v>
      </c>
      <c r="AN271" s="156">
        <v>3</v>
      </c>
      <c r="AO271" s="156">
        <v>3</v>
      </c>
      <c r="AP271" s="156">
        <v>2.5</v>
      </c>
      <c r="AQ271" s="156">
        <v>3.5</v>
      </c>
      <c r="AR271" s="156">
        <v>4</v>
      </c>
      <c r="AS271" s="169">
        <v>3.285714</v>
      </c>
    </row>
    <row r="272" spans="1:45" x14ac:dyDescent="0.25">
      <c r="A272" s="143" t="s">
        <v>789</v>
      </c>
      <c r="B272" s="143" t="s">
        <v>790</v>
      </c>
      <c r="C272" s="143" t="s">
        <v>680</v>
      </c>
      <c r="D272" s="143">
        <v>2229</v>
      </c>
      <c r="E272" s="143">
        <v>2</v>
      </c>
      <c r="F272" s="137">
        <v>1</v>
      </c>
      <c r="G272" s="137">
        <v>1</v>
      </c>
      <c r="H272" s="137">
        <v>1</v>
      </c>
      <c r="I272" s="137">
        <v>0</v>
      </c>
      <c r="K272" s="143" t="s">
        <v>789</v>
      </c>
      <c r="L272" s="143" t="s">
        <v>790</v>
      </c>
      <c r="M272" s="143" t="s">
        <v>680</v>
      </c>
      <c r="N272" s="143">
        <v>2229</v>
      </c>
      <c r="O272" s="354">
        <v>0.4</v>
      </c>
      <c r="P272" s="354">
        <v>0.6</v>
      </c>
      <c r="Q272" s="354">
        <v>1</v>
      </c>
      <c r="R272" s="137" t="s">
        <v>3184</v>
      </c>
      <c r="S272" s="137">
        <v>0.5</v>
      </c>
      <c r="T272" s="137" t="s">
        <v>3184</v>
      </c>
      <c r="W272" s="143" t="s">
        <v>789</v>
      </c>
      <c r="X272" s="143" t="s">
        <v>790</v>
      </c>
      <c r="Y272" s="143" t="s">
        <v>680</v>
      </c>
      <c r="Z272" s="143">
        <v>2229</v>
      </c>
      <c r="AA272" s="143">
        <v>0</v>
      </c>
      <c r="AD272" s="137">
        <v>1.1666669999999999</v>
      </c>
      <c r="AE272" s="137">
        <v>0</v>
      </c>
      <c r="AG272" s="143" t="s">
        <v>789</v>
      </c>
      <c r="AH272" s="143" t="s">
        <v>790</v>
      </c>
      <c r="AI272" s="143" t="s">
        <v>680</v>
      </c>
      <c r="AJ272" s="143">
        <v>2229</v>
      </c>
      <c r="AK272" s="143">
        <v>2</v>
      </c>
      <c r="AL272" s="156">
        <v>1</v>
      </c>
      <c r="AM272" s="156">
        <v>3.5</v>
      </c>
      <c r="AN272" s="156">
        <v>3.5</v>
      </c>
      <c r="AO272" s="156">
        <v>3</v>
      </c>
      <c r="AP272" s="156">
        <v>3.5</v>
      </c>
      <c r="AQ272" s="156">
        <v>4</v>
      </c>
      <c r="AR272" s="156">
        <v>4</v>
      </c>
      <c r="AS272" s="169">
        <v>3.6428569999999998</v>
      </c>
    </row>
    <row r="273" spans="1:45" x14ac:dyDescent="0.25">
      <c r="A273" s="143" t="s">
        <v>789</v>
      </c>
      <c r="B273" s="143" t="s">
        <v>790</v>
      </c>
      <c r="C273" s="143" t="s">
        <v>680</v>
      </c>
      <c r="D273" s="143">
        <v>2331</v>
      </c>
      <c r="E273" s="143">
        <v>2</v>
      </c>
      <c r="F273" s="137">
        <v>1</v>
      </c>
      <c r="G273" s="137">
        <v>1</v>
      </c>
      <c r="H273" s="137">
        <v>1</v>
      </c>
      <c r="I273" s="137">
        <v>0</v>
      </c>
      <c r="K273" s="143" t="s">
        <v>789</v>
      </c>
      <c r="L273" s="143" t="s">
        <v>790</v>
      </c>
      <c r="M273" s="143" t="s">
        <v>680</v>
      </c>
      <c r="N273" s="143">
        <v>2331</v>
      </c>
      <c r="O273" s="354">
        <v>0.4</v>
      </c>
      <c r="P273" s="354">
        <v>0.6</v>
      </c>
      <c r="Q273" s="354">
        <v>1</v>
      </c>
      <c r="R273" s="137" t="s">
        <v>3184</v>
      </c>
      <c r="S273" s="137">
        <v>0.75</v>
      </c>
      <c r="T273" s="137" t="s">
        <v>3184</v>
      </c>
      <c r="W273" s="143" t="s">
        <v>789</v>
      </c>
      <c r="X273" s="143" t="s">
        <v>790</v>
      </c>
      <c r="Y273" s="143" t="s">
        <v>680</v>
      </c>
      <c r="Z273" s="143">
        <v>2331</v>
      </c>
      <c r="AA273" s="143">
        <v>0</v>
      </c>
      <c r="AD273" s="137">
        <v>1.25</v>
      </c>
      <c r="AE273" s="137">
        <v>0</v>
      </c>
      <c r="AG273" s="143" t="s">
        <v>789</v>
      </c>
      <c r="AH273" s="143" t="s">
        <v>790</v>
      </c>
      <c r="AI273" s="143" t="s">
        <v>680</v>
      </c>
      <c r="AJ273" s="143">
        <v>2331</v>
      </c>
      <c r="AK273" s="143">
        <v>2</v>
      </c>
      <c r="AL273" s="156">
        <v>1</v>
      </c>
      <c r="AM273" s="156">
        <v>3.5</v>
      </c>
      <c r="AN273" s="156">
        <v>3.5</v>
      </c>
      <c r="AO273" s="156">
        <v>3.5</v>
      </c>
      <c r="AP273" s="156">
        <v>3.5</v>
      </c>
      <c r="AQ273" s="156">
        <v>4</v>
      </c>
      <c r="AR273" s="156">
        <v>4</v>
      </c>
      <c r="AS273" s="169">
        <v>3.714286</v>
      </c>
    </row>
    <row r="274" spans="1:45" x14ac:dyDescent="0.25">
      <c r="A274" s="143" t="s">
        <v>789</v>
      </c>
      <c r="B274" s="143" t="s">
        <v>790</v>
      </c>
      <c r="C274" s="143" t="s">
        <v>680</v>
      </c>
      <c r="D274" s="143">
        <v>3186</v>
      </c>
      <c r="E274" s="143">
        <v>2</v>
      </c>
      <c r="F274" s="137">
        <v>1</v>
      </c>
      <c r="G274" s="137">
        <v>1</v>
      </c>
      <c r="H274" s="137">
        <v>1</v>
      </c>
      <c r="I274" s="137">
        <v>0</v>
      </c>
      <c r="K274" s="143" t="s">
        <v>789</v>
      </c>
      <c r="L274" s="143" t="s">
        <v>790</v>
      </c>
      <c r="M274" s="143" t="s">
        <v>680</v>
      </c>
      <c r="N274" s="143">
        <v>3186</v>
      </c>
      <c r="O274" s="354">
        <v>0.4</v>
      </c>
      <c r="P274" s="354">
        <v>0.6</v>
      </c>
      <c r="Q274" s="137">
        <v>1</v>
      </c>
      <c r="R274" s="137" t="s">
        <v>3184</v>
      </c>
      <c r="S274" s="137">
        <v>0.75</v>
      </c>
      <c r="T274" s="137" t="s">
        <v>3184</v>
      </c>
      <c r="W274" s="143" t="s">
        <v>789</v>
      </c>
      <c r="X274" s="143" t="s">
        <v>790</v>
      </c>
      <c r="Y274" s="143" t="s">
        <v>680</v>
      </c>
      <c r="Z274" s="143">
        <v>3186</v>
      </c>
      <c r="AA274" s="143">
        <v>0</v>
      </c>
      <c r="AD274" s="137">
        <v>1.25</v>
      </c>
      <c r="AE274" s="137">
        <v>0</v>
      </c>
      <c r="AG274" s="143" t="s">
        <v>789</v>
      </c>
      <c r="AH274" s="143" t="s">
        <v>790</v>
      </c>
      <c r="AI274" s="143" t="s">
        <v>680</v>
      </c>
      <c r="AJ274" s="143">
        <v>3186</v>
      </c>
      <c r="AK274" s="143">
        <v>2</v>
      </c>
      <c r="AL274" s="156">
        <v>2</v>
      </c>
      <c r="AM274" s="156">
        <v>4</v>
      </c>
      <c r="AN274" s="156">
        <v>3.5</v>
      </c>
      <c r="AO274" s="156">
        <v>3</v>
      </c>
      <c r="AP274" s="156">
        <v>3</v>
      </c>
      <c r="AQ274" s="156">
        <v>4</v>
      </c>
      <c r="AR274" s="156">
        <v>3.5</v>
      </c>
      <c r="AS274" s="169">
        <v>3.4285709999999998</v>
      </c>
    </row>
    <row r="275" spans="1:45" x14ac:dyDescent="0.25">
      <c r="A275" s="143" t="s">
        <v>789</v>
      </c>
      <c r="B275" s="143" t="s">
        <v>790</v>
      </c>
      <c r="C275" s="143" t="s">
        <v>680</v>
      </c>
      <c r="D275" s="143">
        <v>3387</v>
      </c>
      <c r="E275" s="143">
        <v>2</v>
      </c>
      <c r="F275" s="137">
        <v>1</v>
      </c>
      <c r="G275" s="137">
        <v>1</v>
      </c>
      <c r="H275" s="137">
        <v>1</v>
      </c>
      <c r="I275" s="137">
        <v>0</v>
      </c>
      <c r="K275" s="143" t="s">
        <v>789</v>
      </c>
      <c r="L275" s="143" t="s">
        <v>790</v>
      </c>
      <c r="M275" s="143" t="s">
        <v>680</v>
      </c>
      <c r="N275" s="143">
        <v>3387</v>
      </c>
      <c r="O275" s="354">
        <v>0.4</v>
      </c>
      <c r="P275" s="354">
        <v>0.6</v>
      </c>
      <c r="Q275" s="137">
        <v>1</v>
      </c>
      <c r="R275" s="137" t="s">
        <v>3184</v>
      </c>
      <c r="S275" s="137">
        <v>0.6</v>
      </c>
      <c r="T275" s="137" t="s">
        <v>3184</v>
      </c>
      <c r="W275" s="143" t="s">
        <v>789</v>
      </c>
      <c r="X275" s="143" t="s">
        <v>790</v>
      </c>
      <c r="Y275" s="143" t="s">
        <v>680</v>
      </c>
      <c r="Z275" s="143">
        <v>3387</v>
      </c>
      <c r="AA275" s="143">
        <v>0</v>
      </c>
      <c r="AD275" s="137">
        <v>1.2</v>
      </c>
      <c r="AE275" s="137">
        <v>0</v>
      </c>
      <c r="AG275" s="143" t="s">
        <v>789</v>
      </c>
      <c r="AH275" s="143" t="s">
        <v>790</v>
      </c>
      <c r="AI275" s="143" t="s">
        <v>680</v>
      </c>
      <c r="AJ275" s="143">
        <v>3387</v>
      </c>
      <c r="AK275" s="143">
        <v>2</v>
      </c>
      <c r="AL275" s="156">
        <v>2</v>
      </c>
      <c r="AM275" s="156">
        <v>3</v>
      </c>
      <c r="AN275" s="156">
        <v>3.5</v>
      </c>
      <c r="AO275" s="156">
        <v>3</v>
      </c>
      <c r="AP275" s="156">
        <v>3.5</v>
      </c>
      <c r="AQ275" s="156">
        <v>3.5</v>
      </c>
      <c r="AR275" s="156">
        <v>3.5</v>
      </c>
      <c r="AS275" s="169">
        <v>3.285714</v>
      </c>
    </row>
    <row r="276" spans="1:45" x14ac:dyDescent="0.25">
      <c r="A276" s="143" t="s">
        <v>789</v>
      </c>
      <c r="B276" s="143" t="s">
        <v>790</v>
      </c>
      <c r="C276" s="143" t="s">
        <v>680</v>
      </c>
      <c r="D276" s="143">
        <v>3791</v>
      </c>
      <c r="E276" s="143">
        <v>2</v>
      </c>
      <c r="F276" s="137">
        <v>1</v>
      </c>
      <c r="G276" s="137">
        <v>1</v>
      </c>
      <c r="H276" s="137">
        <v>1</v>
      </c>
      <c r="I276" s="137">
        <v>0</v>
      </c>
      <c r="K276" s="143" t="s">
        <v>789</v>
      </c>
      <c r="L276" s="143" t="s">
        <v>790</v>
      </c>
      <c r="M276" s="143" t="s">
        <v>680</v>
      </c>
      <c r="N276" s="143">
        <v>3791</v>
      </c>
      <c r="O276" s="354">
        <v>0.4</v>
      </c>
      <c r="P276" s="354">
        <v>0.6</v>
      </c>
      <c r="Q276" s="354">
        <v>1</v>
      </c>
      <c r="R276" s="137" t="s">
        <v>3184</v>
      </c>
      <c r="S276" s="137">
        <v>0.75</v>
      </c>
      <c r="T276" s="137" t="s">
        <v>3184</v>
      </c>
      <c r="W276" s="143" t="s">
        <v>789</v>
      </c>
      <c r="X276" s="143" t="s">
        <v>790</v>
      </c>
      <c r="Y276" s="143" t="s">
        <v>680</v>
      </c>
      <c r="Z276" s="143">
        <v>3791</v>
      </c>
      <c r="AA276" s="143">
        <v>0</v>
      </c>
      <c r="AD276" s="137">
        <v>1</v>
      </c>
      <c r="AE276" s="137">
        <v>0</v>
      </c>
      <c r="AG276" s="143" t="s">
        <v>789</v>
      </c>
      <c r="AH276" s="143" t="s">
        <v>790</v>
      </c>
      <c r="AI276" s="143" t="s">
        <v>680</v>
      </c>
      <c r="AJ276" s="143">
        <v>3791</v>
      </c>
      <c r="AK276" s="143">
        <v>2</v>
      </c>
      <c r="AL276" s="156">
        <v>1.5</v>
      </c>
      <c r="AM276" s="156">
        <v>3</v>
      </c>
      <c r="AN276" s="156">
        <v>4</v>
      </c>
      <c r="AO276" s="156">
        <v>3</v>
      </c>
      <c r="AP276" s="156">
        <v>3.5</v>
      </c>
      <c r="AQ276" s="156">
        <v>3</v>
      </c>
      <c r="AR276" s="156">
        <v>4</v>
      </c>
      <c r="AS276" s="169">
        <v>3.4285709999999998</v>
      </c>
    </row>
    <row r="277" spans="1:45" x14ac:dyDescent="0.25">
      <c r="A277" s="143" t="s">
        <v>791</v>
      </c>
      <c r="B277" s="143" t="s">
        <v>790</v>
      </c>
      <c r="C277" s="143" t="s">
        <v>729</v>
      </c>
      <c r="D277" s="143">
        <v>857</v>
      </c>
      <c r="E277" s="143">
        <v>8</v>
      </c>
      <c r="F277" s="137">
        <v>1</v>
      </c>
      <c r="G277" s="137">
        <v>1</v>
      </c>
      <c r="H277" s="137">
        <v>1</v>
      </c>
      <c r="I277" s="137">
        <v>0</v>
      </c>
      <c r="K277" s="143" t="s">
        <v>791</v>
      </c>
      <c r="L277" s="143" t="s">
        <v>790</v>
      </c>
      <c r="M277" s="143" t="s">
        <v>729</v>
      </c>
      <c r="N277" s="143">
        <v>857</v>
      </c>
      <c r="O277" s="354">
        <v>0.39090910000000001</v>
      </c>
      <c r="P277" s="354">
        <v>0.52500000000000002</v>
      </c>
      <c r="Q277" s="137">
        <v>0.91590919999999998</v>
      </c>
      <c r="R277" s="137" t="s">
        <v>3185</v>
      </c>
      <c r="S277" s="137">
        <v>0.28571429999999998</v>
      </c>
      <c r="T277" s="137" t="s">
        <v>3184</v>
      </c>
      <c r="U277" s="137" t="s">
        <v>3184</v>
      </c>
      <c r="W277" s="143" t="s">
        <v>791</v>
      </c>
      <c r="X277" s="143" t="s">
        <v>790</v>
      </c>
      <c r="Y277" s="143" t="s">
        <v>729</v>
      </c>
      <c r="Z277" s="143">
        <v>857</v>
      </c>
      <c r="AA277" s="143">
        <v>8</v>
      </c>
      <c r="AB277" s="137">
        <v>0.625</v>
      </c>
      <c r="AC277" s="137">
        <v>0</v>
      </c>
      <c r="AD277" s="137">
        <v>0.89285709999999996</v>
      </c>
      <c r="AE277" s="137">
        <v>0</v>
      </c>
      <c r="AG277" s="143" t="s">
        <v>791</v>
      </c>
      <c r="AH277" s="143" t="s">
        <v>790</v>
      </c>
      <c r="AI277" s="143" t="s">
        <v>729</v>
      </c>
      <c r="AJ277" s="143">
        <v>857</v>
      </c>
      <c r="AK277" s="143">
        <v>8</v>
      </c>
      <c r="AL277" s="156">
        <v>2.375</v>
      </c>
      <c r="AM277" s="156">
        <v>3.625</v>
      </c>
      <c r="AN277" s="156">
        <v>3.125</v>
      </c>
      <c r="AO277" s="156">
        <v>2.75</v>
      </c>
      <c r="AP277" s="156">
        <v>1.375</v>
      </c>
      <c r="AQ277" s="156">
        <v>3.375</v>
      </c>
      <c r="AR277" s="156">
        <v>3.75</v>
      </c>
      <c r="AS277" s="169">
        <v>2.9464290000000002</v>
      </c>
    </row>
    <row r="278" spans="1:45" x14ac:dyDescent="0.25">
      <c r="A278" s="143" t="s">
        <v>791</v>
      </c>
      <c r="B278" s="143" t="s">
        <v>790</v>
      </c>
      <c r="C278" s="143" t="s">
        <v>728</v>
      </c>
      <c r="D278" s="143">
        <v>1731</v>
      </c>
      <c r="E278" s="143">
        <v>2</v>
      </c>
      <c r="F278" s="137">
        <v>1</v>
      </c>
      <c r="G278" s="137">
        <v>1</v>
      </c>
      <c r="H278" s="137">
        <v>1</v>
      </c>
      <c r="I278" s="137">
        <v>0</v>
      </c>
      <c r="K278" s="143" t="s">
        <v>791</v>
      </c>
      <c r="L278" s="143" t="s">
        <v>790</v>
      </c>
      <c r="M278" s="143" t="s">
        <v>728</v>
      </c>
      <c r="N278" s="143">
        <v>1731</v>
      </c>
      <c r="O278" s="354">
        <v>0.37922080000000002</v>
      </c>
      <c r="P278" s="354">
        <v>0.6</v>
      </c>
      <c r="Q278" s="354">
        <v>0.9792208</v>
      </c>
      <c r="R278" s="137" t="s">
        <v>3185</v>
      </c>
      <c r="S278" s="137">
        <v>0.57142859999999995</v>
      </c>
      <c r="T278" s="137" t="s">
        <v>3184</v>
      </c>
      <c r="U278" s="137" t="s">
        <v>3184</v>
      </c>
      <c r="W278" s="143" t="s">
        <v>791</v>
      </c>
      <c r="X278" s="143" t="s">
        <v>790</v>
      </c>
      <c r="Y278" s="143" t="s">
        <v>728</v>
      </c>
      <c r="Z278" s="143">
        <v>1731</v>
      </c>
      <c r="AA278" s="143">
        <v>0</v>
      </c>
      <c r="AD278" s="137">
        <v>0</v>
      </c>
      <c r="AE278" s="137">
        <v>0.57142859999999995</v>
      </c>
      <c r="AG278" s="143" t="s">
        <v>791</v>
      </c>
      <c r="AH278" s="143" t="s">
        <v>790</v>
      </c>
      <c r="AI278" s="143" t="s">
        <v>728</v>
      </c>
      <c r="AJ278" s="143">
        <v>1731</v>
      </c>
      <c r="AK278" s="143">
        <v>2</v>
      </c>
      <c r="AL278" s="156">
        <v>1.5</v>
      </c>
      <c r="AM278" s="156">
        <v>3.5</v>
      </c>
      <c r="AN278" s="156">
        <v>3.5</v>
      </c>
      <c r="AO278" s="156">
        <v>2.5</v>
      </c>
      <c r="AP278" s="156">
        <v>3</v>
      </c>
      <c r="AQ278" s="156">
        <v>3</v>
      </c>
      <c r="AR278" s="156">
        <v>4</v>
      </c>
      <c r="AS278" s="169">
        <v>3.285714</v>
      </c>
    </row>
    <row r="279" spans="1:45" x14ac:dyDescent="0.25">
      <c r="A279" s="143" t="s">
        <v>791</v>
      </c>
      <c r="B279" s="143" t="s">
        <v>790</v>
      </c>
      <c r="C279" s="143" t="s">
        <v>727</v>
      </c>
      <c r="D279" s="143">
        <v>1732</v>
      </c>
      <c r="E279" s="143">
        <v>3</v>
      </c>
      <c r="F279" s="137">
        <v>1</v>
      </c>
      <c r="G279" s="137">
        <v>1</v>
      </c>
      <c r="H279" s="137">
        <v>1</v>
      </c>
      <c r="I279" s="137">
        <v>0</v>
      </c>
      <c r="K279" s="143" t="s">
        <v>791</v>
      </c>
      <c r="L279" s="143" t="s">
        <v>790</v>
      </c>
      <c r="M279" s="143" t="s">
        <v>727</v>
      </c>
      <c r="N279" s="143">
        <v>1732</v>
      </c>
      <c r="O279" s="354">
        <v>0.4</v>
      </c>
      <c r="P279" s="354">
        <v>0.6</v>
      </c>
      <c r="Q279" s="354">
        <v>1</v>
      </c>
      <c r="R279" s="137" t="s">
        <v>3184</v>
      </c>
      <c r="S279" s="137">
        <v>0.57142859999999995</v>
      </c>
      <c r="T279" s="137" t="s">
        <v>3184</v>
      </c>
      <c r="U279" s="137" t="s">
        <v>3184</v>
      </c>
      <c r="W279" s="143" t="s">
        <v>791</v>
      </c>
      <c r="X279" s="143" t="s">
        <v>790</v>
      </c>
      <c r="Y279" s="143" t="s">
        <v>727</v>
      </c>
      <c r="Z279" s="143">
        <v>1732</v>
      </c>
      <c r="AA279" s="143">
        <v>0</v>
      </c>
      <c r="AD279" s="137">
        <v>0</v>
      </c>
      <c r="AE279" s="137">
        <v>0.5</v>
      </c>
      <c r="AG279" s="143" t="s">
        <v>791</v>
      </c>
      <c r="AH279" s="143" t="s">
        <v>790</v>
      </c>
      <c r="AI279" s="143" t="s">
        <v>727</v>
      </c>
      <c r="AJ279" s="143">
        <v>1732</v>
      </c>
      <c r="AK279" s="143">
        <v>3</v>
      </c>
      <c r="AL279" s="156">
        <v>1.6666666269302399</v>
      </c>
      <c r="AM279" s="156">
        <v>4</v>
      </c>
      <c r="AN279" s="156">
        <v>4</v>
      </c>
      <c r="AO279" s="156">
        <v>3</v>
      </c>
      <c r="AP279" s="156">
        <v>2.6666667461395299</v>
      </c>
      <c r="AQ279" s="156">
        <v>3.3333332538604701</v>
      </c>
      <c r="AR279" s="156">
        <v>3.6666667461395299</v>
      </c>
      <c r="AS279" s="169">
        <v>3.4285709999999998</v>
      </c>
    </row>
    <row r="280" spans="1:45" x14ac:dyDescent="0.25">
      <c r="A280" s="143" t="s">
        <v>791</v>
      </c>
      <c r="B280" s="143" t="s">
        <v>790</v>
      </c>
      <c r="C280" s="143" t="s">
        <v>728</v>
      </c>
      <c r="D280" s="143">
        <v>1839</v>
      </c>
      <c r="E280" s="143">
        <v>2</v>
      </c>
      <c r="F280" s="137">
        <v>1</v>
      </c>
      <c r="G280" s="137">
        <v>1</v>
      </c>
      <c r="H280" s="137">
        <v>1</v>
      </c>
      <c r="I280" s="137">
        <v>0</v>
      </c>
      <c r="K280" s="143" t="s">
        <v>791</v>
      </c>
      <c r="L280" s="143" t="s">
        <v>790</v>
      </c>
      <c r="M280" s="143" t="s">
        <v>728</v>
      </c>
      <c r="N280" s="143">
        <v>1839</v>
      </c>
      <c r="O280" s="354">
        <v>0.4</v>
      </c>
      <c r="P280" s="354">
        <v>0.6</v>
      </c>
      <c r="Q280" s="354">
        <v>1</v>
      </c>
      <c r="R280" s="137" t="s">
        <v>3184</v>
      </c>
      <c r="S280" s="137">
        <v>0.57142859999999995</v>
      </c>
      <c r="T280" s="137" t="s">
        <v>3184</v>
      </c>
      <c r="U280" s="137" t="s">
        <v>3184</v>
      </c>
      <c r="W280" s="143" t="s">
        <v>791</v>
      </c>
      <c r="X280" s="143" t="s">
        <v>790</v>
      </c>
      <c r="Y280" s="143" t="s">
        <v>728</v>
      </c>
      <c r="Z280" s="143">
        <v>1839</v>
      </c>
      <c r="AA280" s="143">
        <v>0</v>
      </c>
      <c r="AD280" s="137">
        <v>0</v>
      </c>
      <c r="AE280" s="137">
        <v>0.71428570000000002</v>
      </c>
      <c r="AG280" s="143" t="s">
        <v>791</v>
      </c>
      <c r="AH280" s="143" t="s">
        <v>790</v>
      </c>
      <c r="AI280" s="143" t="s">
        <v>728</v>
      </c>
      <c r="AJ280" s="143">
        <v>1839</v>
      </c>
      <c r="AK280" s="143">
        <v>2</v>
      </c>
      <c r="AL280" s="156">
        <v>1</v>
      </c>
      <c r="AM280" s="156">
        <v>3.5</v>
      </c>
      <c r="AN280" s="156">
        <v>3</v>
      </c>
      <c r="AO280" s="156">
        <v>3.5</v>
      </c>
      <c r="AP280" s="156">
        <v>3.5</v>
      </c>
      <c r="AQ280" s="156">
        <v>4</v>
      </c>
      <c r="AR280" s="156">
        <v>4</v>
      </c>
      <c r="AS280" s="169">
        <v>3.6428569999999998</v>
      </c>
    </row>
    <row r="281" spans="1:45" x14ac:dyDescent="0.25">
      <c r="A281" s="143" t="s">
        <v>791</v>
      </c>
      <c r="B281" s="143" t="s">
        <v>790</v>
      </c>
      <c r="C281" s="143" t="s">
        <v>728</v>
      </c>
      <c r="D281" s="143">
        <v>1897</v>
      </c>
      <c r="E281" s="143">
        <v>2</v>
      </c>
      <c r="F281" s="137">
        <v>1</v>
      </c>
      <c r="G281" s="137">
        <v>1</v>
      </c>
      <c r="H281" s="137">
        <v>1</v>
      </c>
      <c r="I281" s="137">
        <v>0</v>
      </c>
      <c r="K281" s="143" t="s">
        <v>791</v>
      </c>
      <c r="L281" s="143" t="s">
        <v>790</v>
      </c>
      <c r="M281" s="143" t="s">
        <v>728</v>
      </c>
      <c r="N281" s="143">
        <v>1897</v>
      </c>
      <c r="O281" s="354">
        <v>0.4</v>
      </c>
      <c r="P281" s="354">
        <v>0.6</v>
      </c>
      <c r="Q281" s="354">
        <v>1</v>
      </c>
      <c r="R281" s="137" t="s">
        <v>3184</v>
      </c>
      <c r="S281" s="137">
        <v>0.5</v>
      </c>
      <c r="T281" s="137" t="s">
        <v>3184</v>
      </c>
      <c r="U281" s="137" t="s">
        <v>3184</v>
      </c>
      <c r="W281" s="143" t="s">
        <v>791</v>
      </c>
      <c r="X281" s="143" t="s">
        <v>790</v>
      </c>
      <c r="Y281" s="143" t="s">
        <v>728</v>
      </c>
      <c r="Z281" s="143">
        <v>1897</v>
      </c>
      <c r="AA281" s="143">
        <v>0</v>
      </c>
      <c r="AD281" s="137">
        <v>0.83333330000000005</v>
      </c>
      <c r="AE281" s="137">
        <v>0</v>
      </c>
      <c r="AG281" s="143" t="s">
        <v>791</v>
      </c>
      <c r="AH281" s="143" t="s">
        <v>790</v>
      </c>
      <c r="AI281" s="143" t="s">
        <v>728</v>
      </c>
      <c r="AJ281" s="143">
        <v>1897</v>
      </c>
      <c r="AK281" s="143">
        <v>2</v>
      </c>
      <c r="AL281" s="156">
        <v>1.5</v>
      </c>
      <c r="AM281" s="156">
        <v>4</v>
      </c>
      <c r="AN281" s="156">
        <v>3</v>
      </c>
      <c r="AO281" s="156">
        <v>3</v>
      </c>
      <c r="AP281" s="156">
        <v>3.5</v>
      </c>
      <c r="AQ281" s="156">
        <v>4</v>
      </c>
      <c r="AR281" s="156">
        <v>4</v>
      </c>
      <c r="AS281" s="169">
        <v>3.5714290000000002</v>
      </c>
    </row>
    <row r="282" spans="1:45" x14ac:dyDescent="0.25">
      <c r="A282" s="143" t="s">
        <v>791</v>
      </c>
      <c r="B282" s="143" t="s">
        <v>790</v>
      </c>
      <c r="C282" s="143" t="s">
        <v>680</v>
      </c>
      <c r="D282" s="143">
        <v>2241</v>
      </c>
      <c r="E282" s="143">
        <v>2</v>
      </c>
      <c r="F282" s="137">
        <v>1</v>
      </c>
      <c r="G282" s="137">
        <v>1</v>
      </c>
      <c r="H282" s="137">
        <v>1</v>
      </c>
      <c r="I282" s="137">
        <v>0</v>
      </c>
      <c r="K282" s="143" t="s">
        <v>791</v>
      </c>
      <c r="L282" s="143" t="s">
        <v>790</v>
      </c>
      <c r="M282" s="143" t="s">
        <v>680</v>
      </c>
      <c r="N282" s="143">
        <v>2241</v>
      </c>
      <c r="O282" s="354">
        <v>0.4</v>
      </c>
      <c r="P282" s="354">
        <v>0.6</v>
      </c>
      <c r="Q282" s="354">
        <v>1</v>
      </c>
      <c r="R282" s="137" t="s">
        <v>3184</v>
      </c>
      <c r="S282" s="137">
        <v>0.3333333</v>
      </c>
      <c r="T282" s="137" t="s">
        <v>3184</v>
      </c>
      <c r="W282" s="143" t="s">
        <v>791</v>
      </c>
      <c r="X282" s="143" t="s">
        <v>790</v>
      </c>
      <c r="Y282" s="143" t="s">
        <v>680</v>
      </c>
      <c r="Z282" s="143">
        <v>2241</v>
      </c>
      <c r="AA282" s="143">
        <v>0</v>
      </c>
      <c r="AD282" s="137">
        <v>1</v>
      </c>
      <c r="AE282" s="137">
        <v>0</v>
      </c>
      <c r="AG282" s="143" t="s">
        <v>791</v>
      </c>
      <c r="AH282" s="143" t="s">
        <v>790</v>
      </c>
      <c r="AI282" s="143" t="s">
        <v>680</v>
      </c>
      <c r="AJ282" s="143">
        <v>2241</v>
      </c>
      <c r="AK282" s="143">
        <v>2</v>
      </c>
      <c r="AL282" s="156">
        <v>1.5</v>
      </c>
      <c r="AM282" s="156">
        <v>3.5</v>
      </c>
      <c r="AN282" s="156">
        <v>3</v>
      </c>
      <c r="AO282" s="156">
        <v>3</v>
      </c>
      <c r="AP282" s="156">
        <v>4</v>
      </c>
      <c r="AQ282" s="156">
        <v>4</v>
      </c>
      <c r="AR282" s="156">
        <v>3.5</v>
      </c>
      <c r="AS282" s="169">
        <v>3.5</v>
      </c>
    </row>
    <row r="283" spans="1:45" x14ac:dyDescent="0.25">
      <c r="A283" s="143" t="s">
        <v>791</v>
      </c>
      <c r="B283" s="143" t="s">
        <v>790</v>
      </c>
      <c r="C283" s="143" t="s">
        <v>680</v>
      </c>
      <c r="D283" s="143">
        <v>2246</v>
      </c>
      <c r="E283" s="143">
        <v>2</v>
      </c>
      <c r="F283" s="137">
        <v>1</v>
      </c>
      <c r="G283" s="137">
        <v>1</v>
      </c>
      <c r="H283" s="137">
        <v>1</v>
      </c>
      <c r="I283" s="137">
        <v>0</v>
      </c>
      <c r="K283" s="143" t="s">
        <v>791</v>
      </c>
      <c r="L283" s="143" t="s">
        <v>790</v>
      </c>
      <c r="M283" s="143" t="s">
        <v>680</v>
      </c>
      <c r="N283" s="143">
        <v>2246</v>
      </c>
      <c r="O283" s="354">
        <v>0.39740259999999999</v>
      </c>
      <c r="P283" s="354">
        <v>0.3</v>
      </c>
      <c r="Q283" s="354">
        <v>0.69740259999999998</v>
      </c>
      <c r="R283" s="137" t="s">
        <v>3185</v>
      </c>
      <c r="S283" s="137">
        <v>0.5</v>
      </c>
      <c r="T283" s="137" t="s">
        <v>3185</v>
      </c>
      <c r="W283" s="143" t="s">
        <v>791</v>
      </c>
      <c r="X283" s="143" t="s">
        <v>790</v>
      </c>
      <c r="Y283" s="143" t="s">
        <v>680</v>
      </c>
      <c r="Z283" s="143">
        <v>2246</v>
      </c>
      <c r="AA283" s="143">
        <v>0</v>
      </c>
      <c r="AD283" s="137">
        <v>1</v>
      </c>
      <c r="AE283" s="137">
        <v>0</v>
      </c>
      <c r="AG283" s="143" t="s">
        <v>791</v>
      </c>
      <c r="AH283" s="143" t="s">
        <v>790</v>
      </c>
      <c r="AI283" s="143" t="s">
        <v>680</v>
      </c>
      <c r="AJ283" s="143">
        <v>2246</v>
      </c>
      <c r="AK283" s="143">
        <v>2</v>
      </c>
      <c r="AL283" s="156">
        <v>2</v>
      </c>
      <c r="AM283" s="156">
        <v>4</v>
      </c>
      <c r="AN283" s="156">
        <v>3</v>
      </c>
      <c r="AO283" s="156">
        <v>3</v>
      </c>
      <c r="AP283" s="156">
        <v>4</v>
      </c>
      <c r="AQ283" s="156">
        <v>4</v>
      </c>
      <c r="AR283" s="156">
        <v>3</v>
      </c>
      <c r="AS283" s="169">
        <v>3.4285709999999998</v>
      </c>
    </row>
    <row r="284" spans="1:45" x14ac:dyDescent="0.25">
      <c r="A284" s="143" t="s">
        <v>791</v>
      </c>
      <c r="B284" s="143" t="s">
        <v>790</v>
      </c>
      <c r="C284" s="143" t="s">
        <v>680</v>
      </c>
      <c r="D284" s="143">
        <v>2248</v>
      </c>
      <c r="E284" s="143">
        <v>2</v>
      </c>
      <c r="F284" s="137">
        <v>1</v>
      </c>
      <c r="G284" s="137">
        <v>1</v>
      </c>
      <c r="H284" s="137">
        <v>1</v>
      </c>
      <c r="I284" s="137">
        <v>0</v>
      </c>
      <c r="K284" s="143" t="s">
        <v>791</v>
      </c>
      <c r="L284" s="143" t="s">
        <v>790</v>
      </c>
      <c r="M284" s="143" t="s">
        <v>680</v>
      </c>
      <c r="N284" s="143">
        <v>2248</v>
      </c>
      <c r="O284" s="354">
        <v>0.4</v>
      </c>
      <c r="P284" s="354">
        <v>0.6</v>
      </c>
      <c r="Q284" s="354">
        <v>1</v>
      </c>
      <c r="R284" s="137" t="s">
        <v>3184</v>
      </c>
      <c r="S284" s="137">
        <v>0.75</v>
      </c>
      <c r="T284" s="137" t="s">
        <v>3184</v>
      </c>
      <c r="W284" s="143" t="s">
        <v>791</v>
      </c>
      <c r="X284" s="143" t="s">
        <v>790</v>
      </c>
      <c r="Y284" s="143" t="s">
        <v>680</v>
      </c>
      <c r="Z284" s="143">
        <v>2248</v>
      </c>
      <c r="AA284" s="143">
        <v>0</v>
      </c>
      <c r="AD284" s="137">
        <v>1</v>
      </c>
      <c r="AE284" s="137">
        <v>0</v>
      </c>
      <c r="AG284" s="143" t="s">
        <v>791</v>
      </c>
      <c r="AH284" s="143" t="s">
        <v>790</v>
      </c>
      <c r="AI284" s="143" t="s">
        <v>680</v>
      </c>
      <c r="AJ284" s="143">
        <v>2248</v>
      </c>
      <c r="AK284" s="143">
        <v>2</v>
      </c>
      <c r="AL284" s="156">
        <v>1.5</v>
      </c>
      <c r="AM284" s="156">
        <v>4</v>
      </c>
      <c r="AN284" s="156">
        <v>3.5</v>
      </c>
      <c r="AO284" s="156">
        <v>3</v>
      </c>
      <c r="AP284" s="156">
        <v>3</v>
      </c>
      <c r="AQ284" s="156">
        <v>4</v>
      </c>
      <c r="AR284" s="156">
        <v>3.5</v>
      </c>
      <c r="AS284" s="169">
        <v>3.5</v>
      </c>
    </row>
    <row r="285" spans="1:45" x14ac:dyDescent="0.25">
      <c r="A285" s="143" t="s">
        <v>791</v>
      </c>
      <c r="B285" s="143" t="s">
        <v>790</v>
      </c>
      <c r="C285" s="143" t="s">
        <v>680</v>
      </c>
      <c r="D285" s="143">
        <v>2852</v>
      </c>
      <c r="E285" s="143">
        <v>2</v>
      </c>
      <c r="F285" s="137">
        <v>1</v>
      </c>
      <c r="G285" s="137">
        <v>1</v>
      </c>
      <c r="H285" s="137">
        <v>1</v>
      </c>
      <c r="I285" s="137">
        <v>0</v>
      </c>
      <c r="K285" s="143" t="s">
        <v>791</v>
      </c>
      <c r="L285" s="143" t="s">
        <v>790</v>
      </c>
      <c r="M285" s="143" t="s">
        <v>680</v>
      </c>
      <c r="N285" s="143">
        <v>2852</v>
      </c>
      <c r="O285" s="354">
        <v>0.24935070000000001</v>
      </c>
      <c r="P285" s="354">
        <v>0.6</v>
      </c>
      <c r="Q285" s="137">
        <v>0.84935070000000001</v>
      </c>
      <c r="R285" s="137" t="s">
        <v>3185</v>
      </c>
      <c r="S285" s="137">
        <v>0.5</v>
      </c>
      <c r="T285" s="137" t="s">
        <v>3184</v>
      </c>
      <c r="W285" s="143" t="s">
        <v>791</v>
      </c>
      <c r="X285" s="143" t="s">
        <v>790</v>
      </c>
      <c r="Y285" s="143" t="s">
        <v>680</v>
      </c>
      <c r="Z285" s="143">
        <v>2852</v>
      </c>
      <c r="AA285" s="143">
        <v>0</v>
      </c>
      <c r="AD285" s="137">
        <v>0.75</v>
      </c>
      <c r="AE285" s="137">
        <v>0</v>
      </c>
      <c r="AG285" s="143" t="s">
        <v>791</v>
      </c>
      <c r="AH285" s="143" t="s">
        <v>790</v>
      </c>
      <c r="AI285" s="143" t="s">
        <v>680</v>
      </c>
      <c r="AJ285" s="143">
        <v>2852</v>
      </c>
      <c r="AK285" s="143">
        <v>2</v>
      </c>
      <c r="AL285" s="156">
        <v>1</v>
      </c>
      <c r="AM285" s="156">
        <v>4</v>
      </c>
      <c r="AN285" s="156">
        <v>3.5</v>
      </c>
      <c r="AO285" s="156">
        <v>3</v>
      </c>
      <c r="AP285" s="156">
        <v>1</v>
      </c>
      <c r="AQ285" s="156">
        <v>3.5</v>
      </c>
      <c r="AR285" s="156">
        <v>4</v>
      </c>
      <c r="AS285" s="169">
        <v>3.285714</v>
      </c>
    </row>
    <row r="286" spans="1:45" x14ac:dyDescent="0.25">
      <c r="A286" s="143" t="s">
        <v>791</v>
      </c>
      <c r="B286" s="143" t="s">
        <v>790</v>
      </c>
      <c r="C286" s="143" t="s">
        <v>680</v>
      </c>
      <c r="D286" s="143">
        <v>3841</v>
      </c>
      <c r="E286" s="143">
        <v>2</v>
      </c>
      <c r="F286" s="137">
        <v>1</v>
      </c>
      <c r="G286" s="137">
        <v>1</v>
      </c>
      <c r="H286" s="137">
        <v>1</v>
      </c>
      <c r="I286" s="137">
        <v>0</v>
      </c>
      <c r="K286" s="143" t="s">
        <v>791</v>
      </c>
      <c r="L286" s="143" t="s">
        <v>790</v>
      </c>
      <c r="M286" s="143" t="s">
        <v>680</v>
      </c>
      <c r="N286" s="143">
        <v>3841</v>
      </c>
      <c r="O286" s="354">
        <v>0.4</v>
      </c>
      <c r="P286" s="354">
        <v>0.6</v>
      </c>
      <c r="Q286" s="354">
        <v>1</v>
      </c>
      <c r="R286" s="137" t="s">
        <v>3184</v>
      </c>
      <c r="S286" s="137">
        <v>0.5</v>
      </c>
      <c r="T286" s="137" t="s">
        <v>3184</v>
      </c>
      <c r="W286" s="143" t="s">
        <v>791</v>
      </c>
      <c r="X286" s="143" t="s">
        <v>790</v>
      </c>
      <c r="Y286" s="143" t="s">
        <v>680</v>
      </c>
      <c r="Z286" s="143">
        <v>3841</v>
      </c>
      <c r="AA286" s="143">
        <v>0</v>
      </c>
      <c r="AD286" s="137">
        <v>0.5</v>
      </c>
      <c r="AE286" s="137">
        <v>0</v>
      </c>
      <c r="AG286" s="143" t="s">
        <v>791</v>
      </c>
      <c r="AH286" s="143" t="s">
        <v>790</v>
      </c>
      <c r="AI286" s="143" t="s">
        <v>680</v>
      </c>
      <c r="AJ286" s="143">
        <v>3841</v>
      </c>
      <c r="AK286" s="143">
        <v>2</v>
      </c>
      <c r="AL286" s="156">
        <v>1.5</v>
      </c>
      <c r="AM286" s="156">
        <v>4</v>
      </c>
      <c r="AN286" s="156">
        <v>4</v>
      </c>
      <c r="AO286" s="156">
        <v>3.5</v>
      </c>
      <c r="AP286" s="156">
        <v>3.5</v>
      </c>
      <c r="AQ286" s="156">
        <v>4</v>
      </c>
      <c r="AR286" s="156">
        <v>3.5</v>
      </c>
      <c r="AS286" s="169">
        <v>3.714286</v>
      </c>
    </row>
    <row r="287" spans="1:45" x14ac:dyDescent="0.25">
      <c r="A287" s="143" t="s">
        <v>791</v>
      </c>
      <c r="B287" s="143" t="s">
        <v>790</v>
      </c>
      <c r="C287" s="143" t="s">
        <v>680</v>
      </c>
      <c r="D287" s="143">
        <v>3845</v>
      </c>
      <c r="E287" s="143">
        <v>2</v>
      </c>
      <c r="F287" s="137">
        <v>1</v>
      </c>
      <c r="G287" s="137">
        <v>1</v>
      </c>
      <c r="H287" s="137">
        <v>1</v>
      </c>
      <c r="I287" s="137">
        <v>0</v>
      </c>
      <c r="K287" s="143" t="s">
        <v>791</v>
      </c>
      <c r="L287" s="143" t="s">
        <v>790</v>
      </c>
      <c r="M287" s="143" t="s">
        <v>680</v>
      </c>
      <c r="N287" s="143">
        <v>3845</v>
      </c>
      <c r="O287" s="354">
        <v>0.4</v>
      </c>
      <c r="P287" s="354">
        <v>0.6</v>
      </c>
      <c r="Q287" s="354">
        <v>1</v>
      </c>
      <c r="R287" s="137" t="s">
        <v>3184</v>
      </c>
      <c r="S287" s="137">
        <v>0.5</v>
      </c>
      <c r="T287" s="137" t="s">
        <v>3184</v>
      </c>
      <c r="W287" s="143" t="s">
        <v>791</v>
      </c>
      <c r="X287" s="143" t="s">
        <v>790</v>
      </c>
      <c r="Y287" s="143" t="s">
        <v>680</v>
      </c>
      <c r="Z287" s="143">
        <v>3845</v>
      </c>
      <c r="AA287" s="143">
        <v>0</v>
      </c>
      <c r="AD287" s="137">
        <v>1</v>
      </c>
      <c r="AE287" s="137">
        <v>0</v>
      </c>
      <c r="AG287" s="143" t="s">
        <v>791</v>
      </c>
      <c r="AH287" s="143" t="s">
        <v>790</v>
      </c>
      <c r="AI287" s="143" t="s">
        <v>680</v>
      </c>
      <c r="AJ287" s="143">
        <v>3845</v>
      </c>
      <c r="AK287" s="143">
        <v>2</v>
      </c>
      <c r="AL287" s="156">
        <v>1.5</v>
      </c>
      <c r="AM287" s="156">
        <v>3</v>
      </c>
      <c r="AN287" s="156">
        <v>3.5</v>
      </c>
      <c r="AO287" s="156">
        <v>3</v>
      </c>
      <c r="AP287" s="156">
        <v>1.5</v>
      </c>
      <c r="AQ287" s="156">
        <v>3</v>
      </c>
      <c r="AR287" s="156">
        <v>3</v>
      </c>
      <c r="AS287" s="169">
        <v>2.9285709999999998</v>
      </c>
    </row>
    <row r="288" spans="1:45" x14ac:dyDescent="0.25">
      <c r="A288" s="143" t="s">
        <v>792</v>
      </c>
      <c r="B288" s="143" t="s">
        <v>758</v>
      </c>
      <c r="C288" s="143" t="s">
        <v>728</v>
      </c>
      <c r="D288" s="143">
        <v>432</v>
      </c>
      <c r="E288" s="143">
        <v>2</v>
      </c>
      <c r="F288" s="137">
        <v>1</v>
      </c>
      <c r="G288" s="137">
        <v>1</v>
      </c>
      <c r="H288" s="137">
        <v>1</v>
      </c>
      <c r="I288" s="137">
        <v>0</v>
      </c>
      <c r="K288" s="143" t="s">
        <v>792</v>
      </c>
      <c r="L288" s="143" t="s">
        <v>758</v>
      </c>
      <c r="M288" s="143" t="s">
        <v>728</v>
      </c>
      <c r="N288" s="143">
        <v>432</v>
      </c>
      <c r="O288" s="354">
        <v>0.4</v>
      </c>
      <c r="P288" s="354">
        <v>0.6</v>
      </c>
      <c r="Q288" s="137">
        <v>1</v>
      </c>
      <c r="R288" s="137" t="s">
        <v>3184</v>
      </c>
      <c r="S288" s="137">
        <v>0.625</v>
      </c>
      <c r="T288" s="137" t="s">
        <v>3184</v>
      </c>
      <c r="U288" s="137" t="s">
        <v>3184</v>
      </c>
      <c r="W288" s="143" t="s">
        <v>792</v>
      </c>
      <c r="X288" s="143" t="s">
        <v>758</v>
      </c>
      <c r="Y288" s="143" t="s">
        <v>728</v>
      </c>
      <c r="Z288" s="143">
        <v>432</v>
      </c>
      <c r="AA288" s="143">
        <v>0</v>
      </c>
      <c r="AD288" s="137">
        <v>0.25</v>
      </c>
      <c r="AE288" s="137">
        <v>0</v>
      </c>
      <c r="AG288" s="143" t="s">
        <v>792</v>
      </c>
      <c r="AH288" s="143" t="s">
        <v>758</v>
      </c>
      <c r="AI288" s="143" t="s">
        <v>728</v>
      </c>
      <c r="AJ288" s="143">
        <v>432</v>
      </c>
      <c r="AK288" s="143">
        <v>2</v>
      </c>
      <c r="AL288" s="156">
        <v>1.5</v>
      </c>
      <c r="AM288" s="156">
        <v>3.5</v>
      </c>
      <c r="AN288" s="156">
        <v>3.5</v>
      </c>
      <c r="AO288" s="156">
        <v>3</v>
      </c>
      <c r="AP288" s="156">
        <v>3</v>
      </c>
      <c r="AQ288" s="156">
        <v>3.5</v>
      </c>
      <c r="AR288" s="156">
        <v>3.5</v>
      </c>
      <c r="AS288" s="169">
        <v>3.3571430000000002</v>
      </c>
    </row>
    <row r="289" spans="1:45" x14ac:dyDescent="0.25">
      <c r="A289" s="143" t="s">
        <v>792</v>
      </c>
      <c r="B289" s="143" t="s">
        <v>758</v>
      </c>
      <c r="C289" s="143" t="s">
        <v>727</v>
      </c>
      <c r="D289" s="143">
        <v>437</v>
      </c>
      <c r="E289" s="143">
        <v>3</v>
      </c>
      <c r="F289" s="137">
        <v>1</v>
      </c>
      <c r="G289" s="137">
        <v>1</v>
      </c>
      <c r="H289" s="137">
        <v>1</v>
      </c>
      <c r="I289" s="137">
        <v>0</v>
      </c>
      <c r="K289" s="143" t="s">
        <v>792</v>
      </c>
      <c r="L289" s="143" t="s">
        <v>758</v>
      </c>
      <c r="M289" s="143" t="s">
        <v>727</v>
      </c>
      <c r="N289" s="143">
        <v>437</v>
      </c>
      <c r="O289" s="354">
        <v>0.4</v>
      </c>
      <c r="P289" s="354">
        <v>0.6</v>
      </c>
      <c r="Q289" s="354">
        <v>1</v>
      </c>
      <c r="R289" s="137" t="s">
        <v>3184</v>
      </c>
      <c r="S289" s="137">
        <v>0.53846159999999998</v>
      </c>
      <c r="T289" s="137" t="s">
        <v>3184</v>
      </c>
      <c r="U289" s="137" t="s">
        <v>3184</v>
      </c>
      <c r="W289" s="143" t="s">
        <v>792</v>
      </c>
      <c r="X289" s="143" t="s">
        <v>758</v>
      </c>
      <c r="Y289" s="143" t="s">
        <v>727</v>
      </c>
      <c r="Z289" s="143">
        <v>437</v>
      </c>
      <c r="AA289" s="143">
        <v>0</v>
      </c>
      <c r="AD289" s="137">
        <v>0.3846154</v>
      </c>
      <c r="AE289" s="137">
        <v>0</v>
      </c>
      <c r="AG289" s="143" t="s">
        <v>792</v>
      </c>
      <c r="AH289" s="143" t="s">
        <v>758</v>
      </c>
      <c r="AI289" s="143" t="s">
        <v>727</v>
      </c>
      <c r="AJ289" s="143">
        <v>437</v>
      </c>
      <c r="AK289" s="143">
        <v>3</v>
      </c>
      <c r="AL289" s="156">
        <v>2</v>
      </c>
      <c r="AM289" s="156">
        <v>3.6666667461395299</v>
      </c>
      <c r="AN289" s="156">
        <v>3</v>
      </c>
      <c r="AO289" s="156">
        <v>3.6666667461395299</v>
      </c>
      <c r="AP289" s="156">
        <v>3.3333332538604701</v>
      </c>
      <c r="AQ289" s="156">
        <v>3</v>
      </c>
      <c r="AR289" s="156">
        <v>3.6666667461395299</v>
      </c>
      <c r="AS289" s="169">
        <v>3.3333330000000001</v>
      </c>
    </row>
    <row r="290" spans="1:45" x14ac:dyDescent="0.25">
      <c r="A290" s="143" t="s">
        <v>792</v>
      </c>
      <c r="B290" s="143" t="s">
        <v>758</v>
      </c>
      <c r="C290" s="143" t="s">
        <v>729</v>
      </c>
      <c r="D290" s="143">
        <v>439</v>
      </c>
      <c r="E290" s="143">
        <v>8</v>
      </c>
      <c r="F290" s="137">
        <v>1</v>
      </c>
      <c r="G290" s="137">
        <v>1</v>
      </c>
      <c r="H290" s="137">
        <v>1</v>
      </c>
      <c r="I290" s="137">
        <v>0</v>
      </c>
      <c r="K290" s="143" t="s">
        <v>792</v>
      </c>
      <c r="L290" s="143" t="s">
        <v>758</v>
      </c>
      <c r="M290" s="143" t="s">
        <v>729</v>
      </c>
      <c r="N290" s="143">
        <v>439</v>
      </c>
      <c r="O290" s="354">
        <v>0.3922078</v>
      </c>
      <c r="P290" s="354">
        <v>0.6</v>
      </c>
      <c r="Q290" s="354">
        <v>0.99220779999999997</v>
      </c>
      <c r="R290" s="137" t="s">
        <v>3185</v>
      </c>
      <c r="S290" s="137">
        <v>0.5</v>
      </c>
      <c r="T290" s="137" t="s">
        <v>3184</v>
      </c>
      <c r="U290" s="137" t="s">
        <v>3184</v>
      </c>
      <c r="W290" s="143" t="s">
        <v>792</v>
      </c>
      <c r="X290" s="143" t="s">
        <v>758</v>
      </c>
      <c r="Y290" s="143" t="s">
        <v>729</v>
      </c>
      <c r="Z290" s="143">
        <v>439</v>
      </c>
      <c r="AA290" s="143">
        <v>8</v>
      </c>
      <c r="AB290" s="137">
        <v>0.375</v>
      </c>
      <c r="AC290" s="137">
        <v>0</v>
      </c>
      <c r="AD290" s="137">
        <v>0.13888890000000001</v>
      </c>
      <c r="AE290" s="137">
        <v>0</v>
      </c>
      <c r="AG290" s="143" t="s">
        <v>792</v>
      </c>
      <c r="AH290" s="143" t="s">
        <v>758</v>
      </c>
      <c r="AI290" s="143" t="s">
        <v>729</v>
      </c>
      <c r="AJ290" s="143">
        <v>439</v>
      </c>
      <c r="AK290" s="143">
        <v>8</v>
      </c>
      <c r="AL290" s="156">
        <v>2</v>
      </c>
      <c r="AM290" s="156">
        <v>3</v>
      </c>
      <c r="AN290" s="156">
        <v>3.5</v>
      </c>
      <c r="AO290" s="156">
        <v>3.125</v>
      </c>
      <c r="AP290" s="156">
        <v>2.25</v>
      </c>
      <c r="AQ290" s="156">
        <v>3.25</v>
      </c>
      <c r="AR290" s="156">
        <v>2.75</v>
      </c>
      <c r="AS290" s="169">
        <v>2.9821430000000002</v>
      </c>
    </row>
    <row r="291" spans="1:45" x14ac:dyDescent="0.25">
      <c r="A291" s="143" t="s">
        <v>792</v>
      </c>
      <c r="B291" s="143" t="s">
        <v>758</v>
      </c>
      <c r="C291" s="143" t="s">
        <v>727</v>
      </c>
      <c r="D291" s="143">
        <v>454</v>
      </c>
      <c r="E291" s="143">
        <v>3</v>
      </c>
      <c r="F291" s="137">
        <v>1</v>
      </c>
      <c r="G291" s="137">
        <v>1</v>
      </c>
      <c r="H291" s="137">
        <v>1</v>
      </c>
      <c r="I291" s="137">
        <v>0</v>
      </c>
      <c r="K291" s="143" t="s">
        <v>792</v>
      </c>
      <c r="L291" s="143" t="s">
        <v>758</v>
      </c>
      <c r="M291" s="143" t="s">
        <v>727</v>
      </c>
      <c r="N291" s="143">
        <v>454</v>
      </c>
      <c r="O291" s="354">
        <v>0.4</v>
      </c>
      <c r="P291" s="354">
        <v>0.6</v>
      </c>
      <c r="Q291" s="354">
        <v>1</v>
      </c>
      <c r="R291" s="137" t="s">
        <v>3184</v>
      </c>
      <c r="S291" s="137">
        <v>0.53846159999999998</v>
      </c>
      <c r="T291" s="137" t="s">
        <v>3184</v>
      </c>
      <c r="U291" s="137" t="s">
        <v>3184</v>
      </c>
      <c r="W291" s="143" t="s">
        <v>792</v>
      </c>
      <c r="X291" s="143" t="s">
        <v>758</v>
      </c>
      <c r="Y291" s="143" t="s">
        <v>727</v>
      </c>
      <c r="Z291" s="143">
        <v>454</v>
      </c>
      <c r="AA291" s="143">
        <v>0</v>
      </c>
      <c r="AD291" s="137">
        <v>0.3846154</v>
      </c>
      <c r="AE291" s="137">
        <v>0</v>
      </c>
      <c r="AG291" s="143" t="s">
        <v>792</v>
      </c>
      <c r="AH291" s="143" t="s">
        <v>758</v>
      </c>
      <c r="AI291" s="143" t="s">
        <v>727</v>
      </c>
      <c r="AJ291" s="143">
        <v>454</v>
      </c>
      <c r="AK291" s="143">
        <v>3</v>
      </c>
      <c r="AL291" s="156">
        <v>2</v>
      </c>
      <c r="AM291" s="156">
        <v>3</v>
      </c>
      <c r="AN291" s="156">
        <v>2.6666667461395299</v>
      </c>
      <c r="AO291" s="156">
        <v>2.3333332538604701</v>
      </c>
      <c r="AP291" s="156">
        <v>2.6666667461395299</v>
      </c>
      <c r="AQ291" s="156">
        <v>3</v>
      </c>
      <c r="AR291" s="156">
        <v>3</v>
      </c>
      <c r="AS291" s="169">
        <v>2.8095240000000001</v>
      </c>
    </row>
    <row r="292" spans="1:45" x14ac:dyDescent="0.25">
      <c r="A292" s="143" t="s">
        <v>792</v>
      </c>
      <c r="B292" s="143" t="s">
        <v>758</v>
      </c>
      <c r="C292" s="143" t="s">
        <v>728</v>
      </c>
      <c r="D292" s="143">
        <v>1617</v>
      </c>
      <c r="E292" s="143">
        <v>2</v>
      </c>
      <c r="F292" s="137">
        <v>1</v>
      </c>
      <c r="G292" s="137">
        <v>1</v>
      </c>
      <c r="H292" s="137">
        <v>1</v>
      </c>
      <c r="I292" s="137">
        <v>0</v>
      </c>
      <c r="K292" s="143" t="s">
        <v>792</v>
      </c>
      <c r="L292" s="143" t="s">
        <v>758</v>
      </c>
      <c r="M292" s="143" t="s">
        <v>728</v>
      </c>
      <c r="N292" s="143">
        <v>1617</v>
      </c>
      <c r="O292" s="354">
        <v>0.4</v>
      </c>
      <c r="P292" s="354">
        <v>0.6</v>
      </c>
      <c r="Q292" s="137">
        <v>1</v>
      </c>
      <c r="R292" s="137" t="s">
        <v>3184</v>
      </c>
      <c r="S292" s="137">
        <v>0.5</v>
      </c>
      <c r="T292" s="137" t="s">
        <v>3184</v>
      </c>
      <c r="U292" s="137" t="s">
        <v>3184</v>
      </c>
      <c r="W292" s="143" t="s">
        <v>792</v>
      </c>
      <c r="X292" s="143" t="s">
        <v>758</v>
      </c>
      <c r="Y292" s="143" t="s">
        <v>728</v>
      </c>
      <c r="Z292" s="143">
        <v>1617</v>
      </c>
      <c r="AA292" s="143">
        <v>0</v>
      </c>
      <c r="AD292" s="137">
        <v>0.1666667</v>
      </c>
      <c r="AE292" s="137">
        <v>0</v>
      </c>
      <c r="AG292" s="143" t="s">
        <v>792</v>
      </c>
      <c r="AH292" s="143" t="s">
        <v>758</v>
      </c>
      <c r="AI292" s="143" t="s">
        <v>728</v>
      </c>
      <c r="AJ292" s="143">
        <v>1617</v>
      </c>
      <c r="AK292" s="143">
        <v>2</v>
      </c>
      <c r="AL292" s="156">
        <v>2</v>
      </c>
      <c r="AM292" s="156">
        <v>3</v>
      </c>
      <c r="AN292" s="156">
        <v>3</v>
      </c>
      <c r="AO292" s="156">
        <v>3</v>
      </c>
      <c r="AP292" s="156">
        <v>2</v>
      </c>
      <c r="AQ292" s="156">
        <v>3</v>
      </c>
      <c r="AR292" s="156">
        <v>3</v>
      </c>
      <c r="AS292" s="169">
        <v>2.8571430000000002</v>
      </c>
    </row>
    <row r="293" spans="1:45" x14ac:dyDescent="0.25">
      <c r="A293" s="143" t="s">
        <v>792</v>
      </c>
      <c r="B293" s="143" t="s">
        <v>758</v>
      </c>
      <c r="C293" s="143" t="s">
        <v>728</v>
      </c>
      <c r="D293" s="143">
        <v>1685</v>
      </c>
      <c r="E293" s="143">
        <v>2</v>
      </c>
      <c r="F293" s="137">
        <v>1</v>
      </c>
      <c r="G293" s="137">
        <v>1</v>
      </c>
      <c r="H293" s="137">
        <v>1</v>
      </c>
      <c r="I293" s="137">
        <v>0</v>
      </c>
      <c r="K293" s="143" t="s">
        <v>792</v>
      </c>
      <c r="L293" s="143" t="s">
        <v>758</v>
      </c>
      <c r="M293" s="143" t="s">
        <v>728</v>
      </c>
      <c r="N293" s="143">
        <v>1685</v>
      </c>
      <c r="O293" s="354">
        <v>0.387013</v>
      </c>
      <c r="P293" s="354">
        <v>0.6</v>
      </c>
      <c r="Q293" s="354">
        <v>0.98701300000000003</v>
      </c>
      <c r="R293" s="137" t="s">
        <v>3185</v>
      </c>
      <c r="S293" s="137">
        <v>0.42857139999999999</v>
      </c>
      <c r="T293" s="137" t="s">
        <v>3184</v>
      </c>
      <c r="U293" s="137" t="s">
        <v>3184</v>
      </c>
      <c r="W293" s="143" t="s">
        <v>792</v>
      </c>
      <c r="X293" s="143" t="s">
        <v>758</v>
      </c>
      <c r="Y293" s="143" t="s">
        <v>728</v>
      </c>
      <c r="Z293" s="143">
        <v>1685</v>
      </c>
      <c r="AA293" s="143">
        <v>0</v>
      </c>
      <c r="AD293" s="137">
        <v>0.28571429999999998</v>
      </c>
      <c r="AE293" s="137">
        <v>0</v>
      </c>
      <c r="AG293" s="143" t="s">
        <v>792</v>
      </c>
      <c r="AH293" s="143" t="s">
        <v>758</v>
      </c>
      <c r="AI293" s="143" t="s">
        <v>728</v>
      </c>
      <c r="AJ293" s="143">
        <v>1685</v>
      </c>
      <c r="AK293" s="143">
        <v>2</v>
      </c>
      <c r="AL293" s="156">
        <v>3</v>
      </c>
      <c r="AM293" s="156">
        <v>3</v>
      </c>
      <c r="AN293" s="156">
        <v>2.5</v>
      </c>
      <c r="AO293" s="156">
        <v>3</v>
      </c>
      <c r="AP293" s="156">
        <v>1.5</v>
      </c>
      <c r="AQ293" s="156">
        <v>3</v>
      </c>
      <c r="AR293" s="156">
        <v>1.5</v>
      </c>
      <c r="AS293" s="169">
        <v>2.5714290000000002</v>
      </c>
    </row>
    <row r="294" spans="1:45" x14ac:dyDescent="0.25">
      <c r="A294" s="143" t="s">
        <v>792</v>
      </c>
      <c r="B294" s="143" t="s">
        <v>758</v>
      </c>
      <c r="C294" s="143" t="s">
        <v>728</v>
      </c>
      <c r="D294" s="143">
        <v>1929</v>
      </c>
      <c r="E294" s="143">
        <v>2</v>
      </c>
      <c r="F294" s="137">
        <v>1</v>
      </c>
      <c r="G294" s="137">
        <v>1</v>
      </c>
      <c r="H294" s="137">
        <v>1</v>
      </c>
      <c r="I294" s="137">
        <v>0</v>
      </c>
      <c r="K294" s="143" t="s">
        <v>792</v>
      </c>
      <c r="L294" s="143" t="s">
        <v>758</v>
      </c>
      <c r="M294" s="143" t="s">
        <v>728</v>
      </c>
      <c r="N294" s="143">
        <v>1929</v>
      </c>
      <c r="O294" s="354">
        <v>0.4</v>
      </c>
      <c r="P294" s="354">
        <v>0.6</v>
      </c>
      <c r="Q294" s="137">
        <v>1</v>
      </c>
      <c r="R294" s="137" t="s">
        <v>3184</v>
      </c>
      <c r="S294" s="137">
        <v>0.5</v>
      </c>
      <c r="T294" s="137" t="s">
        <v>3184</v>
      </c>
      <c r="U294" s="137" t="s">
        <v>3184</v>
      </c>
      <c r="W294" s="143" t="s">
        <v>792</v>
      </c>
      <c r="X294" s="143" t="s">
        <v>758</v>
      </c>
      <c r="Y294" s="143" t="s">
        <v>728</v>
      </c>
      <c r="Z294" s="143">
        <v>1929</v>
      </c>
      <c r="AA294" s="143">
        <v>0</v>
      </c>
      <c r="AD294" s="137">
        <v>0</v>
      </c>
      <c r="AE294" s="137">
        <v>0.3333333</v>
      </c>
      <c r="AG294" s="143" t="s">
        <v>792</v>
      </c>
      <c r="AH294" s="143" t="s">
        <v>758</v>
      </c>
      <c r="AI294" s="143" t="s">
        <v>728</v>
      </c>
      <c r="AJ294" s="143">
        <v>1929</v>
      </c>
      <c r="AK294" s="143">
        <v>2</v>
      </c>
      <c r="AL294" s="156">
        <v>2</v>
      </c>
      <c r="AM294" s="156">
        <v>4</v>
      </c>
      <c r="AN294" s="156">
        <v>3.5</v>
      </c>
      <c r="AO294" s="156">
        <v>3.5</v>
      </c>
      <c r="AP294" s="156">
        <v>3.5</v>
      </c>
      <c r="AQ294" s="156">
        <v>3</v>
      </c>
      <c r="AR294" s="156">
        <v>3</v>
      </c>
      <c r="AS294" s="169">
        <v>3.3571430000000002</v>
      </c>
    </row>
    <row r="295" spans="1:45" x14ac:dyDescent="0.25">
      <c r="A295" s="143" t="s">
        <v>792</v>
      </c>
      <c r="B295" s="143" t="s">
        <v>758</v>
      </c>
      <c r="C295" s="143" t="s">
        <v>680</v>
      </c>
      <c r="D295" s="143">
        <v>4213</v>
      </c>
      <c r="E295" s="143">
        <v>2</v>
      </c>
      <c r="F295" s="137">
        <v>1</v>
      </c>
      <c r="G295" s="137">
        <v>1</v>
      </c>
      <c r="H295" s="137">
        <v>1</v>
      </c>
      <c r="I295" s="137">
        <v>0</v>
      </c>
      <c r="K295" s="143" t="s">
        <v>792</v>
      </c>
      <c r="L295" s="143" t="s">
        <v>758</v>
      </c>
      <c r="M295" s="143" t="s">
        <v>680</v>
      </c>
      <c r="N295" s="143">
        <v>4213</v>
      </c>
      <c r="O295" s="354">
        <v>0.3922078</v>
      </c>
      <c r="P295" s="354">
        <v>0.3</v>
      </c>
      <c r="Q295" s="354">
        <v>0.69220780000000004</v>
      </c>
      <c r="R295" s="137" t="s">
        <v>3185</v>
      </c>
      <c r="S295" s="137">
        <v>0.5</v>
      </c>
      <c r="T295" s="137" t="s">
        <v>3185</v>
      </c>
      <c r="W295" s="143" t="s">
        <v>792</v>
      </c>
      <c r="X295" s="143" t="s">
        <v>758</v>
      </c>
      <c r="Y295" s="143" t="s">
        <v>680</v>
      </c>
      <c r="Z295" s="143">
        <v>4213</v>
      </c>
      <c r="AA295" s="143">
        <v>0</v>
      </c>
      <c r="AD295" s="137">
        <v>0.25</v>
      </c>
      <c r="AE295" s="137">
        <v>0</v>
      </c>
      <c r="AG295" s="143" t="s">
        <v>792</v>
      </c>
      <c r="AH295" s="143" t="s">
        <v>758</v>
      </c>
      <c r="AI295" s="143" t="s">
        <v>680</v>
      </c>
      <c r="AJ295" s="143">
        <v>4213</v>
      </c>
      <c r="AK295" s="143">
        <v>2</v>
      </c>
      <c r="AL295" s="156">
        <v>1.5</v>
      </c>
      <c r="AM295" s="156">
        <v>4</v>
      </c>
      <c r="AN295" s="156">
        <v>4</v>
      </c>
      <c r="AO295" s="156">
        <v>4</v>
      </c>
      <c r="AP295" s="156">
        <v>2</v>
      </c>
      <c r="AQ295" s="156">
        <v>2</v>
      </c>
      <c r="AR295" s="156">
        <v>3.5</v>
      </c>
      <c r="AS295" s="169">
        <v>3.285714</v>
      </c>
    </row>
    <row r="296" spans="1:45" x14ac:dyDescent="0.25">
      <c r="A296" s="143" t="s">
        <v>792</v>
      </c>
      <c r="B296" s="143" t="s">
        <v>758</v>
      </c>
      <c r="C296" s="143" t="s">
        <v>680</v>
      </c>
      <c r="D296" s="143">
        <v>4217</v>
      </c>
      <c r="E296" s="143">
        <v>2</v>
      </c>
      <c r="F296" s="137">
        <v>1</v>
      </c>
      <c r="G296" s="137">
        <v>1</v>
      </c>
      <c r="H296" s="137">
        <v>1</v>
      </c>
      <c r="I296" s="137">
        <v>0</v>
      </c>
      <c r="K296" s="143" t="s">
        <v>792</v>
      </c>
      <c r="L296" s="143" t="s">
        <v>758</v>
      </c>
      <c r="M296" s="143" t="s">
        <v>680</v>
      </c>
      <c r="N296" s="143">
        <v>4217</v>
      </c>
      <c r="O296" s="354">
        <v>0.4</v>
      </c>
      <c r="P296" s="354">
        <v>0.6</v>
      </c>
      <c r="Q296" s="354">
        <v>1</v>
      </c>
      <c r="R296" s="137" t="s">
        <v>3184</v>
      </c>
      <c r="S296" s="137">
        <v>0.5</v>
      </c>
      <c r="T296" s="137" t="s">
        <v>3184</v>
      </c>
      <c r="W296" s="143" t="s">
        <v>792</v>
      </c>
      <c r="X296" s="143" t="s">
        <v>758</v>
      </c>
      <c r="Y296" s="143" t="s">
        <v>680</v>
      </c>
      <c r="Z296" s="143">
        <v>4217</v>
      </c>
      <c r="AA296" s="143">
        <v>0</v>
      </c>
      <c r="AD296" s="137">
        <v>0.25</v>
      </c>
      <c r="AE296" s="137">
        <v>0</v>
      </c>
      <c r="AG296" s="143" t="s">
        <v>792</v>
      </c>
      <c r="AH296" s="143" t="s">
        <v>758</v>
      </c>
      <c r="AI296" s="143" t="s">
        <v>680</v>
      </c>
      <c r="AJ296" s="143">
        <v>4217</v>
      </c>
      <c r="AK296" s="143">
        <v>2</v>
      </c>
      <c r="AL296" s="156">
        <v>2.5</v>
      </c>
      <c r="AM296" s="156">
        <v>3</v>
      </c>
      <c r="AN296" s="156">
        <v>2.5</v>
      </c>
      <c r="AO296" s="156">
        <v>2</v>
      </c>
      <c r="AP296" s="156">
        <v>1.5</v>
      </c>
      <c r="AQ296" s="156">
        <v>3</v>
      </c>
      <c r="AR296" s="156">
        <v>3</v>
      </c>
      <c r="AS296" s="169">
        <v>2.5</v>
      </c>
    </row>
    <row r="297" spans="1:45" x14ac:dyDescent="0.25">
      <c r="A297" s="143" t="s">
        <v>792</v>
      </c>
      <c r="B297" s="143" t="s">
        <v>758</v>
      </c>
      <c r="C297" s="143" t="s">
        <v>680</v>
      </c>
      <c r="D297" s="143">
        <v>4219</v>
      </c>
      <c r="E297" s="143">
        <v>2</v>
      </c>
      <c r="F297" s="137">
        <v>1</v>
      </c>
      <c r="G297" s="137">
        <v>1</v>
      </c>
      <c r="H297" s="137">
        <v>1</v>
      </c>
      <c r="I297" s="137">
        <v>0</v>
      </c>
      <c r="K297" s="143" t="s">
        <v>792</v>
      </c>
      <c r="L297" s="143" t="s">
        <v>758</v>
      </c>
      <c r="M297" s="143" t="s">
        <v>680</v>
      </c>
      <c r="N297" s="143">
        <v>4219</v>
      </c>
      <c r="O297" s="354">
        <v>0.4</v>
      </c>
      <c r="P297" s="354">
        <v>0.6</v>
      </c>
      <c r="Q297" s="137">
        <v>1</v>
      </c>
      <c r="R297" s="137" t="s">
        <v>3184</v>
      </c>
      <c r="S297" s="137">
        <v>0.6</v>
      </c>
      <c r="T297" s="137" t="s">
        <v>3184</v>
      </c>
      <c r="W297" s="143" t="s">
        <v>792</v>
      </c>
      <c r="X297" s="143" t="s">
        <v>758</v>
      </c>
      <c r="Y297" s="143" t="s">
        <v>680</v>
      </c>
      <c r="Z297" s="143">
        <v>4219</v>
      </c>
      <c r="AA297" s="143">
        <v>0</v>
      </c>
      <c r="AD297" s="137">
        <v>0.6</v>
      </c>
      <c r="AE297" s="137">
        <v>0</v>
      </c>
      <c r="AG297" s="143" t="s">
        <v>792</v>
      </c>
      <c r="AH297" s="143" t="s">
        <v>758</v>
      </c>
      <c r="AI297" s="143" t="s">
        <v>680</v>
      </c>
      <c r="AJ297" s="143">
        <v>4219</v>
      </c>
      <c r="AK297" s="143">
        <v>2</v>
      </c>
      <c r="AL297" s="156">
        <v>1.5</v>
      </c>
      <c r="AM297" s="156">
        <v>3.5</v>
      </c>
      <c r="AN297" s="156">
        <v>3</v>
      </c>
      <c r="AO297" s="156">
        <v>3</v>
      </c>
      <c r="AP297" s="156">
        <v>2.5</v>
      </c>
      <c r="AQ297" s="156">
        <v>3.5</v>
      </c>
      <c r="AR297" s="156">
        <v>3</v>
      </c>
      <c r="AS297" s="169">
        <v>3.1428569999999998</v>
      </c>
    </row>
    <row r="298" spans="1:45" x14ac:dyDescent="0.25">
      <c r="A298" s="143" t="s">
        <v>792</v>
      </c>
      <c r="B298" s="143" t="s">
        <v>758</v>
      </c>
      <c r="C298" s="143" t="s">
        <v>680</v>
      </c>
      <c r="D298" s="143">
        <v>4229</v>
      </c>
      <c r="E298" s="143">
        <v>2</v>
      </c>
      <c r="F298" s="137">
        <v>1</v>
      </c>
      <c r="G298" s="137">
        <v>1</v>
      </c>
      <c r="H298" s="137">
        <v>1</v>
      </c>
      <c r="I298" s="137">
        <v>0</v>
      </c>
      <c r="K298" s="143" t="s">
        <v>792</v>
      </c>
      <c r="L298" s="143" t="s">
        <v>758</v>
      </c>
      <c r="M298" s="143" t="s">
        <v>680</v>
      </c>
      <c r="N298" s="143">
        <v>4229</v>
      </c>
      <c r="O298" s="354">
        <v>0.39480520000000002</v>
      </c>
      <c r="P298" s="354">
        <v>0.6</v>
      </c>
      <c r="Q298" s="354">
        <v>0.99480519999999995</v>
      </c>
      <c r="R298" s="137" t="s">
        <v>3185</v>
      </c>
      <c r="S298" s="137">
        <v>0.5</v>
      </c>
      <c r="T298" s="137" t="s">
        <v>3184</v>
      </c>
      <c r="W298" s="143" t="s">
        <v>792</v>
      </c>
      <c r="X298" s="143" t="s">
        <v>758</v>
      </c>
      <c r="Y298" s="143" t="s">
        <v>680</v>
      </c>
      <c r="Z298" s="143">
        <v>4229</v>
      </c>
      <c r="AA298" s="143">
        <v>0</v>
      </c>
      <c r="AD298" s="137">
        <v>0.25</v>
      </c>
      <c r="AE298" s="137">
        <v>0</v>
      </c>
      <c r="AG298" s="143" t="s">
        <v>792</v>
      </c>
      <c r="AH298" s="143" t="s">
        <v>758</v>
      </c>
      <c r="AI298" s="143" t="s">
        <v>680</v>
      </c>
      <c r="AJ298" s="143">
        <v>4229</v>
      </c>
      <c r="AK298" s="143">
        <v>2</v>
      </c>
      <c r="AL298" s="156">
        <v>2</v>
      </c>
      <c r="AM298" s="156">
        <v>3</v>
      </c>
      <c r="AN298" s="156">
        <v>2.5</v>
      </c>
      <c r="AO298" s="156">
        <v>3</v>
      </c>
      <c r="AP298" s="156">
        <v>3</v>
      </c>
      <c r="AQ298" s="156">
        <v>3</v>
      </c>
      <c r="AR298" s="156">
        <v>2</v>
      </c>
      <c r="AS298" s="169">
        <v>2.785714</v>
      </c>
    </row>
    <row r="299" spans="1:45" x14ac:dyDescent="0.25">
      <c r="A299" s="143" t="s">
        <v>793</v>
      </c>
      <c r="B299" s="143" t="s">
        <v>794</v>
      </c>
      <c r="C299" s="143" t="s">
        <v>729</v>
      </c>
      <c r="D299" s="143">
        <v>781</v>
      </c>
      <c r="E299" s="143">
        <v>8</v>
      </c>
      <c r="F299" s="137">
        <v>1</v>
      </c>
      <c r="G299" s="137">
        <v>1</v>
      </c>
      <c r="H299" s="137">
        <v>1</v>
      </c>
      <c r="I299" s="137">
        <v>0</v>
      </c>
      <c r="K299" s="143" t="s">
        <v>793</v>
      </c>
      <c r="L299" s="143" t="s">
        <v>794</v>
      </c>
      <c r="M299" s="143" t="s">
        <v>729</v>
      </c>
      <c r="N299" s="143">
        <v>781</v>
      </c>
      <c r="O299" s="354">
        <v>0.35</v>
      </c>
      <c r="P299" s="354">
        <v>0.52500000000000002</v>
      </c>
      <c r="Q299" s="354">
        <v>0.875</v>
      </c>
      <c r="R299" s="137" t="s">
        <v>3185</v>
      </c>
      <c r="S299" s="137">
        <v>0.38709680000000002</v>
      </c>
      <c r="T299" s="137" t="s">
        <v>3184</v>
      </c>
      <c r="U299" s="137" t="s">
        <v>3184</v>
      </c>
      <c r="W299" s="143" t="s">
        <v>793</v>
      </c>
      <c r="X299" s="143" t="s">
        <v>794</v>
      </c>
      <c r="Y299" s="143" t="s">
        <v>729</v>
      </c>
      <c r="Z299" s="143">
        <v>781</v>
      </c>
      <c r="AA299" s="143">
        <v>8</v>
      </c>
      <c r="AB299" s="137">
        <v>0.125</v>
      </c>
      <c r="AC299" s="137">
        <v>0</v>
      </c>
      <c r="AD299" s="137">
        <v>0</v>
      </c>
      <c r="AG299" s="143" t="s">
        <v>793</v>
      </c>
      <c r="AH299" s="143" t="s">
        <v>794</v>
      </c>
      <c r="AI299" s="143" t="s">
        <v>729</v>
      </c>
      <c r="AJ299" s="143">
        <v>781</v>
      </c>
      <c r="AK299" s="143">
        <v>8</v>
      </c>
      <c r="AL299" s="156">
        <v>2.875</v>
      </c>
      <c r="AM299" s="156">
        <v>3.375</v>
      </c>
      <c r="AN299" s="156">
        <v>3.5</v>
      </c>
      <c r="AO299" s="156">
        <v>3.375</v>
      </c>
      <c r="AP299" s="156">
        <v>3</v>
      </c>
      <c r="AQ299" s="156">
        <v>2.875</v>
      </c>
      <c r="AR299" s="156">
        <v>3.25</v>
      </c>
      <c r="AS299" s="169">
        <v>3.0714290000000002</v>
      </c>
    </row>
    <row r="300" spans="1:45" x14ac:dyDescent="0.25">
      <c r="A300" s="143" t="s">
        <v>793</v>
      </c>
      <c r="B300" s="143" t="s">
        <v>794</v>
      </c>
      <c r="C300" s="143" t="s">
        <v>727</v>
      </c>
      <c r="D300" s="143">
        <v>2097</v>
      </c>
      <c r="E300" s="143">
        <v>3</v>
      </c>
      <c r="F300" s="137">
        <v>1</v>
      </c>
      <c r="G300" s="137">
        <v>1</v>
      </c>
      <c r="H300" s="137">
        <v>1</v>
      </c>
      <c r="I300" s="137">
        <v>0</v>
      </c>
      <c r="K300" s="143" t="s">
        <v>793</v>
      </c>
      <c r="L300" s="143" t="s">
        <v>794</v>
      </c>
      <c r="M300" s="143" t="s">
        <v>727</v>
      </c>
      <c r="N300" s="143">
        <v>2097</v>
      </c>
      <c r="O300" s="354">
        <v>0.4</v>
      </c>
      <c r="P300" s="354">
        <v>0.6</v>
      </c>
      <c r="Q300" s="354">
        <v>1</v>
      </c>
      <c r="R300" s="137" t="s">
        <v>3184</v>
      </c>
      <c r="S300" s="137">
        <v>0.3333333</v>
      </c>
      <c r="T300" s="137" t="s">
        <v>3184</v>
      </c>
      <c r="U300" s="137" t="s">
        <v>3184</v>
      </c>
      <c r="W300" s="143" t="s">
        <v>793</v>
      </c>
      <c r="X300" s="143" t="s">
        <v>794</v>
      </c>
      <c r="Y300" s="143" t="s">
        <v>727</v>
      </c>
      <c r="Z300" s="143">
        <v>2097</v>
      </c>
      <c r="AA300" s="143">
        <v>0</v>
      </c>
      <c r="AD300" s="137">
        <v>0</v>
      </c>
      <c r="AG300" s="143" t="s">
        <v>793</v>
      </c>
      <c r="AH300" s="143" t="s">
        <v>794</v>
      </c>
      <c r="AI300" s="143" t="s">
        <v>727</v>
      </c>
      <c r="AJ300" s="143">
        <v>2097</v>
      </c>
      <c r="AK300" s="143">
        <v>3</v>
      </c>
      <c r="AL300" s="156">
        <v>2.3333332538604701</v>
      </c>
      <c r="AM300" s="156">
        <v>3.6666667461395299</v>
      </c>
      <c r="AN300" s="156">
        <v>2.3333332538604701</v>
      </c>
      <c r="AO300" s="156">
        <v>3</v>
      </c>
      <c r="AP300" s="156">
        <v>3</v>
      </c>
      <c r="AQ300" s="156">
        <v>2.3333332538604701</v>
      </c>
      <c r="AR300" s="156">
        <v>3</v>
      </c>
      <c r="AS300" s="169">
        <v>2.8571430000000002</v>
      </c>
    </row>
    <row r="301" spans="1:45" x14ac:dyDescent="0.25">
      <c r="A301" s="143" t="s">
        <v>793</v>
      </c>
      <c r="B301" s="143" t="s">
        <v>794</v>
      </c>
      <c r="C301" s="143" t="s">
        <v>728</v>
      </c>
      <c r="D301" s="143">
        <v>3461</v>
      </c>
      <c r="E301" s="143">
        <v>2</v>
      </c>
      <c r="F301" s="137">
        <v>1</v>
      </c>
      <c r="G301" s="137">
        <v>1</v>
      </c>
      <c r="H301" s="137">
        <v>1</v>
      </c>
      <c r="I301" s="137">
        <v>0</v>
      </c>
      <c r="K301" s="143" t="s">
        <v>793</v>
      </c>
      <c r="L301" s="143" t="s">
        <v>794</v>
      </c>
      <c r="M301" s="143" t="s">
        <v>728</v>
      </c>
      <c r="N301" s="143">
        <v>3461</v>
      </c>
      <c r="O301" s="354">
        <v>0.3350649</v>
      </c>
      <c r="P301" s="354">
        <v>0.6</v>
      </c>
      <c r="Q301" s="354">
        <v>0.93506500000000004</v>
      </c>
      <c r="R301" s="137" t="s">
        <v>3185</v>
      </c>
      <c r="S301" s="137">
        <v>0.3333333</v>
      </c>
      <c r="T301" s="137" t="s">
        <v>3184</v>
      </c>
      <c r="U301" s="137" t="s">
        <v>3184</v>
      </c>
      <c r="W301" s="143" t="s">
        <v>793</v>
      </c>
      <c r="X301" s="143" t="s">
        <v>794</v>
      </c>
      <c r="Y301" s="143" t="s">
        <v>728</v>
      </c>
      <c r="Z301" s="143">
        <v>3461</v>
      </c>
      <c r="AA301" s="143">
        <v>0</v>
      </c>
      <c r="AD301" s="137">
        <v>0</v>
      </c>
      <c r="AE301" s="137">
        <v>0.1666667</v>
      </c>
      <c r="AG301" s="143" t="s">
        <v>793</v>
      </c>
      <c r="AH301" s="143" t="s">
        <v>794</v>
      </c>
      <c r="AI301" s="143" t="s">
        <v>728</v>
      </c>
      <c r="AJ301" s="143">
        <v>3461</v>
      </c>
      <c r="AK301" s="143">
        <v>2</v>
      </c>
      <c r="AL301" s="156">
        <v>2</v>
      </c>
      <c r="AM301" s="156">
        <v>3</v>
      </c>
      <c r="AN301" s="156">
        <v>3</v>
      </c>
      <c r="AO301" s="156">
        <v>3</v>
      </c>
      <c r="AP301" s="156">
        <v>3</v>
      </c>
      <c r="AQ301" s="156">
        <v>3</v>
      </c>
      <c r="AR301" s="156">
        <v>3</v>
      </c>
      <c r="AS301" s="169">
        <v>3</v>
      </c>
    </row>
    <row r="302" spans="1:45" x14ac:dyDescent="0.25">
      <c r="A302" s="143" t="s">
        <v>793</v>
      </c>
      <c r="B302" s="143" t="s">
        <v>794</v>
      </c>
      <c r="C302" s="143" t="s">
        <v>680</v>
      </c>
      <c r="D302" s="143">
        <v>3859</v>
      </c>
      <c r="E302" s="143">
        <v>2</v>
      </c>
      <c r="F302" s="137">
        <v>1</v>
      </c>
      <c r="G302" s="137">
        <v>1</v>
      </c>
      <c r="H302" s="137">
        <v>1</v>
      </c>
      <c r="I302" s="137">
        <v>0</v>
      </c>
      <c r="K302" s="143" t="s">
        <v>793</v>
      </c>
      <c r="L302" s="143" t="s">
        <v>794</v>
      </c>
      <c r="M302" s="143" t="s">
        <v>680</v>
      </c>
      <c r="N302" s="143">
        <v>3859</v>
      </c>
      <c r="O302" s="354">
        <v>0.39480520000000002</v>
      </c>
      <c r="P302" s="354">
        <v>0.6</v>
      </c>
      <c r="Q302" s="354">
        <v>0.99480519999999995</v>
      </c>
      <c r="R302" s="137" t="s">
        <v>3185</v>
      </c>
      <c r="S302" s="137">
        <v>0.4</v>
      </c>
      <c r="T302" s="137" t="s">
        <v>3184</v>
      </c>
      <c r="W302" s="143" t="s">
        <v>793</v>
      </c>
      <c r="X302" s="143" t="s">
        <v>794</v>
      </c>
      <c r="Y302" s="143" t="s">
        <v>680</v>
      </c>
      <c r="Z302" s="143">
        <v>3859</v>
      </c>
      <c r="AA302" s="143">
        <v>0</v>
      </c>
      <c r="AD302" s="137">
        <v>0</v>
      </c>
      <c r="AG302" s="143" t="s">
        <v>793</v>
      </c>
      <c r="AH302" s="143" t="s">
        <v>794</v>
      </c>
      <c r="AI302" s="143" t="s">
        <v>680</v>
      </c>
      <c r="AJ302" s="143">
        <v>3859</v>
      </c>
      <c r="AK302" s="143">
        <v>2</v>
      </c>
      <c r="AL302" s="156">
        <v>3</v>
      </c>
      <c r="AM302" s="156">
        <v>3.5</v>
      </c>
      <c r="AN302" s="156">
        <v>3</v>
      </c>
      <c r="AO302" s="156">
        <v>3</v>
      </c>
      <c r="AP302" s="156">
        <v>2</v>
      </c>
      <c r="AQ302" s="156">
        <v>2.5</v>
      </c>
      <c r="AR302" s="156">
        <v>2.5</v>
      </c>
      <c r="AS302" s="169">
        <v>2.6428569999999998</v>
      </c>
    </row>
    <row r="303" spans="1:45" x14ac:dyDescent="0.25">
      <c r="A303" s="143" t="s">
        <v>793</v>
      </c>
      <c r="B303" s="143" t="s">
        <v>794</v>
      </c>
      <c r="C303" s="143" t="s">
        <v>680</v>
      </c>
      <c r="D303" s="143">
        <v>3861</v>
      </c>
      <c r="E303" s="143">
        <v>2</v>
      </c>
      <c r="F303" s="137">
        <v>1</v>
      </c>
      <c r="G303" s="137">
        <v>1</v>
      </c>
      <c r="H303" s="137">
        <v>1</v>
      </c>
      <c r="I303" s="137">
        <v>0</v>
      </c>
      <c r="K303" s="143" t="s">
        <v>793</v>
      </c>
      <c r="L303" s="143" t="s">
        <v>794</v>
      </c>
      <c r="M303" s="143" t="s">
        <v>680</v>
      </c>
      <c r="N303" s="143">
        <v>3861</v>
      </c>
      <c r="O303" s="354">
        <v>0.1246753</v>
      </c>
      <c r="P303" s="354">
        <v>0.6</v>
      </c>
      <c r="Q303" s="354">
        <v>0.72467539999999997</v>
      </c>
      <c r="R303" s="137" t="s">
        <v>3185</v>
      </c>
      <c r="S303" s="137">
        <v>0.6</v>
      </c>
      <c r="T303" s="137" t="s">
        <v>3184</v>
      </c>
      <c r="W303" s="143" t="s">
        <v>793</v>
      </c>
      <c r="X303" s="143" t="s">
        <v>794</v>
      </c>
      <c r="Y303" s="143" t="s">
        <v>680</v>
      </c>
      <c r="Z303" s="143">
        <v>3861</v>
      </c>
      <c r="AA303" s="143">
        <v>0</v>
      </c>
      <c r="AD303" s="137">
        <v>0</v>
      </c>
      <c r="AE303" s="137">
        <v>0.2</v>
      </c>
      <c r="AG303" s="143" t="s">
        <v>793</v>
      </c>
      <c r="AH303" s="143" t="s">
        <v>794</v>
      </c>
      <c r="AI303" s="143" t="s">
        <v>680</v>
      </c>
      <c r="AJ303" s="143">
        <v>3861</v>
      </c>
      <c r="AK303" s="143">
        <v>2</v>
      </c>
      <c r="AL303" s="156">
        <v>2</v>
      </c>
      <c r="AM303" s="156">
        <v>3.5</v>
      </c>
      <c r="AN303" s="156">
        <v>3</v>
      </c>
      <c r="AO303" s="156">
        <v>3</v>
      </c>
      <c r="AP303" s="156">
        <v>2</v>
      </c>
      <c r="AQ303" s="156">
        <v>2.5</v>
      </c>
      <c r="AR303" s="156">
        <v>3</v>
      </c>
      <c r="AS303" s="169">
        <v>2.8571430000000002</v>
      </c>
    </row>
    <row r="304" spans="1:45" x14ac:dyDescent="0.25">
      <c r="A304" s="143" t="s">
        <v>793</v>
      </c>
      <c r="B304" s="143" t="s">
        <v>794</v>
      </c>
      <c r="C304" s="143" t="s">
        <v>680</v>
      </c>
      <c r="D304" s="143">
        <v>3862</v>
      </c>
      <c r="E304" s="143">
        <v>2</v>
      </c>
      <c r="F304" s="137">
        <v>1</v>
      </c>
      <c r="G304" s="137">
        <v>1</v>
      </c>
      <c r="H304" s="137">
        <v>1</v>
      </c>
      <c r="I304" s="137">
        <v>0</v>
      </c>
      <c r="K304" s="143" t="s">
        <v>793</v>
      </c>
      <c r="L304" s="143" t="s">
        <v>794</v>
      </c>
      <c r="M304" s="143" t="s">
        <v>680</v>
      </c>
      <c r="N304" s="143">
        <v>3862</v>
      </c>
      <c r="O304" s="354">
        <v>0.4</v>
      </c>
      <c r="P304" s="354">
        <v>0.6</v>
      </c>
      <c r="Q304" s="354">
        <v>1</v>
      </c>
      <c r="R304" s="137" t="s">
        <v>3184</v>
      </c>
      <c r="S304" s="137">
        <v>0.5</v>
      </c>
      <c r="T304" s="137" t="s">
        <v>3184</v>
      </c>
      <c r="W304" s="143" t="s">
        <v>793</v>
      </c>
      <c r="X304" s="143" t="s">
        <v>794</v>
      </c>
      <c r="Y304" s="143" t="s">
        <v>680</v>
      </c>
      <c r="Z304" s="143">
        <v>3862</v>
      </c>
      <c r="AA304" s="143">
        <v>0</v>
      </c>
      <c r="AD304" s="137">
        <v>0</v>
      </c>
      <c r="AE304" s="137">
        <v>0.25</v>
      </c>
      <c r="AG304" s="143" t="s">
        <v>793</v>
      </c>
      <c r="AH304" s="143" t="s">
        <v>794</v>
      </c>
      <c r="AI304" s="143" t="s">
        <v>680</v>
      </c>
      <c r="AJ304" s="143">
        <v>3862</v>
      </c>
      <c r="AK304" s="143">
        <v>2</v>
      </c>
      <c r="AL304" s="156">
        <v>2</v>
      </c>
      <c r="AM304" s="156">
        <v>3</v>
      </c>
      <c r="AN304" s="156">
        <v>3</v>
      </c>
      <c r="AO304" s="156">
        <v>3</v>
      </c>
      <c r="AP304" s="156">
        <v>3</v>
      </c>
      <c r="AQ304" s="156">
        <v>3</v>
      </c>
      <c r="AR304" s="156">
        <v>3</v>
      </c>
      <c r="AS304" s="169">
        <v>3</v>
      </c>
    </row>
    <row r="305" spans="1:45" x14ac:dyDescent="0.25">
      <c r="A305" s="143" t="s">
        <v>793</v>
      </c>
      <c r="B305" s="143" t="s">
        <v>794</v>
      </c>
      <c r="C305" s="143" t="s">
        <v>680</v>
      </c>
      <c r="D305" s="143">
        <v>3950</v>
      </c>
      <c r="E305" s="143">
        <v>2</v>
      </c>
      <c r="F305" s="137">
        <v>1</v>
      </c>
      <c r="G305" s="137">
        <v>1</v>
      </c>
      <c r="H305" s="137">
        <v>1</v>
      </c>
      <c r="I305" s="137">
        <v>0</v>
      </c>
      <c r="K305" s="143" t="s">
        <v>793</v>
      </c>
      <c r="L305" s="143" t="s">
        <v>794</v>
      </c>
      <c r="M305" s="143" t="s">
        <v>680</v>
      </c>
      <c r="N305" s="143">
        <v>3950</v>
      </c>
      <c r="O305" s="354">
        <v>0.39740259999999999</v>
      </c>
      <c r="P305" s="354">
        <v>0.6</v>
      </c>
      <c r="Q305" s="137">
        <v>0.99740260000000003</v>
      </c>
      <c r="R305" s="137" t="s">
        <v>3185</v>
      </c>
      <c r="S305" s="137">
        <v>0.4</v>
      </c>
      <c r="T305" s="137" t="s">
        <v>3184</v>
      </c>
      <c r="W305" s="143" t="s">
        <v>793</v>
      </c>
      <c r="X305" s="143" t="s">
        <v>794</v>
      </c>
      <c r="Y305" s="143" t="s">
        <v>680</v>
      </c>
      <c r="Z305" s="143">
        <v>3950</v>
      </c>
      <c r="AA305" s="143">
        <v>0</v>
      </c>
      <c r="AD305" s="137">
        <v>0</v>
      </c>
      <c r="AG305" s="143" t="s">
        <v>793</v>
      </c>
      <c r="AH305" s="143" t="s">
        <v>794</v>
      </c>
      <c r="AI305" s="143" t="s">
        <v>680</v>
      </c>
      <c r="AJ305" s="143">
        <v>3950</v>
      </c>
      <c r="AK305" s="143">
        <v>2</v>
      </c>
      <c r="AL305" s="156">
        <v>2</v>
      </c>
      <c r="AM305" s="156">
        <v>3</v>
      </c>
      <c r="AN305" s="156">
        <v>3</v>
      </c>
      <c r="AO305" s="156">
        <v>3</v>
      </c>
      <c r="AP305" s="156">
        <v>2</v>
      </c>
      <c r="AQ305" s="156">
        <v>2.5</v>
      </c>
      <c r="AR305" s="156">
        <v>3</v>
      </c>
      <c r="AS305" s="169">
        <v>2.785714</v>
      </c>
    </row>
    <row r="306" spans="1:45" x14ac:dyDescent="0.25">
      <c r="A306" s="143" t="s">
        <v>793</v>
      </c>
      <c r="B306" s="143" t="s">
        <v>794</v>
      </c>
      <c r="C306" s="143" t="s">
        <v>680</v>
      </c>
      <c r="D306" s="143">
        <v>4103</v>
      </c>
      <c r="E306" s="143">
        <v>2</v>
      </c>
      <c r="F306" s="137">
        <v>1</v>
      </c>
      <c r="G306" s="137">
        <v>1</v>
      </c>
      <c r="H306" s="137">
        <v>1</v>
      </c>
      <c r="I306" s="137">
        <v>0</v>
      </c>
      <c r="K306" s="143" t="s">
        <v>793</v>
      </c>
      <c r="L306" s="143" t="s">
        <v>794</v>
      </c>
      <c r="M306" s="143" t="s">
        <v>680</v>
      </c>
      <c r="N306" s="143">
        <v>4103</v>
      </c>
      <c r="O306" s="354">
        <v>0.2935065</v>
      </c>
      <c r="P306" s="354">
        <v>0.6</v>
      </c>
      <c r="Q306" s="354">
        <v>0.89350649999999998</v>
      </c>
      <c r="R306" s="137" t="s">
        <v>3185</v>
      </c>
      <c r="S306" s="137">
        <v>0.5</v>
      </c>
      <c r="T306" s="137" t="s">
        <v>3184</v>
      </c>
      <c r="W306" s="143" t="s">
        <v>793</v>
      </c>
      <c r="X306" s="143" t="s">
        <v>794</v>
      </c>
      <c r="Y306" s="143" t="s">
        <v>680</v>
      </c>
      <c r="Z306" s="143">
        <v>4103</v>
      </c>
      <c r="AA306" s="143">
        <v>0</v>
      </c>
      <c r="AD306" s="137">
        <v>0</v>
      </c>
      <c r="AG306" s="143" t="s">
        <v>793</v>
      </c>
      <c r="AH306" s="143" t="s">
        <v>794</v>
      </c>
      <c r="AI306" s="143" t="s">
        <v>680</v>
      </c>
      <c r="AJ306" s="143">
        <v>4103</v>
      </c>
      <c r="AK306" s="143">
        <v>2</v>
      </c>
      <c r="AL306" s="156">
        <v>2</v>
      </c>
      <c r="AM306" s="156">
        <v>3</v>
      </c>
      <c r="AN306" s="156">
        <v>3</v>
      </c>
      <c r="AO306" s="156">
        <v>3</v>
      </c>
      <c r="AP306" s="156">
        <v>3</v>
      </c>
      <c r="AQ306" s="156">
        <v>3</v>
      </c>
      <c r="AR306" s="156">
        <v>4</v>
      </c>
      <c r="AS306" s="169">
        <v>3.1428569999999998</v>
      </c>
    </row>
    <row r="307" spans="1:45" x14ac:dyDescent="0.25">
      <c r="A307" s="143" t="s">
        <v>793</v>
      </c>
      <c r="B307" s="143" t="s">
        <v>794</v>
      </c>
      <c r="C307" s="143" t="s">
        <v>680</v>
      </c>
      <c r="D307" s="143">
        <v>4104</v>
      </c>
      <c r="E307" s="143">
        <v>2</v>
      </c>
      <c r="F307" s="137">
        <v>1</v>
      </c>
      <c r="G307" s="137">
        <v>1</v>
      </c>
      <c r="H307" s="137">
        <v>1</v>
      </c>
      <c r="I307" s="137">
        <v>0</v>
      </c>
      <c r="K307" s="143" t="s">
        <v>793</v>
      </c>
      <c r="L307" s="143" t="s">
        <v>794</v>
      </c>
      <c r="M307" s="143" t="s">
        <v>680</v>
      </c>
      <c r="N307" s="143">
        <v>4104</v>
      </c>
      <c r="O307" s="354">
        <v>0.4</v>
      </c>
      <c r="P307" s="354">
        <v>0.6</v>
      </c>
      <c r="Q307" s="354">
        <v>1</v>
      </c>
      <c r="R307" s="137" t="s">
        <v>3184</v>
      </c>
      <c r="S307" s="137">
        <v>0.5</v>
      </c>
      <c r="T307" s="137" t="s">
        <v>3184</v>
      </c>
      <c r="W307" s="143" t="s">
        <v>793</v>
      </c>
      <c r="X307" s="143" t="s">
        <v>794</v>
      </c>
      <c r="Y307" s="143" t="s">
        <v>680</v>
      </c>
      <c r="Z307" s="143">
        <v>4104</v>
      </c>
      <c r="AA307" s="143">
        <v>0</v>
      </c>
      <c r="AD307" s="137">
        <v>0</v>
      </c>
      <c r="AG307" s="143" t="s">
        <v>793</v>
      </c>
      <c r="AH307" s="143" t="s">
        <v>794</v>
      </c>
      <c r="AI307" s="143" t="s">
        <v>680</v>
      </c>
      <c r="AJ307" s="143">
        <v>4104</v>
      </c>
      <c r="AK307" s="143">
        <v>2</v>
      </c>
      <c r="AL307" s="156">
        <v>2.5</v>
      </c>
      <c r="AM307" s="156">
        <v>3.5</v>
      </c>
      <c r="AN307" s="156">
        <v>3.5</v>
      </c>
      <c r="AO307" s="156">
        <v>3.5</v>
      </c>
      <c r="AP307" s="156">
        <v>2</v>
      </c>
      <c r="AQ307" s="156">
        <v>3</v>
      </c>
      <c r="AR307" s="156">
        <v>3</v>
      </c>
      <c r="AS307" s="169">
        <v>3</v>
      </c>
    </row>
    <row r="308" spans="1:45" x14ac:dyDescent="0.25">
      <c r="A308" s="143" t="s">
        <v>793</v>
      </c>
      <c r="B308" s="143" t="s">
        <v>794</v>
      </c>
      <c r="C308" s="143" t="s">
        <v>728</v>
      </c>
      <c r="D308" s="143">
        <v>10307</v>
      </c>
      <c r="E308" s="143">
        <v>2</v>
      </c>
      <c r="F308" s="137">
        <v>1</v>
      </c>
      <c r="G308" s="137">
        <v>1</v>
      </c>
      <c r="H308" s="137">
        <v>1</v>
      </c>
      <c r="I308" s="137">
        <v>0</v>
      </c>
      <c r="K308" s="143" t="s">
        <v>793</v>
      </c>
      <c r="L308" s="143" t="s">
        <v>794</v>
      </c>
      <c r="M308" s="143" t="s">
        <v>728</v>
      </c>
      <c r="N308" s="143">
        <v>10307</v>
      </c>
      <c r="O308" s="354">
        <v>0.4</v>
      </c>
      <c r="P308" s="354">
        <v>0.6</v>
      </c>
      <c r="Q308" s="354">
        <v>1</v>
      </c>
      <c r="R308" s="137" t="s">
        <v>3184</v>
      </c>
      <c r="S308" s="137">
        <v>0.6</v>
      </c>
      <c r="T308" s="137" t="s">
        <v>3184</v>
      </c>
      <c r="U308" s="137" t="s">
        <v>3184</v>
      </c>
      <c r="W308" s="143" t="s">
        <v>793</v>
      </c>
      <c r="X308" s="143" t="s">
        <v>794</v>
      </c>
      <c r="Y308" s="143" t="s">
        <v>728</v>
      </c>
      <c r="Z308" s="143">
        <v>10307</v>
      </c>
      <c r="AA308" s="143">
        <v>0</v>
      </c>
      <c r="AD308" s="137">
        <v>0</v>
      </c>
      <c r="AE308" s="137">
        <v>0.2</v>
      </c>
      <c r="AG308" s="143" t="s">
        <v>793</v>
      </c>
      <c r="AH308" s="143" t="s">
        <v>794</v>
      </c>
      <c r="AI308" s="143" t="s">
        <v>728</v>
      </c>
      <c r="AJ308" s="143">
        <v>10307</v>
      </c>
      <c r="AK308" s="143">
        <v>2</v>
      </c>
      <c r="AL308" s="156">
        <v>2.5</v>
      </c>
      <c r="AM308" s="156">
        <v>3</v>
      </c>
      <c r="AN308" s="156">
        <v>3</v>
      </c>
      <c r="AO308" s="156">
        <v>3</v>
      </c>
      <c r="AP308" s="156">
        <v>3</v>
      </c>
      <c r="AQ308" s="156">
        <v>3</v>
      </c>
      <c r="AR308" s="156">
        <v>3.5</v>
      </c>
      <c r="AS308" s="169">
        <v>3</v>
      </c>
    </row>
    <row r="309" spans="1:45" x14ac:dyDescent="0.25">
      <c r="A309" s="143" t="s">
        <v>793</v>
      </c>
      <c r="B309" s="143" t="s">
        <v>794</v>
      </c>
      <c r="C309" s="143" t="s">
        <v>728</v>
      </c>
      <c r="D309" s="143">
        <v>10310</v>
      </c>
      <c r="E309" s="143">
        <v>2</v>
      </c>
      <c r="F309" s="137">
        <v>1</v>
      </c>
      <c r="G309" s="137">
        <v>1</v>
      </c>
      <c r="H309" s="137">
        <v>1</v>
      </c>
      <c r="I309" s="137">
        <v>0</v>
      </c>
      <c r="K309" s="143" t="s">
        <v>793</v>
      </c>
      <c r="L309" s="143" t="s">
        <v>794</v>
      </c>
      <c r="M309" s="143" t="s">
        <v>728</v>
      </c>
      <c r="N309" s="143">
        <v>10310</v>
      </c>
      <c r="O309" s="354">
        <v>0.361039</v>
      </c>
      <c r="P309" s="354">
        <v>0.6</v>
      </c>
      <c r="Q309" s="354">
        <v>0.96103899999999998</v>
      </c>
      <c r="R309" s="137" t="s">
        <v>3185</v>
      </c>
      <c r="S309" s="137">
        <v>0.66666669999999995</v>
      </c>
      <c r="T309" s="137" t="s">
        <v>3184</v>
      </c>
      <c r="U309" s="137" t="s">
        <v>3184</v>
      </c>
      <c r="W309" s="143" t="s">
        <v>793</v>
      </c>
      <c r="X309" s="143" t="s">
        <v>794</v>
      </c>
      <c r="Y309" s="143" t="s">
        <v>728</v>
      </c>
      <c r="Z309" s="143">
        <v>10310</v>
      </c>
      <c r="AA309" s="143">
        <v>0</v>
      </c>
      <c r="AD309" s="137">
        <v>0</v>
      </c>
      <c r="AE309" s="137">
        <v>0.1666667</v>
      </c>
      <c r="AG309" s="143" t="s">
        <v>793</v>
      </c>
      <c r="AH309" s="143" t="s">
        <v>794</v>
      </c>
      <c r="AI309" s="143" t="s">
        <v>728</v>
      </c>
      <c r="AJ309" s="143">
        <v>10310</v>
      </c>
      <c r="AK309" s="143">
        <v>2</v>
      </c>
      <c r="AL309" s="156">
        <v>2</v>
      </c>
      <c r="AM309" s="156">
        <v>3</v>
      </c>
      <c r="AN309" s="156">
        <v>3</v>
      </c>
      <c r="AO309" s="156">
        <v>3</v>
      </c>
      <c r="AP309" s="156">
        <v>3</v>
      </c>
      <c r="AQ309" s="156">
        <v>3</v>
      </c>
      <c r="AR309" s="156">
        <v>3.5</v>
      </c>
      <c r="AS309" s="169">
        <v>3.0714290000000002</v>
      </c>
    </row>
    <row r="310" spans="1:45" x14ac:dyDescent="0.25">
      <c r="A310" s="143" t="s">
        <v>795</v>
      </c>
      <c r="B310" s="143" t="s">
        <v>761</v>
      </c>
      <c r="C310" s="143" t="s">
        <v>728</v>
      </c>
      <c r="D310" s="143">
        <v>204</v>
      </c>
      <c r="E310" s="143">
        <v>2</v>
      </c>
      <c r="F310" s="137">
        <v>1</v>
      </c>
      <c r="G310" s="137">
        <v>1</v>
      </c>
      <c r="H310" s="137">
        <v>1</v>
      </c>
      <c r="I310" s="137">
        <v>0</v>
      </c>
      <c r="K310" s="143" t="s">
        <v>795</v>
      </c>
      <c r="L310" s="143" t="s">
        <v>761</v>
      </c>
      <c r="M310" s="143" t="s">
        <v>728</v>
      </c>
      <c r="N310" s="143">
        <v>204</v>
      </c>
      <c r="O310" s="354">
        <v>0.4</v>
      </c>
      <c r="P310" s="354">
        <v>0.6</v>
      </c>
      <c r="Q310" s="354">
        <v>1</v>
      </c>
      <c r="R310" s="137" t="s">
        <v>3184</v>
      </c>
      <c r="S310" s="137">
        <v>0.42857139999999999</v>
      </c>
      <c r="T310" s="137" t="s">
        <v>3184</v>
      </c>
      <c r="U310" s="137" t="s">
        <v>3184</v>
      </c>
      <c r="W310" s="143" t="s">
        <v>795</v>
      </c>
      <c r="X310" s="143" t="s">
        <v>761</v>
      </c>
      <c r="Y310" s="143" t="s">
        <v>728</v>
      </c>
      <c r="Z310" s="143">
        <v>204</v>
      </c>
      <c r="AA310" s="143">
        <v>0</v>
      </c>
      <c r="AD310" s="137">
        <v>0</v>
      </c>
      <c r="AE310" s="137">
        <v>0.28571429999999998</v>
      </c>
      <c r="AG310" s="143" t="s">
        <v>795</v>
      </c>
      <c r="AH310" s="143" t="s">
        <v>761</v>
      </c>
      <c r="AI310" s="143" t="s">
        <v>728</v>
      </c>
      <c r="AJ310" s="143">
        <v>204</v>
      </c>
      <c r="AK310" s="143">
        <v>2</v>
      </c>
      <c r="AL310" s="156">
        <v>1</v>
      </c>
      <c r="AM310" s="156">
        <v>2.5</v>
      </c>
      <c r="AN310" s="156">
        <v>2.5</v>
      </c>
      <c r="AO310" s="156">
        <v>2</v>
      </c>
      <c r="AP310" s="156">
        <v>2</v>
      </c>
      <c r="AQ310" s="156">
        <v>2.5</v>
      </c>
      <c r="AR310" s="156">
        <v>3</v>
      </c>
      <c r="AS310" s="169">
        <v>2.6428569999999998</v>
      </c>
    </row>
    <row r="311" spans="1:45" x14ac:dyDescent="0.25">
      <c r="A311" s="143" t="s">
        <v>795</v>
      </c>
      <c r="B311" s="143" t="s">
        <v>761</v>
      </c>
      <c r="C311" s="143" t="s">
        <v>729</v>
      </c>
      <c r="D311" s="143">
        <v>213</v>
      </c>
      <c r="E311" s="143">
        <v>8</v>
      </c>
      <c r="F311" s="137">
        <v>1</v>
      </c>
      <c r="G311" s="137">
        <v>1</v>
      </c>
      <c r="H311" s="137">
        <v>0</v>
      </c>
      <c r="I311" s="137">
        <v>0</v>
      </c>
      <c r="K311" s="143" t="s">
        <v>795</v>
      </c>
      <c r="L311" s="143" t="s">
        <v>761</v>
      </c>
      <c r="M311" s="143" t="s">
        <v>729</v>
      </c>
      <c r="N311" s="143">
        <v>213</v>
      </c>
      <c r="O311" s="354">
        <v>0.39870129999999998</v>
      </c>
      <c r="P311" s="354">
        <v>0.6</v>
      </c>
      <c r="Q311" s="354">
        <v>0.99870130000000001</v>
      </c>
      <c r="R311" s="137" t="s">
        <v>3185</v>
      </c>
      <c r="S311" s="137">
        <v>0.36734689999999998</v>
      </c>
      <c r="T311" s="137" t="s">
        <v>3184</v>
      </c>
      <c r="U311" s="137" t="s">
        <v>3184</v>
      </c>
      <c r="W311" s="143" t="s">
        <v>795</v>
      </c>
      <c r="X311" s="143" t="s">
        <v>761</v>
      </c>
      <c r="Y311" s="143" t="s">
        <v>729</v>
      </c>
      <c r="Z311" s="143">
        <v>213</v>
      </c>
      <c r="AA311" s="143">
        <v>8</v>
      </c>
      <c r="AB311" s="137">
        <v>0.875</v>
      </c>
      <c r="AC311" s="137">
        <v>0</v>
      </c>
      <c r="AD311" s="137">
        <v>0.36734689999999998</v>
      </c>
      <c r="AE311" s="137">
        <v>0</v>
      </c>
      <c r="AG311" s="143" t="s">
        <v>795</v>
      </c>
      <c r="AH311" s="143" t="s">
        <v>761</v>
      </c>
      <c r="AI311" s="143" t="s">
        <v>729</v>
      </c>
      <c r="AJ311" s="143">
        <v>213</v>
      </c>
      <c r="AK311" s="143">
        <v>8</v>
      </c>
      <c r="AL311" s="156">
        <v>1</v>
      </c>
      <c r="AM311" s="156">
        <v>3</v>
      </c>
      <c r="AN311" s="156">
        <v>2.75</v>
      </c>
      <c r="AO311" s="156">
        <v>2.625</v>
      </c>
      <c r="AP311" s="156">
        <v>2.25</v>
      </c>
      <c r="AQ311" s="156">
        <v>2.75</v>
      </c>
      <c r="AR311" s="156">
        <v>3</v>
      </c>
      <c r="AS311" s="169">
        <v>2.910714</v>
      </c>
    </row>
    <row r="312" spans="1:45" x14ac:dyDescent="0.25">
      <c r="A312" s="143" t="s">
        <v>795</v>
      </c>
      <c r="B312" s="143" t="s">
        <v>761</v>
      </c>
      <c r="C312" s="143" t="s">
        <v>727</v>
      </c>
      <c r="D312" s="143">
        <v>223</v>
      </c>
      <c r="E312" s="143">
        <v>3</v>
      </c>
      <c r="F312" s="137">
        <v>1</v>
      </c>
      <c r="G312" s="137">
        <v>1</v>
      </c>
      <c r="H312" s="137">
        <v>1</v>
      </c>
      <c r="I312" s="137">
        <v>0</v>
      </c>
      <c r="K312" s="143" t="s">
        <v>795</v>
      </c>
      <c r="L312" s="143" t="s">
        <v>761</v>
      </c>
      <c r="M312" s="143" t="s">
        <v>727</v>
      </c>
      <c r="N312" s="143">
        <v>223</v>
      </c>
      <c r="O312" s="354">
        <v>0.4</v>
      </c>
      <c r="P312" s="354">
        <v>0.6</v>
      </c>
      <c r="Q312" s="354">
        <v>1</v>
      </c>
      <c r="R312" s="137" t="s">
        <v>3184</v>
      </c>
      <c r="S312" s="137">
        <v>0.375</v>
      </c>
      <c r="T312" s="137" t="s">
        <v>3184</v>
      </c>
      <c r="U312" s="137" t="s">
        <v>3184</v>
      </c>
      <c r="W312" s="143" t="s">
        <v>795</v>
      </c>
      <c r="X312" s="143" t="s">
        <v>761</v>
      </c>
      <c r="Y312" s="143" t="s">
        <v>727</v>
      </c>
      <c r="Z312" s="143">
        <v>223</v>
      </c>
      <c r="AA312" s="143">
        <v>0</v>
      </c>
      <c r="AD312" s="137">
        <v>0</v>
      </c>
      <c r="AE312" s="137">
        <v>6.25E-2</v>
      </c>
      <c r="AG312" s="143" t="s">
        <v>795</v>
      </c>
      <c r="AH312" s="143" t="s">
        <v>761</v>
      </c>
      <c r="AI312" s="143" t="s">
        <v>727</v>
      </c>
      <c r="AJ312" s="143">
        <v>223</v>
      </c>
      <c r="AK312" s="143">
        <v>3</v>
      </c>
      <c r="AL312" s="156">
        <v>2.3333332538604701</v>
      </c>
      <c r="AM312" s="156">
        <v>3</v>
      </c>
      <c r="AN312" s="156">
        <v>3</v>
      </c>
      <c r="AO312" s="156">
        <v>3</v>
      </c>
      <c r="AP312" s="156">
        <v>3</v>
      </c>
      <c r="AQ312" s="156">
        <v>2.6666667461395299</v>
      </c>
      <c r="AR312" s="156">
        <v>3</v>
      </c>
      <c r="AS312" s="169">
        <v>2.9047619999999998</v>
      </c>
    </row>
    <row r="313" spans="1:45" x14ac:dyDescent="0.25">
      <c r="A313" s="143" t="s">
        <v>795</v>
      </c>
      <c r="B313" s="143" t="s">
        <v>761</v>
      </c>
      <c r="C313" s="143" t="s">
        <v>728</v>
      </c>
      <c r="D313" s="143">
        <v>1060</v>
      </c>
      <c r="E313" s="143">
        <v>2</v>
      </c>
      <c r="F313" s="137">
        <v>1</v>
      </c>
      <c r="G313" s="137">
        <v>1</v>
      </c>
      <c r="H313" s="137">
        <v>1</v>
      </c>
      <c r="I313" s="137">
        <v>0</v>
      </c>
      <c r="K313" s="143" t="s">
        <v>795</v>
      </c>
      <c r="L313" s="143" t="s">
        <v>761</v>
      </c>
      <c r="M313" s="143" t="s">
        <v>728</v>
      </c>
      <c r="N313" s="143">
        <v>1060</v>
      </c>
      <c r="O313" s="354">
        <v>0.4</v>
      </c>
      <c r="P313" s="354">
        <v>0.6</v>
      </c>
      <c r="Q313" s="354">
        <v>1</v>
      </c>
      <c r="R313" s="137" t="s">
        <v>3184</v>
      </c>
      <c r="S313" s="137">
        <v>0.5</v>
      </c>
      <c r="T313" s="137" t="s">
        <v>3184</v>
      </c>
      <c r="U313" s="137" t="s">
        <v>3184</v>
      </c>
      <c r="W313" s="143" t="s">
        <v>795</v>
      </c>
      <c r="X313" s="143" t="s">
        <v>761</v>
      </c>
      <c r="Y313" s="143" t="s">
        <v>728</v>
      </c>
      <c r="Z313" s="143">
        <v>1060</v>
      </c>
      <c r="AA313" s="143">
        <v>0</v>
      </c>
      <c r="AD313" s="137">
        <v>0.3333333</v>
      </c>
      <c r="AE313" s="137">
        <v>0</v>
      </c>
      <c r="AG313" s="143" t="s">
        <v>795</v>
      </c>
      <c r="AH313" s="143" t="s">
        <v>761</v>
      </c>
      <c r="AI313" s="143" t="s">
        <v>728</v>
      </c>
      <c r="AJ313" s="143">
        <v>1060</v>
      </c>
      <c r="AK313" s="143">
        <v>2</v>
      </c>
      <c r="AL313" s="156">
        <v>1</v>
      </c>
      <c r="AM313" s="156">
        <v>3</v>
      </c>
      <c r="AN313" s="156">
        <v>2.5</v>
      </c>
      <c r="AO313" s="156">
        <v>2.5</v>
      </c>
      <c r="AP313" s="156">
        <v>2</v>
      </c>
      <c r="AQ313" s="156">
        <v>2.5</v>
      </c>
      <c r="AR313" s="156">
        <v>3</v>
      </c>
      <c r="AS313" s="169">
        <v>2.785714</v>
      </c>
    </row>
    <row r="314" spans="1:45" x14ac:dyDescent="0.25">
      <c r="A314" s="143" t="s">
        <v>795</v>
      </c>
      <c r="B314" s="143" t="s">
        <v>761</v>
      </c>
      <c r="C314" s="143" t="s">
        <v>728</v>
      </c>
      <c r="D314" s="143">
        <v>1812</v>
      </c>
      <c r="E314" s="143">
        <v>2</v>
      </c>
      <c r="F314" s="137">
        <v>1</v>
      </c>
      <c r="G314" s="137">
        <v>1</v>
      </c>
      <c r="H314" s="137">
        <v>1</v>
      </c>
      <c r="I314" s="137">
        <v>0</v>
      </c>
      <c r="K314" s="143" t="s">
        <v>795</v>
      </c>
      <c r="L314" s="143" t="s">
        <v>761</v>
      </c>
      <c r="M314" s="143" t="s">
        <v>728</v>
      </c>
      <c r="N314" s="143">
        <v>1812</v>
      </c>
      <c r="O314" s="354">
        <v>0.4</v>
      </c>
      <c r="P314" s="354">
        <v>0.6</v>
      </c>
      <c r="Q314" s="354">
        <v>1</v>
      </c>
      <c r="R314" s="137" t="s">
        <v>3184</v>
      </c>
      <c r="S314" s="137">
        <v>0.42857139999999999</v>
      </c>
      <c r="T314" s="137" t="s">
        <v>3184</v>
      </c>
      <c r="U314" s="137" t="s">
        <v>3184</v>
      </c>
      <c r="W314" s="143" t="s">
        <v>795</v>
      </c>
      <c r="X314" s="143" t="s">
        <v>761</v>
      </c>
      <c r="Y314" s="143" t="s">
        <v>728</v>
      </c>
      <c r="Z314" s="143">
        <v>1812</v>
      </c>
      <c r="AA314" s="143">
        <v>0</v>
      </c>
      <c r="AD314" s="137">
        <v>0</v>
      </c>
      <c r="AE314" s="137">
        <v>0.28571429999999998</v>
      </c>
      <c r="AG314" s="143" t="s">
        <v>795</v>
      </c>
      <c r="AH314" s="143" t="s">
        <v>761</v>
      </c>
      <c r="AI314" s="143" t="s">
        <v>728</v>
      </c>
      <c r="AJ314" s="143">
        <v>1812</v>
      </c>
      <c r="AK314" s="143">
        <v>2</v>
      </c>
      <c r="AL314" s="156">
        <v>3</v>
      </c>
      <c r="AM314" s="156">
        <v>3</v>
      </c>
      <c r="AN314" s="156">
        <v>3</v>
      </c>
      <c r="AO314" s="156">
        <v>3</v>
      </c>
      <c r="AP314" s="156">
        <v>3</v>
      </c>
      <c r="AQ314" s="156">
        <v>2.5</v>
      </c>
      <c r="AR314" s="156">
        <v>3</v>
      </c>
      <c r="AS314" s="169">
        <v>2.785714</v>
      </c>
    </row>
    <row r="315" spans="1:45" x14ac:dyDescent="0.25">
      <c r="A315" s="143" t="s">
        <v>795</v>
      </c>
      <c r="B315" s="143" t="s">
        <v>761</v>
      </c>
      <c r="C315" s="143" t="s">
        <v>680</v>
      </c>
      <c r="D315" s="143">
        <v>1814</v>
      </c>
      <c r="E315" s="143">
        <v>2</v>
      </c>
      <c r="F315" s="137">
        <v>1</v>
      </c>
      <c r="G315" s="137">
        <v>1</v>
      </c>
      <c r="H315" s="137">
        <v>1</v>
      </c>
      <c r="I315" s="137">
        <v>0</v>
      </c>
      <c r="K315" s="143" t="s">
        <v>795</v>
      </c>
      <c r="L315" s="143" t="s">
        <v>761</v>
      </c>
      <c r="M315" s="143" t="s">
        <v>680</v>
      </c>
      <c r="N315" s="143">
        <v>1814</v>
      </c>
      <c r="O315" s="354">
        <v>0.4</v>
      </c>
      <c r="P315" s="354">
        <v>0.6</v>
      </c>
      <c r="Q315" s="354">
        <v>1</v>
      </c>
      <c r="R315" s="137" t="s">
        <v>3184</v>
      </c>
      <c r="S315" s="137">
        <v>0.75</v>
      </c>
      <c r="T315" s="137" t="s">
        <v>3184</v>
      </c>
      <c r="W315" s="143" t="s">
        <v>795</v>
      </c>
      <c r="X315" s="143" t="s">
        <v>761</v>
      </c>
      <c r="Y315" s="143" t="s">
        <v>680</v>
      </c>
      <c r="Z315" s="143">
        <v>1814</v>
      </c>
      <c r="AA315" s="143">
        <v>0</v>
      </c>
      <c r="AD315" s="137">
        <v>0.5</v>
      </c>
      <c r="AE315" s="137">
        <v>0</v>
      </c>
      <c r="AG315" s="143" t="s">
        <v>795</v>
      </c>
      <c r="AH315" s="143" t="s">
        <v>761</v>
      </c>
      <c r="AI315" s="143" t="s">
        <v>680</v>
      </c>
      <c r="AJ315" s="143">
        <v>1814</v>
      </c>
      <c r="AK315" s="143">
        <v>2</v>
      </c>
      <c r="AL315" s="156">
        <v>2</v>
      </c>
      <c r="AM315" s="156">
        <v>3.5</v>
      </c>
      <c r="AN315" s="156">
        <v>3.5</v>
      </c>
      <c r="AO315" s="156">
        <v>3.5</v>
      </c>
      <c r="AP315" s="156">
        <v>4</v>
      </c>
      <c r="AQ315" s="156">
        <v>3</v>
      </c>
      <c r="AR315" s="156">
        <v>3.5</v>
      </c>
      <c r="AS315" s="169">
        <v>3.4285709999999998</v>
      </c>
    </row>
    <row r="316" spans="1:45" x14ac:dyDescent="0.25">
      <c r="A316" s="143" t="s">
        <v>795</v>
      </c>
      <c r="B316" s="143" t="s">
        <v>761</v>
      </c>
      <c r="C316" s="143" t="s">
        <v>680</v>
      </c>
      <c r="D316" s="143">
        <v>2349</v>
      </c>
      <c r="E316" s="143">
        <v>2</v>
      </c>
      <c r="F316" s="137">
        <v>1</v>
      </c>
      <c r="G316" s="137">
        <v>1</v>
      </c>
      <c r="H316" s="137">
        <v>1</v>
      </c>
      <c r="I316" s="137">
        <v>0</v>
      </c>
      <c r="K316" s="143" t="s">
        <v>795</v>
      </c>
      <c r="L316" s="143" t="s">
        <v>761</v>
      </c>
      <c r="M316" s="143" t="s">
        <v>680</v>
      </c>
      <c r="N316" s="143">
        <v>2349</v>
      </c>
      <c r="O316" s="354">
        <v>0.3298701</v>
      </c>
      <c r="P316" s="354">
        <v>0.3</v>
      </c>
      <c r="Q316" s="137">
        <v>0.62987020000000005</v>
      </c>
      <c r="R316" s="137" t="s">
        <v>3185</v>
      </c>
      <c r="S316" s="137">
        <v>0.75</v>
      </c>
      <c r="T316" s="137" t="s">
        <v>3184</v>
      </c>
      <c r="W316" s="143" t="s">
        <v>795</v>
      </c>
      <c r="X316" s="143" t="s">
        <v>761</v>
      </c>
      <c r="Y316" s="143" t="s">
        <v>680</v>
      </c>
      <c r="Z316" s="143">
        <v>2349</v>
      </c>
      <c r="AA316" s="143">
        <v>0</v>
      </c>
      <c r="AD316" s="137">
        <v>0</v>
      </c>
      <c r="AG316" s="143" t="s">
        <v>795</v>
      </c>
      <c r="AH316" s="143" t="s">
        <v>761</v>
      </c>
      <c r="AI316" s="143" t="s">
        <v>680</v>
      </c>
      <c r="AJ316" s="143">
        <v>2349</v>
      </c>
      <c r="AK316" s="143">
        <v>2</v>
      </c>
      <c r="AL316" s="156">
        <v>1.5</v>
      </c>
      <c r="AM316" s="156">
        <v>3</v>
      </c>
      <c r="AN316" s="156">
        <v>2</v>
      </c>
      <c r="AO316" s="156">
        <v>3</v>
      </c>
      <c r="AP316" s="156">
        <v>2</v>
      </c>
      <c r="AQ316" s="156">
        <v>3</v>
      </c>
      <c r="AR316" s="156">
        <v>3</v>
      </c>
      <c r="AS316" s="169">
        <v>2.785714</v>
      </c>
    </row>
    <row r="317" spans="1:45" x14ac:dyDescent="0.25">
      <c r="A317" s="143" t="s">
        <v>795</v>
      </c>
      <c r="B317" s="143" t="s">
        <v>761</v>
      </c>
      <c r="C317" s="143" t="s">
        <v>680</v>
      </c>
      <c r="D317" s="143">
        <v>2356</v>
      </c>
      <c r="E317" s="143">
        <v>2</v>
      </c>
      <c r="F317" s="137">
        <v>1</v>
      </c>
      <c r="G317" s="137">
        <v>1</v>
      </c>
      <c r="H317" s="137">
        <v>1</v>
      </c>
      <c r="I317" s="137">
        <v>0</v>
      </c>
      <c r="K317" s="143" t="s">
        <v>795</v>
      </c>
      <c r="L317" s="143" t="s">
        <v>761</v>
      </c>
      <c r="M317" s="143" t="s">
        <v>680</v>
      </c>
      <c r="N317" s="143">
        <v>2356</v>
      </c>
      <c r="O317" s="354">
        <v>0.4</v>
      </c>
      <c r="P317" s="354">
        <v>0.3</v>
      </c>
      <c r="Q317" s="354">
        <v>0.7</v>
      </c>
      <c r="R317" s="137" t="s">
        <v>3185</v>
      </c>
      <c r="S317" s="137">
        <v>0.75</v>
      </c>
      <c r="T317" s="137" t="s">
        <v>3184</v>
      </c>
      <c r="W317" s="143" t="s">
        <v>795</v>
      </c>
      <c r="X317" s="143" t="s">
        <v>761</v>
      </c>
      <c r="Y317" s="143" t="s">
        <v>680</v>
      </c>
      <c r="Z317" s="143">
        <v>2356</v>
      </c>
      <c r="AA317" s="143">
        <v>0</v>
      </c>
      <c r="AD317" s="137">
        <v>0.5</v>
      </c>
      <c r="AE317" s="137">
        <v>0</v>
      </c>
      <c r="AG317" s="143" t="s">
        <v>795</v>
      </c>
      <c r="AH317" s="143" t="s">
        <v>761</v>
      </c>
      <c r="AI317" s="143" t="s">
        <v>680</v>
      </c>
      <c r="AJ317" s="143">
        <v>2356</v>
      </c>
      <c r="AK317" s="143">
        <v>2</v>
      </c>
      <c r="AL317" s="156">
        <v>2.5</v>
      </c>
      <c r="AM317" s="156">
        <v>3</v>
      </c>
      <c r="AN317" s="156">
        <v>3</v>
      </c>
      <c r="AO317" s="156">
        <v>3</v>
      </c>
      <c r="AP317" s="156">
        <v>3.5</v>
      </c>
      <c r="AQ317" s="156">
        <v>2.5</v>
      </c>
      <c r="AR317" s="156">
        <v>3</v>
      </c>
      <c r="AS317" s="169">
        <v>2.9285709999999998</v>
      </c>
    </row>
    <row r="318" spans="1:45" x14ac:dyDescent="0.25">
      <c r="A318" s="143" t="s">
        <v>795</v>
      </c>
      <c r="B318" s="143" t="s">
        <v>761</v>
      </c>
      <c r="C318" s="143" t="s">
        <v>728</v>
      </c>
      <c r="D318" s="143">
        <v>2936</v>
      </c>
      <c r="E318" s="143">
        <v>2</v>
      </c>
      <c r="F318" s="137">
        <v>1</v>
      </c>
      <c r="G318" s="137">
        <v>1</v>
      </c>
      <c r="H318" s="137">
        <v>1</v>
      </c>
      <c r="I318" s="137">
        <v>0</v>
      </c>
      <c r="K318" s="143" t="s">
        <v>795</v>
      </c>
      <c r="L318" s="143" t="s">
        <v>761</v>
      </c>
      <c r="M318" s="143" t="s">
        <v>728</v>
      </c>
      <c r="N318" s="143">
        <v>2936</v>
      </c>
      <c r="O318" s="354">
        <v>0.4</v>
      </c>
      <c r="P318" s="354">
        <v>0.6</v>
      </c>
      <c r="Q318" s="137">
        <v>1</v>
      </c>
      <c r="R318" s="137" t="s">
        <v>3184</v>
      </c>
      <c r="S318" s="137">
        <v>0.5</v>
      </c>
      <c r="T318" s="137" t="s">
        <v>3184</v>
      </c>
      <c r="U318" s="137" t="s">
        <v>3184</v>
      </c>
      <c r="W318" s="143" t="s">
        <v>795</v>
      </c>
      <c r="X318" s="143" t="s">
        <v>761</v>
      </c>
      <c r="Y318" s="143" t="s">
        <v>728</v>
      </c>
      <c r="Z318" s="143">
        <v>2936</v>
      </c>
      <c r="AA318" s="143">
        <v>0</v>
      </c>
      <c r="AD318" s="137">
        <v>0.3333333</v>
      </c>
      <c r="AE318" s="137">
        <v>0</v>
      </c>
      <c r="AG318" s="143" t="s">
        <v>795</v>
      </c>
      <c r="AH318" s="143" t="s">
        <v>761</v>
      </c>
      <c r="AI318" s="143" t="s">
        <v>728</v>
      </c>
      <c r="AJ318" s="143">
        <v>2936</v>
      </c>
      <c r="AK318" s="143">
        <v>2</v>
      </c>
      <c r="AL318" s="156">
        <v>1</v>
      </c>
      <c r="AM318" s="156">
        <v>3</v>
      </c>
      <c r="AN318" s="156">
        <v>3</v>
      </c>
      <c r="AO318" s="156">
        <v>3</v>
      </c>
      <c r="AP318" s="156">
        <v>2.5</v>
      </c>
      <c r="AQ318" s="156">
        <v>3</v>
      </c>
      <c r="AR318" s="156">
        <v>3</v>
      </c>
      <c r="AS318" s="169">
        <v>3.0714290000000002</v>
      </c>
    </row>
    <row r="319" spans="1:45" x14ac:dyDescent="0.25">
      <c r="A319" s="143" t="s">
        <v>795</v>
      </c>
      <c r="B319" s="143" t="s">
        <v>761</v>
      </c>
      <c r="C319" s="143" t="s">
        <v>680</v>
      </c>
      <c r="D319" s="143">
        <v>2938</v>
      </c>
      <c r="E319" s="143">
        <v>2</v>
      </c>
      <c r="F319" s="137">
        <v>1</v>
      </c>
      <c r="G319" s="137">
        <v>1</v>
      </c>
      <c r="H319" s="137">
        <v>1</v>
      </c>
      <c r="I319" s="137">
        <v>0</v>
      </c>
      <c r="K319" s="143" t="s">
        <v>795</v>
      </c>
      <c r="L319" s="143" t="s">
        <v>761</v>
      </c>
      <c r="M319" s="143" t="s">
        <v>680</v>
      </c>
      <c r="N319" s="143">
        <v>2938</v>
      </c>
      <c r="O319" s="354">
        <v>0.4</v>
      </c>
      <c r="P319" s="354">
        <v>0.6</v>
      </c>
      <c r="Q319" s="137">
        <v>1</v>
      </c>
      <c r="R319" s="137" t="s">
        <v>3184</v>
      </c>
      <c r="S319" s="137">
        <v>0.75</v>
      </c>
      <c r="T319" s="137" t="s">
        <v>3184</v>
      </c>
      <c r="W319" s="143" t="s">
        <v>795</v>
      </c>
      <c r="X319" s="143" t="s">
        <v>761</v>
      </c>
      <c r="Y319" s="143" t="s">
        <v>680</v>
      </c>
      <c r="Z319" s="143">
        <v>2938</v>
      </c>
      <c r="AA319" s="143">
        <v>0</v>
      </c>
      <c r="AD319" s="137">
        <v>0.5</v>
      </c>
      <c r="AE319" s="137">
        <v>0</v>
      </c>
      <c r="AG319" s="143" t="s">
        <v>795</v>
      </c>
      <c r="AH319" s="143" t="s">
        <v>761</v>
      </c>
      <c r="AI319" s="143" t="s">
        <v>680</v>
      </c>
      <c r="AJ319" s="143">
        <v>2938</v>
      </c>
      <c r="AK319" s="143">
        <v>2</v>
      </c>
      <c r="AL319" s="156">
        <v>3</v>
      </c>
      <c r="AM319" s="156">
        <v>3</v>
      </c>
      <c r="AN319" s="156">
        <v>2.5</v>
      </c>
      <c r="AO319" s="156">
        <v>3</v>
      </c>
      <c r="AP319" s="156">
        <v>3</v>
      </c>
      <c r="AQ319" s="156">
        <v>3</v>
      </c>
      <c r="AR319" s="156">
        <v>3</v>
      </c>
      <c r="AS319" s="169">
        <v>2.785714</v>
      </c>
    </row>
    <row r="320" spans="1:45" x14ac:dyDescent="0.25">
      <c r="A320" s="143" t="s">
        <v>795</v>
      </c>
      <c r="B320" s="143" t="s">
        <v>761</v>
      </c>
      <c r="C320" s="143" t="s">
        <v>680</v>
      </c>
      <c r="D320" s="143">
        <v>3282</v>
      </c>
      <c r="E320" s="143">
        <v>2</v>
      </c>
      <c r="F320" s="137">
        <v>1</v>
      </c>
      <c r="G320" s="137">
        <v>1</v>
      </c>
      <c r="H320" s="137">
        <v>1</v>
      </c>
      <c r="I320" s="137">
        <v>0</v>
      </c>
      <c r="K320" s="143" t="s">
        <v>795</v>
      </c>
      <c r="L320" s="143" t="s">
        <v>761</v>
      </c>
      <c r="M320" s="143" t="s">
        <v>680</v>
      </c>
      <c r="N320" s="143">
        <v>3282</v>
      </c>
      <c r="O320" s="354">
        <v>0.4</v>
      </c>
      <c r="P320" s="354">
        <v>0.6</v>
      </c>
      <c r="Q320" s="354">
        <v>1</v>
      </c>
      <c r="R320" s="137" t="s">
        <v>3184</v>
      </c>
      <c r="S320" s="137">
        <v>0.5</v>
      </c>
      <c r="T320" s="137" t="s">
        <v>3184</v>
      </c>
      <c r="W320" s="143" t="s">
        <v>795</v>
      </c>
      <c r="X320" s="143" t="s">
        <v>761</v>
      </c>
      <c r="Y320" s="143" t="s">
        <v>680</v>
      </c>
      <c r="Z320" s="143">
        <v>3282</v>
      </c>
      <c r="AA320" s="143">
        <v>0</v>
      </c>
      <c r="AD320" s="137">
        <v>0.5</v>
      </c>
      <c r="AE320" s="137">
        <v>0</v>
      </c>
      <c r="AG320" s="143" t="s">
        <v>795</v>
      </c>
      <c r="AH320" s="143" t="s">
        <v>761</v>
      </c>
      <c r="AI320" s="143" t="s">
        <v>680</v>
      </c>
      <c r="AJ320" s="143">
        <v>3282</v>
      </c>
      <c r="AK320" s="143">
        <v>2</v>
      </c>
      <c r="AL320" s="156">
        <v>1.5</v>
      </c>
      <c r="AM320" s="156">
        <v>4</v>
      </c>
      <c r="AN320" s="156">
        <v>4</v>
      </c>
      <c r="AO320" s="156">
        <v>4</v>
      </c>
      <c r="AP320" s="156">
        <v>1.5</v>
      </c>
      <c r="AQ320" s="156">
        <v>3.5</v>
      </c>
      <c r="AR320" s="156">
        <v>3</v>
      </c>
      <c r="AS320" s="169">
        <v>3.3571430000000002</v>
      </c>
    </row>
    <row r="321" spans="6:17" x14ac:dyDescent="0.25">
      <c r="F321" s="137"/>
      <c r="G321" s="137"/>
      <c r="H321" s="137"/>
      <c r="I321" s="137"/>
    </row>
    <row r="322" spans="6:17" x14ac:dyDescent="0.25">
      <c r="F322" s="137"/>
      <c r="G322" s="137"/>
      <c r="H322" s="137"/>
      <c r="I322" s="137"/>
    </row>
    <row r="323" spans="6:17" x14ac:dyDescent="0.25">
      <c r="F323" s="137"/>
      <c r="G323" s="137"/>
      <c r="H323" s="137"/>
      <c r="I323" s="137"/>
      <c r="Q323" s="137"/>
    </row>
    <row r="324" spans="6:17" x14ac:dyDescent="0.25">
      <c r="F324" s="137"/>
      <c r="G324" s="137"/>
      <c r="H324" s="137"/>
      <c r="I324" s="137"/>
      <c r="Q324" s="137"/>
    </row>
    <row r="325" spans="6:17" x14ac:dyDescent="0.25">
      <c r="F325" s="137"/>
      <c r="G325" s="137"/>
      <c r="H325" s="137"/>
      <c r="I325" s="137"/>
      <c r="Q325" s="137"/>
    </row>
    <row r="326" spans="6:17" x14ac:dyDescent="0.25">
      <c r="F326" s="137"/>
      <c r="G326" s="137"/>
      <c r="H326" s="137"/>
      <c r="I326" s="137"/>
    </row>
    <row r="327" spans="6:17" x14ac:dyDescent="0.25">
      <c r="F327" s="137"/>
      <c r="G327" s="137"/>
      <c r="H327" s="137"/>
      <c r="I327" s="137"/>
    </row>
    <row r="328" spans="6:17" x14ac:dyDescent="0.25">
      <c r="F328" s="137"/>
      <c r="G328" s="137"/>
      <c r="H328" s="137"/>
      <c r="I328" s="137"/>
      <c r="Q328" s="137"/>
    </row>
    <row r="329" spans="6:17" x14ac:dyDescent="0.25">
      <c r="F329" s="137"/>
      <c r="G329" s="137"/>
      <c r="H329" s="137"/>
      <c r="I329" s="137"/>
    </row>
    <row r="330" spans="6:17" x14ac:dyDescent="0.25">
      <c r="F330" s="137"/>
      <c r="G330" s="137"/>
      <c r="H330" s="137"/>
      <c r="I330" s="137"/>
    </row>
    <row r="331" spans="6:17" x14ac:dyDescent="0.25">
      <c r="F331" s="137"/>
      <c r="G331" s="137"/>
      <c r="H331" s="137"/>
      <c r="I331" s="137"/>
      <c r="Q331" s="137"/>
    </row>
    <row r="332" spans="6:17" x14ac:dyDescent="0.25">
      <c r="F332" s="137"/>
      <c r="G332" s="137"/>
      <c r="H332" s="137"/>
      <c r="I332" s="137"/>
    </row>
    <row r="333" spans="6:17" x14ac:dyDescent="0.25">
      <c r="F333" s="137"/>
      <c r="G333" s="137"/>
      <c r="H333" s="137"/>
      <c r="I333" s="137"/>
      <c r="Q333" s="137"/>
    </row>
    <row r="334" spans="6:17" x14ac:dyDescent="0.25">
      <c r="F334" s="137"/>
      <c r="G334" s="137"/>
      <c r="H334" s="137"/>
      <c r="I334" s="137"/>
    </row>
    <row r="335" spans="6:17" x14ac:dyDescent="0.25">
      <c r="F335" s="137"/>
      <c r="G335" s="137"/>
      <c r="H335" s="137"/>
      <c r="I335" s="137"/>
    </row>
    <row r="336" spans="6:17" x14ac:dyDescent="0.25">
      <c r="F336" s="137"/>
      <c r="G336" s="137"/>
      <c r="H336" s="137"/>
      <c r="I336" s="137"/>
    </row>
    <row r="337" spans="6:17" x14ac:dyDescent="0.25">
      <c r="F337" s="137"/>
      <c r="G337" s="137"/>
      <c r="H337" s="137"/>
      <c r="I337" s="137"/>
    </row>
    <row r="338" spans="6:17" x14ac:dyDescent="0.25">
      <c r="F338" s="137"/>
      <c r="G338" s="137"/>
      <c r="H338" s="137"/>
      <c r="I338" s="137"/>
    </row>
    <row r="339" spans="6:17" x14ac:dyDescent="0.25">
      <c r="F339" s="137"/>
      <c r="G339" s="137"/>
      <c r="H339" s="137"/>
      <c r="I339" s="137"/>
      <c r="Q339" s="137"/>
    </row>
    <row r="340" spans="6:17" x14ac:dyDescent="0.25">
      <c r="F340" s="137"/>
      <c r="G340" s="137"/>
      <c r="H340" s="137"/>
      <c r="I340" s="137"/>
    </row>
    <row r="341" spans="6:17" x14ac:dyDescent="0.25">
      <c r="F341" s="137"/>
      <c r="G341" s="137"/>
      <c r="H341" s="137"/>
      <c r="I341" s="137"/>
      <c r="Q341" s="137"/>
    </row>
    <row r="342" spans="6:17" x14ac:dyDescent="0.25">
      <c r="F342" s="137"/>
      <c r="G342" s="137"/>
      <c r="H342" s="137"/>
      <c r="I342" s="137"/>
      <c r="Q342" s="137"/>
    </row>
    <row r="343" spans="6:17" x14ac:dyDescent="0.25">
      <c r="F343" s="137"/>
      <c r="G343" s="137"/>
      <c r="H343" s="137"/>
      <c r="I343" s="137"/>
    </row>
    <row r="344" spans="6:17" x14ac:dyDescent="0.25">
      <c r="F344" s="137"/>
      <c r="G344" s="137"/>
      <c r="H344" s="137"/>
      <c r="I344" s="137"/>
    </row>
    <row r="345" spans="6:17" x14ac:dyDescent="0.25">
      <c r="F345" s="137"/>
      <c r="G345" s="137"/>
      <c r="H345" s="137"/>
      <c r="I345" s="137"/>
    </row>
    <row r="346" spans="6:17" x14ac:dyDescent="0.25">
      <c r="F346" s="137"/>
      <c r="G346" s="137"/>
      <c r="H346" s="137"/>
      <c r="I346" s="137"/>
    </row>
    <row r="347" spans="6:17" x14ac:dyDescent="0.25">
      <c r="F347" s="137"/>
      <c r="G347" s="137"/>
      <c r="H347" s="137"/>
      <c r="I347" s="137"/>
    </row>
    <row r="348" spans="6:17" x14ac:dyDescent="0.25">
      <c r="F348" s="137"/>
      <c r="G348" s="137"/>
      <c r="H348" s="137"/>
      <c r="I348" s="137"/>
      <c r="Q348" s="137"/>
    </row>
    <row r="349" spans="6:17" x14ac:dyDescent="0.25">
      <c r="F349" s="137"/>
      <c r="G349" s="137"/>
      <c r="H349" s="137"/>
      <c r="I349" s="137"/>
    </row>
    <row r="350" spans="6:17" x14ac:dyDescent="0.25">
      <c r="F350" s="137"/>
      <c r="G350" s="137"/>
      <c r="H350" s="137"/>
      <c r="I350" s="137"/>
    </row>
    <row r="351" spans="6:17" x14ac:dyDescent="0.25">
      <c r="F351" s="137"/>
      <c r="G351" s="137"/>
      <c r="H351" s="137"/>
      <c r="I351" s="137"/>
    </row>
    <row r="352" spans="6:17" x14ac:dyDescent="0.25">
      <c r="F352" s="137"/>
      <c r="G352" s="137"/>
      <c r="H352" s="137"/>
      <c r="I352" s="137"/>
      <c r="Q352" s="137"/>
    </row>
    <row r="353" spans="6:17" x14ac:dyDescent="0.25">
      <c r="F353" s="137"/>
      <c r="G353" s="137"/>
      <c r="H353" s="137"/>
      <c r="I353" s="137"/>
    </row>
    <row r="354" spans="6:17" x14ac:dyDescent="0.25">
      <c r="F354" s="137"/>
      <c r="G354" s="137"/>
      <c r="H354" s="137"/>
      <c r="I354" s="137"/>
    </row>
    <row r="355" spans="6:17" x14ac:dyDescent="0.25">
      <c r="F355" s="137"/>
      <c r="G355" s="137"/>
      <c r="H355" s="137"/>
      <c r="I355" s="137"/>
    </row>
    <row r="356" spans="6:17" x14ac:dyDescent="0.25">
      <c r="F356" s="137"/>
      <c r="G356" s="137"/>
      <c r="H356" s="137"/>
      <c r="I356" s="137"/>
    </row>
    <row r="357" spans="6:17" x14ac:dyDescent="0.25">
      <c r="F357" s="137"/>
      <c r="G357" s="137"/>
      <c r="H357" s="137"/>
      <c r="I357" s="137"/>
    </row>
    <row r="358" spans="6:17" x14ac:dyDescent="0.25">
      <c r="F358" s="137"/>
      <c r="G358" s="137"/>
      <c r="H358" s="137"/>
      <c r="I358" s="137"/>
    </row>
    <row r="359" spans="6:17" x14ac:dyDescent="0.25">
      <c r="F359" s="137"/>
      <c r="G359" s="137"/>
      <c r="H359" s="137"/>
      <c r="I359" s="137"/>
    </row>
    <row r="360" spans="6:17" x14ac:dyDescent="0.25">
      <c r="F360" s="137"/>
      <c r="G360" s="137"/>
      <c r="H360" s="137"/>
      <c r="I360" s="137"/>
      <c r="Q360" s="137"/>
    </row>
    <row r="361" spans="6:17" x14ac:dyDescent="0.25">
      <c r="F361" s="137"/>
      <c r="G361" s="137"/>
      <c r="H361" s="137"/>
      <c r="I361" s="137"/>
    </row>
    <row r="362" spans="6:17" x14ac:dyDescent="0.25">
      <c r="F362" s="137"/>
      <c r="G362" s="137"/>
      <c r="H362" s="137"/>
      <c r="I362" s="137"/>
      <c r="Q362" s="137"/>
    </row>
    <row r="363" spans="6:17" x14ac:dyDescent="0.25">
      <c r="F363" s="137"/>
      <c r="G363" s="137"/>
      <c r="H363" s="137"/>
      <c r="I363" s="137"/>
      <c r="Q363" s="137"/>
    </row>
    <row r="364" spans="6:17" x14ac:dyDescent="0.25">
      <c r="F364" s="137"/>
      <c r="G364" s="137"/>
      <c r="H364" s="137"/>
      <c r="I364" s="137"/>
    </row>
    <row r="365" spans="6:17" x14ac:dyDescent="0.25">
      <c r="F365" s="137"/>
      <c r="G365" s="137"/>
      <c r="H365" s="137"/>
      <c r="I365" s="137"/>
    </row>
    <row r="366" spans="6:17" x14ac:dyDescent="0.25">
      <c r="F366" s="137"/>
      <c r="G366" s="137"/>
      <c r="H366" s="137"/>
      <c r="I366" s="137"/>
    </row>
    <row r="367" spans="6:17" x14ac:dyDescent="0.25">
      <c r="F367" s="137"/>
      <c r="G367" s="137"/>
      <c r="H367" s="137"/>
      <c r="I367" s="137"/>
    </row>
    <row r="368" spans="6:17" x14ac:dyDescent="0.25">
      <c r="F368" s="137"/>
      <c r="G368" s="137"/>
      <c r="H368" s="137"/>
      <c r="I368" s="137"/>
    </row>
    <row r="369" spans="6:17" x14ac:dyDescent="0.25">
      <c r="F369" s="137"/>
      <c r="G369" s="137"/>
      <c r="H369" s="137"/>
      <c r="I369" s="137"/>
    </row>
    <row r="370" spans="6:17" x14ac:dyDescent="0.25">
      <c r="F370" s="137"/>
      <c r="G370" s="137"/>
      <c r="H370" s="137"/>
      <c r="I370" s="137"/>
    </row>
    <row r="371" spans="6:17" x14ac:dyDescent="0.25">
      <c r="F371" s="137"/>
      <c r="G371" s="137"/>
      <c r="H371" s="137"/>
      <c r="I371" s="137"/>
    </row>
    <row r="372" spans="6:17" x14ac:dyDescent="0.25">
      <c r="F372" s="137"/>
      <c r="G372" s="137"/>
      <c r="H372" s="137"/>
      <c r="I372" s="137"/>
    </row>
    <row r="373" spans="6:17" x14ac:dyDescent="0.25">
      <c r="F373" s="137"/>
      <c r="G373" s="137"/>
      <c r="H373" s="137"/>
      <c r="I373" s="137"/>
    </row>
    <row r="374" spans="6:17" x14ac:dyDescent="0.25">
      <c r="F374" s="137"/>
      <c r="G374" s="137"/>
      <c r="H374" s="137"/>
      <c r="I374" s="137"/>
      <c r="Q374" s="137"/>
    </row>
    <row r="375" spans="6:17" x14ac:dyDescent="0.25">
      <c r="F375" s="137"/>
      <c r="G375" s="137"/>
      <c r="H375" s="137"/>
      <c r="I375" s="137"/>
    </row>
    <row r="376" spans="6:17" x14ac:dyDescent="0.25">
      <c r="F376" s="137"/>
      <c r="G376" s="137"/>
      <c r="H376" s="137"/>
      <c r="I376" s="137"/>
    </row>
    <row r="377" spans="6:17" x14ac:dyDescent="0.25">
      <c r="F377" s="137"/>
      <c r="G377" s="137"/>
      <c r="H377" s="137"/>
      <c r="I377" s="137"/>
      <c r="Q377" s="137"/>
    </row>
    <row r="378" spans="6:17" x14ac:dyDescent="0.25">
      <c r="F378" s="137"/>
      <c r="G378" s="137"/>
      <c r="H378" s="137"/>
      <c r="I378" s="137"/>
    </row>
    <row r="379" spans="6:17" x14ac:dyDescent="0.25">
      <c r="F379" s="137"/>
      <c r="G379" s="137"/>
      <c r="H379" s="137"/>
      <c r="I379" s="137"/>
    </row>
    <row r="380" spans="6:17" x14ac:dyDescent="0.25">
      <c r="F380" s="137"/>
      <c r="G380" s="137"/>
      <c r="H380" s="137"/>
      <c r="I380" s="137"/>
    </row>
    <row r="381" spans="6:17" x14ac:dyDescent="0.25">
      <c r="F381" s="137"/>
      <c r="G381" s="137"/>
      <c r="H381" s="137"/>
      <c r="I381" s="137"/>
      <c r="Q381" s="137"/>
    </row>
    <row r="382" spans="6:17" x14ac:dyDescent="0.25">
      <c r="F382" s="137"/>
      <c r="G382" s="137"/>
      <c r="H382" s="137"/>
      <c r="I382" s="137"/>
    </row>
    <row r="383" spans="6:17" x14ac:dyDescent="0.25">
      <c r="F383" s="137"/>
      <c r="G383" s="137"/>
      <c r="H383" s="137"/>
      <c r="I383" s="137"/>
    </row>
    <row r="384" spans="6:17" x14ac:dyDescent="0.25">
      <c r="F384" s="137"/>
      <c r="G384" s="137"/>
      <c r="H384" s="137"/>
      <c r="I384" s="137"/>
      <c r="Q384" s="137"/>
    </row>
    <row r="385" spans="6:17" x14ac:dyDescent="0.25">
      <c r="F385" s="137"/>
      <c r="G385" s="137"/>
      <c r="H385" s="137"/>
      <c r="I385" s="137"/>
    </row>
    <row r="386" spans="6:17" x14ac:dyDescent="0.25">
      <c r="F386" s="137"/>
      <c r="G386" s="137"/>
      <c r="H386" s="137"/>
      <c r="I386" s="137"/>
    </row>
    <row r="387" spans="6:17" x14ac:dyDescent="0.25">
      <c r="F387" s="137"/>
      <c r="G387" s="137"/>
      <c r="H387" s="137"/>
      <c r="I387" s="137"/>
    </row>
    <row r="388" spans="6:17" x14ac:dyDescent="0.25">
      <c r="F388" s="137"/>
      <c r="G388" s="137"/>
      <c r="H388" s="137"/>
      <c r="I388" s="137"/>
    </row>
    <row r="389" spans="6:17" x14ac:dyDescent="0.25">
      <c r="F389" s="137"/>
      <c r="G389" s="137"/>
      <c r="H389" s="137"/>
      <c r="I389" s="137"/>
    </row>
    <row r="390" spans="6:17" x14ac:dyDescent="0.25">
      <c r="F390" s="137"/>
      <c r="G390" s="137"/>
      <c r="H390" s="137"/>
      <c r="I390" s="137"/>
    </row>
    <row r="391" spans="6:17" x14ac:dyDescent="0.25">
      <c r="F391" s="137"/>
      <c r="G391" s="137"/>
      <c r="H391" s="137"/>
      <c r="I391" s="137"/>
    </row>
    <row r="392" spans="6:17" x14ac:dyDescent="0.25">
      <c r="F392" s="137"/>
      <c r="G392" s="137"/>
      <c r="H392" s="137"/>
      <c r="I392" s="137"/>
    </row>
    <row r="393" spans="6:17" x14ac:dyDescent="0.25">
      <c r="F393" s="137"/>
      <c r="G393" s="137"/>
      <c r="H393" s="137"/>
      <c r="I393" s="137"/>
    </row>
    <row r="394" spans="6:17" x14ac:dyDescent="0.25">
      <c r="F394" s="137"/>
      <c r="G394" s="137"/>
      <c r="H394" s="137"/>
      <c r="I394" s="137"/>
    </row>
    <row r="395" spans="6:17" x14ac:dyDescent="0.25">
      <c r="F395" s="137"/>
      <c r="G395" s="137"/>
      <c r="H395" s="137"/>
      <c r="I395" s="137"/>
    </row>
    <row r="396" spans="6:17" x14ac:dyDescent="0.25">
      <c r="F396" s="137"/>
      <c r="G396" s="137"/>
      <c r="H396" s="137"/>
      <c r="I396" s="137"/>
    </row>
    <row r="397" spans="6:17" x14ac:dyDescent="0.25">
      <c r="F397" s="137"/>
      <c r="G397" s="137"/>
      <c r="H397" s="137"/>
      <c r="I397" s="137"/>
      <c r="Q397" s="137"/>
    </row>
    <row r="398" spans="6:17" x14ac:dyDescent="0.25">
      <c r="F398" s="137"/>
      <c r="G398" s="137"/>
      <c r="H398" s="137"/>
      <c r="I398" s="137"/>
    </row>
    <row r="399" spans="6:17" x14ac:dyDescent="0.25">
      <c r="F399" s="137"/>
      <c r="G399" s="137"/>
      <c r="H399" s="137"/>
      <c r="I399" s="137"/>
    </row>
    <row r="400" spans="6:17" x14ac:dyDescent="0.25">
      <c r="F400" s="137"/>
      <c r="G400" s="137"/>
      <c r="H400" s="137"/>
      <c r="I400" s="137"/>
    </row>
    <row r="401" spans="6:17" x14ac:dyDescent="0.25">
      <c r="F401" s="137"/>
      <c r="G401" s="137"/>
      <c r="H401" s="137"/>
      <c r="I401" s="137"/>
      <c r="Q401" s="137"/>
    </row>
    <row r="402" spans="6:17" x14ac:dyDescent="0.25">
      <c r="F402" s="137"/>
      <c r="G402" s="137"/>
      <c r="H402" s="137"/>
      <c r="I402" s="137"/>
    </row>
    <row r="403" spans="6:17" x14ac:dyDescent="0.25">
      <c r="F403" s="137"/>
      <c r="G403" s="137"/>
      <c r="H403" s="137"/>
      <c r="I403" s="137"/>
    </row>
    <row r="404" spans="6:17" x14ac:dyDescent="0.25">
      <c r="F404" s="137"/>
      <c r="G404" s="137"/>
      <c r="H404" s="137"/>
      <c r="I404" s="137"/>
      <c r="Q404" s="137"/>
    </row>
    <row r="405" spans="6:17" x14ac:dyDescent="0.25">
      <c r="F405" s="137"/>
      <c r="G405" s="137"/>
      <c r="H405" s="137"/>
      <c r="I405" s="137"/>
    </row>
    <row r="406" spans="6:17" x14ac:dyDescent="0.25">
      <c r="F406" s="137"/>
      <c r="G406" s="137"/>
      <c r="H406" s="137"/>
      <c r="I406" s="137"/>
    </row>
    <row r="407" spans="6:17" x14ac:dyDescent="0.25">
      <c r="F407" s="137"/>
      <c r="G407" s="137"/>
      <c r="H407" s="137"/>
      <c r="I407" s="137"/>
    </row>
    <row r="408" spans="6:17" x14ac:dyDescent="0.25">
      <c r="F408" s="137"/>
      <c r="G408" s="137"/>
      <c r="H408" s="137"/>
      <c r="I408" s="137"/>
    </row>
    <row r="409" spans="6:17" x14ac:dyDescent="0.25">
      <c r="F409" s="137"/>
      <c r="G409" s="137"/>
      <c r="H409" s="137"/>
      <c r="I409" s="137"/>
    </row>
    <row r="410" spans="6:17" x14ac:dyDescent="0.25">
      <c r="F410" s="137"/>
      <c r="G410" s="137"/>
      <c r="H410" s="137"/>
      <c r="I410" s="137"/>
    </row>
    <row r="411" spans="6:17" x14ac:dyDescent="0.25">
      <c r="F411" s="137"/>
      <c r="G411" s="137"/>
      <c r="H411" s="137"/>
      <c r="I411" s="137"/>
    </row>
    <row r="412" spans="6:17" x14ac:dyDescent="0.25">
      <c r="F412" s="137"/>
      <c r="G412" s="137"/>
      <c r="H412" s="137"/>
      <c r="I412" s="137"/>
    </row>
    <row r="413" spans="6:17" x14ac:dyDescent="0.25">
      <c r="F413" s="137"/>
      <c r="G413" s="137"/>
      <c r="H413" s="137"/>
      <c r="I413" s="137"/>
    </row>
    <row r="414" spans="6:17" x14ac:dyDescent="0.25">
      <c r="F414" s="137"/>
      <c r="G414" s="137"/>
      <c r="H414" s="137"/>
      <c r="I414" s="137"/>
    </row>
    <row r="415" spans="6:17" x14ac:dyDescent="0.25">
      <c r="F415" s="137"/>
      <c r="G415" s="137"/>
      <c r="H415" s="137"/>
      <c r="I415" s="137"/>
      <c r="Q415" s="137"/>
    </row>
    <row r="416" spans="6:17" x14ac:dyDescent="0.25">
      <c r="F416" s="137"/>
      <c r="G416" s="137"/>
      <c r="H416" s="137"/>
      <c r="I416" s="137"/>
    </row>
    <row r="417" spans="6:44" x14ac:dyDescent="0.25">
      <c r="F417" s="137"/>
      <c r="G417" s="137"/>
      <c r="H417" s="137"/>
      <c r="I417" s="137"/>
    </row>
    <row r="418" spans="6:44" x14ac:dyDescent="0.25">
      <c r="F418" s="137"/>
      <c r="G418" s="137"/>
      <c r="H418" s="137"/>
      <c r="I418" s="137"/>
    </row>
    <row r="419" spans="6:44" x14ac:dyDescent="0.25">
      <c r="F419" s="137"/>
      <c r="G419" s="137"/>
      <c r="H419" s="137"/>
      <c r="I419" s="137"/>
      <c r="Q419" s="137"/>
    </row>
    <row r="420" spans="6:44" x14ac:dyDescent="0.25">
      <c r="F420" s="137"/>
      <c r="G420" s="137"/>
      <c r="H420" s="137"/>
      <c r="I420" s="137"/>
    </row>
    <row r="421" spans="6:44" x14ac:dyDescent="0.25">
      <c r="F421" s="137"/>
      <c r="G421" s="137"/>
      <c r="H421" s="137"/>
      <c r="I421" s="137"/>
    </row>
    <row r="422" spans="6:44" x14ac:dyDescent="0.25">
      <c r="F422" s="137"/>
      <c r="G422" s="137"/>
      <c r="H422" s="137"/>
      <c r="I422" s="137"/>
    </row>
    <row r="423" spans="6:44" x14ac:dyDescent="0.25">
      <c r="F423" s="137"/>
      <c r="G423" s="137"/>
      <c r="H423" s="137"/>
      <c r="I423" s="137"/>
    </row>
    <row r="424" spans="6:44" x14ac:dyDescent="0.25">
      <c r="F424" s="137"/>
      <c r="G424" s="137"/>
      <c r="H424" s="137"/>
      <c r="I424" s="137"/>
    </row>
    <row r="425" spans="6:44" x14ac:dyDescent="0.25">
      <c r="F425" s="137"/>
      <c r="G425" s="137"/>
      <c r="H425" s="137"/>
      <c r="I425" s="137"/>
    </row>
    <row r="426" spans="6:44" x14ac:dyDescent="0.25">
      <c r="F426" s="137"/>
      <c r="G426" s="137"/>
      <c r="H426" s="137"/>
      <c r="I426" s="137"/>
    </row>
    <row r="427" spans="6:44" x14ac:dyDescent="0.25">
      <c r="F427" s="137"/>
      <c r="G427" s="137"/>
      <c r="H427" s="137"/>
      <c r="I427" s="137"/>
    </row>
    <row r="428" spans="6:44" x14ac:dyDescent="0.25">
      <c r="F428" s="137"/>
      <c r="G428" s="137"/>
      <c r="H428" s="137"/>
      <c r="I428" s="137"/>
    </row>
    <row r="429" spans="6:44" x14ac:dyDescent="0.25">
      <c r="F429" s="137"/>
      <c r="G429" s="137"/>
      <c r="H429" s="137"/>
      <c r="I429" s="137"/>
    </row>
    <row r="430" spans="6:44" x14ac:dyDescent="0.25">
      <c r="F430" s="137"/>
      <c r="G430" s="137"/>
      <c r="H430" s="137"/>
      <c r="I430" s="137"/>
      <c r="T430" s="78"/>
      <c r="U430" s="78"/>
      <c r="AL430" s="78"/>
      <c r="AM430" s="78"/>
      <c r="AN430" s="78"/>
      <c r="AO430" s="78"/>
      <c r="AP430" s="78"/>
      <c r="AQ430" s="78"/>
      <c r="AR430" s="78"/>
    </row>
    <row r="431" spans="6:44" x14ac:dyDescent="0.25">
      <c r="F431" s="137"/>
      <c r="G431" s="137"/>
      <c r="H431" s="137"/>
      <c r="I431" s="137"/>
      <c r="T431" s="78"/>
      <c r="U431" s="78"/>
      <c r="AL431" s="78"/>
      <c r="AM431" s="78"/>
      <c r="AN431" s="78"/>
      <c r="AO431" s="78"/>
      <c r="AP431" s="78"/>
      <c r="AQ431" s="78"/>
      <c r="AR431" s="78"/>
    </row>
    <row r="432" spans="6:44" x14ac:dyDescent="0.25">
      <c r="F432" s="137"/>
      <c r="G432" s="137"/>
      <c r="H432" s="137"/>
      <c r="I432" s="137"/>
      <c r="T432" s="78"/>
      <c r="U432" s="78"/>
    </row>
    <row r="433" spans="6:21" x14ac:dyDescent="0.25">
      <c r="F433" s="137"/>
      <c r="G433" s="137"/>
      <c r="H433" s="137"/>
      <c r="I433" s="137"/>
      <c r="T433" s="78"/>
      <c r="U433" s="78"/>
    </row>
    <row r="434" spans="6:21" x14ac:dyDescent="0.25">
      <c r="F434" s="137"/>
      <c r="G434" s="137"/>
      <c r="H434" s="137"/>
      <c r="I434" s="137"/>
      <c r="T434" s="78"/>
      <c r="U434" s="78"/>
    </row>
    <row r="435" spans="6:21" x14ac:dyDescent="0.25">
      <c r="F435" s="137"/>
      <c r="G435" s="137"/>
      <c r="H435" s="137"/>
      <c r="I435" s="137"/>
      <c r="T435" s="78"/>
      <c r="U435" s="78"/>
    </row>
    <row r="436" spans="6:21" x14ac:dyDescent="0.25">
      <c r="F436" s="137"/>
      <c r="G436" s="137"/>
      <c r="H436" s="137"/>
      <c r="I436" s="137"/>
      <c r="T436" s="78"/>
      <c r="U436" s="78"/>
    </row>
    <row r="437" spans="6:21" x14ac:dyDescent="0.25">
      <c r="F437" s="137"/>
      <c r="G437" s="137"/>
      <c r="H437" s="137"/>
      <c r="I437" s="137"/>
      <c r="T437" s="78"/>
      <c r="U437" s="78"/>
    </row>
    <row r="438" spans="6:21" x14ac:dyDescent="0.25">
      <c r="F438" s="137"/>
      <c r="G438" s="137"/>
      <c r="H438" s="137"/>
      <c r="I438" s="137"/>
      <c r="T438" s="78"/>
      <c r="U438" s="78"/>
    </row>
    <row r="439" spans="6:21" x14ac:dyDescent="0.25">
      <c r="F439" s="137"/>
      <c r="G439" s="137"/>
      <c r="H439" s="137"/>
      <c r="I439" s="137"/>
      <c r="T439" s="78"/>
      <c r="U439" s="78"/>
    </row>
    <row r="440" spans="6:21" x14ac:dyDescent="0.25">
      <c r="F440" s="137"/>
      <c r="G440" s="137"/>
      <c r="H440" s="137"/>
      <c r="I440" s="137"/>
      <c r="T440" s="78"/>
      <c r="U440" s="78"/>
    </row>
    <row r="441" spans="6:21" x14ac:dyDescent="0.25">
      <c r="F441" s="137"/>
      <c r="G441" s="137"/>
      <c r="H441" s="137"/>
      <c r="I441" s="137"/>
      <c r="T441" s="78"/>
      <c r="U441" s="78"/>
    </row>
    <row r="442" spans="6:21" x14ac:dyDescent="0.25">
      <c r="F442" s="137"/>
      <c r="G442" s="137"/>
      <c r="H442" s="137"/>
      <c r="I442" s="137"/>
      <c r="T442" s="78"/>
      <c r="U442" s="78"/>
    </row>
    <row r="443" spans="6:21" x14ac:dyDescent="0.25">
      <c r="F443" s="137"/>
      <c r="G443" s="137"/>
      <c r="H443" s="137"/>
      <c r="I443" s="137"/>
      <c r="T443" s="78"/>
      <c r="U443" s="78"/>
    </row>
    <row r="444" spans="6:21" x14ac:dyDescent="0.25">
      <c r="F444" s="137"/>
      <c r="G444" s="137"/>
      <c r="H444" s="137"/>
      <c r="I444" s="137"/>
      <c r="T444" s="78"/>
      <c r="U444" s="78"/>
    </row>
    <row r="445" spans="6:21" x14ac:dyDescent="0.25">
      <c r="F445" s="137"/>
      <c r="G445" s="137"/>
      <c r="H445" s="137"/>
      <c r="I445" s="137"/>
      <c r="T445" s="78"/>
      <c r="U445" s="78"/>
    </row>
    <row r="446" spans="6:21" x14ac:dyDescent="0.25">
      <c r="F446" s="137"/>
      <c r="G446" s="137"/>
      <c r="H446" s="137"/>
      <c r="I446" s="137"/>
      <c r="T446" s="78"/>
      <c r="U446" s="78"/>
    </row>
    <row r="447" spans="6:21" x14ac:dyDescent="0.25">
      <c r="F447" s="137"/>
      <c r="G447" s="137"/>
      <c r="H447" s="137"/>
      <c r="I447" s="137"/>
      <c r="T447" s="78"/>
      <c r="U447" s="78"/>
    </row>
    <row r="448" spans="6:21" x14ac:dyDescent="0.25">
      <c r="F448" s="137"/>
      <c r="G448" s="137"/>
      <c r="H448" s="137"/>
      <c r="I448" s="137"/>
      <c r="T448" s="78"/>
      <c r="U448" s="78"/>
    </row>
    <row r="449" spans="6:21" x14ac:dyDescent="0.25">
      <c r="F449" s="137"/>
      <c r="G449" s="137"/>
      <c r="H449" s="137"/>
      <c r="I449" s="137"/>
      <c r="T449" s="78"/>
      <c r="U449" s="78"/>
    </row>
    <row r="450" spans="6:21" x14ac:dyDescent="0.25">
      <c r="F450" s="137"/>
      <c r="G450" s="137"/>
      <c r="H450" s="137"/>
      <c r="I450" s="137"/>
      <c r="T450" s="78"/>
      <c r="U450" s="78"/>
    </row>
    <row r="451" spans="6:21" x14ac:dyDescent="0.25">
      <c r="F451" s="137"/>
      <c r="G451" s="137"/>
      <c r="H451" s="137"/>
      <c r="I451" s="137"/>
      <c r="T451" s="78"/>
      <c r="U451" s="78"/>
    </row>
    <row r="452" spans="6:21" x14ac:dyDescent="0.25">
      <c r="F452" s="137"/>
      <c r="G452" s="137"/>
      <c r="H452" s="137"/>
      <c r="I452" s="137"/>
      <c r="T452" s="78"/>
      <c r="U452" s="78"/>
    </row>
    <row r="453" spans="6:21" x14ac:dyDescent="0.25">
      <c r="F453" s="137"/>
      <c r="G453" s="137"/>
      <c r="H453" s="137"/>
      <c r="I453" s="137"/>
      <c r="T453" s="78"/>
      <c r="U453" s="78"/>
    </row>
    <row r="454" spans="6:21" x14ac:dyDescent="0.25">
      <c r="F454" s="137"/>
      <c r="G454" s="137"/>
      <c r="H454" s="137"/>
      <c r="I454" s="137"/>
      <c r="T454" s="78"/>
      <c r="U454" s="78"/>
    </row>
    <row r="455" spans="6:21" x14ac:dyDescent="0.25">
      <c r="F455" s="137"/>
      <c r="G455" s="137"/>
      <c r="H455" s="137"/>
      <c r="I455" s="137"/>
    </row>
    <row r="456" spans="6:21" x14ac:dyDescent="0.25">
      <c r="F456" s="137"/>
      <c r="G456" s="137"/>
      <c r="H456" s="137"/>
      <c r="I456" s="137"/>
    </row>
    <row r="457" spans="6:21" x14ac:dyDescent="0.25">
      <c r="F457" s="137"/>
      <c r="G457" s="137"/>
      <c r="H457" s="137"/>
      <c r="I457" s="137"/>
    </row>
    <row r="458" spans="6:21" x14ac:dyDescent="0.25">
      <c r="F458" s="137"/>
      <c r="G458" s="137"/>
      <c r="H458" s="137"/>
      <c r="I458" s="137"/>
    </row>
    <row r="459" spans="6:21" x14ac:dyDescent="0.25">
      <c r="F459" s="137"/>
      <c r="G459" s="137"/>
      <c r="H459" s="137"/>
      <c r="I459" s="137"/>
    </row>
    <row r="460" spans="6:21" x14ac:dyDescent="0.25">
      <c r="F460" s="137"/>
      <c r="G460" s="137"/>
      <c r="H460" s="137"/>
      <c r="I460" s="137"/>
    </row>
    <row r="461" spans="6:21" x14ac:dyDescent="0.25">
      <c r="F461" s="137"/>
      <c r="G461" s="137"/>
      <c r="H461" s="137"/>
      <c r="I461" s="137"/>
    </row>
    <row r="462" spans="6:21" x14ac:dyDescent="0.25">
      <c r="F462" s="137"/>
      <c r="G462" s="137"/>
      <c r="H462" s="137"/>
      <c r="I462" s="137"/>
    </row>
    <row r="463" spans="6:21" x14ac:dyDescent="0.25">
      <c r="F463" s="137"/>
      <c r="G463" s="137"/>
      <c r="H463" s="137"/>
      <c r="I463" s="137"/>
    </row>
    <row r="464" spans="6:21" x14ac:dyDescent="0.25">
      <c r="F464" s="137"/>
      <c r="G464" s="137"/>
      <c r="H464" s="137"/>
      <c r="I464" s="137"/>
    </row>
    <row r="465" spans="6:9" x14ac:dyDescent="0.25">
      <c r="F465" s="137"/>
      <c r="G465" s="137"/>
      <c r="H465" s="137"/>
      <c r="I465" s="137"/>
    </row>
    <row r="466" spans="6:9" x14ac:dyDescent="0.25">
      <c r="F466" s="137"/>
      <c r="G466" s="137"/>
      <c r="H466" s="137"/>
      <c r="I466" s="137"/>
    </row>
    <row r="467" spans="6:9" x14ac:dyDescent="0.25">
      <c r="F467" s="137"/>
      <c r="G467" s="137"/>
      <c r="H467" s="137"/>
      <c r="I467" s="137"/>
    </row>
    <row r="468" spans="6:9" x14ac:dyDescent="0.25">
      <c r="F468" s="137"/>
      <c r="G468" s="137"/>
      <c r="H468" s="137"/>
      <c r="I468" s="137"/>
    </row>
    <row r="469" spans="6:9" x14ac:dyDescent="0.25">
      <c r="F469" s="137"/>
      <c r="G469" s="137"/>
      <c r="H469" s="137"/>
      <c r="I469" s="137"/>
    </row>
    <row r="470" spans="6:9" x14ac:dyDescent="0.25">
      <c r="F470" s="137"/>
      <c r="G470" s="137"/>
      <c r="H470" s="137"/>
      <c r="I470" s="137"/>
    </row>
    <row r="471" spans="6:9" x14ac:dyDescent="0.25">
      <c r="F471" s="137"/>
      <c r="G471" s="137"/>
      <c r="H471" s="137"/>
      <c r="I471" s="137"/>
    </row>
    <row r="472" spans="6:9" x14ac:dyDescent="0.25">
      <c r="F472" s="137"/>
      <c r="G472" s="137"/>
      <c r="H472" s="137"/>
      <c r="I472" s="137"/>
    </row>
    <row r="473" spans="6:9" x14ac:dyDescent="0.25">
      <c r="F473" s="137"/>
      <c r="G473" s="137"/>
      <c r="H473" s="137"/>
      <c r="I473" s="137"/>
    </row>
    <row r="474" spans="6:9" x14ac:dyDescent="0.25">
      <c r="F474" s="137"/>
      <c r="G474" s="137"/>
      <c r="H474" s="137"/>
      <c r="I474" s="137"/>
    </row>
    <row r="475" spans="6:9" x14ac:dyDescent="0.25">
      <c r="F475" s="137"/>
      <c r="G475" s="137"/>
      <c r="H475" s="137"/>
      <c r="I475" s="137"/>
    </row>
    <row r="476" spans="6:9" x14ac:dyDescent="0.25">
      <c r="F476" s="137"/>
      <c r="G476" s="137"/>
      <c r="H476" s="137"/>
      <c r="I476" s="137"/>
    </row>
    <row r="477" spans="6:9" x14ac:dyDescent="0.25">
      <c r="F477" s="137"/>
      <c r="G477" s="137"/>
      <c r="H477" s="137"/>
      <c r="I477" s="137"/>
    </row>
    <row r="478" spans="6:9" x14ac:dyDescent="0.25">
      <c r="F478" s="137"/>
      <c r="G478" s="137"/>
      <c r="H478" s="137"/>
      <c r="I478" s="137"/>
    </row>
    <row r="479" spans="6:9" x14ac:dyDescent="0.25">
      <c r="F479" s="137"/>
      <c r="G479" s="137"/>
      <c r="H479" s="137"/>
      <c r="I479" s="137"/>
    </row>
    <row r="480" spans="6:9" x14ac:dyDescent="0.25">
      <c r="F480" s="137"/>
      <c r="G480" s="137"/>
      <c r="H480" s="137"/>
      <c r="I480" s="137"/>
    </row>
    <row r="481" spans="6:9" x14ac:dyDescent="0.25">
      <c r="F481" s="137"/>
      <c r="G481" s="137"/>
      <c r="H481" s="137"/>
      <c r="I481" s="137"/>
    </row>
    <row r="482" spans="6:9" x14ac:dyDescent="0.25">
      <c r="F482" s="137"/>
      <c r="G482" s="137"/>
      <c r="H482" s="137"/>
      <c r="I482" s="137"/>
    </row>
    <row r="483" spans="6:9" x14ac:dyDescent="0.25">
      <c r="F483" s="137"/>
      <c r="G483" s="137"/>
      <c r="H483" s="137"/>
      <c r="I483" s="137"/>
    </row>
    <row r="484" spans="6:9" x14ac:dyDescent="0.25">
      <c r="F484" s="137"/>
      <c r="G484" s="137"/>
      <c r="H484" s="137"/>
      <c r="I484" s="137"/>
    </row>
    <row r="485" spans="6:9" x14ac:dyDescent="0.25">
      <c r="F485" s="137"/>
      <c r="G485" s="137"/>
      <c r="H485" s="137"/>
      <c r="I485" s="137"/>
    </row>
    <row r="486" spans="6:9" x14ac:dyDescent="0.25">
      <c r="F486" s="137"/>
      <c r="G486" s="137"/>
      <c r="H486" s="137"/>
      <c r="I486" s="137"/>
    </row>
    <row r="487" spans="6:9" x14ac:dyDescent="0.25">
      <c r="F487" s="137"/>
      <c r="G487" s="137"/>
      <c r="H487" s="137"/>
      <c r="I487" s="137"/>
    </row>
    <row r="488" spans="6:9" x14ac:dyDescent="0.25">
      <c r="F488" s="137"/>
      <c r="G488" s="137"/>
      <c r="H488" s="137"/>
      <c r="I488" s="137"/>
    </row>
    <row r="489" spans="6:9" x14ac:dyDescent="0.25">
      <c r="F489" s="137"/>
      <c r="G489" s="137"/>
      <c r="H489" s="137"/>
      <c r="I489" s="137"/>
    </row>
    <row r="490" spans="6:9" x14ac:dyDescent="0.25">
      <c r="F490" s="137"/>
      <c r="G490" s="137"/>
      <c r="H490" s="137"/>
      <c r="I490" s="137"/>
    </row>
    <row r="491" spans="6:9" x14ac:dyDescent="0.25">
      <c r="F491" s="137"/>
      <c r="G491" s="137"/>
      <c r="H491" s="137"/>
      <c r="I491" s="137"/>
    </row>
    <row r="492" spans="6:9" x14ac:dyDescent="0.25">
      <c r="F492" s="137"/>
      <c r="G492" s="137"/>
      <c r="H492" s="137"/>
      <c r="I492" s="137"/>
    </row>
    <row r="493" spans="6:9" x14ac:dyDescent="0.25">
      <c r="F493" s="137"/>
      <c r="G493" s="137"/>
      <c r="H493" s="137"/>
      <c r="I493" s="137"/>
    </row>
    <row r="494" spans="6:9" x14ac:dyDescent="0.25">
      <c r="F494" s="137"/>
      <c r="G494" s="137"/>
      <c r="H494" s="137"/>
      <c r="I494" s="137"/>
    </row>
    <row r="495" spans="6:9" x14ac:dyDescent="0.25">
      <c r="F495" s="137"/>
      <c r="G495" s="137"/>
      <c r="H495" s="137"/>
      <c r="I495" s="137"/>
    </row>
    <row r="496" spans="6:9" x14ac:dyDescent="0.25">
      <c r="F496" s="137"/>
      <c r="G496" s="137"/>
      <c r="H496" s="137"/>
      <c r="I496" s="137"/>
    </row>
    <row r="497" spans="6:9" x14ac:dyDescent="0.25">
      <c r="F497" s="137"/>
      <c r="G497" s="137"/>
      <c r="H497" s="137"/>
      <c r="I497" s="137"/>
    </row>
    <row r="498" spans="6:9" x14ac:dyDescent="0.25">
      <c r="F498" s="137"/>
      <c r="G498" s="137"/>
      <c r="H498" s="137"/>
      <c r="I498" s="137"/>
    </row>
    <row r="499" spans="6:9" x14ac:dyDescent="0.25">
      <c r="F499" s="137"/>
      <c r="G499" s="137"/>
      <c r="H499" s="137"/>
      <c r="I499" s="137"/>
    </row>
    <row r="500" spans="6:9" x14ac:dyDescent="0.25">
      <c r="F500" s="137"/>
      <c r="G500" s="137"/>
      <c r="H500" s="137"/>
      <c r="I500" s="137"/>
    </row>
    <row r="501" spans="6:9" x14ac:dyDescent="0.25">
      <c r="F501" s="137"/>
      <c r="G501" s="137"/>
      <c r="H501" s="137"/>
      <c r="I501" s="137"/>
    </row>
    <row r="502" spans="6:9" x14ac:dyDescent="0.25">
      <c r="F502" s="137"/>
      <c r="G502" s="137"/>
      <c r="H502" s="137"/>
      <c r="I502" s="137"/>
    </row>
    <row r="503" spans="6:9" x14ac:dyDescent="0.25">
      <c r="F503" s="137"/>
      <c r="G503" s="137"/>
      <c r="H503" s="137"/>
      <c r="I503" s="137"/>
    </row>
    <row r="504" spans="6:9" x14ac:dyDescent="0.25">
      <c r="F504" s="137"/>
      <c r="G504" s="137"/>
      <c r="H504" s="137"/>
      <c r="I504" s="137"/>
    </row>
    <row r="505" spans="6:9" x14ac:dyDescent="0.25">
      <c r="F505" s="137"/>
      <c r="G505" s="137"/>
      <c r="H505" s="137"/>
      <c r="I505" s="137"/>
    </row>
    <row r="506" spans="6:9" x14ac:dyDescent="0.25">
      <c r="F506" s="137"/>
      <c r="G506" s="137"/>
      <c r="H506" s="137"/>
      <c r="I506" s="137"/>
    </row>
    <row r="507" spans="6:9" x14ac:dyDescent="0.25">
      <c r="F507" s="137"/>
      <c r="G507" s="137"/>
      <c r="H507" s="137"/>
      <c r="I507" s="137"/>
    </row>
    <row r="508" spans="6:9" x14ac:dyDescent="0.25">
      <c r="F508" s="137"/>
      <c r="G508" s="137"/>
      <c r="H508" s="137"/>
      <c r="I508" s="137"/>
    </row>
    <row r="509" spans="6:9" x14ac:dyDescent="0.25">
      <c r="F509" s="137"/>
      <c r="G509" s="137"/>
      <c r="H509" s="137"/>
      <c r="I509" s="137"/>
    </row>
    <row r="510" spans="6:9" x14ac:dyDescent="0.25">
      <c r="F510" s="137"/>
      <c r="G510" s="137"/>
      <c r="H510" s="137"/>
      <c r="I510" s="137"/>
    </row>
    <row r="511" spans="6:9" x14ac:dyDescent="0.25">
      <c r="F511" s="137"/>
      <c r="G511" s="137"/>
      <c r="H511" s="137"/>
      <c r="I511" s="137"/>
    </row>
    <row r="512" spans="6:9" x14ac:dyDescent="0.25">
      <c r="F512" s="137"/>
      <c r="G512" s="137"/>
      <c r="H512" s="137"/>
      <c r="I512" s="137"/>
    </row>
    <row r="513" spans="6:9" x14ac:dyDescent="0.25">
      <c r="F513" s="137"/>
      <c r="G513" s="137"/>
      <c r="H513" s="137"/>
      <c r="I513" s="137"/>
    </row>
    <row r="514" spans="6:9" x14ac:dyDescent="0.25">
      <c r="F514" s="137"/>
      <c r="G514" s="137"/>
      <c r="H514" s="137"/>
      <c r="I514" s="137"/>
    </row>
    <row r="515" spans="6:9" x14ac:dyDescent="0.25">
      <c r="F515" s="137"/>
      <c r="G515" s="137"/>
      <c r="H515" s="137"/>
      <c r="I515" s="137"/>
    </row>
    <row r="516" spans="6:9" x14ac:dyDescent="0.25">
      <c r="F516" s="137"/>
      <c r="G516" s="137"/>
      <c r="H516" s="137"/>
      <c r="I516" s="137"/>
    </row>
    <row r="517" spans="6:9" x14ac:dyDescent="0.25">
      <c r="F517" s="137"/>
      <c r="G517" s="137"/>
      <c r="H517" s="137"/>
      <c r="I517" s="137"/>
    </row>
    <row r="518" spans="6:9" x14ac:dyDescent="0.25">
      <c r="F518" s="137"/>
      <c r="G518" s="137"/>
      <c r="H518" s="137"/>
      <c r="I518" s="137"/>
    </row>
    <row r="519" spans="6:9" x14ac:dyDescent="0.25">
      <c r="F519" s="137"/>
      <c r="G519" s="137"/>
      <c r="H519" s="137"/>
      <c r="I519" s="137"/>
    </row>
    <row r="520" spans="6:9" x14ac:dyDescent="0.25">
      <c r="F520" s="137"/>
      <c r="G520" s="137"/>
      <c r="H520" s="137"/>
      <c r="I520" s="137"/>
    </row>
    <row r="521" spans="6:9" x14ac:dyDescent="0.25">
      <c r="F521" s="137"/>
      <c r="G521" s="137"/>
      <c r="H521" s="137"/>
      <c r="I521" s="137"/>
    </row>
    <row r="522" spans="6:9" x14ac:dyDescent="0.25">
      <c r="F522" s="137"/>
      <c r="G522" s="137"/>
      <c r="H522" s="137"/>
      <c r="I522" s="137"/>
    </row>
    <row r="523" spans="6:9" x14ac:dyDescent="0.25">
      <c r="F523" s="137"/>
      <c r="G523" s="137"/>
      <c r="H523" s="137"/>
      <c r="I523" s="137"/>
    </row>
    <row r="524" spans="6:9" x14ac:dyDescent="0.25">
      <c r="F524" s="137"/>
      <c r="G524" s="137"/>
      <c r="H524" s="137"/>
      <c r="I524" s="137"/>
    </row>
    <row r="525" spans="6:9" x14ac:dyDescent="0.25">
      <c r="F525" s="137"/>
      <c r="G525" s="137"/>
      <c r="H525" s="137"/>
      <c r="I525" s="137"/>
    </row>
    <row r="526" spans="6:9" x14ac:dyDescent="0.25">
      <c r="F526" s="137"/>
      <c r="G526" s="137"/>
      <c r="H526" s="137"/>
      <c r="I526" s="137"/>
    </row>
    <row r="527" spans="6:9" x14ac:dyDescent="0.25">
      <c r="F527" s="137"/>
      <c r="G527" s="137"/>
      <c r="H527" s="137"/>
      <c r="I527" s="137"/>
    </row>
    <row r="528" spans="6:9" x14ac:dyDescent="0.25">
      <c r="F528" s="137"/>
      <c r="G528" s="137"/>
      <c r="H528" s="137"/>
      <c r="I528" s="137"/>
    </row>
    <row r="529" spans="6:9" x14ac:dyDescent="0.25">
      <c r="F529" s="137"/>
      <c r="G529" s="137"/>
      <c r="H529" s="137"/>
      <c r="I529" s="137"/>
    </row>
    <row r="530" spans="6:9" x14ac:dyDescent="0.25">
      <c r="F530" s="137"/>
      <c r="G530" s="137"/>
      <c r="H530" s="137"/>
      <c r="I530" s="137"/>
    </row>
    <row r="531" spans="6:9" x14ac:dyDescent="0.25">
      <c r="F531" s="137"/>
      <c r="G531" s="137"/>
      <c r="H531" s="137"/>
      <c r="I531" s="137"/>
    </row>
    <row r="532" spans="6:9" x14ac:dyDescent="0.25">
      <c r="F532" s="137"/>
      <c r="G532" s="137"/>
      <c r="H532" s="137"/>
      <c r="I532" s="137"/>
    </row>
  </sheetData>
  <autoFilter ref="A3:AS419" xr:uid="{00000000-0001-0000-1100-000000000000}"/>
  <mergeCells count="8">
    <mergeCell ref="F1:I1"/>
    <mergeCell ref="O1:U1"/>
    <mergeCell ref="AB1:AE1"/>
    <mergeCell ref="AL1:AS1"/>
    <mergeCell ref="O2:R2"/>
    <mergeCell ref="S2:U2"/>
    <mergeCell ref="AB2:AC2"/>
    <mergeCell ref="AD2:AE2"/>
  </mergeCell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B30-D64C-4F7F-9705-DC80E3692DD4}">
  <sheetPr>
    <tabColor theme="9" tint="0.39997558519241921"/>
  </sheetPr>
  <dimension ref="A1:CM35"/>
  <sheetViews>
    <sheetView zoomScale="55" zoomScaleNormal="55" workbookViewId="0">
      <pane ySplit="1" topLeftCell="A2" activePane="bottomLeft" state="frozen"/>
      <selection pane="bottomLeft" activeCell="A9" sqref="A9:XFD9"/>
    </sheetView>
  </sheetViews>
  <sheetFormatPr defaultColWidth="20.5" defaultRowHeight="17.25" customHeight="1" x14ac:dyDescent="0.25"/>
  <cols>
    <col min="1" max="12" width="20.5" style="78"/>
    <col min="13" max="14" width="20.5" style="129"/>
    <col min="15" max="15" width="21.875" style="129" customWidth="1"/>
    <col min="16" max="21" width="20.5" style="78"/>
    <col min="22" max="22" width="20.5" style="62"/>
    <col min="23" max="26" width="20.5" style="78"/>
    <col min="27" max="27" width="20.875" style="78" customWidth="1"/>
    <col min="28" max="28" width="6" style="78" customWidth="1"/>
    <col min="29" max="43" width="20.875" style="78" customWidth="1"/>
    <col min="44" max="44" width="6" style="78" customWidth="1"/>
    <col min="45" max="47" width="20.5" style="78"/>
    <col min="48" max="55" width="20.5" style="129"/>
    <col min="56" max="56" width="20.5" style="345"/>
    <col min="57" max="58" width="20.5" style="358"/>
    <col min="59" max="59" width="8.125" style="78" bestFit="1" customWidth="1"/>
    <col min="60" max="62" width="20.5" style="78"/>
    <col min="63" max="77" width="20.5" style="129"/>
    <col min="78" max="78" width="20.5" style="345"/>
    <col min="79" max="80" width="20.5" style="358"/>
    <col min="81" max="81" width="6" style="78" bestFit="1" customWidth="1"/>
    <col min="82" max="84" width="20.5" style="78"/>
    <col min="85" max="89" width="20.5" style="156"/>
    <col min="90" max="91" width="20.5" style="169"/>
    <col min="92" max="16384" width="20.5" style="78"/>
  </cols>
  <sheetData>
    <row r="1" spans="1:91" s="120" customFormat="1" ht="75.75" customHeight="1" x14ac:dyDescent="0.25">
      <c r="A1" s="296"/>
      <c r="B1" s="296"/>
      <c r="C1" s="296"/>
      <c r="D1" s="545" t="s">
        <v>3196</v>
      </c>
      <c r="E1" s="546"/>
      <c r="F1" s="546"/>
      <c r="G1" s="546"/>
      <c r="H1" s="387"/>
      <c r="J1" s="296"/>
      <c r="K1" s="296"/>
      <c r="L1" s="296"/>
      <c r="M1" s="545" t="s">
        <v>3197</v>
      </c>
      <c r="N1" s="545"/>
      <c r="O1" s="545"/>
      <c r="Q1" s="303"/>
      <c r="R1" s="303"/>
      <c r="S1" s="303"/>
      <c r="T1" s="541" t="s">
        <v>3198</v>
      </c>
      <c r="U1" s="541"/>
      <c r="V1" s="541"/>
      <c r="W1" s="541"/>
      <c r="X1" s="541"/>
      <c r="Y1" s="541"/>
      <c r="Z1" s="541"/>
      <c r="AA1" s="541"/>
      <c r="AC1" s="303"/>
      <c r="AD1" s="303"/>
      <c r="AE1" s="303"/>
      <c r="AF1" s="541" t="s">
        <v>3199</v>
      </c>
      <c r="AG1" s="541"/>
      <c r="AH1" s="541"/>
      <c r="AI1" s="541"/>
      <c r="AJ1" s="541"/>
      <c r="AK1" s="541"/>
      <c r="AL1" s="541"/>
      <c r="AM1" s="541"/>
      <c r="AN1" s="541"/>
      <c r="AO1" s="541"/>
      <c r="AP1" s="541"/>
      <c r="AQ1" s="541"/>
      <c r="AS1" s="303"/>
      <c r="AT1" s="303"/>
      <c r="AU1" s="303"/>
      <c r="AV1" s="545" t="s">
        <v>3200</v>
      </c>
      <c r="AW1" s="546"/>
      <c r="AX1" s="546"/>
      <c r="AY1" s="546"/>
      <c r="AZ1" s="546"/>
      <c r="BA1" s="546"/>
      <c r="BB1" s="546"/>
      <c r="BC1" s="546"/>
      <c r="BD1" s="546"/>
      <c r="BE1" s="546"/>
      <c r="BF1" s="387"/>
      <c r="BH1" s="303"/>
      <c r="BI1" s="303"/>
      <c r="BJ1" s="303"/>
      <c r="BK1" s="545" t="s">
        <v>3201</v>
      </c>
      <c r="BL1" s="545"/>
      <c r="BM1" s="545"/>
      <c r="BN1" s="545"/>
      <c r="BO1" s="545"/>
      <c r="BP1" s="545"/>
      <c r="BQ1" s="545"/>
      <c r="BR1" s="545"/>
      <c r="BS1" s="545"/>
      <c r="BT1" s="545"/>
      <c r="BU1" s="545"/>
      <c r="BV1" s="545"/>
      <c r="BW1" s="545"/>
      <c r="BX1" s="545"/>
      <c r="BY1" s="545"/>
      <c r="BZ1" s="545"/>
      <c r="CA1" s="545"/>
      <c r="CB1" s="391"/>
      <c r="CD1" s="303"/>
      <c r="CE1" s="303"/>
      <c r="CF1" s="303"/>
      <c r="CG1" s="579" t="s">
        <v>3202</v>
      </c>
      <c r="CH1" s="579"/>
      <c r="CI1" s="579"/>
      <c r="CJ1" s="579"/>
      <c r="CK1" s="579"/>
      <c r="CL1" s="579"/>
      <c r="CM1" s="579"/>
    </row>
    <row r="2" spans="1:91" s="120" customFormat="1" ht="27" customHeight="1" x14ac:dyDescent="0.25">
      <c r="A2" s="297"/>
      <c r="B2" s="297"/>
      <c r="C2" s="297"/>
      <c r="D2" s="546" t="s">
        <v>3203</v>
      </c>
      <c r="E2" s="546"/>
      <c r="F2" s="546"/>
      <c r="G2" s="546"/>
      <c r="H2" s="387"/>
      <c r="J2" s="297"/>
      <c r="K2" s="297"/>
      <c r="L2" s="297"/>
      <c r="M2" s="545" t="s">
        <v>3204</v>
      </c>
      <c r="N2" s="545"/>
      <c r="O2" s="545"/>
      <c r="Q2" s="304"/>
      <c r="R2" s="304"/>
      <c r="S2" s="304"/>
      <c r="T2" s="302"/>
      <c r="U2" s="302"/>
      <c r="V2" s="302"/>
      <c r="W2" s="293"/>
      <c r="X2" s="293"/>
      <c r="Y2" s="293"/>
      <c r="Z2" s="293"/>
      <c r="AA2" s="293"/>
      <c r="AC2" s="304"/>
      <c r="AD2" s="304"/>
      <c r="AE2" s="304"/>
      <c r="AF2" s="293"/>
      <c r="AG2" s="293"/>
      <c r="AH2" s="293"/>
      <c r="AI2" s="293"/>
      <c r="AJ2" s="293"/>
      <c r="AK2" s="293"/>
      <c r="AL2" s="293"/>
      <c r="AM2" s="293"/>
      <c r="AN2" s="293"/>
      <c r="AO2" s="293"/>
      <c r="AP2" s="293"/>
      <c r="AQ2" s="293"/>
      <c r="AS2" s="304"/>
      <c r="AT2" s="304"/>
      <c r="AU2" s="304"/>
      <c r="AV2" s="546" t="s">
        <v>3205</v>
      </c>
      <c r="AW2" s="546"/>
      <c r="AX2" s="546"/>
      <c r="AY2" s="546"/>
      <c r="AZ2" s="546"/>
      <c r="BA2" s="546"/>
      <c r="BB2" s="546"/>
      <c r="BC2" s="545" t="s">
        <v>3206</v>
      </c>
      <c r="BD2" s="545"/>
      <c r="BE2" s="545"/>
      <c r="BF2" s="391"/>
      <c r="BH2" s="304"/>
      <c r="BI2" s="304"/>
      <c r="BJ2" s="304"/>
      <c r="BK2" s="542" t="s">
        <v>3207</v>
      </c>
      <c r="BL2" s="542"/>
      <c r="BM2" s="542"/>
      <c r="BN2" s="542"/>
      <c r="BO2" s="542"/>
      <c r="BP2" s="542"/>
      <c r="BQ2" s="542"/>
      <c r="BR2" s="542"/>
      <c r="BS2" s="542"/>
      <c r="BT2" s="542"/>
      <c r="BU2" s="542"/>
      <c r="BV2" s="542"/>
      <c r="BW2" s="542" t="s">
        <v>3208</v>
      </c>
      <c r="BX2" s="542"/>
      <c r="BY2" s="542"/>
      <c r="BZ2" s="542"/>
      <c r="CA2" s="542"/>
      <c r="CB2" s="124"/>
      <c r="CD2" s="304"/>
      <c r="CE2" s="304"/>
      <c r="CF2" s="304"/>
      <c r="CG2" s="302"/>
      <c r="CH2" s="302"/>
      <c r="CI2" s="302"/>
      <c r="CJ2" s="302"/>
      <c r="CK2" s="302"/>
      <c r="CL2" s="302"/>
      <c r="CM2" s="302"/>
    </row>
    <row r="3" spans="1:91" s="110" customFormat="1" ht="156" customHeight="1" x14ac:dyDescent="0.25">
      <c r="A3" s="346" t="s">
        <v>721</v>
      </c>
      <c r="B3" s="346" t="s">
        <v>1456</v>
      </c>
      <c r="C3" s="347" t="s">
        <v>3059</v>
      </c>
      <c r="D3" s="291" t="s">
        <v>3209</v>
      </c>
      <c r="E3" s="291" t="s">
        <v>3210</v>
      </c>
      <c r="F3" s="291" t="s">
        <v>3131</v>
      </c>
      <c r="G3" s="388" t="s">
        <v>3211</v>
      </c>
      <c r="H3" s="389" t="s">
        <v>3212</v>
      </c>
      <c r="J3" s="346" t="s">
        <v>721</v>
      </c>
      <c r="K3" s="346" t="s">
        <v>1456</v>
      </c>
      <c r="L3" s="347" t="s">
        <v>3059</v>
      </c>
      <c r="M3" s="291" t="s">
        <v>3213</v>
      </c>
      <c r="N3" s="291" t="s">
        <v>3214</v>
      </c>
      <c r="O3" s="292" t="s">
        <v>3215</v>
      </c>
      <c r="Q3" s="347" t="s">
        <v>721</v>
      </c>
      <c r="R3" s="347" t="s">
        <v>3216</v>
      </c>
      <c r="S3" s="347" t="s">
        <v>3059</v>
      </c>
      <c r="T3" s="290" t="s">
        <v>3217</v>
      </c>
      <c r="U3" s="290" t="s">
        <v>3218</v>
      </c>
      <c r="V3" s="290" t="s">
        <v>3219</v>
      </c>
      <c r="W3" s="392" t="s">
        <v>3220</v>
      </c>
      <c r="X3" s="389" t="s">
        <v>3221</v>
      </c>
      <c r="Y3" s="290" t="s">
        <v>3222</v>
      </c>
      <c r="Z3" s="290" t="s">
        <v>3223</v>
      </c>
      <c r="AA3" s="290" t="s">
        <v>3224</v>
      </c>
      <c r="AC3" s="347" t="s">
        <v>721</v>
      </c>
      <c r="AD3" s="347" t="s">
        <v>796</v>
      </c>
      <c r="AE3" s="347" t="s">
        <v>3059</v>
      </c>
      <c r="AF3" s="290" t="s">
        <v>573</v>
      </c>
      <c r="AG3" s="290" t="s">
        <v>576</v>
      </c>
      <c r="AH3" s="290" t="s">
        <v>579</v>
      </c>
      <c r="AI3" s="290" t="s">
        <v>582</v>
      </c>
      <c r="AJ3" s="290" t="s">
        <v>585</v>
      </c>
      <c r="AK3" s="290" t="s">
        <v>588</v>
      </c>
      <c r="AL3" s="290" t="s">
        <v>591</v>
      </c>
      <c r="AM3" s="290" t="s">
        <v>594</v>
      </c>
      <c r="AN3" s="290" t="s">
        <v>597</v>
      </c>
      <c r="AO3" s="290" t="s">
        <v>600</v>
      </c>
      <c r="AP3" s="290" t="s">
        <v>603</v>
      </c>
      <c r="AQ3" s="290" t="s">
        <v>606</v>
      </c>
      <c r="AS3" s="347" t="s">
        <v>721</v>
      </c>
      <c r="AT3" s="347" t="s">
        <v>1456</v>
      </c>
      <c r="AU3" s="347" t="s">
        <v>3059</v>
      </c>
      <c r="AV3" s="291" t="s">
        <v>3225</v>
      </c>
      <c r="AW3" s="291" t="s">
        <v>3226</v>
      </c>
      <c r="AX3" s="291" t="s">
        <v>3227</v>
      </c>
      <c r="AY3" s="291" t="s">
        <v>3228</v>
      </c>
      <c r="AZ3" s="291" t="s">
        <v>3229</v>
      </c>
      <c r="BA3" s="291" t="s">
        <v>3230</v>
      </c>
      <c r="BB3" s="291" t="s">
        <v>3231</v>
      </c>
      <c r="BC3" s="291" t="s">
        <v>632</v>
      </c>
      <c r="BD3" s="291" t="s">
        <v>3232</v>
      </c>
      <c r="BE3" s="388" t="s">
        <v>3233</v>
      </c>
      <c r="BF3" s="389" t="s">
        <v>3234</v>
      </c>
      <c r="BH3" s="347" t="s">
        <v>721</v>
      </c>
      <c r="BI3" s="347" t="s">
        <v>1456</v>
      </c>
      <c r="BJ3" s="347" t="s">
        <v>3059</v>
      </c>
      <c r="BK3" s="290" t="s">
        <v>642</v>
      </c>
      <c r="BL3" s="290" t="s">
        <v>645</v>
      </c>
      <c r="BM3" s="290" t="s">
        <v>648</v>
      </c>
      <c r="BN3" s="290" t="s">
        <v>651</v>
      </c>
      <c r="BO3" s="290" t="s">
        <v>654</v>
      </c>
      <c r="BP3" s="290" t="s">
        <v>657</v>
      </c>
      <c r="BQ3" s="290" t="s">
        <v>660</v>
      </c>
      <c r="BR3" s="290" t="s">
        <v>663</v>
      </c>
      <c r="BS3" s="290" t="s">
        <v>666</v>
      </c>
      <c r="BT3" s="290" t="s">
        <v>669</v>
      </c>
      <c r="BU3" s="290" t="s">
        <v>672</v>
      </c>
      <c r="BV3" s="290" t="s">
        <v>675</v>
      </c>
      <c r="BW3" s="290" t="s">
        <v>3235</v>
      </c>
      <c r="BX3" s="290" t="s">
        <v>3236</v>
      </c>
      <c r="BY3" s="290" t="s">
        <v>3237</v>
      </c>
      <c r="BZ3" s="290" t="s">
        <v>688</v>
      </c>
      <c r="CA3" s="393" t="s">
        <v>3238</v>
      </c>
      <c r="CB3" s="389" t="s">
        <v>3239</v>
      </c>
      <c r="CD3" s="289" t="s">
        <v>721</v>
      </c>
      <c r="CE3" s="289" t="s">
        <v>1456</v>
      </c>
      <c r="CF3" s="289" t="s">
        <v>3059</v>
      </c>
      <c r="CG3" s="290" t="s">
        <v>696</v>
      </c>
      <c r="CH3" s="290" t="s">
        <v>699</v>
      </c>
      <c r="CI3" s="290" t="s">
        <v>702</v>
      </c>
      <c r="CJ3" s="290" t="s">
        <v>705</v>
      </c>
      <c r="CK3" s="290" t="s">
        <v>708</v>
      </c>
      <c r="CL3" s="290" t="s">
        <v>711</v>
      </c>
      <c r="CM3" s="348" t="s">
        <v>3240</v>
      </c>
    </row>
    <row r="4" spans="1:91" s="190" customFormat="1" ht="17.25" customHeight="1" x14ac:dyDescent="0.25">
      <c r="A4" s="224" t="s">
        <v>832</v>
      </c>
      <c r="B4" s="224"/>
      <c r="C4" s="224"/>
      <c r="D4" s="479"/>
      <c r="E4" s="479"/>
      <c r="F4" s="479"/>
      <c r="G4" s="483"/>
      <c r="H4" s="483"/>
      <c r="J4" s="224" t="s">
        <v>832</v>
      </c>
      <c r="K4" s="224"/>
      <c r="L4" s="224"/>
      <c r="M4" s="479"/>
      <c r="N4" s="479"/>
      <c r="O4" s="479"/>
      <c r="Q4" s="224" t="s">
        <v>832</v>
      </c>
      <c r="R4" s="224"/>
      <c r="S4" s="224"/>
      <c r="T4" s="479"/>
      <c r="U4" s="479"/>
      <c r="V4" s="479"/>
      <c r="W4" s="483"/>
      <c r="X4" s="483"/>
      <c r="Y4" s="479"/>
      <c r="Z4" s="479"/>
      <c r="AA4" s="482"/>
      <c r="AB4" s="482"/>
      <c r="AC4" s="484" t="s">
        <v>832</v>
      </c>
      <c r="AD4" s="484"/>
      <c r="AE4" s="484"/>
      <c r="AF4" s="479"/>
      <c r="AG4" s="479"/>
      <c r="AH4" s="479"/>
      <c r="AI4" s="479"/>
      <c r="AJ4" s="479"/>
      <c r="AK4" s="479"/>
      <c r="AL4" s="479"/>
      <c r="AM4" s="479"/>
      <c r="AN4" s="479"/>
      <c r="AO4" s="479"/>
      <c r="AP4" s="479"/>
      <c r="AQ4" s="479"/>
      <c r="AR4" s="482"/>
      <c r="AS4" s="484" t="s">
        <v>832</v>
      </c>
      <c r="AT4" s="484"/>
      <c r="AU4" s="484"/>
      <c r="AV4" s="479"/>
      <c r="AW4" s="479"/>
      <c r="AX4" s="479"/>
      <c r="AY4" s="479"/>
      <c r="AZ4" s="479"/>
      <c r="BA4" s="479"/>
      <c r="BB4" s="479"/>
      <c r="BC4" s="479"/>
      <c r="BD4" s="479"/>
      <c r="BE4" s="483"/>
      <c r="BF4" s="483"/>
      <c r="BG4" s="482"/>
      <c r="BH4" s="484" t="s">
        <v>832</v>
      </c>
      <c r="BI4" s="484"/>
      <c r="BJ4" s="484"/>
      <c r="BK4" s="479"/>
      <c r="BL4" s="479"/>
      <c r="BM4" s="479"/>
      <c r="BN4" s="479"/>
      <c r="BO4" s="479"/>
      <c r="BP4" s="479"/>
      <c r="BQ4" s="479"/>
      <c r="BR4" s="479"/>
      <c r="BS4" s="479"/>
      <c r="BT4" s="479"/>
      <c r="BU4" s="479"/>
      <c r="BV4" s="479"/>
      <c r="BW4" s="479"/>
      <c r="BX4" s="479"/>
      <c r="BY4" s="479"/>
      <c r="BZ4" s="479"/>
      <c r="CA4" s="483"/>
      <c r="CB4" s="483"/>
      <c r="CC4" s="482"/>
      <c r="CD4" s="484" t="s">
        <v>832</v>
      </c>
      <c r="CE4" s="484"/>
      <c r="CF4" s="484"/>
      <c r="CG4" s="481"/>
      <c r="CH4" s="481"/>
      <c r="CI4" s="481"/>
      <c r="CJ4" s="481"/>
      <c r="CK4" s="481"/>
      <c r="CL4" s="481"/>
      <c r="CM4" s="481"/>
    </row>
    <row r="5" spans="1:91" s="190" customFormat="1" ht="17.25" customHeight="1" x14ac:dyDescent="0.25">
      <c r="A5" s="226" t="s">
        <v>1428</v>
      </c>
      <c r="B5" s="224"/>
      <c r="C5" s="224"/>
      <c r="D5" s="479">
        <f>AVERAGE(D10:D35)</f>
        <v>0.38949201923076926</v>
      </c>
      <c r="E5" s="479">
        <f>AVERAGE(E10:E35)</f>
        <v>0.57503968461538446</v>
      </c>
      <c r="F5" s="479">
        <f>AVERAGE(F10:F35)</f>
        <v>0.96453170769230789</v>
      </c>
      <c r="G5" s="479">
        <f>AVERAGE(G10:G35)</f>
        <v>0.63869048076923096</v>
      </c>
      <c r="H5" s="483"/>
      <c r="J5" s="226" t="s">
        <v>1428</v>
      </c>
      <c r="K5" s="224"/>
      <c r="L5" s="224"/>
      <c r="M5" s="479">
        <f>AVERAGE(M10:M35)</f>
        <v>0.96283716538461539</v>
      </c>
      <c r="N5" s="479">
        <f>AVERAGE(N10:N35)</f>
        <v>0.95576923076923082</v>
      </c>
      <c r="O5" s="479"/>
      <c r="Q5" s="226" t="s">
        <v>1428</v>
      </c>
      <c r="R5" s="224"/>
      <c r="S5" s="224"/>
      <c r="T5" s="479">
        <f>AVERAGE(T10:T35)</f>
        <v>0.15142208846153846</v>
      </c>
      <c r="U5" s="479">
        <f>AVERAGE(U10:U35)</f>
        <v>0.5173376807692307</v>
      </c>
      <c r="V5" s="479">
        <f>AVERAGE(V10:V35)</f>
        <v>0.66875973846153858</v>
      </c>
      <c r="W5" s="479">
        <f>AVERAGE(W10:W35)</f>
        <v>0.1397893730769231</v>
      </c>
      <c r="X5" s="479"/>
      <c r="Y5" s="479">
        <f>AVERAGE(Y10:Y35)</f>
        <v>0.16530805384615382</v>
      </c>
      <c r="Z5" s="479">
        <f>AVERAGE(Z10:Z35)</f>
        <v>0.41867486538461546</v>
      </c>
      <c r="AA5" s="479">
        <f>AVERAGE(AA10:AA35)</f>
        <v>0.58398291538461555</v>
      </c>
      <c r="AB5" s="482"/>
      <c r="AC5" s="485" t="s">
        <v>1428</v>
      </c>
      <c r="AD5" s="484"/>
      <c r="AE5" s="484"/>
      <c r="AF5" s="479">
        <f t="shared" ref="AF5:AQ5" si="0">AVERAGE(AF10:AF35)</f>
        <v>0.64015567846153831</v>
      </c>
      <c r="AG5" s="479">
        <f t="shared" si="0"/>
        <v>0.87417582730769228</v>
      </c>
      <c r="AH5" s="479">
        <f t="shared" si="0"/>
        <v>0.80682234153846166</v>
      </c>
      <c r="AI5" s="479">
        <f t="shared" si="0"/>
        <v>0.85146520192307684</v>
      </c>
      <c r="AJ5" s="479">
        <f t="shared" si="0"/>
        <v>5.8974359999999997E-2</v>
      </c>
      <c r="AK5" s="479">
        <f t="shared" si="0"/>
        <v>7.9487180769230767E-2</v>
      </c>
      <c r="AL5" s="479">
        <f t="shared" si="0"/>
        <v>0.92142857269230771</v>
      </c>
      <c r="AM5" s="479">
        <f t="shared" si="0"/>
        <v>0.88823260346153843</v>
      </c>
      <c r="AN5" s="479">
        <f t="shared" si="0"/>
        <v>0.94803113692307694</v>
      </c>
      <c r="AO5" s="479">
        <f t="shared" si="0"/>
        <v>0.93539377346153851</v>
      </c>
      <c r="AP5" s="479">
        <f t="shared" si="0"/>
        <v>0.74203297076923092</v>
      </c>
      <c r="AQ5" s="479">
        <f t="shared" si="0"/>
        <v>0.70419997307692317</v>
      </c>
      <c r="AR5" s="482"/>
      <c r="AS5" s="485" t="s">
        <v>1428</v>
      </c>
      <c r="AT5" s="484"/>
      <c r="AU5" s="484"/>
      <c r="AV5" s="479">
        <f t="shared" ref="AV5:BE5" si="1">AVERAGE(AV10:AV35)</f>
        <v>0.98461540000000003</v>
      </c>
      <c r="AW5" s="479">
        <f t="shared" si="1"/>
        <v>0.93333333333333324</v>
      </c>
      <c r="AX5" s="479">
        <f t="shared" si="1"/>
        <v>0.98245613333333337</v>
      </c>
      <c r="AY5" s="479">
        <f t="shared" si="1"/>
        <v>0.98484846666666659</v>
      </c>
      <c r="AZ5" s="479">
        <f t="shared" si="1"/>
        <v>1</v>
      </c>
      <c r="BA5" s="479">
        <f t="shared" si="1"/>
        <v>1</v>
      </c>
      <c r="BB5" s="479">
        <f t="shared" si="1"/>
        <v>0.9696969666666666</v>
      </c>
      <c r="BC5" s="479">
        <f t="shared" si="1"/>
        <v>0.8828317923076926</v>
      </c>
      <c r="BD5" s="479">
        <f t="shared" si="1"/>
        <v>0.88267174230769263</v>
      </c>
      <c r="BE5" s="479">
        <f t="shared" si="1"/>
        <v>0.20265567307692309</v>
      </c>
      <c r="BF5" s="486"/>
      <c r="BG5" s="482"/>
      <c r="BH5" s="485" t="s">
        <v>1428</v>
      </c>
      <c r="BI5" s="484"/>
      <c r="BJ5" s="484"/>
      <c r="BK5" s="479">
        <f t="shared" ref="BK5:BT5" si="2">AVERAGE(BK10:BK35)</f>
        <v>1</v>
      </c>
      <c r="BL5" s="479">
        <f t="shared" si="2"/>
        <v>1</v>
      </c>
      <c r="BM5" s="479">
        <f t="shared" si="2"/>
        <v>1</v>
      </c>
      <c r="BN5" s="479">
        <f t="shared" si="2"/>
        <v>0.66666666666666663</v>
      </c>
      <c r="BO5" s="479">
        <f t="shared" si="2"/>
        <v>0.66666666666666663</v>
      </c>
      <c r="BP5" s="479">
        <f t="shared" si="2"/>
        <v>0.33333333333333331</v>
      </c>
      <c r="BQ5" s="479">
        <f t="shared" si="2"/>
        <v>1</v>
      </c>
      <c r="BR5" s="479">
        <f t="shared" si="2"/>
        <v>1</v>
      </c>
      <c r="BS5" s="479">
        <f t="shared" si="2"/>
        <v>1</v>
      </c>
      <c r="BT5" s="479">
        <f t="shared" si="2"/>
        <v>1</v>
      </c>
      <c r="BU5" s="479"/>
      <c r="BV5" s="479"/>
      <c r="BW5" s="479">
        <f>AVERAGE(BW10:BW35)</f>
        <v>0.85755494638115393</v>
      </c>
      <c r="BX5" s="479">
        <f>AVERAGE(BX10:BX35)</f>
        <v>0.81336996532423089</v>
      </c>
      <c r="BY5" s="479">
        <f>AVERAGE(BY10:BY35)</f>
        <v>0.85219780413000012</v>
      </c>
      <c r="BZ5" s="479">
        <f>AVERAGE(BZ10:BZ35)</f>
        <v>0.84069901923076906</v>
      </c>
      <c r="CA5" s="479">
        <f>AVERAGE(CA10:CA35)</f>
        <v>0.71236263846153847</v>
      </c>
      <c r="CB5" s="486"/>
      <c r="CC5" s="482"/>
      <c r="CD5" s="485" t="s">
        <v>1428</v>
      </c>
      <c r="CE5" s="484"/>
      <c r="CF5" s="484"/>
      <c r="CG5" s="487"/>
      <c r="CH5" s="479">
        <f>AVERAGE(CH10:CH35)</f>
        <v>1</v>
      </c>
      <c r="CI5" s="479">
        <f>AVERAGE(CI10:CI35)</f>
        <v>1</v>
      </c>
      <c r="CJ5" s="479">
        <f>AVERAGE(CJ10:CJ35)</f>
        <v>0.67499999999999993</v>
      </c>
      <c r="CK5" s="479">
        <f>AVERAGE(CK10:CK35)</f>
        <v>0.91666666666666663</v>
      </c>
      <c r="CL5" s="479">
        <f>AVERAGE(CL10:CL35)</f>
        <v>0.8979166666666667</v>
      </c>
      <c r="CM5" s="479"/>
    </row>
    <row r="6" spans="1:91" s="190" customFormat="1" ht="17.25" customHeight="1" x14ac:dyDescent="0.25">
      <c r="A6" s="226" t="s">
        <v>1429</v>
      </c>
      <c r="B6" s="224"/>
      <c r="C6" s="224"/>
      <c r="D6" s="479">
        <f>MEDIAN(D10:D35)</f>
        <v>0.39428570000000002</v>
      </c>
      <c r="E6" s="479">
        <f>MEDIAN(E10:E35)</f>
        <v>0.6</v>
      </c>
      <c r="F6" s="479">
        <f>MEDIAN(F10:F35)</f>
        <v>0.98715209999999998</v>
      </c>
      <c r="G6" s="479">
        <f>MEDIAN(G10:G35)</f>
        <v>0.63333335000000002</v>
      </c>
      <c r="H6" s="483"/>
      <c r="J6" s="226" t="s">
        <v>1429</v>
      </c>
      <c r="K6" s="224"/>
      <c r="L6" s="224"/>
      <c r="M6" s="479">
        <f>MEDIAN(M10:M35)</f>
        <v>1</v>
      </c>
      <c r="N6" s="479">
        <f>MEDIAN(N10:N35)</f>
        <v>1</v>
      </c>
      <c r="O6" s="479"/>
      <c r="Q6" s="226" t="s">
        <v>1429</v>
      </c>
      <c r="R6" s="224"/>
      <c r="S6" s="224"/>
      <c r="T6" s="479">
        <f>MEDIAN(T10:T35)</f>
        <v>0.15428575</v>
      </c>
      <c r="U6" s="479">
        <f>MEDIAN(U10:U35)</f>
        <v>0.5105455000000001</v>
      </c>
      <c r="V6" s="479">
        <f>MEDIAN(V10:V35)</f>
        <v>0.65599995</v>
      </c>
      <c r="W6" s="479">
        <f>MEDIAN(W10:W35)</f>
        <v>6.25E-2</v>
      </c>
      <c r="X6" s="479"/>
      <c r="Y6" s="479">
        <f>MEDIAN(Y10:Y35)</f>
        <v>0.16833334999999999</v>
      </c>
      <c r="Z6" s="479">
        <f>MEDIAN(Z10:Z35)</f>
        <v>0.37050864999999999</v>
      </c>
      <c r="AA6" s="479">
        <f>MEDIAN(AA10:AA35)</f>
        <v>0.54062049999999995</v>
      </c>
      <c r="AB6" s="482"/>
      <c r="AC6" s="485" t="s">
        <v>1429</v>
      </c>
      <c r="AD6" s="484"/>
      <c r="AE6" s="484"/>
      <c r="AF6" s="479">
        <f t="shared" ref="AF6:AQ6" si="3">MEDIAN(AF10:AF35)</f>
        <v>0.72499999500000001</v>
      </c>
      <c r="AG6" s="479">
        <f t="shared" si="3"/>
        <v>1</v>
      </c>
      <c r="AH6" s="479">
        <f t="shared" si="3"/>
        <v>0.83333330999999999</v>
      </c>
      <c r="AI6" s="479">
        <f t="shared" si="3"/>
        <v>0.87857142500000007</v>
      </c>
      <c r="AJ6" s="479">
        <f t="shared" si="3"/>
        <v>0</v>
      </c>
      <c r="AK6" s="479">
        <f t="shared" si="3"/>
        <v>0</v>
      </c>
      <c r="AL6" s="479">
        <f t="shared" si="3"/>
        <v>1</v>
      </c>
      <c r="AM6" s="479">
        <f t="shared" si="3"/>
        <v>1</v>
      </c>
      <c r="AN6" s="479">
        <f t="shared" si="3"/>
        <v>1</v>
      </c>
      <c r="AO6" s="479">
        <f t="shared" si="3"/>
        <v>1</v>
      </c>
      <c r="AP6" s="479">
        <f t="shared" si="3"/>
        <v>0.80000000999999998</v>
      </c>
      <c r="AQ6" s="479">
        <f t="shared" si="3"/>
        <v>0.71320344999999996</v>
      </c>
      <c r="AR6" s="482"/>
      <c r="AS6" s="485" t="s">
        <v>1429</v>
      </c>
      <c r="AT6" s="484"/>
      <c r="AU6" s="484"/>
      <c r="AV6" s="479">
        <f t="shared" ref="AV6:BE6" si="4">MEDIAN(AV10:AV35)</f>
        <v>0.98461540000000003</v>
      </c>
      <c r="AW6" s="479">
        <f t="shared" si="4"/>
        <v>1</v>
      </c>
      <c r="AX6" s="479">
        <f t="shared" si="4"/>
        <v>1</v>
      </c>
      <c r="AY6" s="479">
        <f t="shared" si="4"/>
        <v>1</v>
      </c>
      <c r="AZ6" s="479">
        <f t="shared" si="4"/>
        <v>1</v>
      </c>
      <c r="BA6" s="479">
        <f t="shared" si="4"/>
        <v>1</v>
      </c>
      <c r="BB6" s="479">
        <f t="shared" si="4"/>
        <v>1</v>
      </c>
      <c r="BC6" s="479">
        <f t="shared" si="4"/>
        <v>0.88816965000000003</v>
      </c>
      <c r="BD6" s="479">
        <f t="shared" si="4"/>
        <v>0.88816965000000003</v>
      </c>
      <c r="BE6" s="479">
        <f t="shared" si="4"/>
        <v>0.14285709999999999</v>
      </c>
      <c r="BF6" s="483"/>
      <c r="BG6" s="482"/>
      <c r="BH6" s="485" t="s">
        <v>1429</v>
      </c>
      <c r="BI6" s="484"/>
      <c r="BJ6" s="484"/>
      <c r="BK6" s="479">
        <f t="shared" ref="BK6:BT6" si="5">MEDIAN(BK10:BK35)</f>
        <v>1</v>
      </c>
      <c r="BL6" s="479">
        <f t="shared" si="5"/>
        <v>1</v>
      </c>
      <c r="BM6" s="479">
        <f t="shared" si="5"/>
        <v>1</v>
      </c>
      <c r="BN6" s="479">
        <f t="shared" si="5"/>
        <v>1</v>
      </c>
      <c r="BO6" s="479">
        <f t="shared" si="5"/>
        <v>1</v>
      </c>
      <c r="BP6" s="479">
        <f t="shared" si="5"/>
        <v>0</v>
      </c>
      <c r="BQ6" s="479">
        <f t="shared" si="5"/>
        <v>1</v>
      </c>
      <c r="BR6" s="479">
        <f t="shared" si="5"/>
        <v>1</v>
      </c>
      <c r="BS6" s="479">
        <f t="shared" si="5"/>
        <v>1</v>
      </c>
      <c r="BT6" s="479">
        <f t="shared" si="5"/>
        <v>1</v>
      </c>
      <c r="BU6" s="479"/>
      <c r="BV6" s="479"/>
      <c r="BW6" s="479">
        <f>MEDIAN(BW10:BW35)</f>
        <v>1</v>
      </c>
      <c r="BX6" s="479">
        <f>MEDIAN(BX10:BX35)</f>
        <v>1</v>
      </c>
      <c r="BY6" s="479">
        <f>MEDIAN(BY10:BY35)</f>
        <v>1</v>
      </c>
      <c r="BZ6" s="479">
        <f>MEDIAN(BZ10:BZ35)</f>
        <v>0.96222220000000003</v>
      </c>
      <c r="CA6" s="479">
        <f>MEDIAN(CA10:CA35)</f>
        <v>0.86666664999999998</v>
      </c>
      <c r="CB6" s="483"/>
      <c r="CC6" s="482"/>
      <c r="CD6" s="485" t="s">
        <v>1429</v>
      </c>
      <c r="CE6" s="484"/>
      <c r="CF6" s="484"/>
      <c r="CG6" s="487"/>
      <c r="CH6" s="479">
        <f>MEDIAN(CH10:CH35)</f>
        <v>1</v>
      </c>
      <c r="CI6" s="479">
        <f>MEDIAN(CI10:CI35)</f>
        <v>1</v>
      </c>
      <c r="CJ6" s="479">
        <f>MEDIAN(CJ10:CJ35)</f>
        <v>0.8</v>
      </c>
      <c r="CK6" s="479">
        <f>MEDIAN(CK10:CK35)</f>
        <v>1</v>
      </c>
      <c r="CL6" s="479">
        <f>MEDIAN(CL10:CL35)</f>
        <v>0.88749999999999996</v>
      </c>
      <c r="CM6" s="479"/>
    </row>
    <row r="7" spans="1:91" s="190" customFormat="1" ht="17.25" customHeight="1" x14ac:dyDescent="0.25">
      <c r="A7" s="226" t="s">
        <v>3141</v>
      </c>
      <c r="B7" s="224"/>
      <c r="C7" s="224"/>
      <c r="D7" s="479">
        <f>MIN(D10:D35)</f>
        <v>0.3350649</v>
      </c>
      <c r="E7" s="479">
        <f>MIN(E10:E35)</f>
        <v>0.45</v>
      </c>
      <c r="F7" s="479">
        <f>MIN(F10:F35)</f>
        <v>0.83701300000000001</v>
      </c>
      <c r="G7" s="479">
        <f>MIN(G10:G35)</f>
        <v>0.1666667</v>
      </c>
      <c r="H7" s="483"/>
      <c r="J7" s="226" t="s">
        <v>3141</v>
      </c>
      <c r="K7" s="224"/>
      <c r="L7" s="224"/>
      <c r="M7" s="479">
        <f>MIN(M10:M35)</f>
        <v>0.64285709999999996</v>
      </c>
      <c r="N7" s="479">
        <f>MIN(N10:N35)</f>
        <v>0.5</v>
      </c>
      <c r="O7" s="479"/>
      <c r="Q7" s="226" t="s">
        <v>3141</v>
      </c>
      <c r="R7" s="224"/>
      <c r="S7" s="224"/>
      <c r="T7" s="479">
        <f>MIN(T10:T35)</f>
        <v>9.3939400000000006E-2</v>
      </c>
      <c r="U7" s="479">
        <f>MIN(U10:U35)</f>
        <v>0.26397310000000002</v>
      </c>
      <c r="V7" s="479">
        <f>MIN(V10:V35)</f>
        <v>0.35791250000000002</v>
      </c>
      <c r="W7" s="479">
        <f>MIN(W10:W35)</f>
        <v>0</v>
      </c>
      <c r="X7" s="479"/>
      <c r="Y7" s="479">
        <f>MIN(Y10:Y35)</f>
        <v>0.1111111</v>
      </c>
      <c r="Z7" s="479">
        <f>MIN(Z10:Z35)</f>
        <v>0.1186147</v>
      </c>
      <c r="AA7" s="479">
        <f>MIN(AA10:AA35)</f>
        <v>0.22972580000000001</v>
      </c>
      <c r="AB7" s="482"/>
      <c r="AC7" s="485" t="s">
        <v>3141</v>
      </c>
      <c r="AD7" s="484"/>
      <c r="AE7" s="484"/>
      <c r="AF7" s="479">
        <f t="shared" ref="AF7:AQ7" si="6">MIN(AF10:AF35)</f>
        <v>0</v>
      </c>
      <c r="AG7" s="479">
        <f t="shared" si="6"/>
        <v>0.33333333999999998</v>
      </c>
      <c r="AH7" s="479">
        <f t="shared" si="6"/>
        <v>0.33333333999999998</v>
      </c>
      <c r="AI7" s="479">
        <f t="shared" si="6"/>
        <v>0.5</v>
      </c>
      <c r="AJ7" s="479">
        <f t="shared" si="6"/>
        <v>0</v>
      </c>
      <c r="AK7" s="479">
        <f t="shared" si="6"/>
        <v>0</v>
      </c>
      <c r="AL7" s="479">
        <f t="shared" si="6"/>
        <v>0.5</v>
      </c>
      <c r="AM7" s="479">
        <f t="shared" si="6"/>
        <v>0.33333333999999998</v>
      </c>
      <c r="AN7" s="479">
        <f t="shared" si="6"/>
        <v>0.66666669000000001</v>
      </c>
      <c r="AO7" s="479">
        <f t="shared" si="6"/>
        <v>0.57142859999999995</v>
      </c>
      <c r="AP7" s="479">
        <f t="shared" si="6"/>
        <v>0</v>
      </c>
      <c r="AQ7" s="479">
        <f t="shared" si="6"/>
        <v>0.5</v>
      </c>
      <c r="AR7" s="482"/>
      <c r="AS7" s="485" t="s">
        <v>3141</v>
      </c>
      <c r="AT7" s="484"/>
      <c r="AU7" s="484"/>
      <c r="AV7" s="479">
        <f t="shared" ref="AV7:BE7" si="7">MIN(AV10:AV35)</f>
        <v>0.96923079999999995</v>
      </c>
      <c r="AW7" s="479">
        <f t="shared" si="7"/>
        <v>0.8</v>
      </c>
      <c r="AX7" s="479">
        <f t="shared" si="7"/>
        <v>0.9473684</v>
      </c>
      <c r="AY7" s="479">
        <f t="shared" si="7"/>
        <v>0.95454539999999999</v>
      </c>
      <c r="AZ7" s="479">
        <f t="shared" si="7"/>
        <v>1</v>
      </c>
      <c r="BA7" s="479">
        <f t="shared" si="7"/>
        <v>1</v>
      </c>
      <c r="BB7" s="479">
        <f t="shared" si="7"/>
        <v>0.90909090000000004</v>
      </c>
      <c r="BC7" s="479">
        <f t="shared" si="7"/>
        <v>0.69583329999999999</v>
      </c>
      <c r="BD7" s="479">
        <f t="shared" si="7"/>
        <v>0.68709969999999998</v>
      </c>
      <c r="BE7" s="479">
        <f t="shared" si="7"/>
        <v>0</v>
      </c>
      <c r="BF7" s="483"/>
      <c r="BG7" s="482"/>
      <c r="BH7" s="485" t="s">
        <v>3141</v>
      </c>
      <c r="BI7" s="484"/>
      <c r="BJ7" s="484"/>
      <c r="BK7" s="479">
        <f t="shared" ref="BK7:BT7" si="8">MIN(BK10:BK35)</f>
        <v>1</v>
      </c>
      <c r="BL7" s="479">
        <f t="shared" si="8"/>
        <v>1</v>
      </c>
      <c r="BM7" s="479">
        <f t="shared" si="8"/>
        <v>1</v>
      </c>
      <c r="BN7" s="479">
        <f t="shared" si="8"/>
        <v>0</v>
      </c>
      <c r="BO7" s="479">
        <f t="shared" si="8"/>
        <v>0</v>
      </c>
      <c r="BP7" s="479">
        <f t="shared" si="8"/>
        <v>0</v>
      </c>
      <c r="BQ7" s="479">
        <f t="shared" si="8"/>
        <v>1</v>
      </c>
      <c r="BR7" s="479">
        <f t="shared" si="8"/>
        <v>1</v>
      </c>
      <c r="BS7" s="479">
        <f t="shared" si="8"/>
        <v>1</v>
      </c>
      <c r="BT7" s="479">
        <f t="shared" si="8"/>
        <v>1</v>
      </c>
      <c r="BU7" s="479"/>
      <c r="BV7" s="479"/>
      <c r="BW7" s="479">
        <f>MIN(BW10:BW35)</f>
        <v>0.16666667163000001</v>
      </c>
      <c r="BX7" s="479">
        <f>MIN(BX10:BX35)</f>
        <v>0</v>
      </c>
      <c r="BY7" s="479">
        <f>MIN(BY10:BY35)</f>
        <v>0</v>
      </c>
      <c r="BZ7" s="479">
        <f>MIN(BZ10:BZ35)</f>
        <v>0.27777780000000002</v>
      </c>
      <c r="CA7" s="479">
        <f>MIN(CA10:CA35)</f>
        <v>0</v>
      </c>
      <c r="CB7" s="483"/>
      <c r="CC7" s="482"/>
      <c r="CD7" s="485" t="s">
        <v>3141</v>
      </c>
      <c r="CE7" s="484"/>
      <c r="CF7" s="484"/>
      <c r="CG7" s="487"/>
      <c r="CH7" s="479">
        <f>MIN(CH10:CH35)</f>
        <v>1</v>
      </c>
      <c r="CI7" s="479">
        <f>MIN(CI10:CI35)</f>
        <v>1</v>
      </c>
      <c r="CJ7" s="479">
        <f>MIN(CJ10:CJ35)</f>
        <v>0.375</v>
      </c>
      <c r="CK7" s="479">
        <f>MIN(CK10:CK35)</f>
        <v>0.75</v>
      </c>
      <c r="CL7" s="479">
        <f>MIN(CL10:CL35)</f>
        <v>0.84375</v>
      </c>
      <c r="CM7" s="479"/>
    </row>
    <row r="8" spans="1:91" s="190" customFormat="1" ht="17.100000000000001" customHeight="1" x14ac:dyDescent="0.25">
      <c r="A8" s="227" t="s">
        <v>3142</v>
      </c>
      <c r="B8" s="192"/>
      <c r="C8" s="192"/>
      <c r="D8" s="480">
        <f>MAX(D10:D35)</f>
        <v>0.4</v>
      </c>
      <c r="E8" s="480">
        <f>MAX(E10:E35)</f>
        <v>0.6</v>
      </c>
      <c r="F8" s="480">
        <f>MAX(F10:F35)</f>
        <v>1</v>
      </c>
      <c r="G8" s="480">
        <f>MAX(G10:G35)</f>
        <v>1</v>
      </c>
      <c r="H8" s="480"/>
      <c r="J8" s="227" t="s">
        <v>3142</v>
      </c>
      <c r="K8" s="192"/>
      <c r="L8" s="192"/>
      <c r="M8" s="480">
        <f>MAX(M10:M35)</f>
        <v>1</v>
      </c>
      <c r="N8" s="480">
        <f>MAX(N10:N35)</f>
        <v>1</v>
      </c>
      <c r="O8" s="480"/>
      <c r="Q8" s="227" t="s">
        <v>3142</v>
      </c>
      <c r="R8" s="192"/>
      <c r="S8" s="192"/>
      <c r="T8" s="480">
        <f>MAX(T10:T35)</f>
        <v>0.1850909</v>
      </c>
      <c r="U8" s="480">
        <f>MAX(U10:U35)</f>
        <v>0.74860610000000005</v>
      </c>
      <c r="V8" s="480">
        <f>MAX(V10:V35)</f>
        <v>0.933697</v>
      </c>
      <c r="W8" s="480">
        <f>MAX(W10:W35)</f>
        <v>0.8</v>
      </c>
      <c r="X8" s="480"/>
      <c r="Y8" s="480">
        <f>MAX(Y10:Y35)</f>
        <v>0.2</v>
      </c>
      <c r="Z8" s="480">
        <f>MAX(Z10:Z35)</f>
        <v>0.75295820000000002</v>
      </c>
      <c r="AA8" s="480">
        <f>MAX(AA10:AA35)</f>
        <v>0.94123380000000001</v>
      </c>
      <c r="AB8" s="482"/>
      <c r="AC8" s="488" t="s">
        <v>3142</v>
      </c>
      <c r="AD8" s="489"/>
      <c r="AE8" s="489"/>
      <c r="AF8" s="480">
        <f t="shared" ref="AF8:AQ8" si="9">MAX(AF10:AF35)</f>
        <v>1</v>
      </c>
      <c r="AG8" s="480">
        <f t="shared" si="9"/>
        <v>1</v>
      </c>
      <c r="AH8" s="480">
        <f t="shared" si="9"/>
        <v>1</v>
      </c>
      <c r="AI8" s="480">
        <f t="shared" si="9"/>
        <v>1</v>
      </c>
      <c r="AJ8" s="480">
        <f t="shared" si="9"/>
        <v>0.60000001999999997</v>
      </c>
      <c r="AK8" s="480">
        <f t="shared" si="9"/>
        <v>0.60000001999999997</v>
      </c>
      <c r="AL8" s="480">
        <f t="shared" si="9"/>
        <v>1</v>
      </c>
      <c r="AM8" s="480">
        <f t="shared" si="9"/>
        <v>1</v>
      </c>
      <c r="AN8" s="480">
        <f t="shared" si="9"/>
        <v>1</v>
      </c>
      <c r="AO8" s="480">
        <f t="shared" si="9"/>
        <v>1</v>
      </c>
      <c r="AP8" s="480">
        <f t="shared" si="9"/>
        <v>1</v>
      </c>
      <c r="AQ8" s="480">
        <f t="shared" si="9"/>
        <v>0.89090910000000001</v>
      </c>
      <c r="AR8" s="482"/>
      <c r="AS8" s="488" t="s">
        <v>3142</v>
      </c>
      <c r="AT8" s="489"/>
      <c r="AU8" s="489"/>
      <c r="AV8" s="480">
        <f t="shared" ref="AV8:BE8" si="10">MAX(AV10:AV35)</f>
        <v>1</v>
      </c>
      <c r="AW8" s="480">
        <f t="shared" si="10"/>
        <v>1</v>
      </c>
      <c r="AX8" s="480">
        <f t="shared" si="10"/>
        <v>1</v>
      </c>
      <c r="AY8" s="480">
        <f t="shared" si="10"/>
        <v>1</v>
      </c>
      <c r="AZ8" s="480">
        <f t="shared" si="10"/>
        <v>1</v>
      </c>
      <c r="BA8" s="480">
        <f t="shared" si="10"/>
        <v>1</v>
      </c>
      <c r="BB8" s="480">
        <f t="shared" si="10"/>
        <v>1</v>
      </c>
      <c r="BC8" s="480">
        <f t="shared" si="10"/>
        <v>0.98499999999999999</v>
      </c>
      <c r="BD8" s="480">
        <f t="shared" si="10"/>
        <v>0.98412659999999996</v>
      </c>
      <c r="BE8" s="480">
        <f t="shared" si="10"/>
        <v>1</v>
      </c>
      <c r="BF8" s="480"/>
      <c r="BG8" s="482"/>
      <c r="BH8" s="488" t="s">
        <v>3142</v>
      </c>
      <c r="BI8" s="489"/>
      <c r="BJ8" s="489"/>
      <c r="BK8" s="480">
        <f t="shared" ref="BK8:BT8" si="11">MAX(BK10:BK35)</f>
        <v>1</v>
      </c>
      <c r="BL8" s="480">
        <f t="shared" si="11"/>
        <v>1</v>
      </c>
      <c r="BM8" s="480">
        <f t="shared" si="11"/>
        <v>1</v>
      </c>
      <c r="BN8" s="480">
        <f t="shared" si="11"/>
        <v>1</v>
      </c>
      <c r="BO8" s="480">
        <f t="shared" si="11"/>
        <v>1</v>
      </c>
      <c r="BP8" s="480">
        <f t="shared" si="11"/>
        <v>1</v>
      </c>
      <c r="BQ8" s="480">
        <f t="shared" si="11"/>
        <v>1</v>
      </c>
      <c r="BR8" s="480">
        <f t="shared" si="11"/>
        <v>1</v>
      </c>
      <c r="BS8" s="480">
        <f t="shared" si="11"/>
        <v>1</v>
      </c>
      <c r="BT8" s="480">
        <f t="shared" si="11"/>
        <v>1</v>
      </c>
      <c r="BU8" s="480">
        <f>MAX(BU10:BU32)</f>
        <v>0</v>
      </c>
      <c r="BV8" s="480">
        <f>MAX(BV10:BV32)</f>
        <v>0</v>
      </c>
      <c r="BW8" s="480">
        <f>MAX(BW10:BW35)</f>
        <v>1</v>
      </c>
      <c r="BX8" s="480">
        <f>MAX(BX10:BX35)</f>
        <v>1</v>
      </c>
      <c r="BY8" s="480">
        <f>MAX(BY10:BY35)</f>
        <v>1</v>
      </c>
      <c r="BZ8" s="480">
        <f>MAX(BZ10:BZ35)</f>
        <v>1</v>
      </c>
      <c r="CA8" s="480">
        <f>MAX(CA10:CA35)</f>
        <v>1</v>
      </c>
      <c r="CB8" s="480"/>
      <c r="CC8" s="482"/>
      <c r="CD8" s="488" t="s">
        <v>3142</v>
      </c>
      <c r="CE8" s="489"/>
      <c r="CF8" s="489"/>
      <c r="CG8" s="490"/>
      <c r="CH8" s="480">
        <f>MAX(CH10:CH35)</f>
        <v>1</v>
      </c>
      <c r="CI8" s="480">
        <f>MAX(CI10:CI35)</f>
        <v>1</v>
      </c>
      <c r="CJ8" s="480">
        <f>MAX(CJ10:CJ35)</f>
        <v>0.85</v>
      </c>
      <c r="CK8" s="480">
        <f>MAX(CK10:CK35)</f>
        <v>1</v>
      </c>
      <c r="CL8" s="480">
        <f>MAX(CL10:CL35)</f>
        <v>0.96250000000000002</v>
      </c>
      <c r="CM8" s="480"/>
    </row>
    <row r="9" spans="1:91" s="190" customFormat="1" ht="21" hidden="1" x14ac:dyDescent="0.25">
      <c r="A9" s="226" t="s">
        <v>815</v>
      </c>
      <c r="B9" s="224" t="s">
        <v>816</v>
      </c>
      <c r="C9" s="224" t="s">
        <v>3143</v>
      </c>
      <c r="D9" s="225" t="s">
        <v>3158</v>
      </c>
      <c r="E9" s="225" t="s">
        <v>3159</v>
      </c>
      <c r="F9" s="225" t="s">
        <v>3160</v>
      </c>
      <c r="G9" s="225" t="s">
        <v>3161</v>
      </c>
      <c r="H9" s="225" t="s">
        <v>3241</v>
      </c>
      <c r="I9" s="190" t="s">
        <v>741</v>
      </c>
      <c r="J9" s="226" t="s">
        <v>3155</v>
      </c>
      <c r="K9" s="224" t="s">
        <v>3156</v>
      </c>
      <c r="L9" s="224" t="s">
        <v>3157</v>
      </c>
      <c r="M9" s="225" t="s">
        <v>3242</v>
      </c>
      <c r="N9" s="225" t="s">
        <v>3243</v>
      </c>
      <c r="O9" s="225" t="s">
        <v>3244</v>
      </c>
      <c r="P9" s="190" t="s">
        <v>746</v>
      </c>
      <c r="Q9" s="226" t="s">
        <v>1772</v>
      </c>
      <c r="R9" s="224" t="s">
        <v>1773</v>
      </c>
      <c r="S9" s="224" t="s">
        <v>3165</v>
      </c>
      <c r="T9" s="225" t="s">
        <v>3245</v>
      </c>
      <c r="U9" s="225" t="s">
        <v>3246</v>
      </c>
      <c r="V9" s="225" t="s">
        <v>3247</v>
      </c>
      <c r="W9" s="225" t="s">
        <v>3248</v>
      </c>
      <c r="X9" s="225" t="s">
        <v>3249</v>
      </c>
      <c r="Y9" s="225" t="s">
        <v>3250</v>
      </c>
      <c r="Z9" s="225" t="s">
        <v>3251</v>
      </c>
      <c r="AA9" s="225" t="s">
        <v>3252</v>
      </c>
      <c r="AB9" s="190" t="s">
        <v>3171</v>
      </c>
      <c r="AC9" s="226" t="s">
        <v>3172</v>
      </c>
      <c r="AD9" s="224" t="s">
        <v>3173</v>
      </c>
      <c r="AE9" s="224" t="s">
        <v>3174</v>
      </c>
      <c r="AF9" s="225" t="s">
        <v>3253</v>
      </c>
      <c r="AG9" s="225" t="s">
        <v>3254</v>
      </c>
      <c r="AH9" s="225" t="s">
        <v>3255</v>
      </c>
      <c r="AI9" s="225" t="s">
        <v>3256</v>
      </c>
      <c r="AJ9" s="225" t="s">
        <v>3257</v>
      </c>
      <c r="AK9" s="225" t="s">
        <v>3258</v>
      </c>
      <c r="AL9" s="225" t="s">
        <v>3259</v>
      </c>
      <c r="AM9" s="225" t="s">
        <v>3260</v>
      </c>
      <c r="AN9" s="225" t="s">
        <v>3261</v>
      </c>
      <c r="AO9" s="225" t="s">
        <v>3262</v>
      </c>
      <c r="AP9" s="225" t="s">
        <v>3263</v>
      </c>
      <c r="AQ9" s="225" t="s">
        <v>3264</v>
      </c>
      <c r="AR9" s="190" t="s">
        <v>3149</v>
      </c>
      <c r="AS9" s="226" t="s">
        <v>3150</v>
      </c>
      <c r="AT9" s="224" t="s">
        <v>3151</v>
      </c>
      <c r="AU9" s="224" t="s">
        <v>3265</v>
      </c>
      <c r="AV9" s="225" t="s">
        <v>3266</v>
      </c>
      <c r="AW9" s="225" t="s">
        <v>3267</v>
      </c>
      <c r="AX9" s="225" t="s">
        <v>3268</v>
      </c>
      <c r="AY9" s="225" t="s">
        <v>3269</v>
      </c>
      <c r="AZ9" s="225" t="s">
        <v>3270</v>
      </c>
      <c r="BA9" s="225" t="s">
        <v>3271</v>
      </c>
      <c r="BB9" s="225" t="s">
        <v>3272</v>
      </c>
      <c r="BC9" s="225" t="s">
        <v>3273</v>
      </c>
      <c r="BD9" s="225" t="s">
        <v>3274</v>
      </c>
      <c r="BE9" s="225" t="s">
        <v>3275</v>
      </c>
      <c r="BF9" s="225" t="s">
        <v>3276</v>
      </c>
      <c r="BG9" s="190" t="s">
        <v>3277</v>
      </c>
      <c r="BH9" s="226" t="s">
        <v>3278</v>
      </c>
      <c r="BI9" s="224" t="s">
        <v>3279</v>
      </c>
      <c r="BJ9" s="224" t="s">
        <v>3280</v>
      </c>
      <c r="BK9" s="225" t="s">
        <v>3281</v>
      </c>
      <c r="BL9" s="225" t="s">
        <v>3282</v>
      </c>
      <c r="BM9" s="225" t="s">
        <v>3283</v>
      </c>
      <c r="BN9" s="225" t="s">
        <v>3284</v>
      </c>
      <c r="BO9" s="225" t="s">
        <v>3285</v>
      </c>
      <c r="BP9" s="225" t="s">
        <v>3286</v>
      </c>
      <c r="BQ9" s="225" t="s">
        <v>3287</v>
      </c>
      <c r="BR9" s="225" t="s">
        <v>3288</v>
      </c>
      <c r="BS9" s="225" t="s">
        <v>3289</v>
      </c>
      <c r="BT9" s="225" t="s">
        <v>3290</v>
      </c>
      <c r="BU9" s="225" t="s">
        <v>3291</v>
      </c>
      <c r="BV9" s="225" t="s">
        <v>3292</v>
      </c>
      <c r="BW9" s="225" t="s">
        <v>3293</v>
      </c>
      <c r="BX9" s="225" t="s">
        <v>3294</v>
      </c>
      <c r="BY9" s="225" t="s">
        <v>3295</v>
      </c>
      <c r="BZ9" s="225" t="s">
        <v>3296</v>
      </c>
      <c r="CA9" s="225" t="s">
        <v>3297</v>
      </c>
      <c r="CB9" s="225" t="s">
        <v>3298</v>
      </c>
      <c r="CC9" s="190" t="s">
        <v>3299</v>
      </c>
      <c r="CD9" s="226" t="s">
        <v>3300</v>
      </c>
      <c r="CE9" s="224" t="s">
        <v>3301</v>
      </c>
      <c r="CF9" s="224" t="s">
        <v>3302</v>
      </c>
      <c r="CG9" s="246" t="s">
        <v>3303</v>
      </c>
      <c r="CH9" s="225" t="s">
        <v>3304</v>
      </c>
      <c r="CI9" s="225" t="s">
        <v>3305</v>
      </c>
      <c r="CJ9" s="225" t="s">
        <v>3306</v>
      </c>
      <c r="CK9" s="225" t="s">
        <v>3307</v>
      </c>
      <c r="CL9" s="225" t="s">
        <v>3308</v>
      </c>
      <c r="CM9" s="225" t="s">
        <v>3309</v>
      </c>
    </row>
    <row r="10" spans="1:91" ht="15.75" x14ac:dyDescent="0.25">
      <c r="A10" s="143" t="s">
        <v>757</v>
      </c>
      <c r="B10" s="143" t="s">
        <v>758</v>
      </c>
      <c r="C10" s="143">
        <v>10</v>
      </c>
      <c r="D10" s="137">
        <v>0.39884560000000002</v>
      </c>
      <c r="E10" s="137">
        <v>0.56904759999999999</v>
      </c>
      <c r="F10" s="137">
        <v>0.96789320000000001</v>
      </c>
      <c r="G10" s="137">
        <v>0.7</v>
      </c>
      <c r="H10" s="356" t="s">
        <v>3185</v>
      </c>
      <c r="I10" s="137"/>
      <c r="J10" s="143" t="s">
        <v>757</v>
      </c>
      <c r="K10" s="143" t="s">
        <v>758</v>
      </c>
      <c r="L10" s="143">
        <v>10</v>
      </c>
      <c r="M10" s="137">
        <v>1</v>
      </c>
      <c r="N10" s="137">
        <v>1</v>
      </c>
      <c r="O10" s="137" t="s">
        <v>3184</v>
      </c>
      <c r="Q10" s="143" t="s">
        <v>757</v>
      </c>
      <c r="R10" s="143" t="s">
        <v>758</v>
      </c>
      <c r="S10" s="143">
        <v>10</v>
      </c>
      <c r="T10" s="137">
        <v>0.15272730000000001</v>
      </c>
      <c r="U10" s="137">
        <v>0.63054549999999998</v>
      </c>
      <c r="V10" s="189">
        <v>0.78327270000000004</v>
      </c>
      <c r="W10" s="137">
        <v>0.2</v>
      </c>
      <c r="X10" s="356" t="s">
        <v>3185</v>
      </c>
      <c r="Y10" s="137">
        <v>0.1733333</v>
      </c>
      <c r="Z10" s="137">
        <v>0.68</v>
      </c>
      <c r="AA10" s="245">
        <v>0.85333340000000002</v>
      </c>
      <c r="AB10" s="137"/>
      <c r="AC10" s="143" t="s">
        <v>757</v>
      </c>
      <c r="AD10" s="143" t="s">
        <v>758</v>
      </c>
      <c r="AE10" s="143">
        <v>10</v>
      </c>
      <c r="AF10" s="137">
        <v>0.69999999000000002</v>
      </c>
      <c r="AG10" s="137">
        <v>0.89999998000000003</v>
      </c>
      <c r="AH10" s="137">
        <v>1</v>
      </c>
      <c r="AI10" s="137">
        <v>0.89999998000000003</v>
      </c>
      <c r="AJ10" s="137">
        <v>0.1</v>
      </c>
      <c r="AK10" s="137">
        <v>0.1</v>
      </c>
      <c r="AL10" s="137">
        <v>1</v>
      </c>
      <c r="AM10" s="137">
        <v>0.80000000999999998</v>
      </c>
      <c r="AN10" s="137">
        <v>1</v>
      </c>
      <c r="AO10" s="137">
        <v>1</v>
      </c>
      <c r="AP10" s="137">
        <v>0.80000000999999998</v>
      </c>
      <c r="AQ10" s="137">
        <v>0.75454549999999998</v>
      </c>
      <c r="AS10" s="143" t="s">
        <v>757</v>
      </c>
      <c r="AT10" s="143" t="s">
        <v>758</v>
      </c>
      <c r="AU10" s="143">
        <v>10</v>
      </c>
      <c r="AV10" s="137">
        <v>1</v>
      </c>
      <c r="AW10" s="137">
        <v>1</v>
      </c>
      <c r="AX10" s="137">
        <v>1</v>
      </c>
      <c r="AY10" s="137">
        <v>1</v>
      </c>
      <c r="AZ10" s="137">
        <v>1</v>
      </c>
      <c r="BA10" s="137">
        <v>1</v>
      </c>
      <c r="BB10" s="137">
        <v>1</v>
      </c>
      <c r="BC10" s="137">
        <v>0.89536760000000004</v>
      </c>
      <c r="BD10" s="265">
        <v>0.90081330000000004</v>
      </c>
      <c r="BE10" s="265">
        <v>0.1</v>
      </c>
      <c r="BF10" s="357" t="s">
        <v>3185</v>
      </c>
      <c r="BG10" s="137"/>
      <c r="BH10" s="143" t="s">
        <v>757</v>
      </c>
      <c r="BI10" s="143" t="s">
        <v>758</v>
      </c>
      <c r="BJ10" s="143">
        <v>10</v>
      </c>
      <c r="BK10" s="137">
        <v>1</v>
      </c>
      <c r="BL10" s="137">
        <v>1</v>
      </c>
      <c r="BM10" s="137">
        <v>1</v>
      </c>
      <c r="BN10" s="137">
        <v>0</v>
      </c>
      <c r="BO10" s="137">
        <v>1</v>
      </c>
      <c r="BP10" s="137">
        <v>0</v>
      </c>
      <c r="BQ10" s="137">
        <v>1</v>
      </c>
      <c r="BR10" s="137">
        <v>1</v>
      </c>
      <c r="BS10" s="137">
        <v>1</v>
      </c>
      <c r="BT10" s="137">
        <v>1</v>
      </c>
      <c r="BU10" s="137"/>
      <c r="BV10" s="137"/>
      <c r="BW10" s="137">
        <v>1</v>
      </c>
      <c r="BX10" s="137">
        <v>1</v>
      </c>
      <c r="BY10" s="137">
        <v>1</v>
      </c>
      <c r="BZ10" s="265">
        <v>0.98</v>
      </c>
      <c r="CA10" s="265">
        <v>0.9</v>
      </c>
      <c r="CB10" s="357" t="s">
        <v>3185</v>
      </c>
      <c r="CC10" s="137"/>
      <c r="CD10" s="143" t="s">
        <v>757</v>
      </c>
      <c r="CE10" s="143" t="s">
        <v>758</v>
      </c>
      <c r="CF10" s="143">
        <v>10</v>
      </c>
      <c r="CG10" s="247">
        <v>3</v>
      </c>
      <c r="CH10" s="245">
        <v>1</v>
      </c>
      <c r="CI10" s="245">
        <v>1</v>
      </c>
      <c r="CJ10" s="245">
        <v>0.8</v>
      </c>
      <c r="CK10" s="245">
        <v>0.75</v>
      </c>
      <c r="CL10" s="248">
        <v>0.88749999999999996</v>
      </c>
      <c r="CM10" s="169" t="s">
        <v>3185</v>
      </c>
    </row>
    <row r="11" spans="1:91" ht="15.75" x14ac:dyDescent="0.25">
      <c r="A11" s="143" t="s">
        <v>759</v>
      </c>
      <c r="B11" s="143" t="s">
        <v>758</v>
      </c>
      <c r="C11" s="143">
        <v>5</v>
      </c>
      <c r="D11" s="137">
        <v>0.39376620000000001</v>
      </c>
      <c r="E11" s="137">
        <v>0.6</v>
      </c>
      <c r="F11" s="137">
        <v>0.99376620000000004</v>
      </c>
      <c r="G11" s="137">
        <v>0.4</v>
      </c>
      <c r="H11" s="356" t="s">
        <v>3185</v>
      </c>
      <c r="I11" s="137"/>
      <c r="J11" s="143" t="s">
        <v>759</v>
      </c>
      <c r="K11" s="143" t="s">
        <v>758</v>
      </c>
      <c r="L11" s="143">
        <v>5</v>
      </c>
      <c r="M11" s="137">
        <v>1</v>
      </c>
      <c r="N11" s="137">
        <v>1</v>
      </c>
      <c r="O11" s="137" t="s">
        <v>3184</v>
      </c>
      <c r="Q11" s="143" t="s">
        <v>759</v>
      </c>
      <c r="R11" s="143" t="s">
        <v>758</v>
      </c>
      <c r="S11" s="143">
        <v>5</v>
      </c>
      <c r="T11" s="137">
        <v>0.1309091</v>
      </c>
      <c r="U11" s="137">
        <v>0.50876770000000004</v>
      </c>
      <c r="V11" s="189">
        <v>0.63967669999999999</v>
      </c>
      <c r="W11" s="137">
        <v>0</v>
      </c>
      <c r="X11" s="356" t="s">
        <v>3185</v>
      </c>
      <c r="Y11" s="137">
        <v>0.18666669999999999</v>
      </c>
      <c r="Z11" s="137">
        <v>0.59722940000000002</v>
      </c>
      <c r="AA11" s="245">
        <v>0.78389609999999998</v>
      </c>
      <c r="AB11" s="137"/>
      <c r="AC11" s="143" t="s">
        <v>759</v>
      </c>
      <c r="AD11" s="143" t="s">
        <v>758</v>
      </c>
      <c r="AE11" s="143">
        <v>5</v>
      </c>
      <c r="AF11" s="137">
        <v>1</v>
      </c>
      <c r="AG11" s="137">
        <v>1</v>
      </c>
      <c r="AH11" s="137">
        <v>0.60000001999999997</v>
      </c>
      <c r="AI11" s="137">
        <v>1</v>
      </c>
      <c r="AJ11" s="137">
        <v>0</v>
      </c>
      <c r="AK11" s="137">
        <v>0</v>
      </c>
      <c r="AL11" s="137">
        <v>1</v>
      </c>
      <c r="AM11" s="137">
        <v>0.80000000999999998</v>
      </c>
      <c r="AN11" s="137">
        <v>1</v>
      </c>
      <c r="AO11" s="137">
        <v>1</v>
      </c>
      <c r="AP11" s="137">
        <v>1</v>
      </c>
      <c r="AQ11" s="137">
        <v>0.76363639999999999</v>
      </c>
      <c r="AS11" s="143" t="s">
        <v>759</v>
      </c>
      <c r="AT11" s="143" t="s">
        <v>758</v>
      </c>
      <c r="AU11" s="143">
        <v>5</v>
      </c>
      <c r="AV11" s="137"/>
      <c r="AW11" s="137"/>
      <c r="AX11" s="137"/>
      <c r="AY11" s="137"/>
      <c r="AZ11" s="137"/>
      <c r="BA11" s="137"/>
      <c r="BB11" s="137"/>
      <c r="BC11" s="137">
        <v>0.9425</v>
      </c>
      <c r="BD11" s="265">
        <v>0.9425</v>
      </c>
      <c r="BE11" s="265">
        <v>0.2</v>
      </c>
      <c r="BF11" s="357" t="s">
        <v>3185</v>
      </c>
      <c r="BG11" s="137"/>
      <c r="BH11" s="143" t="s">
        <v>759</v>
      </c>
      <c r="BI11" s="143" t="s">
        <v>758</v>
      </c>
      <c r="BJ11" s="143">
        <v>5</v>
      </c>
      <c r="BK11" s="137"/>
      <c r="BL11" s="137"/>
      <c r="BM11" s="137"/>
      <c r="BN11" s="137"/>
      <c r="BO11" s="137"/>
      <c r="BP11" s="137"/>
      <c r="BQ11" s="137"/>
      <c r="BR11" s="137"/>
      <c r="BS11" s="137"/>
      <c r="BT11" s="137"/>
      <c r="BU11" s="137"/>
      <c r="BV11" s="137"/>
      <c r="BW11" s="137">
        <v>1</v>
      </c>
      <c r="BX11" s="137">
        <v>1</v>
      </c>
      <c r="BY11" s="137">
        <v>1</v>
      </c>
      <c r="BZ11" s="265">
        <v>1</v>
      </c>
      <c r="CA11" s="265">
        <v>1</v>
      </c>
      <c r="CB11" s="357" t="s">
        <v>3184</v>
      </c>
      <c r="CC11" s="137"/>
      <c r="CD11" s="143" t="s">
        <v>759</v>
      </c>
      <c r="CE11" s="143" t="s">
        <v>758</v>
      </c>
      <c r="CF11" s="143">
        <v>5</v>
      </c>
      <c r="CG11" s="247"/>
      <c r="CH11" s="245"/>
      <c r="CI11" s="245"/>
      <c r="CJ11" s="245"/>
      <c r="CK11" s="245"/>
      <c r="CL11" s="248"/>
    </row>
    <row r="12" spans="1:91" ht="15.75" x14ac:dyDescent="0.25">
      <c r="A12" s="143" t="s">
        <v>760</v>
      </c>
      <c r="B12" s="143" t="s">
        <v>761</v>
      </c>
      <c r="C12" s="143">
        <v>7</v>
      </c>
      <c r="D12" s="137">
        <v>0.38664189999999998</v>
      </c>
      <c r="E12" s="137">
        <v>0.6</v>
      </c>
      <c r="F12" s="137">
        <v>0.98664189999999996</v>
      </c>
      <c r="G12" s="137">
        <v>0.57142859999999995</v>
      </c>
      <c r="H12" s="356" t="s">
        <v>3185</v>
      </c>
      <c r="I12" s="137"/>
      <c r="J12" s="143" t="s">
        <v>760</v>
      </c>
      <c r="K12" s="143" t="s">
        <v>761</v>
      </c>
      <c r="L12" s="143">
        <v>7</v>
      </c>
      <c r="M12" s="137">
        <v>0.75</v>
      </c>
      <c r="N12" s="137">
        <v>0.75</v>
      </c>
      <c r="O12" s="137" t="s">
        <v>3185</v>
      </c>
      <c r="Q12" s="143" t="s">
        <v>760</v>
      </c>
      <c r="R12" s="143" t="s">
        <v>761</v>
      </c>
      <c r="S12" s="143">
        <v>7</v>
      </c>
      <c r="T12" s="137">
        <v>0.16623379999999999</v>
      </c>
      <c r="U12" s="137">
        <v>0.61391059999999997</v>
      </c>
      <c r="V12" s="189">
        <v>0.78014430000000001</v>
      </c>
      <c r="W12" s="137">
        <v>0.14285709999999999</v>
      </c>
      <c r="X12" s="356" t="s">
        <v>3185</v>
      </c>
      <c r="Y12" s="137">
        <v>0.15</v>
      </c>
      <c r="Z12" s="137">
        <v>0.4824985</v>
      </c>
      <c r="AA12" s="245">
        <v>0.63249840000000002</v>
      </c>
      <c r="AB12" s="137"/>
      <c r="AC12" s="143" t="s">
        <v>760</v>
      </c>
      <c r="AD12" s="143" t="s">
        <v>761</v>
      </c>
      <c r="AE12" s="143">
        <v>7</v>
      </c>
      <c r="AF12" s="137">
        <v>0.28571429999999998</v>
      </c>
      <c r="AG12" s="137">
        <v>0.85714287</v>
      </c>
      <c r="AH12" s="137">
        <v>0.85714287</v>
      </c>
      <c r="AI12" s="137">
        <v>0.85714287</v>
      </c>
      <c r="AJ12" s="137">
        <v>0</v>
      </c>
      <c r="AK12" s="137">
        <v>0</v>
      </c>
      <c r="AL12" s="137">
        <v>1</v>
      </c>
      <c r="AM12" s="137">
        <v>0.71428572999999995</v>
      </c>
      <c r="AN12" s="137">
        <v>1</v>
      </c>
      <c r="AO12" s="137">
        <v>0.85714287</v>
      </c>
      <c r="AP12" s="137">
        <v>0.85714287</v>
      </c>
      <c r="AQ12" s="137">
        <v>0.66233770000000003</v>
      </c>
      <c r="AS12" s="143" t="s">
        <v>760</v>
      </c>
      <c r="AT12" s="143" t="s">
        <v>761</v>
      </c>
      <c r="AU12" s="143">
        <v>7</v>
      </c>
      <c r="AV12" s="137"/>
      <c r="AW12" s="137"/>
      <c r="AX12" s="137"/>
      <c r="AY12" s="137"/>
      <c r="AZ12" s="137"/>
      <c r="BA12" s="137"/>
      <c r="BB12" s="137"/>
      <c r="BC12" s="137">
        <v>0.88571429999999995</v>
      </c>
      <c r="BD12" s="265">
        <v>0.88571429999999995</v>
      </c>
      <c r="BE12" s="265">
        <v>0.14285709999999999</v>
      </c>
      <c r="BF12" s="357" t="s">
        <v>3185</v>
      </c>
      <c r="BG12" s="137"/>
      <c r="BH12" s="143" t="s">
        <v>760</v>
      </c>
      <c r="BI12" s="143" t="s">
        <v>761</v>
      </c>
      <c r="BJ12" s="143">
        <v>7</v>
      </c>
      <c r="BK12" s="137"/>
      <c r="BL12" s="137"/>
      <c r="BM12" s="137"/>
      <c r="BN12" s="137"/>
      <c r="BO12" s="137"/>
      <c r="BP12" s="137"/>
      <c r="BQ12" s="137"/>
      <c r="BR12" s="137"/>
      <c r="BS12" s="137"/>
      <c r="BT12" s="137"/>
      <c r="BU12" s="137"/>
      <c r="BV12" s="137"/>
      <c r="BW12" s="137">
        <v>1</v>
      </c>
      <c r="BX12" s="137">
        <v>1</v>
      </c>
      <c r="BY12" s="137">
        <v>1</v>
      </c>
      <c r="BZ12" s="265">
        <v>1</v>
      </c>
      <c r="CA12" s="265">
        <v>1</v>
      </c>
      <c r="CB12" s="357" t="s">
        <v>3184</v>
      </c>
      <c r="CC12" s="137"/>
      <c r="CD12" s="143" t="s">
        <v>760</v>
      </c>
      <c r="CE12" s="143" t="s">
        <v>761</v>
      </c>
      <c r="CF12" s="143">
        <v>7</v>
      </c>
      <c r="CG12" s="247"/>
      <c r="CH12" s="245"/>
      <c r="CI12" s="245"/>
      <c r="CJ12" s="245"/>
      <c r="CK12" s="245"/>
      <c r="CL12" s="248"/>
    </row>
    <row r="13" spans="1:91" ht="15.75" x14ac:dyDescent="0.25">
      <c r="A13" s="143" t="s">
        <v>762</v>
      </c>
      <c r="B13" s="143" t="s">
        <v>758</v>
      </c>
      <c r="C13" s="143">
        <v>6</v>
      </c>
      <c r="D13" s="137">
        <v>0.39913419999999999</v>
      </c>
      <c r="E13" s="137">
        <v>0.6</v>
      </c>
      <c r="F13" s="137">
        <v>0.99913419999999997</v>
      </c>
      <c r="G13" s="137">
        <v>0.83333330000000005</v>
      </c>
      <c r="H13" s="356" t="s">
        <v>3185</v>
      </c>
      <c r="I13" s="137"/>
      <c r="J13" s="143" t="s">
        <v>762</v>
      </c>
      <c r="K13" s="143" t="s">
        <v>758</v>
      </c>
      <c r="L13" s="143">
        <v>6</v>
      </c>
      <c r="M13" s="137">
        <v>1</v>
      </c>
      <c r="N13" s="137">
        <v>1</v>
      </c>
      <c r="O13" s="137" t="s">
        <v>3184</v>
      </c>
      <c r="Q13" s="143" t="s">
        <v>762</v>
      </c>
      <c r="R13" s="143" t="s">
        <v>758</v>
      </c>
      <c r="S13" s="143">
        <v>6</v>
      </c>
      <c r="T13" s="137">
        <v>0.16969699999999999</v>
      </c>
      <c r="U13" s="137">
        <v>0.59797979999999995</v>
      </c>
      <c r="V13" s="189">
        <v>0.76767680000000005</v>
      </c>
      <c r="W13" s="137">
        <v>0.1666667</v>
      </c>
      <c r="X13" s="356" t="s">
        <v>3185</v>
      </c>
      <c r="Y13" s="137">
        <v>0.1861111</v>
      </c>
      <c r="Z13" s="137">
        <v>0.55281389999999997</v>
      </c>
      <c r="AA13" s="245">
        <v>0.73892500000000005</v>
      </c>
      <c r="AB13" s="137"/>
      <c r="AC13" s="143" t="s">
        <v>762</v>
      </c>
      <c r="AD13" s="143" t="s">
        <v>758</v>
      </c>
      <c r="AE13" s="143">
        <v>6</v>
      </c>
      <c r="AF13" s="137">
        <v>0.33333333999999998</v>
      </c>
      <c r="AG13" s="137">
        <v>1</v>
      </c>
      <c r="AH13" s="137">
        <v>0.5</v>
      </c>
      <c r="AI13" s="137">
        <v>1</v>
      </c>
      <c r="AJ13" s="137">
        <v>0</v>
      </c>
      <c r="AK13" s="137">
        <v>0.16666666999999999</v>
      </c>
      <c r="AL13" s="137">
        <v>1</v>
      </c>
      <c r="AM13" s="137">
        <v>1</v>
      </c>
      <c r="AN13" s="137">
        <v>1</v>
      </c>
      <c r="AO13" s="137">
        <v>1</v>
      </c>
      <c r="AP13" s="137">
        <v>0.33333333999999998</v>
      </c>
      <c r="AQ13" s="137">
        <v>0.66666669999999995</v>
      </c>
      <c r="AS13" s="143" t="s">
        <v>762</v>
      </c>
      <c r="AT13" s="143" t="s">
        <v>758</v>
      </c>
      <c r="AU13" s="143">
        <v>6</v>
      </c>
      <c r="AV13" s="137"/>
      <c r="AW13" s="137"/>
      <c r="AX13" s="137"/>
      <c r="AY13" s="137"/>
      <c r="AZ13" s="137"/>
      <c r="BA13" s="137"/>
      <c r="BB13" s="137"/>
      <c r="BC13" s="137">
        <v>0.92500000000000004</v>
      </c>
      <c r="BD13" s="265">
        <v>0.92500000000000004</v>
      </c>
      <c r="BE13" s="265">
        <v>0.1666667</v>
      </c>
      <c r="BF13" s="357" t="s">
        <v>3185</v>
      </c>
      <c r="BG13" s="137"/>
      <c r="BH13" s="143" t="s">
        <v>762</v>
      </c>
      <c r="BI13" s="143" t="s">
        <v>758</v>
      </c>
      <c r="BJ13" s="143">
        <v>6</v>
      </c>
      <c r="BK13" s="137"/>
      <c r="BL13" s="137"/>
      <c r="BM13" s="137"/>
      <c r="BN13" s="137"/>
      <c r="BO13" s="137"/>
      <c r="BP13" s="137"/>
      <c r="BQ13" s="137"/>
      <c r="BR13" s="137"/>
      <c r="BS13" s="137"/>
      <c r="BT13" s="137"/>
      <c r="BU13" s="137"/>
      <c r="BV13" s="137"/>
      <c r="BW13" s="137">
        <v>1</v>
      </c>
      <c r="BX13" s="137">
        <v>0.83333331346999995</v>
      </c>
      <c r="BY13" s="137">
        <v>1</v>
      </c>
      <c r="BZ13" s="265">
        <v>0.94444439999999996</v>
      </c>
      <c r="CA13" s="265">
        <v>0.83333330000000005</v>
      </c>
      <c r="CB13" s="357" t="s">
        <v>3185</v>
      </c>
      <c r="CC13" s="137"/>
      <c r="CD13" s="143" t="s">
        <v>762</v>
      </c>
      <c r="CE13" s="143" t="s">
        <v>758</v>
      </c>
      <c r="CF13" s="143">
        <v>6</v>
      </c>
      <c r="CG13" s="247"/>
      <c r="CH13" s="245"/>
      <c r="CI13" s="245"/>
      <c r="CJ13" s="245"/>
      <c r="CK13" s="245"/>
      <c r="CL13" s="248"/>
    </row>
    <row r="14" spans="1:91" ht="15.75" x14ac:dyDescent="0.25">
      <c r="A14" s="143" t="s">
        <v>763</v>
      </c>
      <c r="B14" s="143" t="s">
        <v>764</v>
      </c>
      <c r="C14" s="143">
        <v>4</v>
      </c>
      <c r="D14" s="137">
        <v>0.38311689999999998</v>
      </c>
      <c r="E14" s="137">
        <v>0.6</v>
      </c>
      <c r="F14" s="137">
        <v>0.98311689999999996</v>
      </c>
      <c r="G14" s="137">
        <v>0.75</v>
      </c>
      <c r="H14" s="356" t="s">
        <v>3185</v>
      </c>
      <c r="I14" s="137"/>
      <c r="J14" s="143" t="s">
        <v>763</v>
      </c>
      <c r="K14" s="143" t="s">
        <v>764</v>
      </c>
      <c r="L14" s="143">
        <v>4</v>
      </c>
      <c r="M14" s="137">
        <v>1</v>
      </c>
      <c r="N14" s="137">
        <v>1</v>
      </c>
      <c r="O14" s="137" t="s">
        <v>3184</v>
      </c>
      <c r="Q14" s="143" t="s">
        <v>763</v>
      </c>
      <c r="R14" s="143" t="s">
        <v>764</v>
      </c>
      <c r="S14" s="143">
        <v>4</v>
      </c>
      <c r="T14" s="137">
        <v>0.14090910000000001</v>
      </c>
      <c r="U14" s="137">
        <v>0.44707069999999999</v>
      </c>
      <c r="V14" s="189">
        <v>0.58797980000000005</v>
      </c>
      <c r="W14" s="137">
        <v>0.25</v>
      </c>
      <c r="X14" s="356" t="s">
        <v>3185</v>
      </c>
      <c r="Y14" s="137">
        <v>0.1291667</v>
      </c>
      <c r="Z14" s="137">
        <v>0.2205628</v>
      </c>
      <c r="AA14" s="245">
        <v>0.34972940000000002</v>
      </c>
      <c r="AB14" s="137"/>
      <c r="AC14" s="143" t="s">
        <v>763</v>
      </c>
      <c r="AD14" s="143" t="s">
        <v>764</v>
      </c>
      <c r="AE14" s="143">
        <v>4</v>
      </c>
      <c r="AF14" s="137">
        <v>1</v>
      </c>
      <c r="AG14" s="137">
        <v>0.75</v>
      </c>
      <c r="AH14" s="137">
        <v>0.75</v>
      </c>
      <c r="AI14" s="137">
        <v>1</v>
      </c>
      <c r="AJ14" s="137">
        <v>0</v>
      </c>
      <c r="AK14" s="137">
        <v>0</v>
      </c>
      <c r="AL14" s="137">
        <v>0.75</v>
      </c>
      <c r="AM14" s="137">
        <v>1</v>
      </c>
      <c r="AN14" s="137">
        <v>1</v>
      </c>
      <c r="AO14" s="137">
        <v>1</v>
      </c>
      <c r="AP14" s="137">
        <v>0.75</v>
      </c>
      <c r="AQ14" s="137">
        <v>0.72727269999999999</v>
      </c>
      <c r="AS14" s="143" t="s">
        <v>763</v>
      </c>
      <c r="AT14" s="143" t="s">
        <v>764</v>
      </c>
      <c r="AU14" s="143">
        <v>4</v>
      </c>
      <c r="AV14" s="137"/>
      <c r="AW14" s="137"/>
      <c r="AX14" s="137"/>
      <c r="AY14" s="137"/>
      <c r="AZ14" s="137"/>
      <c r="BA14" s="137"/>
      <c r="BB14" s="137"/>
      <c r="BC14" s="137">
        <v>0.890625</v>
      </c>
      <c r="BD14" s="265">
        <v>0.890625</v>
      </c>
      <c r="BE14" s="265">
        <v>0</v>
      </c>
      <c r="BF14" s="357" t="s">
        <v>3185</v>
      </c>
      <c r="BG14" s="137"/>
      <c r="BH14" s="143" t="s">
        <v>763</v>
      </c>
      <c r="BI14" s="143" t="s">
        <v>764</v>
      </c>
      <c r="BJ14" s="143">
        <v>4</v>
      </c>
      <c r="BK14" s="137"/>
      <c r="BL14" s="137"/>
      <c r="BM14" s="137"/>
      <c r="BN14" s="137"/>
      <c r="BO14" s="137"/>
      <c r="BP14" s="137"/>
      <c r="BQ14" s="137"/>
      <c r="BR14" s="137"/>
      <c r="BS14" s="137"/>
      <c r="BT14" s="137"/>
      <c r="BU14" s="137"/>
      <c r="BV14" s="137"/>
      <c r="BW14" s="137">
        <v>1</v>
      </c>
      <c r="BX14" s="137">
        <v>1</v>
      </c>
      <c r="BY14" s="137">
        <v>1</v>
      </c>
      <c r="BZ14" s="265">
        <v>1</v>
      </c>
      <c r="CA14" s="265">
        <v>1</v>
      </c>
      <c r="CB14" s="357" t="s">
        <v>3184</v>
      </c>
      <c r="CC14" s="137"/>
      <c r="CD14" s="143" t="s">
        <v>763</v>
      </c>
      <c r="CE14" s="143" t="s">
        <v>764</v>
      </c>
      <c r="CF14" s="143">
        <v>4</v>
      </c>
      <c r="CG14" s="247"/>
      <c r="CH14" s="245"/>
      <c r="CI14" s="245"/>
      <c r="CJ14" s="245"/>
      <c r="CK14" s="245"/>
      <c r="CL14" s="248"/>
    </row>
    <row r="15" spans="1:91" ht="15.75" x14ac:dyDescent="0.25">
      <c r="A15" s="143" t="s">
        <v>765</v>
      </c>
      <c r="B15" s="143" t="s">
        <v>766</v>
      </c>
      <c r="C15" s="143">
        <v>6</v>
      </c>
      <c r="D15" s="137">
        <v>0.39740259999999999</v>
      </c>
      <c r="E15" s="137">
        <v>0.55000000000000004</v>
      </c>
      <c r="F15" s="137">
        <v>0.94740259999999998</v>
      </c>
      <c r="G15" s="137">
        <v>0.5</v>
      </c>
      <c r="H15" s="356" t="s">
        <v>3185</v>
      </c>
      <c r="I15" s="137"/>
      <c r="J15" s="143" t="s">
        <v>765</v>
      </c>
      <c r="K15" s="143" t="s">
        <v>766</v>
      </c>
      <c r="L15" s="143">
        <v>6</v>
      </c>
      <c r="M15" s="137">
        <v>1</v>
      </c>
      <c r="N15" s="137">
        <v>1</v>
      </c>
      <c r="O15" s="137" t="s">
        <v>3184</v>
      </c>
      <c r="Q15" s="143" t="s">
        <v>765</v>
      </c>
      <c r="R15" s="143" t="s">
        <v>766</v>
      </c>
      <c r="S15" s="143">
        <v>6</v>
      </c>
      <c r="T15" s="137">
        <v>0.12727269999999999</v>
      </c>
      <c r="U15" s="137">
        <v>0.43070710000000001</v>
      </c>
      <c r="V15" s="189">
        <v>0.55797980000000003</v>
      </c>
      <c r="W15" s="137">
        <v>0</v>
      </c>
      <c r="X15" s="356" t="s">
        <v>3185</v>
      </c>
      <c r="Y15" s="137">
        <v>0.16111110000000001</v>
      </c>
      <c r="Z15" s="137">
        <v>0.38311689999999998</v>
      </c>
      <c r="AA15" s="245">
        <v>0.54422800000000005</v>
      </c>
      <c r="AB15" s="137"/>
      <c r="AC15" s="143" t="s">
        <v>765</v>
      </c>
      <c r="AD15" s="143" t="s">
        <v>766</v>
      </c>
      <c r="AE15" s="143">
        <v>6</v>
      </c>
      <c r="AF15" s="137">
        <v>0</v>
      </c>
      <c r="AG15" s="137">
        <v>0.66666669000000001</v>
      </c>
      <c r="AH15" s="137">
        <v>0.83333330999999999</v>
      </c>
      <c r="AI15" s="137">
        <v>0.83333330999999999</v>
      </c>
      <c r="AJ15" s="137">
        <v>0</v>
      </c>
      <c r="AK15" s="137">
        <v>0</v>
      </c>
      <c r="AL15" s="137">
        <v>0.66666669000000001</v>
      </c>
      <c r="AM15" s="137">
        <v>0.83333330999999999</v>
      </c>
      <c r="AN15" s="137">
        <v>0.83333330999999999</v>
      </c>
      <c r="AO15" s="137">
        <v>0.83333330999999999</v>
      </c>
      <c r="AP15" s="137">
        <v>0</v>
      </c>
      <c r="AQ15" s="137">
        <v>0.5</v>
      </c>
      <c r="AS15" s="143" t="s">
        <v>765</v>
      </c>
      <c r="AT15" s="143" t="s">
        <v>766</v>
      </c>
      <c r="AU15" s="143">
        <v>6</v>
      </c>
      <c r="AV15" s="137"/>
      <c r="AW15" s="137"/>
      <c r="AX15" s="137"/>
      <c r="AY15" s="137"/>
      <c r="AZ15" s="137"/>
      <c r="BA15" s="137"/>
      <c r="BB15" s="137"/>
      <c r="BC15" s="137">
        <v>0.86041670000000003</v>
      </c>
      <c r="BD15" s="265">
        <v>0.86041670000000003</v>
      </c>
      <c r="BE15" s="265">
        <v>0</v>
      </c>
      <c r="BF15" s="357" t="s">
        <v>3185</v>
      </c>
      <c r="BG15" s="137"/>
      <c r="BH15" s="143" t="s">
        <v>765</v>
      </c>
      <c r="BI15" s="143" t="s">
        <v>766</v>
      </c>
      <c r="BJ15" s="143">
        <v>6</v>
      </c>
      <c r="BK15" s="137"/>
      <c r="BL15" s="137"/>
      <c r="BM15" s="137"/>
      <c r="BN15" s="137"/>
      <c r="BO15" s="137"/>
      <c r="BP15" s="137"/>
      <c r="BQ15" s="137"/>
      <c r="BR15" s="137"/>
      <c r="BS15" s="137"/>
      <c r="BT15" s="137"/>
      <c r="BU15" s="137"/>
      <c r="BV15" s="137"/>
      <c r="BW15" s="137">
        <v>1</v>
      </c>
      <c r="BX15" s="137">
        <v>1</v>
      </c>
      <c r="BY15" s="137">
        <v>0.66666668653000005</v>
      </c>
      <c r="BZ15" s="265">
        <v>0.88888889999999998</v>
      </c>
      <c r="CA15" s="265">
        <v>0.66666669999999995</v>
      </c>
      <c r="CB15" s="357" t="s">
        <v>3185</v>
      </c>
      <c r="CC15" s="137"/>
      <c r="CD15" s="143" t="s">
        <v>765</v>
      </c>
      <c r="CE15" s="143" t="s">
        <v>766</v>
      </c>
      <c r="CF15" s="143">
        <v>6</v>
      </c>
      <c r="CG15" s="247"/>
      <c r="CH15" s="245"/>
      <c r="CI15" s="245"/>
      <c r="CJ15" s="245"/>
      <c r="CK15" s="245"/>
      <c r="CL15" s="248"/>
    </row>
    <row r="16" spans="1:91" ht="15.75" x14ac:dyDescent="0.25">
      <c r="A16" s="143" t="s">
        <v>767</v>
      </c>
      <c r="B16" s="143" t="s">
        <v>768</v>
      </c>
      <c r="C16" s="143">
        <v>6</v>
      </c>
      <c r="D16" s="137">
        <v>0.38571430000000001</v>
      </c>
      <c r="E16" s="137">
        <v>0.6</v>
      </c>
      <c r="F16" s="137">
        <v>0.98571430000000004</v>
      </c>
      <c r="G16" s="137">
        <v>0.5</v>
      </c>
      <c r="H16" s="356" t="s">
        <v>3185</v>
      </c>
      <c r="I16" s="137"/>
      <c r="J16" s="143" t="s">
        <v>767</v>
      </c>
      <c r="K16" s="143" t="s">
        <v>768</v>
      </c>
      <c r="L16" s="143">
        <v>6</v>
      </c>
      <c r="M16" s="137">
        <v>1</v>
      </c>
      <c r="N16" s="137">
        <v>1</v>
      </c>
      <c r="O16" s="137" t="s">
        <v>3184</v>
      </c>
      <c r="Q16" s="143" t="s">
        <v>767</v>
      </c>
      <c r="R16" s="143" t="s">
        <v>768</v>
      </c>
      <c r="S16" s="143">
        <v>6</v>
      </c>
      <c r="T16" s="137">
        <v>0.1606061</v>
      </c>
      <c r="U16" s="137">
        <v>0.58626259999999997</v>
      </c>
      <c r="V16" s="189">
        <v>0.74686870000000005</v>
      </c>
      <c r="W16" s="137">
        <v>0.3333333</v>
      </c>
      <c r="X16" s="356" t="s">
        <v>3185</v>
      </c>
      <c r="Y16" s="137">
        <v>0.1638889</v>
      </c>
      <c r="Z16" s="137">
        <v>0.51904760000000005</v>
      </c>
      <c r="AA16" s="245">
        <v>0.68293649999999995</v>
      </c>
      <c r="AB16" s="137"/>
      <c r="AC16" s="143" t="s">
        <v>767</v>
      </c>
      <c r="AD16" s="143" t="s">
        <v>768</v>
      </c>
      <c r="AE16" s="143">
        <v>6</v>
      </c>
      <c r="AF16" s="137">
        <v>1</v>
      </c>
      <c r="AG16" s="137">
        <v>1</v>
      </c>
      <c r="AH16" s="137">
        <v>0.83333330999999999</v>
      </c>
      <c r="AI16" s="137">
        <v>0.83333330999999999</v>
      </c>
      <c r="AJ16" s="137">
        <v>0</v>
      </c>
      <c r="AK16" s="137">
        <v>0.16666666999999999</v>
      </c>
      <c r="AL16" s="137">
        <v>0.5</v>
      </c>
      <c r="AM16" s="137">
        <v>1</v>
      </c>
      <c r="AN16" s="137">
        <v>1</v>
      </c>
      <c r="AO16" s="137">
        <v>1</v>
      </c>
      <c r="AP16" s="137">
        <v>0.66666669000000001</v>
      </c>
      <c r="AQ16" s="137">
        <v>0.72727269999999999</v>
      </c>
      <c r="AS16" s="143" t="s">
        <v>767</v>
      </c>
      <c r="AT16" s="143" t="s">
        <v>768</v>
      </c>
      <c r="AU16" s="143">
        <v>6</v>
      </c>
      <c r="AV16" s="137"/>
      <c r="AW16" s="137"/>
      <c r="AX16" s="137"/>
      <c r="AY16" s="137"/>
      <c r="AZ16" s="137"/>
      <c r="BA16" s="137"/>
      <c r="BB16" s="137"/>
      <c r="BC16" s="137">
        <v>0.9</v>
      </c>
      <c r="BD16" s="265">
        <v>0.9</v>
      </c>
      <c r="BE16" s="265">
        <v>0.3333333</v>
      </c>
      <c r="BF16" s="357" t="s">
        <v>3185</v>
      </c>
      <c r="BG16" s="137"/>
      <c r="BH16" s="143" t="s">
        <v>767</v>
      </c>
      <c r="BI16" s="143" t="s">
        <v>768</v>
      </c>
      <c r="BJ16" s="143">
        <v>6</v>
      </c>
      <c r="BK16" s="137"/>
      <c r="BL16" s="137"/>
      <c r="BM16" s="137"/>
      <c r="BN16" s="137"/>
      <c r="BO16" s="137"/>
      <c r="BP16" s="137"/>
      <c r="BQ16" s="137"/>
      <c r="BR16" s="137"/>
      <c r="BS16" s="137"/>
      <c r="BT16" s="137"/>
      <c r="BU16" s="137"/>
      <c r="BV16" s="137"/>
      <c r="BW16" s="137">
        <v>0.83333331346999995</v>
      </c>
      <c r="BX16" s="137">
        <v>0.66666668653000005</v>
      </c>
      <c r="BY16" s="137">
        <v>0.66666668653000005</v>
      </c>
      <c r="BZ16" s="265">
        <v>0.72222220000000004</v>
      </c>
      <c r="CA16" s="265">
        <v>0.66666669999999995</v>
      </c>
      <c r="CB16" s="357" t="s">
        <v>3185</v>
      </c>
      <c r="CC16" s="137"/>
      <c r="CD16" s="143" t="s">
        <v>767</v>
      </c>
      <c r="CE16" s="143" t="s">
        <v>768</v>
      </c>
      <c r="CF16" s="143">
        <v>6</v>
      </c>
      <c r="CG16" s="247"/>
      <c r="CH16" s="245"/>
      <c r="CI16" s="245"/>
      <c r="CJ16" s="245"/>
      <c r="CK16" s="245"/>
      <c r="CL16" s="248"/>
    </row>
    <row r="17" spans="1:91" ht="15.75" x14ac:dyDescent="0.25">
      <c r="A17" s="143" t="s">
        <v>769</v>
      </c>
      <c r="B17" s="143" t="s">
        <v>770</v>
      </c>
      <c r="C17" s="143">
        <v>7</v>
      </c>
      <c r="D17" s="137">
        <v>0.36957329999999999</v>
      </c>
      <c r="E17" s="137">
        <v>0.5571429</v>
      </c>
      <c r="F17" s="137">
        <v>0.92671610000000004</v>
      </c>
      <c r="G17" s="137">
        <v>0.57142859999999995</v>
      </c>
      <c r="H17" s="356" t="s">
        <v>3185</v>
      </c>
      <c r="I17" s="137"/>
      <c r="J17" s="143" t="s">
        <v>769</v>
      </c>
      <c r="K17" s="143" t="s">
        <v>770</v>
      </c>
      <c r="L17" s="143">
        <v>7</v>
      </c>
      <c r="M17" s="137">
        <v>0.64285709999999996</v>
      </c>
      <c r="N17" s="137">
        <v>0.5</v>
      </c>
      <c r="O17" s="137" t="s">
        <v>3185</v>
      </c>
      <c r="Q17" s="143" t="s">
        <v>769</v>
      </c>
      <c r="R17" s="143" t="s">
        <v>770</v>
      </c>
      <c r="S17" s="143">
        <v>7</v>
      </c>
      <c r="T17" s="137">
        <v>0.14025969999999999</v>
      </c>
      <c r="U17" s="137">
        <v>0.42886000000000002</v>
      </c>
      <c r="V17" s="189">
        <v>0.56911979999999995</v>
      </c>
      <c r="W17" s="137">
        <v>0</v>
      </c>
      <c r="X17" s="356" t="s">
        <v>3185</v>
      </c>
      <c r="Y17" s="137">
        <v>0.12619050000000001</v>
      </c>
      <c r="Z17" s="137">
        <v>0.27520099999999997</v>
      </c>
      <c r="AA17" s="245">
        <v>0.40139150000000001</v>
      </c>
      <c r="AB17" s="137"/>
      <c r="AC17" s="143" t="s">
        <v>769</v>
      </c>
      <c r="AD17" s="143" t="s">
        <v>770</v>
      </c>
      <c r="AE17" s="143">
        <v>7</v>
      </c>
      <c r="AF17" s="137">
        <v>0.14285714999999999</v>
      </c>
      <c r="AG17" s="137">
        <v>0.85714287</v>
      </c>
      <c r="AH17" s="137">
        <v>0.57142859999999995</v>
      </c>
      <c r="AI17" s="137">
        <v>1</v>
      </c>
      <c r="AJ17" s="137">
        <v>0</v>
      </c>
      <c r="AK17" s="137">
        <v>0</v>
      </c>
      <c r="AL17" s="137">
        <v>0.85714287</v>
      </c>
      <c r="AM17" s="137">
        <v>0.57142859999999995</v>
      </c>
      <c r="AN17" s="137">
        <v>0.85714287</v>
      </c>
      <c r="AO17" s="137">
        <v>0.57142859999999995</v>
      </c>
      <c r="AP17" s="137">
        <v>0.57142859999999995</v>
      </c>
      <c r="AQ17" s="137">
        <v>0.54545460000000001</v>
      </c>
      <c r="AS17" s="143" t="s">
        <v>769</v>
      </c>
      <c r="AT17" s="143" t="s">
        <v>770</v>
      </c>
      <c r="AU17" s="143">
        <v>7</v>
      </c>
      <c r="AV17" s="137"/>
      <c r="AW17" s="137"/>
      <c r="AX17" s="137"/>
      <c r="AY17" s="137"/>
      <c r="AZ17" s="137"/>
      <c r="BA17" s="137"/>
      <c r="BB17" s="137"/>
      <c r="BC17" s="137">
        <v>0.78214289999999997</v>
      </c>
      <c r="BD17" s="265">
        <v>0.78214289999999997</v>
      </c>
      <c r="BE17" s="265">
        <v>0</v>
      </c>
      <c r="BF17" s="357" t="s">
        <v>3185</v>
      </c>
      <c r="BG17" s="137"/>
      <c r="BH17" s="143" t="s">
        <v>769</v>
      </c>
      <c r="BI17" s="143" t="s">
        <v>770</v>
      </c>
      <c r="BJ17" s="143">
        <v>7</v>
      </c>
      <c r="BK17" s="137"/>
      <c r="BL17" s="137"/>
      <c r="BM17" s="137"/>
      <c r="BN17" s="137"/>
      <c r="BO17" s="137"/>
      <c r="BP17" s="137"/>
      <c r="BQ17" s="137"/>
      <c r="BR17" s="137"/>
      <c r="BS17" s="137"/>
      <c r="BT17" s="137"/>
      <c r="BU17" s="137"/>
      <c r="BV17" s="137"/>
      <c r="BW17" s="137">
        <v>0.57142859697000004</v>
      </c>
      <c r="BX17" s="137">
        <v>0.71428573131999995</v>
      </c>
      <c r="BY17" s="137">
        <v>0.85714286565999998</v>
      </c>
      <c r="BZ17" s="265">
        <v>0.71428570000000002</v>
      </c>
      <c r="CA17" s="265">
        <v>0.57142859999999995</v>
      </c>
      <c r="CB17" s="357" t="s">
        <v>3185</v>
      </c>
      <c r="CC17" s="137"/>
      <c r="CD17" s="143" t="s">
        <v>769</v>
      </c>
      <c r="CE17" s="143" t="s">
        <v>770</v>
      </c>
      <c r="CF17" s="143">
        <v>7</v>
      </c>
      <c r="CG17" s="247"/>
      <c r="CH17" s="245"/>
      <c r="CI17" s="245"/>
      <c r="CJ17" s="245"/>
      <c r="CK17" s="245"/>
      <c r="CL17" s="248"/>
    </row>
    <row r="18" spans="1:91" ht="15.75" x14ac:dyDescent="0.25">
      <c r="A18" s="143" t="s">
        <v>771</v>
      </c>
      <c r="B18" s="143" t="s">
        <v>772</v>
      </c>
      <c r="C18" s="143">
        <v>6</v>
      </c>
      <c r="D18" s="137">
        <v>0.39956710000000001</v>
      </c>
      <c r="E18" s="137">
        <v>0.6</v>
      </c>
      <c r="F18" s="137">
        <v>0.99956710000000004</v>
      </c>
      <c r="G18" s="137">
        <v>0.83333330000000005</v>
      </c>
      <c r="H18" s="356" t="s">
        <v>3185</v>
      </c>
      <c r="I18" s="137"/>
      <c r="J18" s="143" t="s">
        <v>771</v>
      </c>
      <c r="K18" s="143" t="s">
        <v>772</v>
      </c>
      <c r="L18" s="143">
        <v>6</v>
      </c>
      <c r="M18" s="137">
        <v>1</v>
      </c>
      <c r="N18" s="137">
        <v>1</v>
      </c>
      <c r="O18" s="137" t="s">
        <v>3184</v>
      </c>
      <c r="Q18" s="143" t="s">
        <v>771</v>
      </c>
      <c r="R18" s="143" t="s">
        <v>772</v>
      </c>
      <c r="S18" s="143">
        <v>6</v>
      </c>
      <c r="T18" s="137">
        <v>0.1666667</v>
      </c>
      <c r="U18" s="137">
        <v>0.67232320000000001</v>
      </c>
      <c r="V18" s="189">
        <v>0.83898989999999996</v>
      </c>
      <c r="W18" s="137">
        <v>0.3333333</v>
      </c>
      <c r="X18" s="356" t="s">
        <v>3185</v>
      </c>
      <c r="Y18" s="137">
        <v>0.19722219999999999</v>
      </c>
      <c r="Z18" s="137">
        <v>0.74401150000000005</v>
      </c>
      <c r="AA18" s="245">
        <v>0.94123380000000001</v>
      </c>
      <c r="AB18" s="137"/>
      <c r="AC18" s="143" t="s">
        <v>771</v>
      </c>
      <c r="AD18" s="143" t="s">
        <v>772</v>
      </c>
      <c r="AE18" s="143">
        <v>6</v>
      </c>
      <c r="AF18" s="137">
        <v>0.83333330999999999</v>
      </c>
      <c r="AG18" s="137">
        <v>1</v>
      </c>
      <c r="AH18" s="137">
        <v>0.83333330999999999</v>
      </c>
      <c r="AI18" s="137">
        <v>1</v>
      </c>
      <c r="AJ18" s="137">
        <v>0.16666666999999999</v>
      </c>
      <c r="AK18" s="137">
        <v>0.16666666999999999</v>
      </c>
      <c r="AL18" s="137">
        <v>1</v>
      </c>
      <c r="AM18" s="137">
        <v>1</v>
      </c>
      <c r="AN18" s="137">
        <v>1</v>
      </c>
      <c r="AO18" s="137">
        <v>1</v>
      </c>
      <c r="AP18" s="137">
        <v>0.83333330999999999</v>
      </c>
      <c r="AQ18" s="137">
        <v>0.80303029999999997</v>
      </c>
      <c r="AS18" s="143" t="s">
        <v>771</v>
      </c>
      <c r="AT18" s="143" t="s">
        <v>772</v>
      </c>
      <c r="AU18" s="143">
        <v>6</v>
      </c>
      <c r="AV18" s="137"/>
      <c r="AW18" s="137"/>
      <c r="AX18" s="137"/>
      <c r="AY18" s="137"/>
      <c r="AZ18" s="137"/>
      <c r="BA18" s="137"/>
      <c r="BB18" s="137"/>
      <c r="BC18" s="137">
        <v>0.94583329999999999</v>
      </c>
      <c r="BD18" s="265">
        <v>0.94583329999999999</v>
      </c>
      <c r="BE18" s="265">
        <v>0.5</v>
      </c>
      <c r="BF18" s="357" t="s">
        <v>3185</v>
      </c>
      <c r="BG18" s="137"/>
      <c r="BH18" s="143" t="s">
        <v>771</v>
      </c>
      <c r="BI18" s="143" t="s">
        <v>772</v>
      </c>
      <c r="BJ18" s="143">
        <v>6</v>
      </c>
      <c r="BK18" s="137"/>
      <c r="BL18" s="137"/>
      <c r="BM18" s="137"/>
      <c r="BN18" s="137"/>
      <c r="BO18" s="137"/>
      <c r="BP18" s="137"/>
      <c r="BQ18" s="137"/>
      <c r="BR18" s="137"/>
      <c r="BS18" s="137"/>
      <c r="BT18" s="137"/>
      <c r="BU18" s="137"/>
      <c r="BV18" s="137"/>
      <c r="BW18" s="137">
        <v>1</v>
      </c>
      <c r="BX18" s="137">
        <v>1</v>
      </c>
      <c r="BY18" s="137">
        <v>1</v>
      </c>
      <c r="BZ18" s="265">
        <v>1</v>
      </c>
      <c r="CA18" s="265">
        <v>1</v>
      </c>
      <c r="CB18" s="357" t="s">
        <v>3184</v>
      </c>
      <c r="CC18" s="137"/>
      <c r="CD18" s="143" t="s">
        <v>771</v>
      </c>
      <c r="CE18" s="143" t="s">
        <v>772</v>
      </c>
      <c r="CF18" s="143">
        <v>6</v>
      </c>
      <c r="CG18" s="247"/>
      <c r="CH18" s="245"/>
      <c r="CI18" s="245"/>
      <c r="CJ18" s="245"/>
      <c r="CK18" s="245"/>
      <c r="CL18" s="248"/>
    </row>
    <row r="19" spans="1:91" ht="15.75" x14ac:dyDescent="0.25">
      <c r="A19" s="143" t="s">
        <v>773</v>
      </c>
      <c r="B19" s="143" t="s">
        <v>764</v>
      </c>
      <c r="C19" s="143">
        <v>5</v>
      </c>
      <c r="D19" s="137">
        <v>0.4</v>
      </c>
      <c r="E19" s="137">
        <v>0.6</v>
      </c>
      <c r="F19" s="137">
        <v>1</v>
      </c>
      <c r="G19" s="137">
        <v>1</v>
      </c>
      <c r="H19" s="356" t="s">
        <v>3184</v>
      </c>
      <c r="I19" s="137"/>
      <c r="J19" s="143" t="s">
        <v>773</v>
      </c>
      <c r="K19" s="143" t="s">
        <v>764</v>
      </c>
      <c r="L19" s="143">
        <v>5</v>
      </c>
      <c r="M19" s="137">
        <v>1</v>
      </c>
      <c r="N19" s="137">
        <v>1</v>
      </c>
      <c r="O19" s="137" t="s">
        <v>3184</v>
      </c>
      <c r="Q19" s="143" t="s">
        <v>773</v>
      </c>
      <c r="R19" s="143" t="s">
        <v>764</v>
      </c>
      <c r="S19" s="143">
        <v>5</v>
      </c>
      <c r="T19" s="137">
        <v>0.13818179999999999</v>
      </c>
      <c r="U19" s="137">
        <v>0.56177779999999999</v>
      </c>
      <c r="V19" s="189">
        <v>0.69995960000000002</v>
      </c>
      <c r="W19" s="137">
        <v>0.2</v>
      </c>
      <c r="X19" s="356" t="s">
        <v>3185</v>
      </c>
      <c r="Y19" s="137">
        <v>0.17666670000000001</v>
      </c>
      <c r="Z19" s="137">
        <v>0.45333329999999999</v>
      </c>
      <c r="AA19" s="245">
        <v>0.63</v>
      </c>
      <c r="AB19" s="137"/>
      <c r="AC19" s="143" t="s">
        <v>773</v>
      </c>
      <c r="AD19" s="143" t="s">
        <v>764</v>
      </c>
      <c r="AE19" s="143">
        <v>5</v>
      </c>
      <c r="AF19" s="137">
        <v>0.60000001999999997</v>
      </c>
      <c r="AG19" s="137">
        <v>0.80000000999999998</v>
      </c>
      <c r="AH19" s="137">
        <v>1</v>
      </c>
      <c r="AI19" s="137">
        <v>0.60000001999999997</v>
      </c>
      <c r="AJ19" s="137">
        <v>0</v>
      </c>
      <c r="AK19" s="137">
        <v>0.2</v>
      </c>
      <c r="AL19" s="137">
        <v>0.80000000999999998</v>
      </c>
      <c r="AM19" s="137">
        <v>1</v>
      </c>
      <c r="AN19" s="137">
        <v>1</v>
      </c>
      <c r="AO19" s="137">
        <v>0.80000000999999998</v>
      </c>
      <c r="AP19" s="137">
        <v>0.80000000999999998</v>
      </c>
      <c r="AQ19" s="137">
        <v>0.69090910000000005</v>
      </c>
      <c r="AS19" s="143" t="s">
        <v>773</v>
      </c>
      <c r="AT19" s="143" t="s">
        <v>764</v>
      </c>
      <c r="AU19" s="143">
        <v>5</v>
      </c>
      <c r="AV19" s="137"/>
      <c r="AW19" s="137"/>
      <c r="AX19" s="137"/>
      <c r="AY19" s="137"/>
      <c r="AZ19" s="137"/>
      <c r="BA19" s="137"/>
      <c r="BB19" s="137"/>
      <c r="BC19" s="137">
        <v>0.94</v>
      </c>
      <c r="BD19" s="265">
        <v>0.94</v>
      </c>
      <c r="BE19" s="265">
        <v>0.6</v>
      </c>
      <c r="BF19" s="357" t="s">
        <v>3185</v>
      </c>
      <c r="BG19" s="137"/>
      <c r="BH19" s="143" t="s">
        <v>773</v>
      </c>
      <c r="BI19" s="143" t="s">
        <v>764</v>
      </c>
      <c r="BJ19" s="143">
        <v>5</v>
      </c>
      <c r="BK19" s="137"/>
      <c r="BL19" s="137"/>
      <c r="BM19" s="137"/>
      <c r="BN19" s="137"/>
      <c r="BO19" s="137"/>
      <c r="BP19" s="137"/>
      <c r="BQ19" s="137"/>
      <c r="BR19" s="137"/>
      <c r="BS19" s="137"/>
      <c r="BT19" s="137"/>
      <c r="BU19" s="137"/>
      <c r="BV19" s="137"/>
      <c r="BW19" s="137">
        <v>1</v>
      </c>
      <c r="BX19" s="137">
        <v>1</v>
      </c>
      <c r="BY19" s="137">
        <v>1</v>
      </c>
      <c r="BZ19" s="265">
        <v>1</v>
      </c>
      <c r="CA19" s="265">
        <v>1</v>
      </c>
      <c r="CB19" s="357" t="s">
        <v>3184</v>
      </c>
      <c r="CC19" s="137"/>
      <c r="CD19" s="143" t="s">
        <v>773</v>
      </c>
      <c r="CE19" s="143" t="s">
        <v>764</v>
      </c>
      <c r="CF19" s="143">
        <v>5</v>
      </c>
      <c r="CG19" s="247"/>
      <c r="CH19" s="245"/>
      <c r="CI19" s="245"/>
      <c r="CJ19" s="245"/>
      <c r="CK19" s="245"/>
      <c r="CL19" s="248"/>
    </row>
    <row r="20" spans="1:91" ht="15.75" x14ac:dyDescent="0.25">
      <c r="A20" s="143" t="s">
        <v>774</v>
      </c>
      <c r="B20" s="143" t="s">
        <v>758</v>
      </c>
      <c r="C20" s="143">
        <v>2</v>
      </c>
      <c r="D20" s="137">
        <v>0.39480520000000002</v>
      </c>
      <c r="E20" s="137">
        <v>0.6</v>
      </c>
      <c r="F20" s="137">
        <v>0.99480519999999995</v>
      </c>
      <c r="G20" s="137">
        <v>0.5</v>
      </c>
      <c r="H20" s="356" t="s">
        <v>3185</v>
      </c>
      <c r="I20" s="137"/>
      <c r="J20" s="143" t="s">
        <v>774</v>
      </c>
      <c r="K20" s="143" t="s">
        <v>758</v>
      </c>
      <c r="L20" s="143">
        <v>2</v>
      </c>
      <c r="M20" s="137">
        <v>1</v>
      </c>
      <c r="N20" s="137">
        <v>1</v>
      </c>
      <c r="O20" s="137" t="s">
        <v>3184</v>
      </c>
      <c r="Q20" s="143" t="s">
        <v>774</v>
      </c>
      <c r="R20" s="143" t="s">
        <v>758</v>
      </c>
      <c r="S20" s="143">
        <v>2</v>
      </c>
      <c r="T20" s="137">
        <v>0.1363636</v>
      </c>
      <c r="U20" s="137">
        <v>0.56525250000000005</v>
      </c>
      <c r="V20" s="189">
        <v>0.70161620000000002</v>
      </c>
      <c r="W20" s="137">
        <v>0</v>
      </c>
      <c r="X20" s="356" t="s">
        <v>3185</v>
      </c>
      <c r="Y20" s="137">
        <v>0.1666667</v>
      </c>
      <c r="Z20" s="137">
        <v>0.52077929999999995</v>
      </c>
      <c r="AA20" s="245">
        <v>0.68744590000000005</v>
      </c>
      <c r="AB20" s="137"/>
      <c r="AC20" s="143" t="s">
        <v>774</v>
      </c>
      <c r="AD20" s="143" t="s">
        <v>758</v>
      </c>
      <c r="AE20" s="143">
        <v>2</v>
      </c>
      <c r="AF20" s="137">
        <v>0.5</v>
      </c>
      <c r="AG20" s="137">
        <v>1</v>
      </c>
      <c r="AH20" s="137">
        <v>1</v>
      </c>
      <c r="AI20" s="137">
        <v>0.5</v>
      </c>
      <c r="AJ20" s="137">
        <v>0.5</v>
      </c>
      <c r="AK20" s="137">
        <v>0.5</v>
      </c>
      <c r="AL20" s="137">
        <v>1</v>
      </c>
      <c r="AM20" s="137">
        <v>1</v>
      </c>
      <c r="AN20" s="137">
        <v>1</v>
      </c>
      <c r="AO20" s="137">
        <v>1</v>
      </c>
      <c r="AP20" s="137">
        <v>1</v>
      </c>
      <c r="AQ20" s="137">
        <v>0.81818179999999996</v>
      </c>
      <c r="AS20" s="143" t="s">
        <v>774</v>
      </c>
      <c r="AT20" s="143" t="s">
        <v>758</v>
      </c>
      <c r="AU20" s="143">
        <v>2</v>
      </c>
      <c r="AV20" s="137"/>
      <c r="AW20" s="137"/>
      <c r="AX20" s="137"/>
      <c r="AY20" s="137"/>
      <c r="AZ20" s="137"/>
      <c r="BA20" s="137"/>
      <c r="BB20" s="137"/>
      <c r="BC20" s="137">
        <v>0.95625000000000004</v>
      </c>
      <c r="BD20" s="265">
        <v>0.95625000000000004</v>
      </c>
      <c r="BE20" s="265">
        <v>0.5</v>
      </c>
      <c r="BF20" s="357" t="s">
        <v>3185</v>
      </c>
      <c r="BG20" s="137"/>
      <c r="BH20" s="143" t="s">
        <v>774</v>
      </c>
      <c r="BI20" s="143" t="s">
        <v>758</v>
      </c>
      <c r="BJ20" s="143">
        <v>2</v>
      </c>
      <c r="BK20" s="137"/>
      <c r="BL20" s="137"/>
      <c r="BM20" s="137"/>
      <c r="BN20" s="137"/>
      <c r="BO20" s="137"/>
      <c r="BP20" s="137"/>
      <c r="BQ20" s="137"/>
      <c r="BR20" s="137"/>
      <c r="BS20" s="137"/>
      <c r="BT20" s="137"/>
      <c r="BU20" s="137"/>
      <c r="BV20" s="137"/>
      <c r="BW20" s="137">
        <v>1</v>
      </c>
      <c r="BX20" s="137">
        <v>1</v>
      </c>
      <c r="BY20" s="137">
        <v>1</v>
      </c>
      <c r="BZ20" s="265">
        <v>1</v>
      </c>
      <c r="CA20" s="265">
        <v>1</v>
      </c>
      <c r="CB20" s="357" t="s">
        <v>3184</v>
      </c>
      <c r="CC20" s="137"/>
      <c r="CD20" s="143" t="s">
        <v>774</v>
      </c>
      <c r="CE20" s="143" t="s">
        <v>758</v>
      </c>
      <c r="CF20" s="143">
        <v>2</v>
      </c>
      <c r="CG20" s="247"/>
      <c r="CH20" s="245"/>
      <c r="CI20" s="245"/>
      <c r="CJ20" s="245"/>
      <c r="CK20" s="245"/>
      <c r="CL20" s="248"/>
    </row>
    <row r="21" spans="1:91" ht="15.75" x14ac:dyDescent="0.25">
      <c r="A21" s="143" t="s">
        <v>775</v>
      </c>
      <c r="B21" s="143" t="s">
        <v>766</v>
      </c>
      <c r="C21" s="143">
        <v>8</v>
      </c>
      <c r="D21" s="137">
        <v>0.38766240000000002</v>
      </c>
      <c r="E21" s="137">
        <v>0.6</v>
      </c>
      <c r="F21" s="137">
        <v>0.98766229999999999</v>
      </c>
      <c r="G21" s="137">
        <v>0.875</v>
      </c>
      <c r="H21" s="356" t="s">
        <v>3185</v>
      </c>
      <c r="I21" s="137"/>
      <c r="J21" s="143" t="s">
        <v>775</v>
      </c>
      <c r="K21" s="143" t="s">
        <v>766</v>
      </c>
      <c r="L21" s="143">
        <v>8</v>
      </c>
      <c r="M21" s="137">
        <v>0.95779230000000004</v>
      </c>
      <c r="N21" s="137">
        <v>1</v>
      </c>
      <c r="O21" s="137" t="s">
        <v>3184</v>
      </c>
      <c r="Q21" s="143" t="s">
        <v>775</v>
      </c>
      <c r="R21" s="143" t="s">
        <v>766</v>
      </c>
      <c r="S21" s="143">
        <v>8</v>
      </c>
      <c r="T21" s="137">
        <v>0.17499999999999999</v>
      </c>
      <c r="U21" s="137">
        <v>0.45262629999999998</v>
      </c>
      <c r="V21" s="189">
        <v>0.62762620000000002</v>
      </c>
      <c r="W21" s="137">
        <v>0.125</v>
      </c>
      <c r="X21" s="356" t="s">
        <v>3185</v>
      </c>
      <c r="Y21" s="137">
        <v>0.17291670000000001</v>
      </c>
      <c r="Z21" s="137">
        <v>0.35790040000000001</v>
      </c>
      <c r="AA21" s="245">
        <v>0.53081710000000004</v>
      </c>
      <c r="AB21" s="137"/>
      <c r="AC21" s="143" t="s">
        <v>775</v>
      </c>
      <c r="AD21" s="143" t="s">
        <v>766</v>
      </c>
      <c r="AE21" s="143">
        <v>8</v>
      </c>
      <c r="AF21" s="137">
        <v>0.875</v>
      </c>
      <c r="AG21" s="137">
        <v>0.75</v>
      </c>
      <c r="AH21" s="137">
        <v>0.625</v>
      </c>
      <c r="AI21" s="137">
        <v>1</v>
      </c>
      <c r="AJ21" s="137">
        <v>0</v>
      </c>
      <c r="AK21" s="137">
        <v>0</v>
      </c>
      <c r="AL21" s="137">
        <v>1</v>
      </c>
      <c r="AM21" s="137">
        <v>0.875</v>
      </c>
      <c r="AN21" s="137">
        <v>0.875</v>
      </c>
      <c r="AO21" s="137">
        <v>0.875</v>
      </c>
      <c r="AP21" s="137">
        <v>1</v>
      </c>
      <c r="AQ21" s="137">
        <v>0.71590909999999996</v>
      </c>
      <c r="AS21" s="143" t="s">
        <v>775</v>
      </c>
      <c r="AT21" s="143" t="s">
        <v>766</v>
      </c>
      <c r="AU21" s="143">
        <v>8</v>
      </c>
      <c r="AV21" s="137"/>
      <c r="AW21" s="137"/>
      <c r="AX21" s="137"/>
      <c r="AY21" s="137"/>
      <c r="AZ21" s="137"/>
      <c r="BA21" s="137"/>
      <c r="BB21" s="137"/>
      <c r="BC21" s="137">
        <v>0.82343750000000004</v>
      </c>
      <c r="BD21" s="265">
        <v>0.82343750000000004</v>
      </c>
      <c r="BE21" s="265">
        <v>0</v>
      </c>
      <c r="BF21" s="357" t="s">
        <v>3185</v>
      </c>
      <c r="BG21" s="137"/>
      <c r="BH21" s="143" t="s">
        <v>775</v>
      </c>
      <c r="BI21" s="143" t="s">
        <v>766</v>
      </c>
      <c r="BJ21" s="143">
        <v>8</v>
      </c>
      <c r="BK21" s="137"/>
      <c r="BL21" s="137"/>
      <c r="BM21" s="137"/>
      <c r="BN21" s="137"/>
      <c r="BO21" s="137"/>
      <c r="BP21" s="137"/>
      <c r="BQ21" s="137"/>
      <c r="BR21" s="137"/>
      <c r="BS21" s="137"/>
      <c r="BT21" s="137"/>
      <c r="BU21" s="137"/>
      <c r="BV21" s="137"/>
      <c r="BW21" s="137">
        <v>0.375</v>
      </c>
      <c r="BX21" s="137">
        <v>0</v>
      </c>
      <c r="BY21" s="137">
        <v>0.5</v>
      </c>
      <c r="BZ21" s="265">
        <v>0.2916667</v>
      </c>
      <c r="CA21" s="265">
        <v>0</v>
      </c>
      <c r="CB21" s="357" t="s">
        <v>3185</v>
      </c>
      <c r="CC21" s="137"/>
      <c r="CD21" s="143" t="s">
        <v>775</v>
      </c>
      <c r="CE21" s="143" t="s">
        <v>766</v>
      </c>
      <c r="CF21" s="143">
        <v>8</v>
      </c>
      <c r="CG21" s="247"/>
      <c r="CH21" s="245"/>
      <c r="CI21" s="245"/>
      <c r="CJ21" s="245"/>
      <c r="CK21" s="245"/>
      <c r="CL21" s="248"/>
    </row>
    <row r="22" spans="1:91" ht="15.75" x14ac:dyDescent="0.25">
      <c r="A22" s="143" t="s">
        <v>776</v>
      </c>
      <c r="B22" s="143" t="s">
        <v>777</v>
      </c>
      <c r="C22" s="143">
        <v>6</v>
      </c>
      <c r="D22" s="137">
        <v>0.4</v>
      </c>
      <c r="E22" s="137">
        <v>0.6</v>
      </c>
      <c r="F22" s="137">
        <v>1</v>
      </c>
      <c r="G22" s="137">
        <v>1</v>
      </c>
      <c r="H22" s="356" t="s">
        <v>3184</v>
      </c>
      <c r="I22" s="137"/>
      <c r="J22" s="143" t="s">
        <v>776</v>
      </c>
      <c r="K22" s="143" t="s">
        <v>777</v>
      </c>
      <c r="L22" s="143">
        <v>6</v>
      </c>
      <c r="M22" s="137">
        <v>1</v>
      </c>
      <c r="N22" s="137">
        <v>1</v>
      </c>
      <c r="O22" s="137" t="s">
        <v>3184</v>
      </c>
      <c r="Q22" s="143" t="s">
        <v>776</v>
      </c>
      <c r="R22" s="143" t="s">
        <v>777</v>
      </c>
      <c r="S22" s="143">
        <v>6</v>
      </c>
      <c r="T22" s="137">
        <v>0.1666667</v>
      </c>
      <c r="U22" s="137">
        <v>0.68215490000000001</v>
      </c>
      <c r="V22" s="189">
        <v>0.84882150000000001</v>
      </c>
      <c r="W22" s="137">
        <v>0.3333333</v>
      </c>
      <c r="X22" s="356" t="s">
        <v>3185</v>
      </c>
      <c r="Y22" s="137">
        <v>0.1916667</v>
      </c>
      <c r="Z22" s="137">
        <v>0.74516590000000005</v>
      </c>
      <c r="AA22" s="245">
        <v>0.93683260000000002</v>
      </c>
      <c r="AB22" s="137"/>
      <c r="AC22" s="143" t="s">
        <v>776</v>
      </c>
      <c r="AD22" s="143" t="s">
        <v>777</v>
      </c>
      <c r="AE22" s="143">
        <v>6</v>
      </c>
      <c r="AF22" s="137">
        <v>0.83333330999999999</v>
      </c>
      <c r="AG22" s="137">
        <v>0.83333330999999999</v>
      </c>
      <c r="AH22" s="137">
        <v>0.83333330999999999</v>
      </c>
      <c r="AI22" s="137">
        <v>1</v>
      </c>
      <c r="AJ22" s="137">
        <v>0</v>
      </c>
      <c r="AK22" s="137">
        <v>0</v>
      </c>
      <c r="AL22" s="137">
        <v>1</v>
      </c>
      <c r="AM22" s="137">
        <v>1</v>
      </c>
      <c r="AN22" s="137">
        <v>1</v>
      </c>
      <c r="AO22" s="137">
        <v>1</v>
      </c>
      <c r="AP22" s="137">
        <v>1</v>
      </c>
      <c r="AQ22" s="137">
        <v>0.77272730000000001</v>
      </c>
      <c r="AS22" s="143" t="s">
        <v>776</v>
      </c>
      <c r="AT22" s="143" t="s">
        <v>777</v>
      </c>
      <c r="AU22" s="143">
        <v>6</v>
      </c>
      <c r="AV22" s="137"/>
      <c r="AW22" s="137"/>
      <c r="AX22" s="137"/>
      <c r="AY22" s="137"/>
      <c r="AZ22" s="137"/>
      <c r="BA22" s="137"/>
      <c r="BB22" s="137"/>
      <c r="BC22" s="137">
        <v>0.93333330000000003</v>
      </c>
      <c r="BD22" s="265">
        <v>0.93333330000000003</v>
      </c>
      <c r="BE22" s="265">
        <v>0.3333333</v>
      </c>
      <c r="BF22" s="357" t="s">
        <v>3185</v>
      </c>
      <c r="BG22" s="137"/>
      <c r="BH22" s="143" t="s">
        <v>776</v>
      </c>
      <c r="BI22" s="143" t="s">
        <v>777</v>
      </c>
      <c r="BJ22" s="143">
        <v>6</v>
      </c>
      <c r="BK22" s="137"/>
      <c r="BL22" s="137"/>
      <c r="BM22" s="137"/>
      <c r="BN22" s="137"/>
      <c r="BO22" s="137"/>
      <c r="BP22" s="137"/>
      <c r="BQ22" s="137"/>
      <c r="BR22" s="137"/>
      <c r="BS22" s="137"/>
      <c r="BT22" s="137"/>
      <c r="BU22" s="137"/>
      <c r="BV22" s="137"/>
      <c r="BW22" s="137">
        <v>1</v>
      </c>
      <c r="BX22" s="137">
        <v>1</v>
      </c>
      <c r="BY22" s="137">
        <v>1</v>
      </c>
      <c r="BZ22" s="265">
        <v>1</v>
      </c>
      <c r="CA22" s="265">
        <v>1</v>
      </c>
      <c r="CB22" s="357" t="s">
        <v>3184</v>
      </c>
      <c r="CC22" s="137"/>
      <c r="CD22" s="143" t="s">
        <v>776</v>
      </c>
      <c r="CE22" s="143" t="s">
        <v>777</v>
      </c>
      <c r="CF22" s="143">
        <v>6</v>
      </c>
      <c r="CG22" s="247"/>
      <c r="CH22" s="245"/>
      <c r="CI22" s="245"/>
      <c r="CJ22" s="245"/>
      <c r="CK22" s="245"/>
      <c r="CL22" s="248"/>
    </row>
    <row r="23" spans="1:91" ht="15.75" x14ac:dyDescent="0.25">
      <c r="A23" s="143" t="s">
        <v>778</v>
      </c>
      <c r="B23" s="143" t="s">
        <v>766</v>
      </c>
      <c r="C23" s="143">
        <v>4</v>
      </c>
      <c r="D23" s="137">
        <v>0.387013</v>
      </c>
      <c r="E23" s="137">
        <v>0.45</v>
      </c>
      <c r="F23" s="137">
        <v>0.83701300000000001</v>
      </c>
      <c r="G23" s="137">
        <v>0.25</v>
      </c>
      <c r="H23" s="356" t="s">
        <v>3185</v>
      </c>
      <c r="I23" s="137"/>
      <c r="J23" s="143" t="s">
        <v>778</v>
      </c>
      <c r="K23" s="143" t="s">
        <v>766</v>
      </c>
      <c r="L23" s="143">
        <v>4</v>
      </c>
      <c r="M23" s="137">
        <v>1</v>
      </c>
      <c r="N23" s="137">
        <v>1</v>
      </c>
      <c r="O23" s="137" t="s">
        <v>3184</v>
      </c>
      <c r="Q23" s="143" t="s">
        <v>778</v>
      </c>
      <c r="R23" s="143" t="s">
        <v>766</v>
      </c>
      <c r="S23" s="143">
        <v>4</v>
      </c>
      <c r="T23" s="137">
        <v>0.14090910000000001</v>
      </c>
      <c r="U23" s="137">
        <v>0.42242429999999997</v>
      </c>
      <c r="V23" s="189">
        <v>0.56333330000000004</v>
      </c>
      <c r="W23" s="137">
        <v>0</v>
      </c>
      <c r="X23" s="356" t="s">
        <v>3185</v>
      </c>
      <c r="Y23" s="137">
        <v>0.16250000000000001</v>
      </c>
      <c r="Z23" s="137">
        <v>0.31103900000000001</v>
      </c>
      <c r="AA23" s="245">
        <v>0.47353899999999999</v>
      </c>
      <c r="AB23" s="137"/>
      <c r="AC23" s="143" t="s">
        <v>778</v>
      </c>
      <c r="AD23" s="143" t="s">
        <v>766</v>
      </c>
      <c r="AE23" s="143">
        <v>4</v>
      </c>
      <c r="AF23" s="137">
        <v>1</v>
      </c>
      <c r="AG23" s="137">
        <v>1</v>
      </c>
      <c r="AH23" s="137">
        <v>0.75</v>
      </c>
      <c r="AI23" s="137">
        <v>0.5</v>
      </c>
      <c r="AJ23" s="137">
        <v>0</v>
      </c>
      <c r="AK23" s="137">
        <v>0</v>
      </c>
      <c r="AL23" s="137">
        <v>1</v>
      </c>
      <c r="AM23" s="137">
        <v>0.75</v>
      </c>
      <c r="AN23" s="137">
        <v>0.75</v>
      </c>
      <c r="AO23" s="137">
        <v>0.75</v>
      </c>
      <c r="AP23" s="137">
        <v>0.25</v>
      </c>
      <c r="AQ23" s="137">
        <v>0.61363639999999997</v>
      </c>
      <c r="AS23" s="143" t="s">
        <v>778</v>
      </c>
      <c r="AT23" s="143" t="s">
        <v>766</v>
      </c>
      <c r="AU23" s="143">
        <v>4</v>
      </c>
      <c r="AV23" s="137"/>
      <c r="AW23" s="137"/>
      <c r="AX23" s="137"/>
      <c r="AY23" s="137"/>
      <c r="AZ23" s="137"/>
      <c r="BA23" s="137"/>
      <c r="BB23" s="137"/>
      <c r="BC23" s="137">
        <v>0.8</v>
      </c>
      <c r="BD23" s="265">
        <v>0.8</v>
      </c>
      <c r="BE23" s="265">
        <v>0</v>
      </c>
      <c r="BF23" s="357" t="s">
        <v>3185</v>
      </c>
      <c r="BG23" s="137"/>
      <c r="BH23" s="143" t="s">
        <v>778</v>
      </c>
      <c r="BI23" s="143" t="s">
        <v>766</v>
      </c>
      <c r="BJ23" s="143">
        <v>4</v>
      </c>
      <c r="BK23" s="137"/>
      <c r="BL23" s="137"/>
      <c r="BM23" s="137"/>
      <c r="BN23" s="137"/>
      <c r="BO23" s="137"/>
      <c r="BP23" s="137"/>
      <c r="BQ23" s="137"/>
      <c r="BR23" s="137"/>
      <c r="BS23" s="137"/>
      <c r="BT23" s="137"/>
      <c r="BU23" s="137"/>
      <c r="BV23" s="137"/>
      <c r="BW23" s="137">
        <v>0.25</v>
      </c>
      <c r="BX23" s="137">
        <v>0.25</v>
      </c>
      <c r="BY23" s="137">
        <v>0.75</v>
      </c>
      <c r="BZ23" s="265">
        <v>0.4166667</v>
      </c>
      <c r="CA23" s="265">
        <v>0</v>
      </c>
      <c r="CB23" s="357" t="s">
        <v>3185</v>
      </c>
      <c r="CC23" s="137"/>
      <c r="CD23" s="143" t="s">
        <v>778</v>
      </c>
      <c r="CE23" s="143" t="s">
        <v>766</v>
      </c>
      <c r="CF23" s="143">
        <v>4</v>
      </c>
      <c r="CG23" s="247"/>
      <c r="CH23" s="245"/>
      <c r="CI23" s="245"/>
      <c r="CJ23" s="245"/>
      <c r="CK23" s="245"/>
      <c r="CL23" s="248"/>
    </row>
    <row r="24" spans="1:91" ht="15.75" x14ac:dyDescent="0.25">
      <c r="A24" s="143" t="s">
        <v>779</v>
      </c>
      <c r="B24" s="143" t="s">
        <v>780</v>
      </c>
      <c r="C24" s="143">
        <v>3</v>
      </c>
      <c r="D24" s="137">
        <v>0.39740259999999999</v>
      </c>
      <c r="E24" s="137">
        <v>0.6</v>
      </c>
      <c r="F24" s="137">
        <v>0.99740260000000003</v>
      </c>
      <c r="G24" s="137">
        <v>0.66666669999999995</v>
      </c>
      <c r="H24" s="356" t="s">
        <v>3185</v>
      </c>
      <c r="I24" s="137"/>
      <c r="J24" s="143" t="s">
        <v>779</v>
      </c>
      <c r="K24" s="143" t="s">
        <v>780</v>
      </c>
      <c r="L24" s="143">
        <v>3</v>
      </c>
      <c r="M24" s="137">
        <v>1</v>
      </c>
      <c r="N24" s="137">
        <v>1</v>
      </c>
      <c r="O24" s="137" t="s">
        <v>3184</v>
      </c>
      <c r="Q24" s="143" t="s">
        <v>779</v>
      </c>
      <c r="R24" s="143" t="s">
        <v>780</v>
      </c>
      <c r="S24" s="143">
        <v>3</v>
      </c>
      <c r="T24" s="137">
        <v>0.16969699999999999</v>
      </c>
      <c r="U24" s="137">
        <v>0.58127949999999995</v>
      </c>
      <c r="V24" s="189">
        <v>0.75097639999999999</v>
      </c>
      <c r="W24" s="137">
        <v>0.3333333</v>
      </c>
      <c r="X24" s="356" t="s">
        <v>3185</v>
      </c>
      <c r="Y24" s="137">
        <v>0.16111110000000001</v>
      </c>
      <c r="Z24" s="137">
        <v>0.20519480000000001</v>
      </c>
      <c r="AA24" s="245">
        <v>0.36630590000000002</v>
      </c>
      <c r="AB24" s="137"/>
      <c r="AC24" s="143" t="s">
        <v>779</v>
      </c>
      <c r="AD24" s="143" t="s">
        <v>780</v>
      </c>
      <c r="AE24" s="143">
        <v>3</v>
      </c>
      <c r="AF24" s="137">
        <v>0.33333333999999998</v>
      </c>
      <c r="AG24" s="137">
        <v>1</v>
      </c>
      <c r="AH24" s="137">
        <v>0.33333333999999998</v>
      </c>
      <c r="AI24" s="137">
        <v>0.66666669000000001</v>
      </c>
      <c r="AJ24" s="137">
        <v>0</v>
      </c>
      <c r="AK24" s="137">
        <v>0</v>
      </c>
      <c r="AL24" s="137">
        <v>1</v>
      </c>
      <c r="AM24" s="137">
        <v>1</v>
      </c>
      <c r="AN24" s="137">
        <v>1</v>
      </c>
      <c r="AO24" s="137">
        <v>1</v>
      </c>
      <c r="AP24" s="137">
        <v>1</v>
      </c>
      <c r="AQ24" s="137">
        <v>0.66666669999999995</v>
      </c>
      <c r="AS24" s="143" t="s">
        <v>779</v>
      </c>
      <c r="AT24" s="143" t="s">
        <v>780</v>
      </c>
      <c r="AU24" s="143">
        <v>3</v>
      </c>
      <c r="AV24" s="137"/>
      <c r="AW24" s="137"/>
      <c r="AX24" s="137"/>
      <c r="AY24" s="137"/>
      <c r="AZ24" s="137"/>
      <c r="BA24" s="137"/>
      <c r="BB24" s="137"/>
      <c r="BC24" s="137">
        <v>0.87916669999999997</v>
      </c>
      <c r="BD24" s="265">
        <v>0.87916669999999997</v>
      </c>
      <c r="BE24" s="265">
        <v>0</v>
      </c>
      <c r="BF24" s="357" t="s">
        <v>3185</v>
      </c>
      <c r="BG24" s="137"/>
      <c r="BH24" s="143" t="s">
        <v>779</v>
      </c>
      <c r="BI24" s="143" t="s">
        <v>780</v>
      </c>
      <c r="BJ24" s="143">
        <v>3</v>
      </c>
      <c r="BK24" s="137"/>
      <c r="BL24" s="137"/>
      <c r="BM24" s="137"/>
      <c r="BN24" s="137"/>
      <c r="BO24" s="137"/>
      <c r="BP24" s="137"/>
      <c r="BQ24" s="137"/>
      <c r="BR24" s="137"/>
      <c r="BS24" s="137"/>
      <c r="BT24" s="137"/>
      <c r="BU24" s="137"/>
      <c r="BV24" s="137"/>
      <c r="BW24" s="137">
        <v>1</v>
      </c>
      <c r="BX24" s="137">
        <v>1</v>
      </c>
      <c r="BY24" s="137">
        <v>1</v>
      </c>
      <c r="BZ24" s="265">
        <v>1</v>
      </c>
      <c r="CA24" s="265">
        <v>1</v>
      </c>
      <c r="CB24" s="357" t="s">
        <v>3184</v>
      </c>
      <c r="CC24" s="137"/>
      <c r="CD24" s="143" t="s">
        <v>779</v>
      </c>
      <c r="CE24" s="143" t="s">
        <v>780</v>
      </c>
      <c r="CF24" s="143">
        <v>3</v>
      </c>
      <c r="CG24" s="247"/>
      <c r="CH24" s="245"/>
      <c r="CI24" s="245"/>
      <c r="CJ24" s="245"/>
      <c r="CK24" s="245"/>
      <c r="CL24" s="248"/>
    </row>
    <row r="25" spans="1:91" ht="15.75" x14ac:dyDescent="0.25">
      <c r="A25" s="143" t="s">
        <v>781</v>
      </c>
      <c r="B25" s="143" t="s">
        <v>782</v>
      </c>
      <c r="C25" s="143">
        <v>5</v>
      </c>
      <c r="D25" s="137">
        <v>0.39341989999999999</v>
      </c>
      <c r="E25" s="137">
        <v>0.59047620000000001</v>
      </c>
      <c r="F25" s="137">
        <v>0.98389610000000005</v>
      </c>
      <c r="G25" s="137">
        <v>0.8</v>
      </c>
      <c r="H25" s="356" t="s">
        <v>3185</v>
      </c>
      <c r="I25" s="137"/>
      <c r="J25" s="143" t="s">
        <v>781</v>
      </c>
      <c r="K25" s="143" t="s">
        <v>782</v>
      </c>
      <c r="L25" s="143">
        <v>5</v>
      </c>
      <c r="M25" s="137">
        <v>0.88831170000000004</v>
      </c>
      <c r="N25" s="137">
        <v>0.8</v>
      </c>
      <c r="O25" s="137" t="s">
        <v>3185</v>
      </c>
      <c r="Q25" s="143" t="s">
        <v>781</v>
      </c>
      <c r="R25" s="143" t="s">
        <v>782</v>
      </c>
      <c r="S25" s="143">
        <v>5</v>
      </c>
      <c r="T25" s="137">
        <v>0.1850909</v>
      </c>
      <c r="U25" s="137">
        <v>0.74860610000000005</v>
      </c>
      <c r="V25" s="189">
        <v>0.933697</v>
      </c>
      <c r="W25" s="137">
        <v>0.8</v>
      </c>
      <c r="X25" s="356" t="s">
        <v>3185</v>
      </c>
      <c r="Y25" s="137">
        <v>0.18777779999999999</v>
      </c>
      <c r="Z25" s="137">
        <v>0.75295820000000002</v>
      </c>
      <c r="AA25" s="245">
        <v>0.94073589999999996</v>
      </c>
      <c r="AB25" s="137"/>
      <c r="AC25" s="143" t="s">
        <v>781</v>
      </c>
      <c r="AD25" s="143" t="s">
        <v>782</v>
      </c>
      <c r="AE25" s="143">
        <v>5</v>
      </c>
      <c r="AF25" s="137">
        <v>1</v>
      </c>
      <c r="AG25" s="137">
        <v>1</v>
      </c>
      <c r="AH25" s="137">
        <v>1</v>
      </c>
      <c r="AI25" s="137">
        <v>0.80000000999999998</v>
      </c>
      <c r="AJ25" s="137">
        <v>0.60000001999999997</v>
      </c>
      <c r="AK25" s="137">
        <v>0.60000001999999997</v>
      </c>
      <c r="AL25" s="137">
        <v>0.80000000999999998</v>
      </c>
      <c r="AM25" s="137">
        <v>1</v>
      </c>
      <c r="AN25" s="137">
        <v>1</v>
      </c>
      <c r="AO25" s="137">
        <v>1</v>
      </c>
      <c r="AP25" s="137">
        <v>1</v>
      </c>
      <c r="AQ25" s="137">
        <v>0.89090910000000001</v>
      </c>
      <c r="AS25" s="143" t="s">
        <v>781</v>
      </c>
      <c r="AT25" s="143" t="s">
        <v>782</v>
      </c>
      <c r="AU25" s="143">
        <v>5</v>
      </c>
      <c r="AV25" s="137">
        <v>0.98461540000000003</v>
      </c>
      <c r="AW25" s="137">
        <v>1</v>
      </c>
      <c r="AX25" s="137">
        <v>1</v>
      </c>
      <c r="AY25" s="137">
        <v>1</v>
      </c>
      <c r="AZ25" s="137">
        <v>1</v>
      </c>
      <c r="BA25" s="137">
        <v>1</v>
      </c>
      <c r="BB25" s="137">
        <v>1</v>
      </c>
      <c r="BC25" s="137">
        <v>0.98499999999999999</v>
      </c>
      <c r="BD25" s="265">
        <v>0.98412659999999996</v>
      </c>
      <c r="BE25" s="265">
        <v>1</v>
      </c>
      <c r="BF25" s="357" t="s">
        <v>3184</v>
      </c>
      <c r="BG25" s="137"/>
      <c r="BH25" s="143" t="s">
        <v>781</v>
      </c>
      <c r="BI25" s="143" t="s">
        <v>782</v>
      </c>
      <c r="BJ25" s="143">
        <v>5</v>
      </c>
      <c r="BK25" s="137">
        <v>1</v>
      </c>
      <c r="BL25" s="137">
        <v>1</v>
      </c>
      <c r="BM25" s="137">
        <v>1</v>
      </c>
      <c r="BN25" s="137">
        <v>1</v>
      </c>
      <c r="BO25" s="137">
        <v>1</v>
      </c>
      <c r="BP25" s="137">
        <v>1</v>
      </c>
      <c r="BQ25" s="137">
        <v>1</v>
      </c>
      <c r="BR25" s="137">
        <v>1</v>
      </c>
      <c r="BS25" s="137">
        <v>1</v>
      </c>
      <c r="BT25" s="137">
        <v>1</v>
      </c>
      <c r="BU25" s="137"/>
      <c r="BV25" s="137"/>
      <c r="BW25" s="137">
        <v>1</v>
      </c>
      <c r="BX25" s="137">
        <v>1</v>
      </c>
      <c r="BY25" s="137">
        <v>1</v>
      </c>
      <c r="BZ25" s="265">
        <v>1</v>
      </c>
      <c r="CA25" s="265">
        <v>1</v>
      </c>
      <c r="CB25" s="357" t="s">
        <v>3184</v>
      </c>
      <c r="CC25" s="137"/>
      <c r="CD25" s="143" t="s">
        <v>781</v>
      </c>
      <c r="CE25" s="143" t="s">
        <v>782</v>
      </c>
      <c r="CF25" s="143">
        <v>5</v>
      </c>
      <c r="CG25" s="247">
        <v>3</v>
      </c>
      <c r="CH25" s="245">
        <v>1</v>
      </c>
      <c r="CI25" s="245">
        <v>1</v>
      </c>
      <c r="CJ25" s="245">
        <v>0.85</v>
      </c>
      <c r="CK25" s="245">
        <v>1</v>
      </c>
      <c r="CL25" s="248">
        <v>0.96250000000000002</v>
      </c>
      <c r="CM25" s="169" t="s">
        <v>3184</v>
      </c>
    </row>
    <row r="26" spans="1:91" ht="15.75" x14ac:dyDescent="0.25">
      <c r="A26" s="143" t="s">
        <v>783</v>
      </c>
      <c r="B26" s="143" t="s">
        <v>772</v>
      </c>
      <c r="C26" s="143">
        <v>7</v>
      </c>
      <c r="D26" s="137">
        <v>0.39332099999999998</v>
      </c>
      <c r="E26" s="137">
        <v>0.6</v>
      </c>
      <c r="F26" s="137">
        <v>0.99332100000000001</v>
      </c>
      <c r="G26" s="137">
        <v>0.57142859999999995</v>
      </c>
      <c r="H26" s="356" t="s">
        <v>3185</v>
      </c>
      <c r="I26" s="137"/>
      <c r="J26" s="143" t="s">
        <v>783</v>
      </c>
      <c r="K26" s="143" t="s">
        <v>772</v>
      </c>
      <c r="L26" s="143">
        <v>7</v>
      </c>
      <c r="M26" s="137">
        <v>1</v>
      </c>
      <c r="N26" s="137">
        <v>1</v>
      </c>
      <c r="O26" s="137" t="s">
        <v>3184</v>
      </c>
      <c r="Q26" s="143" t="s">
        <v>783</v>
      </c>
      <c r="R26" s="143" t="s">
        <v>772</v>
      </c>
      <c r="S26" s="143">
        <v>7</v>
      </c>
      <c r="T26" s="137">
        <v>0.15584419999999999</v>
      </c>
      <c r="U26" s="137">
        <v>0.44144299999999997</v>
      </c>
      <c r="V26" s="189">
        <v>0.59728720000000002</v>
      </c>
      <c r="W26" s="137">
        <v>0</v>
      </c>
      <c r="X26" s="356" t="s">
        <v>3185</v>
      </c>
      <c r="Y26" s="137">
        <v>0.17380950000000001</v>
      </c>
      <c r="Z26" s="137">
        <v>0.39443420000000001</v>
      </c>
      <c r="AA26" s="245">
        <v>0.56824370000000002</v>
      </c>
      <c r="AB26" s="137"/>
      <c r="AC26" s="143" t="s">
        <v>783</v>
      </c>
      <c r="AD26" s="143" t="s">
        <v>772</v>
      </c>
      <c r="AE26" s="143">
        <v>7</v>
      </c>
      <c r="AF26" s="137">
        <v>0.85714287</v>
      </c>
      <c r="AG26" s="137">
        <v>0.71428572999999995</v>
      </c>
      <c r="AH26" s="137">
        <v>0.85714287</v>
      </c>
      <c r="AI26" s="137">
        <v>0.71428572999999995</v>
      </c>
      <c r="AJ26" s="137">
        <v>0</v>
      </c>
      <c r="AK26" s="137">
        <v>0</v>
      </c>
      <c r="AL26" s="137">
        <v>1</v>
      </c>
      <c r="AM26" s="137">
        <v>1</v>
      </c>
      <c r="AN26" s="137">
        <v>1</v>
      </c>
      <c r="AO26" s="137">
        <v>1</v>
      </c>
      <c r="AP26" s="137">
        <v>0.71428572999999995</v>
      </c>
      <c r="AQ26" s="137">
        <v>0.71428570000000002</v>
      </c>
      <c r="AS26" s="143" t="s">
        <v>783</v>
      </c>
      <c r="AT26" s="143" t="s">
        <v>772</v>
      </c>
      <c r="AU26" s="143">
        <v>7</v>
      </c>
      <c r="AV26" s="137"/>
      <c r="AW26" s="137"/>
      <c r="AX26" s="137"/>
      <c r="AY26" s="137"/>
      <c r="AZ26" s="137"/>
      <c r="BA26" s="137"/>
      <c r="BB26" s="137"/>
      <c r="BC26" s="137">
        <v>0.8732143</v>
      </c>
      <c r="BD26" s="265">
        <v>0.8732143</v>
      </c>
      <c r="BE26" s="265">
        <v>0.14285709999999999</v>
      </c>
      <c r="BF26" s="357" t="s">
        <v>3185</v>
      </c>
      <c r="BG26" s="137"/>
      <c r="BH26" s="143" t="s">
        <v>783</v>
      </c>
      <c r="BI26" s="143" t="s">
        <v>772</v>
      </c>
      <c r="BJ26" s="143">
        <v>7</v>
      </c>
      <c r="BK26" s="137"/>
      <c r="BL26" s="137"/>
      <c r="BM26" s="137"/>
      <c r="BN26" s="137"/>
      <c r="BO26" s="137"/>
      <c r="BP26" s="137"/>
      <c r="BQ26" s="137"/>
      <c r="BR26" s="137"/>
      <c r="BS26" s="137"/>
      <c r="BT26" s="137"/>
      <c r="BU26" s="137"/>
      <c r="BV26" s="137"/>
      <c r="BW26" s="137">
        <v>1</v>
      </c>
      <c r="BX26" s="137">
        <v>1</v>
      </c>
      <c r="BY26" s="137">
        <v>1</v>
      </c>
      <c r="BZ26" s="265">
        <v>1</v>
      </c>
      <c r="CA26" s="265">
        <v>1</v>
      </c>
      <c r="CB26" s="357" t="s">
        <v>3184</v>
      </c>
      <c r="CC26" s="137"/>
      <c r="CD26" s="143" t="s">
        <v>783</v>
      </c>
      <c r="CE26" s="143" t="s">
        <v>772</v>
      </c>
      <c r="CF26" s="143">
        <v>7</v>
      </c>
      <c r="CG26" s="247"/>
      <c r="CH26" s="245"/>
      <c r="CI26" s="245"/>
      <c r="CJ26" s="245"/>
      <c r="CK26" s="245"/>
      <c r="CL26" s="248"/>
    </row>
    <row r="27" spans="1:91" ht="15.75" x14ac:dyDescent="0.25">
      <c r="A27" s="143" t="s">
        <v>784</v>
      </c>
      <c r="B27" s="143" t="s">
        <v>768</v>
      </c>
      <c r="C27" s="143">
        <v>5</v>
      </c>
      <c r="D27" s="137">
        <v>0.3979221</v>
      </c>
      <c r="E27" s="137">
        <v>0.6</v>
      </c>
      <c r="F27" s="137">
        <v>0.99792210000000003</v>
      </c>
      <c r="G27" s="137">
        <v>0.6</v>
      </c>
      <c r="H27" s="356" t="s">
        <v>3185</v>
      </c>
      <c r="I27" s="137"/>
      <c r="J27" s="143" t="s">
        <v>784</v>
      </c>
      <c r="K27" s="143" t="s">
        <v>768</v>
      </c>
      <c r="L27" s="143">
        <v>5</v>
      </c>
      <c r="M27" s="137">
        <v>0.81818190000000002</v>
      </c>
      <c r="N27" s="137">
        <v>0.8</v>
      </c>
      <c r="O27" s="137" t="s">
        <v>3185</v>
      </c>
      <c r="Q27" s="143" t="s">
        <v>784</v>
      </c>
      <c r="R27" s="143" t="s">
        <v>768</v>
      </c>
      <c r="S27" s="143">
        <v>5</v>
      </c>
      <c r="T27" s="137">
        <v>0.1781818</v>
      </c>
      <c r="U27" s="137">
        <v>0.39612120000000001</v>
      </c>
      <c r="V27" s="189">
        <v>0.57430300000000001</v>
      </c>
      <c r="W27" s="137">
        <v>0</v>
      </c>
      <c r="X27" s="356" t="s">
        <v>3185</v>
      </c>
      <c r="Y27" s="137">
        <v>0.17</v>
      </c>
      <c r="Z27" s="137">
        <v>0.30320350000000001</v>
      </c>
      <c r="AA27" s="245">
        <v>0.4732035</v>
      </c>
      <c r="AB27" s="137"/>
      <c r="AC27" s="143" t="s">
        <v>784</v>
      </c>
      <c r="AD27" s="143" t="s">
        <v>768</v>
      </c>
      <c r="AE27" s="143">
        <v>5</v>
      </c>
      <c r="AF27" s="137">
        <v>0.60000001999999997</v>
      </c>
      <c r="AG27" s="137">
        <v>0.60000001999999997</v>
      </c>
      <c r="AH27" s="137">
        <v>0.80000000999999998</v>
      </c>
      <c r="AI27" s="137">
        <v>0.60000001999999997</v>
      </c>
      <c r="AJ27" s="137">
        <v>0</v>
      </c>
      <c r="AK27" s="137">
        <v>0</v>
      </c>
      <c r="AL27" s="137">
        <v>1</v>
      </c>
      <c r="AM27" s="137">
        <v>1</v>
      </c>
      <c r="AN27" s="137">
        <v>1</v>
      </c>
      <c r="AO27" s="137">
        <v>1</v>
      </c>
      <c r="AP27" s="137">
        <v>1</v>
      </c>
      <c r="AQ27" s="137">
        <v>0.69090910000000005</v>
      </c>
      <c r="AS27" s="143" t="s">
        <v>784</v>
      </c>
      <c r="AT27" s="143" t="s">
        <v>768</v>
      </c>
      <c r="AU27" s="143">
        <v>5</v>
      </c>
      <c r="AV27" s="137"/>
      <c r="AW27" s="137"/>
      <c r="AX27" s="137"/>
      <c r="AY27" s="137"/>
      <c r="AZ27" s="137"/>
      <c r="BA27" s="137"/>
      <c r="BB27" s="137"/>
      <c r="BC27" s="137">
        <v>0.93</v>
      </c>
      <c r="BD27" s="265">
        <v>0.93</v>
      </c>
      <c r="BE27" s="265">
        <v>0.2</v>
      </c>
      <c r="BF27" s="357" t="s">
        <v>3185</v>
      </c>
      <c r="BG27" s="137"/>
      <c r="BH27" s="143" t="s">
        <v>784</v>
      </c>
      <c r="BI27" s="143" t="s">
        <v>768</v>
      </c>
      <c r="BJ27" s="143">
        <v>5</v>
      </c>
      <c r="BK27" s="137"/>
      <c r="BL27" s="137"/>
      <c r="BM27" s="137"/>
      <c r="BN27" s="137"/>
      <c r="BO27" s="137"/>
      <c r="BP27" s="137"/>
      <c r="BQ27" s="137"/>
      <c r="BR27" s="137"/>
      <c r="BS27" s="137"/>
      <c r="BT27" s="137"/>
      <c r="BU27" s="137"/>
      <c r="BV27" s="137"/>
      <c r="BW27" s="137">
        <v>1</v>
      </c>
      <c r="BX27" s="137">
        <v>1</v>
      </c>
      <c r="BY27" s="137">
        <v>0</v>
      </c>
      <c r="BZ27" s="265">
        <v>0.66666669999999995</v>
      </c>
      <c r="CA27" s="265">
        <v>0</v>
      </c>
      <c r="CB27" s="357" t="s">
        <v>3185</v>
      </c>
      <c r="CC27" s="137"/>
      <c r="CD27" s="143" t="s">
        <v>784</v>
      </c>
      <c r="CE27" s="143" t="s">
        <v>768</v>
      </c>
      <c r="CF27" s="143">
        <v>5</v>
      </c>
      <c r="CG27" s="247"/>
      <c r="CH27" s="245"/>
      <c r="CI27" s="245"/>
      <c r="CJ27" s="245"/>
      <c r="CK27" s="245"/>
      <c r="CL27" s="248"/>
    </row>
    <row r="28" spans="1:91" ht="15.75" x14ac:dyDescent="0.25">
      <c r="A28" s="143" t="s">
        <v>785</v>
      </c>
      <c r="B28" s="143" t="s">
        <v>772</v>
      </c>
      <c r="C28" s="143">
        <v>4</v>
      </c>
      <c r="D28" s="137">
        <v>0.3993506</v>
      </c>
      <c r="E28" s="137">
        <v>0.6</v>
      </c>
      <c r="F28" s="137">
        <v>0.99935070000000004</v>
      </c>
      <c r="G28" s="137">
        <v>0.75</v>
      </c>
      <c r="H28" s="356" t="s">
        <v>3185</v>
      </c>
      <c r="I28" s="137"/>
      <c r="J28" s="143" t="s">
        <v>785</v>
      </c>
      <c r="K28" s="143" t="s">
        <v>772</v>
      </c>
      <c r="L28" s="143">
        <v>4</v>
      </c>
      <c r="M28" s="137">
        <v>1</v>
      </c>
      <c r="N28" s="137">
        <v>1</v>
      </c>
      <c r="O28" s="137" t="s">
        <v>3184</v>
      </c>
      <c r="Q28" s="143" t="s">
        <v>785</v>
      </c>
      <c r="R28" s="143" t="s">
        <v>772</v>
      </c>
      <c r="S28" s="143">
        <v>4</v>
      </c>
      <c r="T28" s="137">
        <v>0.16818179999999999</v>
      </c>
      <c r="U28" s="137">
        <v>0.54282830000000004</v>
      </c>
      <c r="V28" s="189">
        <v>0.71101009999999998</v>
      </c>
      <c r="W28" s="137">
        <v>0.25</v>
      </c>
      <c r="X28" s="356" t="s">
        <v>3185</v>
      </c>
      <c r="Y28" s="137">
        <v>0.1666667</v>
      </c>
      <c r="Z28" s="137">
        <v>0.1229437</v>
      </c>
      <c r="AA28" s="245">
        <v>0.28961039999999999</v>
      </c>
      <c r="AB28" s="137"/>
      <c r="AC28" s="143" t="s">
        <v>785</v>
      </c>
      <c r="AD28" s="143" t="s">
        <v>772</v>
      </c>
      <c r="AE28" s="143">
        <v>4</v>
      </c>
      <c r="AF28" s="137">
        <v>0.75</v>
      </c>
      <c r="AG28" s="137">
        <v>1</v>
      </c>
      <c r="AH28" s="137">
        <v>0.75</v>
      </c>
      <c r="AI28" s="137">
        <v>0.75</v>
      </c>
      <c r="AJ28" s="137">
        <v>0</v>
      </c>
      <c r="AK28" s="137">
        <v>0</v>
      </c>
      <c r="AL28" s="137">
        <v>0.75</v>
      </c>
      <c r="AM28" s="137">
        <v>0.75</v>
      </c>
      <c r="AN28" s="137">
        <v>1</v>
      </c>
      <c r="AO28" s="137">
        <v>1</v>
      </c>
      <c r="AP28" s="137">
        <v>0.5</v>
      </c>
      <c r="AQ28" s="137">
        <v>0.65909090000000004</v>
      </c>
      <c r="AS28" s="143" t="s">
        <v>785</v>
      </c>
      <c r="AT28" s="143" t="s">
        <v>772</v>
      </c>
      <c r="AU28" s="143">
        <v>4</v>
      </c>
      <c r="AV28" s="137"/>
      <c r="AW28" s="137"/>
      <c r="AX28" s="137"/>
      <c r="AY28" s="137"/>
      <c r="AZ28" s="137"/>
      <c r="BA28" s="137"/>
      <c r="BB28" s="137"/>
      <c r="BC28" s="137">
        <v>0.87187499999999996</v>
      </c>
      <c r="BD28" s="265">
        <v>0.87187499999999996</v>
      </c>
      <c r="BE28" s="265">
        <v>0.25</v>
      </c>
      <c r="BF28" s="357" t="s">
        <v>3185</v>
      </c>
      <c r="BG28" s="137"/>
      <c r="BH28" s="143" t="s">
        <v>785</v>
      </c>
      <c r="BI28" s="143" t="s">
        <v>772</v>
      </c>
      <c r="BJ28" s="143">
        <v>4</v>
      </c>
      <c r="BK28" s="137"/>
      <c r="BL28" s="137"/>
      <c r="BM28" s="137"/>
      <c r="BN28" s="137"/>
      <c r="BO28" s="137"/>
      <c r="BP28" s="137"/>
      <c r="BQ28" s="137"/>
      <c r="BR28" s="137"/>
      <c r="BS28" s="137"/>
      <c r="BT28" s="137"/>
      <c r="BU28" s="137"/>
      <c r="BV28" s="137"/>
      <c r="BW28" s="137">
        <v>1</v>
      </c>
      <c r="BX28" s="137">
        <v>0.25</v>
      </c>
      <c r="BY28" s="137">
        <v>1</v>
      </c>
      <c r="BZ28" s="265">
        <v>0.75</v>
      </c>
      <c r="CA28" s="265">
        <v>0.25</v>
      </c>
      <c r="CB28" s="357" t="s">
        <v>3185</v>
      </c>
      <c r="CC28" s="137"/>
      <c r="CD28" s="143" t="s">
        <v>785</v>
      </c>
      <c r="CE28" s="143" t="s">
        <v>772</v>
      </c>
      <c r="CF28" s="143">
        <v>4</v>
      </c>
      <c r="CG28" s="247"/>
      <c r="CH28" s="245"/>
      <c r="CI28" s="245"/>
      <c r="CJ28" s="245"/>
      <c r="CK28" s="245"/>
      <c r="CL28" s="248"/>
    </row>
    <row r="29" spans="1:91" ht="15.75" x14ac:dyDescent="0.25">
      <c r="A29" s="143" t="s">
        <v>786</v>
      </c>
      <c r="B29" s="143" t="s">
        <v>787</v>
      </c>
      <c r="C29" s="143">
        <v>6</v>
      </c>
      <c r="D29" s="137">
        <v>0.39913419999999999</v>
      </c>
      <c r="E29" s="137">
        <v>0.6</v>
      </c>
      <c r="F29" s="137">
        <v>0.99913419999999997</v>
      </c>
      <c r="G29" s="137">
        <v>0.66666669999999995</v>
      </c>
      <c r="H29" s="356" t="s">
        <v>3185</v>
      </c>
      <c r="I29" s="137"/>
      <c r="J29" s="143" t="s">
        <v>786</v>
      </c>
      <c r="K29" s="143" t="s">
        <v>787</v>
      </c>
      <c r="L29" s="143">
        <v>6</v>
      </c>
      <c r="M29" s="137">
        <v>1</v>
      </c>
      <c r="N29" s="137">
        <v>1</v>
      </c>
      <c r="O29" s="137" t="s">
        <v>3184</v>
      </c>
      <c r="Q29" s="143" t="s">
        <v>786</v>
      </c>
      <c r="R29" s="143" t="s">
        <v>787</v>
      </c>
      <c r="S29" s="143">
        <v>6</v>
      </c>
      <c r="T29" s="137">
        <v>0.1424242</v>
      </c>
      <c r="U29" s="137">
        <v>0.45468009999999998</v>
      </c>
      <c r="V29" s="189">
        <v>0.59710439999999998</v>
      </c>
      <c r="W29" s="137">
        <v>0</v>
      </c>
      <c r="X29" s="356" t="s">
        <v>3185</v>
      </c>
      <c r="Y29" s="137">
        <v>0.13888890000000001</v>
      </c>
      <c r="Z29" s="137">
        <v>0.25873020000000002</v>
      </c>
      <c r="AA29" s="245">
        <v>0.3976191</v>
      </c>
      <c r="AB29" s="137"/>
      <c r="AC29" s="143" t="s">
        <v>786</v>
      </c>
      <c r="AD29" s="143" t="s">
        <v>787</v>
      </c>
      <c r="AE29" s="143">
        <v>6</v>
      </c>
      <c r="AF29" s="137">
        <v>0.33333333999999998</v>
      </c>
      <c r="AG29" s="137">
        <v>0.66666669000000001</v>
      </c>
      <c r="AH29" s="137">
        <v>0.83333330999999999</v>
      </c>
      <c r="AI29" s="137">
        <v>1</v>
      </c>
      <c r="AJ29" s="137">
        <v>0</v>
      </c>
      <c r="AK29" s="137">
        <v>0</v>
      </c>
      <c r="AL29" s="137">
        <v>0.83333330999999999</v>
      </c>
      <c r="AM29" s="137">
        <v>1</v>
      </c>
      <c r="AN29" s="137">
        <v>1</v>
      </c>
      <c r="AO29" s="137">
        <v>0.83333330999999999</v>
      </c>
      <c r="AP29" s="137">
        <v>1</v>
      </c>
      <c r="AQ29" s="137">
        <v>0.68181820000000004</v>
      </c>
      <c r="AS29" s="143" t="s">
        <v>786</v>
      </c>
      <c r="AT29" s="143" t="s">
        <v>787</v>
      </c>
      <c r="AU29" s="143">
        <v>6</v>
      </c>
      <c r="AV29" s="137"/>
      <c r="AW29" s="137"/>
      <c r="AX29" s="137"/>
      <c r="AY29" s="137"/>
      <c r="AZ29" s="137"/>
      <c r="BA29" s="137"/>
      <c r="BB29" s="137"/>
      <c r="BC29" s="137">
        <v>0.83541670000000001</v>
      </c>
      <c r="BD29" s="265">
        <v>0.83541670000000001</v>
      </c>
      <c r="BE29" s="265">
        <v>0</v>
      </c>
      <c r="BF29" s="357" t="s">
        <v>3185</v>
      </c>
      <c r="BG29" s="137"/>
      <c r="BH29" s="143" t="s">
        <v>786</v>
      </c>
      <c r="BI29" s="143" t="s">
        <v>787</v>
      </c>
      <c r="BJ29" s="143">
        <v>6</v>
      </c>
      <c r="BK29" s="137"/>
      <c r="BL29" s="137"/>
      <c r="BM29" s="137"/>
      <c r="BN29" s="137"/>
      <c r="BO29" s="137"/>
      <c r="BP29" s="137"/>
      <c r="BQ29" s="137"/>
      <c r="BR29" s="137"/>
      <c r="BS29" s="137"/>
      <c r="BT29" s="137"/>
      <c r="BU29" s="137"/>
      <c r="BV29" s="137"/>
      <c r="BW29" s="137">
        <v>1</v>
      </c>
      <c r="BX29" s="137">
        <v>1</v>
      </c>
      <c r="BY29" s="137">
        <v>0.83333331346999995</v>
      </c>
      <c r="BZ29" s="265">
        <v>0.94444439999999996</v>
      </c>
      <c r="CA29" s="265">
        <v>0.83333330000000005</v>
      </c>
      <c r="CB29" s="357" t="s">
        <v>3185</v>
      </c>
      <c r="CC29" s="137"/>
      <c r="CD29" s="143" t="s">
        <v>786</v>
      </c>
      <c r="CE29" s="143" t="s">
        <v>787</v>
      </c>
      <c r="CF29" s="143">
        <v>6</v>
      </c>
      <c r="CG29" s="247"/>
      <c r="CH29" s="245"/>
      <c r="CI29" s="245"/>
      <c r="CJ29" s="245"/>
      <c r="CK29" s="245"/>
      <c r="CL29" s="248"/>
    </row>
    <row r="30" spans="1:91" ht="15.75" x14ac:dyDescent="0.25">
      <c r="A30" s="143" t="s">
        <v>788</v>
      </c>
      <c r="B30" s="143" t="s">
        <v>766</v>
      </c>
      <c r="C30" s="143">
        <v>6</v>
      </c>
      <c r="D30" s="137">
        <v>0.37074829999999998</v>
      </c>
      <c r="E30" s="137">
        <v>0.47936509999999999</v>
      </c>
      <c r="F30" s="137">
        <v>0.85011340000000002</v>
      </c>
      <c r="G30" s="390">
        <v>0.1666667</v>
      </c>
      <c r="H30" s="361" t="s">
        <v>3185</v>
      </c>
      <c r="I30" s="137"/>
      <c r="J30" s="143" t="s">
        <v>788</v>
      </c>
      <c r="K30" s="143" t="s">
        <v>766</v>
      </c>
      <c r="L30" s="143">
        <v>6</v>
      </c>
      <c r="M30" s="137">
        <v>1</v>
      </c>
      <c r="N30" s="137">
        <v>1</v>
      </c>
      <c r="O30" s="137" t="s">
        <v>3184</v>
      </c>
      <c r="Q30" s="143" t="s">
        <v>788</v>
      </c>
      <c r="R30" s="143" t="s">
        <v>766</v>
      </c>
      <c r="S30" s="143">
        <v>6</v>
      </c>
      <c r="T30" s="137">
        <v>9.9696999999999994E-2</v>
      </c>
      <c r="U30" s="137">
        <v>0.40646470000000001</v>
      </c>
      <c r="V30" s="189">
        <v>0.50616159999999999</v>
      </c>
      <c r="W30" s="137">
        <v>0</v>
      </c>
      <c r="X30" s="356" t="s">
        <v>3185</v>
      </c>
      <c r="Y30" s="137">
        <v>0.1537037</v>
      </c>
      <c r="Z30" s="137">
        <v>0.33347759999999999</v>
      </c>
      <c r="AA30" s="245">
        <v>0.48718129999999998</v>
      </c>
      <c r="AB30" s="137"/>
      <c r="AC30" s="143" t="s">
        <v>788</v>
      </c>
      <c r="AD30" s="143" t="s">
        <v>766</v>
      </c>
      <c r="AE30" s="143">
        <v>6</v>
      </c>
      <c r="AF30" s="137">
        <v>0.83333330999999999</v>
      </c>
      <c r="AG30" s="137">
        <v>1</v>
      </c>
      <c r="AH30" s="137">
        <v>0.83333330999999999</v>
      </c>
      <c r="AI30" s="137">
        <v>0.83333330999999999</v>
      </c>
      <c r="AJ30" s="137">
        <v>0.16666666999999999</v>
      </c>
      <c r="AK30" s="137">
        <v>0.16666666999999999</v>
      </c>
      <c r="AL30" s="137">
        <v>1</v>
      </c>
      <c r="AM30" s="137">
        <v>0.66666669000000001</v>
      </c>
      <c r="AN30" s="137">
        <v>0.66666669000000001</v>
      </c>
      <c r="AO30" s="137">
        <v>1</v>
      </c>
      <c r="AP30" s="137">
        <v>0.66666669000000001</v>
      </c>
      <c r="AQ30" s="137">
        <v>0.71212120000000001</v>
      </c>
      <c r="AS30" s="143" t="s">
        <v>788</v>
      </c>
      <c r="AT30" s="143" t="s">
        <v>766</v>
      </c>
      <c r="AU30" s="143">
        <v>6</v>
      </c>
      <c r="AV30" s="137">
        <v>0.96923079999999995</v>
      </c>
      <c r="AW30" s="137">
        <v>0.8</v>
      </c>
      <c r="AX30" s="137">
        <v>0.9473684</v>
      </c>
      <c r="AY30" s="137">
        <v>0.95454539999999999</v>
      </c>
      <c r="AZ30" s="137">
        <v>1</v>
      </c>
      <c r="BA30" s="137">
        <v>1</v>
      </c>
      <c r="BB30" s="137">
        <v>0.90909090000000004</v>
      </c>
      <c r="BC30" s="137">
        <v>0.69583329999999999</v>
      </c>
      <c r="BD30" s="265">
        <v>0.68709969999999998</v>
      </c>
      <c r="BE30" s="265">
        <v>0</v>
      </c>
      <c r="BF30" s="357" t="s">
        <v>3185</v>
      </c>
      <c r="BG30" s="137"/>
      <c r="BH30" s="143" t="s">
        <v>788</v>
      </c>
      <c r="BI30" s="143" t="s">
        <v>766</v>
      </c>
      <c r="BJ30" s="143">
        <v>6</v>
      </c>
      <c r="BK30" s="137">
        <v>1</v>
      </c>
      <c r="BL30" s="137">
        <v>1</v>
      </c>
      <c r="BM30" s="137">
        <v>1</v>
      </c>
      <c r="BN30" s="137">
        <v>1</v>
      </c>
      <c r="BO30" s="137">
        <v>0</v>
      </c>
      <c r="BP30" s="137">
        <v>0</v>
      </c>
      <c r="BQ30" s="137">
        <v>1</v>
      </c>
      <c r="BR30" s="137">
        <v>1</v>
      </c>
      <c r="BS30" s="137">
        <v>1</v>
      </c>
      <c r="BT30" s="137">
        <v>1</v>
      </c>
      <c r="BU30" s="137"/>
      <c r="BV30" s="137"/>
      <c r="BW30" s="137">
        <v>0.60000002383999995</v>
      </c>
      <c r="BX30" s="137">
        <v>0.80000001192000003</v>
      </c>
      <c r="BY30" s="137">
        <v>0.80000001192000003</v>
      </c>
      <c r="BZ30" s="265">
        <v>0.74444440000000001</v>
      </c>
      <c r="CA30" s="265">
        <v>0.5</v>
      </c>
      <c r="CB30" s="357" t="s">
        <v>3185</v>
      </c>
      <c r="CC30" s="137"/>
      <c r="CD30" s="143" t="s">
        <v>788</v>
      </c>
      <c r="CE30" s="143" t="s">
        <v>766</v>
      </c>
      <c r="CF30" s="143">
        <v>6</v>
      </c>
      <c r="CG30" s="247">
        <v>3</v>
      </c>
      <c r="CH30" s="245">
        <v>1</v>
      </c>
      <c r="CI30" s="245">
        <v>1</v>
      </c>
      <c r="CJ30" s="245">
        <v>0.375</v>
      </c>
      <c r="CK30" s="245">
        <v>1</v>
      </c>
      <c r="CL30" s="248">
        <v>0.84375</v>
      </c>
      <c r="CM30" s="169" t="s">
        <v>3185</v>
      </c>
    </row>
    <row r="31" spans="1:91" ht="15.75" x14ac:dyDescent="0.25">
      <c r="A31" s="143" t="s">
        <v>789</v>
      </c>
      <c r="B31" s="143" t="s">
        <v>790</v>
      </c>
      <c r="C31" s="143">
        <v>5</v>
      </c>
      <c r="D31" s="137">
        <v>0.4</v>
      </c>
      <c r="E31" s="137">
        <v>0.6</v>
      </c>
      <c r="F31" s="137">
        <v>1</v>
      </c>
      <c r="G31" s="137">
        <v>1</v>
      </c>
      <c r="H31" s="356" t="s">
        <v>3184</v>
      </c>
      <c r="I31" s="137"/>
      <c r="J31" s="143" t="s">
        <v>789</v>
      </c>
      <c r="K31" s="143" t="s">
        <v>790</v>
      </c>
      <c r="L31" s="143">
        <v>5</v>
      </c>
      <c r="M31" s="137">
        <v>1</v>
      </c>
      <c r="N31" s="137">
        <v>1</v>
      </c>
      <c r="O31" s="137" t="s">
        <v>3184</v>
      </c>
      <c r="Q31" s="143" t="s">
        <v>789</v>
      </c>
      <c r="R31" s="143" t="s">
        <v>790</v>
      </c>
      <c r="S31" s="143">
        <v>5</v>
      </c>
      <c r="T31" s="137">
        <v>0.17454549999999999</v>
      </c>
      <c r="U31" s="137">
        <v>0.62610100000000002</v>
      </c>
      <c r="V31" s="189">
        <v>0.80064650000000004</v>
      </c>
      <c r="W31" s="137">
        <v>0</v>
      </c>
      <c r="X31" s="356" t="s">
        <v>3185</v>
      </c>
      <c r="Y31" s="137">
        <v>0.18666669999999999</v>
      </c>
      <c r="Z31" s="137">
        <v>0.68554119999999996</v>
      </c>
      <c r="AA31" s="245">
        <v>0.87220779999999998</v>
      </c>
      <c r="AB31" s="137"/>
      <c r="AC31" s="143" t="s">
        <v>789</v>
      </c>
      <c r="AD31" s="143" t="s">
        <v>790</v>
      </c>
      <c r="AE31" s="143">
        <v>5</v>
      </c>
      <c r="AF31" s="137">
        <v>0.40000001000000002</v>
      </c>
      <c r="AG31" s="137">
        <v>1</v>
      </c>
      <c r="AH31" s="137">
        <v>1</v>
      </c>
      <c r="AI31" s="137">
        <v>1</v>
      </c>
      <c r="AJ31" s="137">
        <v>0</v>
      </c>
      <c r="AK31" s="137">
        <v>0</v>
      </c>
      <c r="AL31" s="137">
        <v>1</v>
      </c>
      <c r="AM31" s="137">
        <v>1</v>
      </c>
      <c r="AN31" s="137">
        <v>1</v>
      </c>
      <c r="AO31" s="137">
        <v>1</v>
      </c>
      <c r="AP31" s="137">
        <v>1</v>
      </c>
      <c r="AQ31" s="137">
        <v>0.76363639999999999</v>
      </c>
      <c r="AS31" s="143" t="s">
        <v>789</v>
      </c>
      <c r="AT31" s="143" t="s">
        <v>790</v>
      </c>
      <c r="AU31" s="143">
        <v>5</v>
      </c>
      <c r="AV31" s="137"/>
      <c r="AW31" s="137"/>
      <c r="AX31" s="137"/>
      <c r="AY31" s="137"/>
      <c r="AZ31" s="137"/>
      <c r="BA31" s="137"/>
      <c r="BB31" s="137"/>
      <c r="BC31" s="137">
        <v>0.96</v>
      </c>
      <c r="BD31" s="265">
        <v>0.96</v>
      </c>
      <c r="BE31" s="265">
        <v>0.6</v>
      </c>
      <c r="BF31" s="357" t="s">
        <v>3185</v>
      </c>
      <c r="BG31" s="137"/>
      <c r="BH31" s="143" t="s">
        <v>789</v>
      </c>
      <c r="BI31" s="143" t="s">
        <v>790</v>
      </c>
      <c r="BJ31" s="143">
        <v>5</v>
      </c>
      <c r="BK31" s="137"/>
      <c r="BL31" s="137"/>
      <c r="BM31" s="137"/>
      <c r="BN31" s="137"/>
      <c r="BO31" s="137"/>
      <c r="BP31" s="137"/>
      <c r="BQ31" s="137"/>
      <c r="BR31" s="137"/>
      <c r="BS31" s="137"/>
      <c r="BT31" s="137"/>
      <c r="BU31" s="137"/>
      <c r="BV31" s="137"/>
      <c r="BW31" s="137">
        <v>1</v>
      </c>
      <c r="BX31" s="137">
        <v>0.80000001192000003</v>
      </c>
      <c r="BY31" s="137">
        <v>1</v>
      </c>
      <c r="BZ31" s="265">
        <v>0.93333330000000003</v>
      </c>
      <c r="CA31" s="265">
        <v>0.8</v>
      </c>
      <c r="CB31" s="357" t="s">
        <v>3185</v>
      </c>
      <c r="CC31" s="137"/>
      <c r="CD31" s="143" t="s">
        <v>789</v>
      </c>
      <c r="CE31" s="143" t="s">
        <v>790</v>
      </c>
      <c r="CF31" s="143">
        <v>5</v>
      </c>
      <c r="CG31" s="247"/>
      <c r="CH31" s="245"/>
      <c r="CI31" s="245"/>
      <c r="CJ31" s="245"/>
      <c r="CK31" s="245"/>
      <c r="CL31" s="248"/>
    </row>
    <row r="32" spans="1:91" ht="15.75" x14ac:dyDescent="0.25">
      <c r="A32" s="143" t="s">
        <v>791</v>
      </c>
      <c r="B32" s="143" t="s">
        <v>790</v>
      </c>
      <c r="C32" s="143">
        <v>6</v>
      </c>
      <c r="D32" s="137">
        <v>0.37445889999999998</v>
      </c>
      <c r="E32" s="137">
        <v>0.55000000000000004</v>
      </c>
      <c r="F32" s="137">
        <v>0.92445889999999997</v>
      </c>
      <c r="G32" s="137">
        <v>0.66666669999999995</v>
      </c>
      <c r="H32" s="356" t="s">
        <v>3185</v>
      </c>
      <c r="I32" s="137"/>
      <c r="J32" s="143" t="s">
        <v>791</v>
      </c>
      <c r="K32" s="143" t="s">
        <v>790</v>
      </c>
      <c r="L32" s="143">
        <v>6</v>
      </c>
      <c r="M32" s="137">
        <v>1</v>
      </c>
      <c r="N32" s="137">
        <v>1</v>
      </c>
      <c r="O32" s="137" t="s">
        <v>3184</v>
      </c>
      <c r="Q32" s="143" t="s">
        <v>791</v>
      </c>
      <c r="R32" s="143" t="s">
        <v>790</v>
      </c>
      <c r="S32" s="143">
        <v>6</v>
      </c>
      <c r="T32" s="137">
        <v>9.3939400000000006E-2</v>
      </c>
      <c r="U32" s="137">
        <v>0.26397310000000002</v>
      </c>
      <c r="V32" s="189">
        <v>0.35791250000000002</v>
      </c>
      <c r="W32" s="137">
        <v>0</v>
      </c>
      <c r="X32" s="356" t="s">
        <v>3185</v>
      </c>
      <c r="Y32" s="137">
        <v>0.1111111</v>
      </c>
      <c r="Z32" s="137">
        <v>0.1186147</v>
      </c>
      <c r="AA32" s="245">
        <v>0.22972580000000001</v>
      </c>
      <c r="AB32" s="137"/>
      <c r="AC32" s="143" t="s">
        <v>791</v>
      </c>
      <c r="AD32" s="143" t="s">
        <v>790</v>
      </c>
      <c r="AE32" s="143">
        <v>6</v>
      </c>
      <c r="AF32" s="137">
        <v>1</v>
      </c>
      <c r="AG32" s="137">
        <v>1</v>
      </c>
      <c r="AH32" s="137">
        <v>0.83333330999999999</v>
      </c>
      <c r="AI32" s="137">
        <v>1</v>
      </c>
      <c r="AJ32" s="137">
        <v>0</v>
      </c>
      <c r="AK32" s="137">
        <v>0</v>
      </c>
      <c r="AL32" s="137">
        <v>1</v>
      </c>
      <c r="AM32" s="137">
        <v>0.33333333999999998</v>
      </c>
      <c r="AN32" s="137">
        <v>0.66666669000000001</v>
      </c>
      <c r="AO32" s="137">
        <v>1</v>
      </c>
      <c r="AP32" s="137">
        <v>0.16666666999999999</v>
      </c>
      <c r="AQ32" s="137">
        <v>0.63636360000000003</v>
      </c>
      <c r="AS32" s="143" t="s">
        <v>791</v>
      </c>
      <c r="AT32" s="143" t="s">
        <v>790</v>
      </c>
      <c r="AU32" s="143">
        <v>6</v>
      </c>
      <c r="AV32" s="137"/>
      <c r="AW32" s="137"/>
      <c r="AX32" s="137"/>
      <c r="AY32" s="137"/>
      <c r="AZ32" s="137"/>
      <c r="BA32" s="137"/>
      <c r="BB32" s="137"/>
      <c r="BC32" s="137">
        <v>0.82916670000000003</v>
      </c>
      <c r="BD32" s="265">
        <v>0.82916670000000003</v>
      </c>
      <c r="BE32" s="265">
        <v>0</v>
      </c>
      <c r="BF32" s="357" t="s">
        <v>3185</v>
      </c>
      <c r="BG32" s="137"/>
      <c r="BH32" s="143" t="s">
        <v>791</v>
      </c>
      <c r="BI32" s="143" t="s">
        <v>790</v>
      </c>
      <c r="BJ32" s="143">
        <v>6</v>
      </c>
      <c r="BK32" s="137"/>
      <c r="BL32" s="137"/>
      <c r="BM32" s="137"/>
      <c r="BN32" s="137"/>
      <c r="BO32" s="137"/>
      <c r="BP32" s="137"/>
      <c r="BQ32" s="137"/>
      <c r="BR32" s="137"/>
      <c r="BS32" s="137"/>
      <c r="BT32" s="137"/>
      <c r="BU32" s="137"/>
      <c r="BV32" s="137"/>
      <c r="BW32" s="137">
        <v>0.16666667163000001</v>
      </c>
      <c r="BX32" s="137">
        <v>0.33333334327000003</v>
      </c>
      <c r="BY32" s="137">
        <v>0.33333334327000003</v>
      </c>
      <c r="BZ32" s="265">
        <v>0.27777780000000002</v>
      </c>
      <c r="CA32" s="265">
        <v>0</v>
      </c>
      <c r="CB32" s="357" t="s">
        <v>3185</v>
      </c>
      <c r="CC32" s="137"/>
      <c r="CD32" s="143" t="s">
        <v>791</v>
      </c>
      <c r="CE32" s="143" t="s">
        <v>790</v>
      </c>
      <c r="CF32" s="143">
        <v>6</v>
      </c>
      <c r="CG32" s="247"/>
      <c r="CH32" s="245"/>
      <c r="CI32" s="245"/>
      <c r="CJ32" s="245"/>
      <c r="CK32" s="245"/>
      <c r="CL32" s="248"/>
    </row>
    <row r="33" spans="1:90" ht="15.75" x14ac:dyDescent="0.25">
      <c r="A33" s="143" t="s">
        <v>792</v>
      </c>
      <c r="B33" s="143" t="s">
        <v>758</v>
      </c>
      <c r="C33" s="143">
        <v>4</v>
      </c>
      <c r="D33" s="137">
        <v>0.39675329999999998</v>
      </c>
      <c r="E33" s="137">
        <v>0.52500000000000002</v>
      </c>
      <c r="F33" s="137">
        <v>0.9217533</v>
      </c>
      <c r="G33" s="137">
        <v>0.5</v>
      </c>
      <c r="H33" s="356" t="s">
        <v>3185</v>
      </c>
      <c r="I33" s="137"/>
      <c r="J33" s="143" t="s">
        <v>792</v>
      </c>
      <c r="K33" s="143" t="s">
        <v>758</v>
      </c>
      <c r="L33" s="143">
        <v>4</v>
      </c>
      <c r="M33" s="137">
        <v>1</v>
      </c>
      <c r="N33" s="137">
        <v>1</v>
      </c>
      <c r="O33" s="137" t="s">
        <v>3184</v>
      </c>
      <c r="Q33" s="143" t="s">
        <v>792</v>
      </c>
      <c r="R33" s="143" t="s">
        <v>758</v>
      </c>
      <c r="S33" s="143">
        <v>4</v>
      </c>
      <c r="T33" s="137">
        <v>0.14545459999999999</v>
      </c>
      <c r="U33" s="137">
        <v>0.42242429999999997</v>
      </c>
      <c r="V33" s="189">
        <v>0.56787880000000002</v>
      </c>
      <c r="W33" s="137">
        <v>0</v>
      </c>
      <c r="X33" s="356" t="s">
        <v>3185</v>
      </c>
      <c r="Y33" s="137">
        <v>0.1208333</v>
      </c>
      <c r="Z33" s="137">
        <v>0.1807359</v>
      </c>
      <c r="AA33" s="245">
        <v>0.30156929999999998</v>
      </c>
      <c r="AB33" s="137"/>
      <c r="AC33" s="143" t="s">
        <v>792</v>
      </c>
      <c r="AD33" s="143" t="s">
        <v>758</v>
      </c>
      <c r="AE33" s="143">
        <v>4</v>
      </c>
      <c r="AF33" s="137">
        <v>0</v>
      </c>
      <c r="AG33" s="137">
        <v>1</v>
      </c>
      <c r="AH33" s="137">
        <v>0.75</v>
      </c>
      <c r="AI33" s="137">
        <v>0.75</v>
      </c>
      <c r="AJ33" s="137">
        <v>0</v>
      </c>
      <c r="AK33" s="137">
        <v>0</v>
      </c>
      <c r="AL33" s="137">
        <v>1</v>
      </c>
      <c r="AM33" s="137">
        <v>1</v>
      </c>
      <c r="AN33" s="137">
        <v>1</v>
      </c>
      <c r="AO33" s="137">
        <v>1</v>
      </c>
      <c r="AP33" s="137">
        <v>0.75</v>
      </c>
      <c r="AQ33" s="137">
        <v>0.65909090000000004</v>
      </c>
      <c r="AS33" s="143" t="s">
        <v>792</v>
      </c>
      <c r="AT33" s="143" t="s">
        <v>758</v>
      </c>
      <c r="AU33" s="143">
        <v>4</v>
      </c>
      <c r="AV33" s="137"/>
      <c r="AW33" s="137"/>
      <c r="AX33" s="137"/>
      <c r="AY33" s="137"/>
      <c r="AZ33" s="137"/>
      <c r="BA33" s="137"/>
      <c r="BB33" s="137"/>
      <c r="BC33" s="137">
        <v>0.8125</v>
      </c>
      <c r="BD33" s="265">
        <v>0.8125</v>
      </c>
      <c r="BE33" s="265">
        <v>0</v>
      </c>
      <c r="BF33" s="357" t="s">
        <v>3185</v>
      </c>
      <c r="BG33" s="137"/>
      <c r="BH33" s="143" t="s">
        <v>792</v>
      </c>
      <c r="BI33" s="143" t="s">
        <v>758</v>
      </c>
      <c r="BJ33" s="143">
        <v>4</v>
      </c>
      <c r="BK33" s="137"/>
      <c r="BL33" s="137"/>
      <c r="BM33" s="137"/>
      <c r="BN33" s="137"/>
      <c r="BO33" s="137"/>
      <c r="BP33" s="137"/>
      <c r="BQ33" s="137"/>
      <c r="BR33" s="137"/>
      <c r="BS33" s="137"/>
      <c r="BT33" s="137"/>
      <c r="BU33" s="137"/>
      <c r="BV33" s="137"/>
      <c r="BW33" s="137">
        <v>0.5</v>
      </c>
      <c r="BX33" s="137">
        <v>0.5</v>
      </c>
      <c r="BY33" s="137">
        <v>0.75</v>
      </c>
      <c r="BZ33" s="265">
        <v>0.58333330000000005</v>
      </c>
      <c r="CA33" s="265">
        <v>0.5</v>
      </c>
      <c r="CB33" s="357" t="s">
        <v>3185</v>
      </c>
      <c r="CC33" s="137"/>
      <c r="CD33" s="143" t="s">
        <v>792</v>
      </c>
      <c r="CE33" s="143" t="s">
        <v>758</v>
      </c>
      <c r="CF33" s="143">
        <v>4</v>
      </c>
      <c r="CG33" s="247"/>
      <c r="CH33" s="245"/>
      <c r="CI33" s="245"/>
      <c r="CJ33" s="245"/>
      <c r="CK33" s="245"/>
      <c r="CL33" s="248"/>
    </row>
    <row r="34" spans="1:90" ht="15.75" x14ac:dyDescent="0.25">
      <c r="A34" s="143" t="s">
        <v>793</v>
      </c>
      <c r="B34" s="143" t="s">
        <v>794</v>
      </c>
      <c r="C34" s="143">
        <v>6</v>
      </c>
      <c r="D34" s="137">
        <v>0.3350649</v>
      </c>
      <c r="E34" s="137">
        <v>0.6</v>
      </c>
      <c r="F34" s="137">
        <v>0.93506500000000004</v>
      </c>
      <c r="G34" s="137">
        <v>0.3333333</v>
      </c>
      <c r="H34" s="356" t="s">
        <v>3185</v>
      </c>
      <c r="I34" s="137"/>
      <c r="J34" s="143" t="s">
        <v>793</v>
      </c>
      <c r="K34" s="143" t="s">
        <v>794</v>
      </c>
      <c r="L34" s="143">
        <v>6</v>
      </c>
      <c r="M34" s="137">
        <v>0.9844155</v>
      </c>
      <c r="N34" s="137">
        <v>1</v>
      </c>
      <c r="O34" s="137" t="s">
        <v>3184</v>
      </c>
      <c r="Q34" s="143" t="s">
        <v>793</v>
      </c>
      <c r="R34" s="143" t="s">
        <v>794</v>
      </c>
      <c r="S34" s="143">
        <v>6</v>
      </c>
      <c r="T34" s="137">
        <v>0.15151519999999999</v>
      </c>
      <c r="U34" s="137">
        <v>0.4538721</v>
      </c>
      <c r="V34" s="189">
        <v>0.60538720000000001</v>
      </c>
      <c r="W34" s="137">
        <v>0.1666667</v>
      </c>
      <c r="X34" s="356" t="s">
        <v>3185</v>
      </c>
      <c r="Y34" s="137">
        <v>0.1833333</v>
      </c>
      <c r="Z34" s="137">
        <v>0.35367969999999999</v>
      </c>
      <c r="AA34" s="245">
        <v>0.53701299999999996</v>
      </c>
      <c r="AB34" s="137"/>
      <c r="AC34" s="143" t="s">
        <v>793</v>
      </c>
      <c r="AD34" s="143" t="s">
        <v>794</v>
      </c>
      <c r="AE34" s="143">
        <v>6</v>
      </c>
      <c r="AF34" s="137">
        <v>0.83333330999999999</v>
      </c>
      <c r="AG34" s="137">
        <v>0.33333333999999998</v>
      </c>
      <c r="AH34" s="137">
        <v>1</v>
      </c>
      <c r="AI34" s="137">
        <v>1</v>
      </c>
      <c r="AJ34" s="137">
        <v>0</v>
      </c>
      <c r="AK34" s="137">
        <v>0</v>
      </c>
      <c r="AL34" s="137">
        <v>1</v>
      </c>
      <c r="AM34" s="137">
        <v>1</v>
      </c>
      <c r="AN34" s="137">
        <v>1</v>
      </c>
      <c r="AO34" s="137">
        <v>1</v>
      </c>
      <c r="AP34" s="137">
        <v>0.83333330999999999</v>
      </c>
      <c r="AQ34" s="137">
        <v>0.72727269999999999</v>
      </c>
      <c r="AS34" s="143" t="s">
        <v>793</v>
      </c>
      <c r="AT34" s="143" t="s">
        <v>794</v>
      </c>
      <c r="AU34" s="143">
        <v>6</v>
      </c>
      <c r="AV34" s="137"/>
      <c r="AW34" s="137"/>
      <c r="AX34" s="137"/>
      <c r="AY34" s="137"/>
      <c r="AZ34" s="137"/>
      <c r="BA34" s="137"/>
      <c r="BB34" s="137"/>
      <c r="BC34" s="137">
        <v>0.88333329999999999</v>
      </c>
      <c r="BD34" s="265">
        <v>0.88333329999999999</v>
      </c>
      <c r="BE34" s="265">
        <v>0</v>
      </c>
      <c r="BF34" s="357" t="s">
        <v>3185</v>
      </c>
      <c r="BG34" s="137"/>
      <c r="BH34" s="143" t="s">
        <v>793</v>
      </c>
      <c r="BI34" s="143" t="s">
        <v>794</v>
      </c>
      <c r="BJ34" s="143">
        <v>6</v>
      </c>
      <c r="BK34" s="137"/>
      <c r="BL34" s="137"/>
      <c r="BM34" s="137"/>
      <c r="BN34" s="137"/>
      <c r="BO34" s="137"/>
      <c r="BP34" s="137"/>
      <c r="BQ34" s="137"/>
      <c r="BR34" s="137"/>
      <c r="BS34" s="137"/>
      <c r="BT34" s="137"/>
      <c r="BU34" s="137"/>
      <c r="BV34" s="137"/>
      <c r="BW34" s="137">
        <v>1</v>
      </c>
      <c r="BX34" s="137">
        <v>1</v>
      </c>
      <c r="BY34" s="137">
        <v>1</v>
      </c>
      <c r="BZ34" s="265">
        <v>1</v>
      </c>
      <c r="CA34" s="265">
        <v>1</v>
      </c>
      <c r="CB34" s="357" t="s">
        <v>3184</v>
      </c>
      <c r="CC34" s="137"/>
      <c r="CD34" s="143" t="s">
        <v>793</v>
      </c>
      <c r="CE34" s="143" t="s">
        <v>794</v>
      </c>
      <c r="CF34" s="143">
        <v>6</v>
      </c>
      <c r="CG34" s="247"/>
      <c r="CH34" s="245"/>
      <c r="CI34" s="245"/>
      <c r="CJ34" s="245"/>
      <c r="CK34" s="245"/>
      <c r="CL34" s="248"/>
    </row>
    <row r="35" spans="1:90" ht="15.75" x14ac:dyDescent="0.25">
      <c r="A35" s="143" t="s">
        <v>795</v>
      </c>
      <c r="B35" s="143" t="s">
        <v>761</v>
      </c>
      <c r="C35" s="143">
        <v>5</v>
      </c>
      <c r="D35" s="137">
        <v>0.38597399999999998</v>
      </c>
      <c r="E35" s="137">
        <v>0.48</v>
      </c>
      <c r="F35" s="137">
        <v>0.86597409999999997</v>
      </c>
      <c r="G35" s="137">
        <v>0.6</v>
      </c>
      <c r="H35" s="356" t="s">
        <v>3185</v>
      </c>
      <c r="I35" s="137"/>
      <c r="J35" s="143" t="s">
        <v>795</v>
      </c>
      <c r="K35" s="143" t="s">
        <v>761</v>
      </c>
      <c r="L35" s="143">
        <v>5</v>
      </c>
      <c r="M35" s="137">
        <v>0.99220779999999997</v>
      </c>
      <c r="N35" s="137">
        <v>1</v>
      </c>
      <c r="O35" s="137" t="s">
        <v>3184</v>
      </c>
      <c r="Q35" s="143" t="s">
        <v>795</v>
      </c>
      <c r="R35" s="143" t="s">
        <v>761</v>
      </c>
      <c r="S35" s="143">
        <v>5</v>
      </c>
      <c r="T35" s="137">
        <v>0.16</v>
      </c>
      <c r="U35" s="137">
        <v>0.51232330000000004</v>
      </c>
      <c r="V35" s="189">
        <v>0.67232320000000001</v>
      </c>
      <c r="W35" s="137">
        <v>0</v>
      </c>
      <c r="X35" s="356" t="s">
        <v>3185</v>
      </c>
      <c r="Y35" s="137">
        <v>0.2</v>
      </c>
      <c r="Z35" s="137">
        <v>0.3333333</v>
      </c>
      <c r="AA35" s="245">
        <v>0.53333339999999996</v>
      </c>
      <c r="AB35" s="137"/>
      <c r="AC35" s="143" t="s">
        <v>795</v>
      </c>
      <c r="AD35" s="143" t="s">
        <v>761</v>
      </c>
      <c r="AE35" s="143">
        <v>5</v>
      </c>
      <c r="AF35" s="137">
        <v>0.60000001999999997</v>
      </c>
      <c r="AG35" s="137">
        <v>1</v>
      </c>
      <c r="AH35" s="137">
        <v>1</v>
      </c>
      <c r="AI35" s="137">
        <v>1</v>
      </c>
      <c r="AJ35" s="137">
        <v>0</v>
      </c>
      <c r="AK35" s="137">
        <v>0</v>
      </c>
      <c r="AL35" s="137">
        <v>1</v>
      </c>
      <c r="AM35" s="137">
        <v>1</v>
      </c>
      <c r="AN35" s="137">
        <v>1</v>
      </c>
      <c r="AO35" s="137">
        <v>0.80000000999999998</v>
      </c>
      <c r="AP35" s="137">
        <v>0.80000000999999998</v>
      </c>
      <c r="AQ35" s="137">
        <v>0.74545450000000002</v>
      </c>
      <c r="AS35" s="143" t="s">
        <v>795</v>
      </c>
      <c r="AT35" s="143" t="s">
        <v>761</v>
      </c>
      <c r="AU35" s="143">
        <v>5</v>
      </c>
      <c r="AV35" s="137"/>
      <c r="AW35" s="137"/>
      <c r="AX35" s="137"/>
      <c r="AY35" s="137"/>
      <c r="AZ35" s="137"/>
      <c r="BA35" s="137"/>
      <c r="BB35" s="137"/>
      <c r="BC35" s="137">
        <v>0.91749999999999998</v>
      </c>
      <c r="BD35" s="265">
        <v>0.91749999999999998</v>
      </c>
      <c r="BE35" s="265">
        <v>0.2</v>
      </c>
      <c r="BF35" s="357" t="s">
        <v>3185</v>
      </c>
      <c r="BG35" s="137"/>
      <c r="BH35" s="143" t="s">
        <v>795</v>
      </c>
      <c r="BI35" s="143" t="s">
        <v>761</v>
      </c>
      <c r="BJ35" s="143">
        <v>5</v>
      </c>
      <c r="BK35" s="137"/>
      <c r="BL35" s="137"/>
      <c r="BM35" s="137"/>
      <c r="BN35" s="137"/>
      <c r="BO35" s="137"/>
      <c r="BP35" s="137"/>
      <c r="BQ35" s="137"/>
      <c r="BR35" s="137"/>
      <c r="BS35" s="137"/>
      <c r="BT35" s="137"/>
      <c r="BU35" s="137"/>
      <c r="BV35" s="137"/>
      <c r="BW35" s="137">
        <v>1</v>
      </c>
      <c r="BX35" s="137">
        <v>1</v>
      </c>
      <c r="BY35" s="137">
        <v>1</v>
      </c>
      <c r="BZ35" s="265">
        <v>1</v>
      </c>
      <c r="CA35" s="265">
        <v>1</v>
      </c>
      <c r="CB35" s="357" t="s">
        <v>3184</v>
      </c>
      <c r="CC35" s="137"/>
      <c r="CD35" s="143" t="s">
        <v>795</v>
      </c>
      <c r="CE35" s="143" t="s">
        <v>761</v>
      </c>
      <c r="CF35" s="143">
        <v>5</v>
      </c>
      <c r="CG35" s="247"/>
      <c r="CH35" s="245"/>
      <c r="CI35" s="245"/>
      <c r="CJ35" s="245"/>
      <c r="CK35" s="245"/>
      <c r="CL35" s="248"/>
    </row>
  </sheetData>
  <mergeCells count="13">
    <mergeCell ref="AF1:AQ1"/>
    <mergeCell ref="AV1:BE1"/>
    <mergeCell ref="BK1:CA1"/>
    <mergeCell ref="CG1:CM1"/>
    <mergeCell ref="AV2:BB2"/>
    <mergeCell ref="BC2:BE2"/>
    <mergeCell ref="BK2:BV2"/>
    <mergeCell ref="BW2:CA2"/>
    <mergeCell ref="D1:G1"/>
    <mergeCell ref="D2:G2"/>
    <mergeCell ref="M1:O1"/>
    <mergeCell ref="M2:O2"/>
    <mergeCell ref="T1:AA1"/>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261D-3523-4EA7-9F3C-4B0D9B92CBD9}">
  <sheetPr>
    <tabColor theme="9" tint="0.39997558519241921"/>
  </sheetPr>
  <dimension ref="A1:CI239"/>
  <sheetViews>
    <sheetView zoomScale="55" zoomScaleNormal="55" workbookViewId="0">
      <selection activeCell="A4" sqref="A4:XFD4"/>
    </sheetView>
  </sheetViews>
  <sheetFormatPr defaultColWidth="20.5" defaultRowHeight="15.75" x14ac:dyDescent="0.25"/>
  <cols>
    <col min="1" max="4" width="20.5" style="78"/>
    <col min="5" max="7" width="20.5" style="359"/>
    <col min="8" max="8" width="20.5" style="78"/>
    <col min="9" max="9" width="6" style="78" customWidth="1"/>
    <col min="10" max="15" width="20.5" style="78"/>
    <col min="16" max="16" width="20.5" style="62"/>
    <col min="17" max="18" width="20.5" style="78"/>
    <col min="19" max="19" width="20.875" style="78" customWidth="1"/>
    <col min="20" max="20" width="25.25" style="78" bestFit="1" customWidth="1"/>
    <col min="21" max="21" width="6" style="78" customWidth="1"/>
    <col min="22" max="36" width="20.875" style="78" customWidth="1"/>
    <col min="37" max="37" width="11.875" style="78" bestFit="1" customWidth="1"/>
    <col min="38" max="38" width="6" style="78" customWidth="1"/>
    <col min="39" max="42" width="20.5" style="78"/>
    <col min="43" max="49" width="20.5" style="129"/>
    <col min="50" max="51" width="20.5" style="345"/>
    <col min="52" max="52" width="17" style="78" bestFit="1" customWidth="1"/>
    <col min="53" max="53" width="6" style="78" customWidth="1"/>
    <col min="54" max="57" width="20.5" style="78"/>
    <col min="58" max="71" width="20.5" style="129"/>
    <col min="72" max="73" width="20.5" style="345"/>
    <col min="74" max="74" width="19" style="78" bestFit="1" customWidth="1"/>
    <col min="75" max="75" width="6" style="78" customWidth="1"/>
    <col min="76" max="79" width="20.5" style="78"/>
    <col min="80" max="83" width="20.5" style="156"/>
    <col min="84" max="85" width="20.5" style="169"/>
    <col min="86" max="16384" width="20.5" style="78"/>
  </cols>
  <sheetData>
    <row r="1" spans="1:87" ht="93.75" customHeight="1" x14ac:dyDescent="0.25">
      <c r="A1" s="296"/>
      <c r="B1" s="296"/>
      <c r="C1" s="296"/>
      <c r="D1" s="294"/>
      <c r="E1" s="545" t="s">
        <v>3310</v>
      </c>
      <c r="F1" s="546"/>
      <c r="G1" s="546"/>
      <c r="H1" s="546"/>
      <c r="I1" s="120"/>
      <c r="J1" s="303"/>
      <c r="K1" s="303"/>
      <c r="L1" s="303"/>
      <c r="M1" s="303"/>
      <c r="N1" s="541" t="s">
        <v>3311</v>
      </c>
      <c r="O1" s="541"/>
      <c r="P1" s="541"/>
      <c r="Q1" s="541"/>
      <c r="R1" s="541"/>
      <c r="S1" s="541"/>
      <c r="T1" s="541"/>
      <c r="U1" s="120"/>
      <c r="V1" s="303"/>
      <c r="W1" s="303"/>
      <c r="X1" s="303"/>
      <c r="Y1" s="305"/>
      <c r="Z1" s="541" t="s">
        <v>3312</v>
      </c>
      <c r="AA1" s="541"/>
      <c r="AB1" s="541"/>
      <c r="AC1" s="541"/>
      <c r="AD1" s="541"/>
      <c r="AE1" s="541"/>
      <c r="AF1" s="541"/>
      <c r="AG1" s="541"/>
      <c r="AH1" s="541"/>
      <c r="AI1" s="541"/>
      <c r="AJ1" s="541"/>
      <c r="AK1" s="541"/>
      <c r="AL1" s="120"/>
      <c r="AM1" s="303"/>
      <c r="AN1" s="303"/>
      <c r="AO1" s="303"/>
      <c r="AP1" s="303"/>
      <c r="AQ1" s="545" t="s">
        <v>3313</v>
      </c>
      <c r="AR1" s="546"/>
      <c r="AS1" s="546"/>
      <c r="AT1" s="546"/>
      <c r="AU1" s="546"/>
      <c r="AV1" s="546"/>
      <c r="AW1" s="546"/>
      <c r="AX1" s="546"/>
      <c r="AY1" s="546"/>
      <c r="AZ1" s="546"/>
      <c r="BA1" s="120"/>
      <c r="BB1" s="303"/>
      <c r="BC1" s="303"/>
      <c r="BD1" s="303"/>
      <c r="BE1" s="305"/>
      <c r="BF1" s="545" t="s">
        <v>3314</v>
      </c>
      <c r="BG1" s="545"/>
      <c r="BH1" s="545"/>
      <c r="BI1" s="545"/>
      <c r="BJ1" s="545"/>
      <c r="BK1" s="545"/>
      <c r="BL1" s="545"/>
      <c r="BM1" s="545"/>
      <c r="BN1" s="545"/>
      <c r="BO1" s="545"/>
      <c r="BP1" s="545"/>
      <c r="BQ1" s="545"/>
      <c r="BR1" s="545"/>
      <c r="BS1" s="545"/>
      <c r="BT1" s="545"/>
      <c r="BU1" s="545"/>
      <c r="BV1" s="545"/>
      <c r="BW1" s="120"/>
      <c r="BX1" s="303"/>
      <c r="BY1" s="303"/>
      <c r="BZ1" s="303"/>
      <c r="CA1" s="305"/>
      <c r="CB1" s="579" t="s">
        <v>3315</v>
      </c>
      <c r="CC1" s="579"/>
      <c r="CD1" s="579"/>
      <c r="CE1" s="579"/>
      <c r="CF1" s="579"/>
      <c r="CG1" s="579"/>
      <c r="CH1" s="579"/>
      <c r="CI1"/>
    </row>
    <row r="2" spans="1:87" ht="27" customHeight="1" x14ac:dyDescent="0.25">
      <c r="A2" s="297"/>
      <c r="B2" s="297"/>
      <c r="C2" s="297"/>
      <c r="D2" s="295"/>
      <c r="E2" s="546" t="s">
        <v>3316</v>
      </c>
      <c r="F2" s="546"/>
      <c r="G2" s="546"/>
      <c r="H2" s="546"/>
      <c r="I2" s="120"/>
      <c r="J2" s="304"/>
      <c r="K2" s="304"/>
      <c r="L2" s="304"/>
      <c r="M2" s="304"/>
      <c r="N2" s="302"/>
      <c r="O2" s="302"/>
      <c r="P2" s="302"/>
      <c r="Q2" s="293"/>
      <c r="R2" s="293"/>
      <c r="S2" s="293"/>
      <c r="T2" s="293"/>
      <c r="U2" s="120"/>
      <c r="V2" s="304"/>
      <c r="W2" s="304"/>
      <c r="X2" s="304"/>
      <c r="Y2" s="306"/>
      <c r="Z2" s="293"/>
      <c r="AA2" s="293"/>
      <c r="AB2" s="293"/>
      <c r="AC2" s="293"/>
      <c r="AD2" s="293"/>
      <c r="AE2" s="293"/>
      <c r="AF2" s="293"/>
      <c r="AG2" s="293"/>
      <c r="AH2" s="293"/>
      <c r="AI2" s="293"/>
      <c r="AJ2" s="293"/>
      <c r="AK2" s="293"/>
      <c r="AL2" s="120"/>
      <c r="AM2" s="304"/>
      <c r="AN2" s="304"/>
      <c r="AO2" s="304"/>
      <c r="AP2" s="304"/>
      <c r="AQ2" s="546" t="s">
        <v>3205</v>
      </c>
      <c r="AR2" s="546"/>
      <c r="AS2" s="546"/>
      <c r="AT2" s="546"/>
      <c r="AU2" s="546"/>
      <c r="AV2" s="546"/>
      <c r="AW2" s="546"/>
      <c r="AX2" s="545" t="s">
        <v>3206</v>
      </c>
      <c r="AY2" s="545"/>
      <c r="AZ2" s="545"/>
      <c r="BA2" s="120"/>
      <c r="BB2" s="304"/>
      <c r="BC2" s="304"/>
      <c r="BD2" s="304"/>
      <c r="BE2" s="306"/>
      <c r="BF2" s="542" t="s">
        <v>3207</v>
      </c>
      <c r="BG2" s="542"/>
      <c r="BH2" s="542"/>
      <c r="BI2" s="542"/>
      <c r="BJ2" s="542"/>
      <c r="BK2" s="542"/>
      <c r="BL2" s="542"/>
      <c r="BM2" s="542"/>
      <c r="BN2" s="542"/>
      <c r="BO2" s="542"/>
      <c r="BP2" s="542"/>
      <c r="BQ2" s="542"/>
      <c r="BR2" s="542" t="s">
        <v>3208</v>
      </c>
      <c r="BS2" s="542"/>
      <c r="BT2" s="542"/>
      <c r="BU2" s="542"/>
      <c r="BV2" s="542"/>
      <c r="BW2" s="120"/>
      <c r="BX2" s="304"/>
      <c r="BY2" s="304"/>
      <c r="BZ2" s="304"/>
      <c r="CA2" s="306"/>
      <c r="CB2" s="302"/>
      <c r="CC2" s="302"/>
      <c r="CD2" s="302"/>
      <c r="CE2" s="302"/>
      <c r="CF2" s="302"/>
      <c r="CG2" s="302"/>
      <c r="CH2" s="302"/>
      <c r="CI2"/>
    </row>
    <row r="3" spans="1:87" ht="112.5" x14ac:dyDescent="0.25">
      <c r="A3" s="282" t="s">
        <v>721</v>
      </c>
      <c r="B3" s="282" t="s">
        <v>1456</v>
      </c>
      <c r="C3" s="282" t="s">
        <v>1457</v>
      </c>
      <c r="D3" s="283" t="s">
        <v>1458</v>
      </c>
      <c r="E3" s="355" t="s">
        <v>3317</v>
      </c>
      <c r="F3" s="355" t="s">
        <v>3318</v>
      </c>
      <c r="G3" s="355" t="s">
        <v>3190</v>
      </c>
      <c r="H3" s="292" t="s">
        <v>3319</v>
      </c>
      <c r="I3" s="110"/>
      <c r="J3" s="289" t="s">
        <v>721</v>
      </c>
      <c r="K3" s="289" t="s">
        <v>3320</v>
      </c>
      <c r="L3" s="289" t="s">
        <v>3321</v>
      </c>
      <c r="M3" s="289" t="s">
        <v>1458</v>
      </c>
      <c r="N3" s="290" t="s">
        <v>3217</v>
      </c>
      <c r="O3" s="290" t="s">
        <v>3218</v>
      </c>
      <c r="P3" s="290" t="s">
        <v>3219</v>
      </c>
      <c r="Q3" s="290" t="s">
        <v>3322</v>
      </c>
      <c r="R3" s="290" t="s">
        <v>3222</v>
      </c>
      <c r="S3" s="290" t="s">
        <v>3223</v>
      </c>
      <c r="T3" s="280" t="s">
        <v>3224</v>
      </c>
      <c r="U3" s="110"/>
      <c r="V3" s="289" t="s">
        <v>721</v>
      </c>
      <c r="W3" s="289" t="s">
        <v>1456</v>
      </c>
      <c r="X3" s="289" t="s">
        <v>3321</v>
      </c>
      <c r="Y3" s="307" t="s">
        <v>1458</v>
      </c>
      <c r="Z3" s="290" t="s">
        <v>573</v>
      </c>
      <c r="AA3" s="290" t="s">
        <v>576</v>
      </c>
      <c r="AB3" s="290" t="s">
        <v>579</v>
      </c>
      <c r="AC3" s="290" t="s">
        <v>582</v>
      </c>
      <c r="AD3" s="290" t="s">
        <v>585</v>
      </c>
      <c r="AE3" s="290" t="s">
        <v>588</v>
      </c>
      <c r="AF3" s="290" t="s">
        <v>591</v>
      </c>
      <c r="AG3" s="290" t="s">
        <v>594</v>
      </c>
      <c r="AH3" s="290" t="s">
        <v>597</v>
      </c>
      <c r="AI3" s="290" t="s">
        <v>600</v>
      </c>
      <c r="AJ3" s="290" t="s">
        <v>603</v>
      </c>
      <c r="AK3" s="290" t="s">
        <v>606</v>
      </c>
      <c r="AL3" s="110"/>
      <c r="AM3" s="289" t="s">
        <v>721</v>
      </c>
      <c r="AN3" s="289" t="s">
        <v>1456</v>
      </c>
      <c r="AO3" s="289" t="s">
        <v>3321</v>
      </c>
      <c r="AP3" s="289" t="s">
        <v>1458</v>
      </c>
      <c r="AQ3" s="291" t="s">
        <v>3225</v>
      </c>
      <c r="AR3" s="291" t="s">
        <v>3226</v>
      </c>
      <c r="AS3" s="291" t="s">
        <v>3227</v>
      </c>
      <c r="AT3" s="291" t="s">
        <v>3228</v>
      </c>
      <c r="AU3" s="291" t="s">
        <v>3229</v>
      </c>
      <c r="AV3" s="291" t="s">
        <v>3230</v>
      </c>
      <c r="AW3" s="291" t="s">
        <v>3231</v>
      </c>
      <c r="AX3" s="291" t="s">
        <v>632</v>
      </c>
      <c r="AY3" s="291" t="s">
        <v>3232</v>
      </c>
      <c r="AZ3" s="292" t="s">
        <v>3323</v>
      </c>
      <c r="BA3" s="110"/>
      <c r="BB3" s="289" t="s">
        <v>721</v>
      </c>
      <c r="BC3" s="289" t="s">
        <v>1456</v>
      </c>
      <c r="BD3" s="289" t="s">
        <v>3321</v>
      </c>
      <c r="BE3" s="307" t="s">
        <v>1458</v>
      </c>
      <c r="BF3" s="290" t="s">
        <v>642</v>
      </c>
      <c r="BG3" s="290" t="s">
        <v>645</v>
      </c>
      <c r="BH3" s="290" t="s">
        <v>648</v>
      </c>
      <c r="BI3" s="290" t="s">
        <v>651</v>
      </c>
      <c r="BJ3" s="290" t="s">
        <v>654</v>
      </c>
      <c r="BK3" s="290" t="s">
        <v>657</v>
      </c>
      <c r="BL3" s="290" t="s">
        <v>660</v>
      </c>
      <c r="BM3" s="290" t="s">
        <v>663</v>
      </c>
      <c r="BN3" s="290" t="s">
        <v>666</v>
      </c>
      <c r="BO3" s="290" t="s">
        <v>669</v>
      </c>
      <c r="BP3" s="290" t="s">
        <v>672</v>
      </c>
      <c r="BQ3" s="290" t="s">
        <v>675</v>
      </c>
      <c r="BR3" s="290" t="s">
        <v>3235</v>
      </c>
      <c r="BS3" s="290" t="s">
        <v>3236</v>
      </c>
      <c r="BT3" s="290" t="s">
        <v>3237</v>
      </c>
      <c r="BU3" s="290" t="s">
        <v>688</v>
      </c>
      <c r="BV3" s="280" t="s">
        <v>3324</v>
      </c>
      <c r="BW3" s="110"/>
      <c r="BX3" s="289" t="s">
        <v>721</v>
      </c>
      <c r="BY3" s="289" t="s">
        <v>1456</v>
      </c>
      <c r="BZ3" s="289" t="s">
        <v>3325</v>
      </c>
      <c r="CA3" s="307" t="s">
        <v>1458</v>
      </c>
      <c r="CB3" s="290" t="s">
        <v>696</v>
      </c>
      <c r="CC3" s="290" t="s">
        <v>699</v>
      </c>
      <c r="CD3" s="290" t="s">
        <v>702</v>
      </c>
      <c r="CE3" s="290" t="s">
        <v>705</v>
      </c>
      <c r="CF3" s="290" t="s">
        <v>708</v>
      </c>
      <c r="CG3" s="290" t="s">
        <v>711</v>
      </c>
      <c r="CH3" s="280" t="s">
        <v>3326</v>
      </c>
      <c r="CI3"/>
    </row>
    <row r="4" spans="1:87" hidden="1" x14ac:dyDescent="0.25">
      <c r="A4" s="143" t="s">
        <v>815</v>
      </c>
      <c r="B4" s="143" t="s">
        <v>816</v>
      </c>
      <c r="C4" s="143" t="s">
        <v>1484</v>
      </c>
      <c r="D4" s="143" t="s">
        <v>1485</v>
      </c>
      <c r="E4" s="354" t="s">
        <v>3158</v>
      </c>
      <c r="F4" s="354" t="s">
        <v>3159</v>
      </c>
      <c r="G4" s="354" t="s">
        <v>3160</v>
      </c>
      <c r="H4" s="137" t="s">
        <v>3161</v>
      </c>
      <c r="I4" s="78" t="s">
        <v>741</v>
      </c>
      <c r="J4" s="143" t="s">
        <v>3155</v>
      </c>
      <c r="K4" s="143" t="s">
        <v>3156</v>
      </c>
      <c r="L4" s="143" t="s">
        <v>3192</v>
      </c>
      <c r="M4" s="143" t="s">
        <v>3193</v>
      </c>
      <c r="N4" s="137" t="s">
        <v>3245</v>
      </c>
      <c r="O4" s="137" t="s">
        <v>3246</v>
      </c>
      <c r="P4" s="265" t="s">
        <v>3247</v>
      </c>
      <c r="Q4" s="137" t="s">
        <v>3248</v>
      </c>
      <c r="R4" s="137" t="s">
        <v>3250</v>
      </c>
      <c r="S4" s="137" t="s">
        <v>3251</v>
      </c>
      <c r="T4" s="137" t="s">
        <v>3252</v>
      </c>
      <c r="U4" s="78" t="s">
        <v>746</v>
      </c>
      <c r="V4" s="143" t="s">
        <v>1772</v>
      </c>
      <c r="W4" s="143" t="s">
        <v>1773</v>
      </c>
      <c r="X4" s="143" t="s">
        <v>3110</v>
      </c>
      <c r="Y4" s="143" t="s">
        <v>3109</v>
      </c>
      <c r="Z4" s="137" t="s">
        <v>3253</v>
      </c>
      <c r="AA4" s="137" t="s">
        <v>3254</v>
      </c>
      <c r="AB4" s="137" t="s">
        <v>3255</v>
      </c>
      <c r="AC4" s="137" t="s">
        <v>3256</v>
      </c>
      <c r="AD4" s="137" t="s">
        <v>3257</v>
      </c>
      <c r="AE4" s="137" t="s">
        <v>3258</v>
      </c>
      <c r="AF4" s="137" t="s">
        <v>3259</v>
      </c>
      <c r="AG4" s="137" t="s">
        <v>3260</v>
      </c>
      <c r="AH4" s="137" t="s">
        <v>3261</v>
      </c>
      <c r="AI4" s="137" t="s">
        <v>3262</v>
      </c>
      <c r="AJ4" s="137" t="s">
        <v>3263</v>
      </c>
      <c r="AK4" s="137" t="s">
        <v>3264</v>
      </c>
      <c r="AL4" s="78" t="s">
        <v>3277</v>
      </c>
      <c r="AM4" s="143" t="s">
        <v>3278</v>
      </c>
      <c r="AN4" s="143" t="s">
        <v>3279</v>
      </c>
      <c r="AO4" s="143" t="s">
        <v>3327</v>
      </c>
      <c r="AP4" s="143" t="s">
        <v>3328</v>
      </c>
      <c r="AQ4" s="137" t="s">
        <v>3266</v>
      </c>
      <c r="AR4" s="137" t="s">
        <v>3267</v>
      </c>
      <c r="AS4" s="137" t="s">
        <v>3268</v>
      </c>
      <c r="AT4" s="137" t="s">
        <v>3269</v>
      </c>
      <c r="AU4" s="137" t="s">
        <v>3270</v>
      </c>
      <c r="AV4" s="137" t="s">
        <v>3271</v>
      </c>
      <c r="AW4" s="137" t="s">
        <v>3272</v>
      </c>
      <c r="AX4" s="189" t="s">
        <v>3273</v>
      </c>
      <c r="AY4" s="189" t="s">
        <v>3274</v>
      </c>
      <c r="AZ4" s="78" t="s">
        <v>3275</v>
      </c>
      <c r="BA4" s="78" t="s">
        <v>3171</v>
      </c>
      <c r="BB4" s="143" t="s">
        <v>3172</v>
      </c>
      <c r="BC4" s="143" t="s">
        <v>3173</v>
      </c>
      <c r="BD4" s="143" t="s">
        <v>3194</v>
      </c>
      <c r="BE4" s="143" t="s">
        <v>3195</v>
      </c>
      <c r="BF4" s="137" t="s">
        <v>3281</v>
      </c>
      <c r="BG4" s="137" t="s">
        <v>3282</v>
      </c>
      <c r="BH4" s="137" t="s">
        <v>3283</v>
      </c>
      <c r="BI4" s="137" t="s">
        <v>3284</v>
      </c>
      <c r="BJ4" s="137" t="s">
        <v>3285</v>
      </c>
      <c r="BK4" s="137" t="s">
        <v>3286</v>
      </c>
      <c r="BL4" s="137" t="s">
        <v>3287</v>
      </c>
      <c r="BM4" s="137" t="s">
        <v>3288</v>
      </c>
      <c r="BN4" s="137" t="s">
        <v>3289</v>
      </c>
      <c r="BO4" s="137" t="s">
        <v>3290</v>
      </c>
      <c r="BP4" s="137" t="s">
        <v>3291</v>
      </c>
      <c r="BQ4" s="137" t="s">
        <v>3292</v>
      </c>
      <c r="BR4" s="137" t="s">
        <v>3293</v>
      </c>
      <c r="BS4" s="137" t="s">
        <v>3294</v>
      </c>
      <c r="BT4" s="189" t="s">
        <v>3295</v>
      </c>
      <c r="BU4" s="189" t="s">
        <v>3296</v>
      </c>
      <c r="BV4" s="78" t="s">
        <v>3297</v>
      </c>
      <c r="BW4" s="78" t="s">
        <v>3149</v>
      </c>
      <c r="BX4" s="143" t="s">
        <v>3150</v>
      </c>
      <c r="BY4" s="143" t="s">
        <v>3151</v>
      </c>
      <c r="BZ4" s="143" t="s">
        <v>3329</v>
      </c>
      <c r="CA4" s="143" t="s">
        <v>3330</v>
      </c>
      <c r="CB4" s="156" t="s">
        <v>3303</v>
      </c>
      <c r="CC4" s="156" t="s">
        <v>3304</v>
      </c>
      <c r="CD4" s="156" t="s">
        <v>3305</v>
      </c>
      <c r="CE4" s="156" t="s">
        <v>3306</v>
      </c>
      <c r="CF4" s="169" t="s">
        <v>3307</v>
      </c>
      <c r="CG4" s="169" t="s">
        <v>3308</v>
      </c>
      <c r="CH4" s="78" t="s">
        <v>3309</v>
      </c>
    </row>
    <row r="5" spans="1:87" x14ac:dyDescent="0.25">
      <c r="A5" s="143" t="s">
        <v>757</v>
      </c>
      <c r="B5" s="143" t="s">
        <v>758</v>
      </c>
      <c r="C5" s="143" t="s">
        <v>731</v>
      </c>
      <c r="D5" s="143">
        <v>403</v>
      </c>
      <c r="E5" s="354">
        <v>0.39365080000000002</v>
      </c>
      <c r="F5" s="354">
        <v>0.59047620000000001</v>
      </c>
      <c r="G5" s="354">
        <v>0.98412699999999997</v>
      </c>
      <c r="H5" s="137" t="s">
        <v>3184</v>
      </c>
      <c r="J5" s="143" t="s">
        <v>757</v>
      </c>
      <c r="K5" s="143" t="s">
        <v>758</v>
      </c>
      <c r="L5" s="143" t="s">
        <v>731</v>
      </c>
      <c r="M5" s="143">
        <v>403</v>
      </c>
      <c r="N5" s="137">
        <v>0.2</v>
      </c>
      <c r="O5" s="137">
        <v>0.8</v>
      </c>
      <c r="P5" s="265">
        <v>1</v>
      </c>
      <c r="Q5" s="137" t="s">
        <v>3184</v>
      </c>
      <c r="R5" s="137">
        <v>0.1833333</v>
      </c>
      <c r="S5" s="137">
        <v>0.73333329999999997</v>
      </c>
      <c r="T5" s="137">
        <v>0.91666669999999995</v>
      </c>
      <c r="V5" s="143" t="s">
        <v>757</v>
      </c>
      <c r="W5" s="143" t="s">
        <v>758</v>
      </c>
      <c r="X5" s="143" t="s">
        <v>731</v>
      </c>
      <c r="Y5" s="143">
        <v>403</v>
      </c>
      <c r="Z5" s="137" t="s">
        <v>3184</v>
      </c>
      <c r="AA5" s="137" t="s">
        <v>3184</v>
      </c>
      <c r="AB5" s="137" t="s">
        <v>3184</v>
      </c>
      <c r="AC5" s="137" t="s">
        <v>3184</v>
      </c>
      <c r="AD5" s="137" t="s">
        <v>3184</v>
      </c>
      <c r="AE5" s="137" t="s">
        <v>3184</v>
      </c>
      <c r="AF5" s="137" t="s">
        <v>3184</v>
      </c>
      <c r="AG5" s="137" t="s">
        <v>3184</v>
      </c>
      <c r="AH5" s="137" t="s">
        <v>3184</v>
      </c>
      <c r="AI5" s="137" t="s">
        <v>3184</v>
      </c>
      <c r="AJ5" s="137" t="s">
        <v>3184</v>
      </c>
      <c r="AK5" s="137">
        <v>1</v>
      </c>
      <c r="AM5" s="143" t="s">
        <v>757</v>
      </c>
      <c r="AN5" s="143" t="s">
        <v>758</v>
      </c>
      <c r="AO5" s="143">
        <v>5</v>
      </c>
      <c r="AP5" s="143">
        <v>403</v>
      </c>
      <c r="AQ5" s="137">
        <v>1</v>
      </c>
      <c r="AR5" s="137">
        <v>1</v>
      </c>
      <c r="AS5" s="137">
        <v>1</v>
      </c>
      <c r="AT5" s="137">
        <v>1</v>
      </c>
      <c r="AU5" s="137">
        <v>1</v>
      </c>
      <c r="AV5" s="137">
        <v>1</v>
      </c>
      <c r="AW5" s="137">
        <v>1</v>
      </c>
      <c r="AX5" s="189">
        <v>0.94117649999999997</v>
      </c>
      <c r="AY5" s="189">
        <v>0.9956332</v>
      </c>
      <c r="AZ5" s="78" t="s">
        <v>3184</v>
      </c>
      <c r="BB5" s="143" t="s">
        <v>757</v>
      </c>
      <c r="BC5" s="143" t="s">
        <v>758</v>
      </c>
      <c r="BD5" s="143" t="s">
        <v>731</v>
      </c>
      <c r="BE5" s="143">
        <v>403</v>
      </c>
      <c r="BF5" s="137" t="s">
        <v>3184</v>
      </c>
      <c r="BG5" s="137" t="s">
        <v>3184</v>
      </c>
      <c r="BH5" s="137" t="s">
        <v>3184</v>
      </c>
      <c r="BI5" s="137" t="s">
        <v>3185</v>
      </c>
      <c r="BJ5" s="137" t="s">
        <v>3184</v>
      </c>
      <c r="BK5" s="137" t="s">
        <v>3185</v>
      </c>
      <c r="BL5" s="137" t="s">
        <v>3184</v>
      </c>
      <c r="BM5" s="137" t="s">
        <v>3184</v>
      </c>
      <c r="BN5" s="137" t="s">
        <v>3184</v>
      </c>
      <c r="BO5" s="137" t="s">
        <v>3184</v>
      </c>
      <c r="BP5" s="137"/>
      <c r="BQ5" s="137"/>
      <c r="BR5" s="137"/>
      <c r="BS5" s="137"/>
      <c r="BT5" s="189"/>
      <c r="BU5" s="189">
        <v>0.8</v>
      </c>
      <c r="BV5" s="78" t="s">
        <v>3185</v>
      </c>
      <c r="BX5" s="143" t="s">
        <v>757</v>
      </c>
      <c r="BY5" s="143" t="s">
        <v>758</v>
      </c>
      <c r="BZ5" s="143" t="s">
        <v>731</v>
      </c>
      <c r="CA5" s="143">
        <v>403</v>
      </c>
      <c r="CB5" s="156">
        <v>3</v>
      </c>
      <c r="CC5" s="137">
        <v>1</v>
      </c>
      <c r="CD5" s="137">
        <v>1</v>
      </c>
      <c r="CE5" s="137">
        <v>0.8</v>
      </c>
      <c r="CF5" s="189">
        <v>0.75</v>
      </c>
      <c r="CG5" s="189">
        <v>0.88749999999999996</v>
      </c>
      <c r="CH5" s="78" t="s">
        <v>3185</v>
      </c>
    </row>
    <row r="6" spans="1:87" x14ac:dyDescent="0.25">
      <c r="A6" s="143" t="s">
        <v>757</v>
      </c>
      <c r="B6" s="143" t="s">
        <v>758</v>
      </c>
      <c r="C6" s="143" t="s">
        <v>680</v>
      </c>
      <c r="D6" s="143">
        <v>1564</v>
      </c>
      <c r="E6" s="354">
        <v>0.39740259999999999</v>
      </c>
      <c r="F6" s="354">
        <v>0.6</v>
      </c>
      <c r="G6" s="354">
        <v>0.99740260000000003</v>
      </c>
      <c r="H6" s="137" t="s">
        <v>3185</v>
      </c>
      <c r="J6" s="143" t="s">
        <v>757</v>
      </c>
      <c r="K6" s="143" t="s">
        <v>758</v>
      </c>
      <c r="L6" s="143" t="s">
        <v>680</v>
      </c>
      <c r="M6" s="143">
        <v>1564</v>
      </c>
      <c r="N6" s="137">
        <v>0.1090909</v>
      </c>
      <c r="O6" s="137">
        <v>0.40727269999999999</v>
      </c>
      <c r="P6" s="265">
        <v>0.51636360000000003</v>
      </c>
      <c r="Q6" s="137" t="s">
        <v>3185</v>
      </c>
      <c r="R6" s="137">
        <v>0.1666667</v>
      </c>
      <c r="S6" s="137">
        <v>0.4</v>
      </c>
      <c r="T6" s="137">
        <v>0.56666669999999997</v>
      </c>
      <c r="V6" s="143" t="s">
        <v>757</v>
      </c>
      <c r="W6" s="143" t="s">
        <v>758</v>
      </c>
      <c r="X6" s="143" t="s">
        <v>680</v>
      </c>
      <c r="Y6" s="143">
        <v>1564</v>
      </c>
      <c r="Z6" s="137" t="s">
        <v>3184</v>
      </c>
      <c r="AA6" s="137" t="s">
        <v>3184</v>
      </c>
      <c r="AB6" s="137" t="s">
        <v>3184</v>
      </c>
      <c r="AC6" s="137" t="s">
        <v>3185</v>
      </c>
      <c r="AD6" s="137" t="s">
        <v>3185</v>
      </c>
      <c r="AE6" s="137" t="s">
        <v>3185</v>
      </c>
      <c r="AF6" s="137" t="s">
        <v>3184</v>
      </c>
      <c r="AG6" s="137" t="s">
        <v>3185</v>
      </c>
      <c r="AH6" s="137" t="s">
        <v>3184</v>
      </c>
      <c r="AI6" s="137" t="s">
        <v>3184</v>
      </c>
      <c r="AJ6" s="137" t="s">
        <v>3184</v>
      </c>
      <c r="AK6" s="137">
        <v>0.63636360000000003</v>
      </c>
      <c r="AM6" s="143" t="s">
        <v>757</v>
      </c>
      <c r="AN6" s="143" t="s">
        <v>758</v>
      </c>
      <c r="AO6" s="143">
        <v>1</v>
      </c>
      <c r="AP6" s="143">
        <v>1564</v>
      </c>
      <c r="AQ6" s="137"/>
      <c r="AR6" s="137"/>
      <c r="AS6" s="137"/>
      <c r="AT6" s="137"/>
      <c r="AU6" s="137"/>
      <c r="AV6" s="137"/>
      <c r="AW6" s="137"/>
      <c r="AX6" s="189">
        <v>0.85</v>
      </c>
      <c r="AY6" s="189">
        <v>0.85</v>
      </c>
      <c r="AZ6" s="78" t="s">
        <v>3185</v>
      </c>
      <c r="BB6" s="143" t="s">
        <v>757</v>
      </c>
      <c r="BC6" s="143" t="s">
        <v>758</v>
      </c>
      <c r="BD6" s="143" t="s">
        <v>680</v>
      </c>
      <c r="BE6" s="143">
        <v>1564</v>
      </c>
      <c r="BF6" s="137"/>
      <c r="BG6" s="137"/>
      <c r="BH6" s="137"/>
      <c r="BI6" s="137"/>
      <c r="BJ6" s="137"/>
      <c r="BK6" s="137"/>
      <c r="BL6" s="137"/>
      <c r="BM6" s="137"/>
      <c r="BN6" s="137"/>
      <c r="BO6" s="137"/>
      <c r="BP6" s="137"/>
      <c r="BQ6" s="137"/>
      <c r="BR6" s="137" t="s">
        <v>3184</v>
      </c>
      <c r="BS6" s="137" t="s">
        <v>3184</v>
      </c>
      <c r="BT6" s="189" t="s">
        <v>3184</v>
      </c>
      <c r="BU6" s="189">
        <v>1</v>
      </c>
      <c r="BV6" s="78" t="s">
        <v>3184</v>
      </c>
      <c r="BX6" s="143" t="s">
        <v>757</v>
      </c>
      <c r="BY6" s="143" t="s">
        <v>758</v>
      </c>
      <c r="BZ6" s="143" t="s">
        <v>680</v>
      </c>
      <c r="CA6" s="143">
        <v>1564</v>
      </c>
      <c r="CC6" s="137"/>
      <c r="CD6" s="137"/>
      <c r="CE6" s="137"/>
      <c r="CF6" s="189"/>
      <c r="CG6" s="189"/>
    </row>
    <row r="7" spans="1:87" x14ac:dyDescent="0.25">
      <c r="A7" s="143" t="s">
        <v>757</v>
      </c>
      <c r="B7" s="143" t="s">
        <v>758</v>
      </c>
      <c r="C7" s="143" t="s">
        <v>680</v>
      </c>
      <c r="D7" s="143">
        <v>2323</v>
      </c>
      <c r="E7" s="354">
        <v>0.4</v>
      </c>
      <c r="F7" s="354">
        <v>0.6</v>
      </c>
      <c r="G7" s="354">
        <v>1</v>
      </c>
      <c r="H7" s="137" t="s">
        <v>3184</v>
      </c>
      <c r="J7" s="143" t="s">
        <v>757</v>
      </c>
      <c r="K7" s="143" t="s">
        <v>758</v>
      </c>
      <c r="L7" s="143" t="s">
        <v>680</v>
      </c>
      <c r="M7" s="143">
        <v>2323</v>
      </c>
      <c r="N7" s="137">
        <v>0.12727269999999999</v>
      </c>
      <c r="O7" s="137">
        <v>0.42828280000000002</v>
      </c>
      <c r="P7" s="265">
        <v>0.55555560000000004</v>
      </c>
      <c r="Q7" s="137" t="s">
        <v>3185</v>
      </c>
      <c r="R7" s="137">
        <v>0.1666667</v>
      </c>
      <c r="S7" s="137">
        <v>0.73333329999999997</v>
      </c>
      <c r="T7" s="137">
        <v>0.9</v>
      </c>
      <c r="V7" s="143" t="s">
        <v>757</v>
      </c>
      <c r="W7" s="143" t="s">
        <v>758</v>
      </c>
      <c r="X7" s="143" t="s">
        <v>680</v>
      </c>
      <c r="Y7" s="143">
        <v>2323</v>
      </c>
      <c r="Z7" s="137" t="s">
        <v>3185</v>
      </c>
      <c r="AA7" s="137" t="s">
        <v>3184</v>
      </c>
      <c r="AB7" s="137" t="s">
        <v>3184</v>
      </c>
      <c r="AC7" s="137" t="s">
        <v>3184</v>
      </c>
      <c r="AD7" s="137" t="s">
        <v>3185</v>
      </c>
      <c r="AE7" s="137" t="s">
        <v>3185</v>
      </c>
      <c r="AF7" s="137" t="s">
        <v>3184</v>
      </c>
      <c r="AG7" s="137" t="s">
        <v>3184</v>
      </c>
      <c r="AH7" s="137" t="s">
        <v>3184</v>
      </c>
      <c r="AI7" s="137" t="s">
        <v>3184</v>
      </c>
      <c r="AJ7" s="137" t="s">
        <v>3185</v>
      </c>
      <c r="AK7" s="137">
        <v>0.63636360000000003</v>
      </c>
      <c r="AM7" s="143" t="s">
        <v>757</v>
      </c>
      <c r="AN7" s="143" t="s">
        <v>758</v>
      </c>
      <c r="AO7" s="143">
        <v>1</v>
      </c>
      <c r="AP7" s="143">
        <v>2323</v>
      </c>
      <c r="AQ7" s="137"/>
      <c r="AR7" s="137"/>
      <c r="AS7" s="137"/>
      <c r="AT7" s="137"/>
      <c r="AU7" s="137"/>
      <c r="AV7" s="137"/>
      <c r="AW7" s="137"/>
      <c r="AX7" s="189">
        <v>0.95</v>
      </c>
      <c r="AY7" s="189">
        <v>0.95</v>
      </c>
      <c r="AZ7" s="78" t="s">
        <v>3185</v>
      </c>
      <c r="BB7" s="143" t="s">
        <v>757</v>
      </c>
      <c r="BC7" s="143" t="s">
        <v>758</v>
      </c>
      <c r="BD7" s="143" t="s">
        <v>680</v>
      </c>
      <c r="BE7" s="143">
        <v>2323</v>
      </c>
      <c r="BF7" s="137"/>
      <c r="BG7" s="137"/>
      <c r="BH7" s="137"/>
      <c r="BI7" s="137"/>
      <c r="BJ7" s="137"/>
      <c r="BK7" s="137"/>
      <c r="BL7" s="137"/>
      <c r="BM7" s="137"/>
      <c r="BN7" s="137"/>
      <c r="BO7" s="137"/>
      <c r="BP7" s="137"/>
      <c r="BQ7" s="137"/>
      <c r="BR7" s="137" t="s">
        <v>3184</v>
      </c>
      <c r="BS7" s="137" t="s">
        <v>3184</v>
      </c>
      <c r="BT7" s="189" t="s">
        <v>3184</v>
      </c>
      <c r="BU7" s="189">
        <v>1</v>
      </c>
      <c r="BV7" s="78" t="s">
        <v>3184</v>
      </c>
      <c r="BX7" s="143" t="s">
        <v>757</v>
      </c>
      <c r="BY7" s="143" t="s">
        <v>758</v>
      </c>
      <c r="BZ7" s="143" t="s">
        <v>680</v>
      </c>
      <c r="CA7" s="143">
        <v>2323</v>
      </c>
      <c r="CC7" s="137"/>
      <c r="CD7" s="137"/>
      <c r="CE7" s="137"/>
      <c r="CF7" s="189"/>
      <c r="CG7" s="189"/>
    </row>
    <row r="8" spans="1:87" x14ac:dyDescent="0.25">
      <c r="A8" s="143" t="s">
        <v>757</v>
      </c>
      <c r="B8" s="143" t="s">
        <v>758</v>
      </c>
      <c r="C8" s="143" t="s">
        <v>680</v>
      </c>
      <c r="D8" s="143">
        <v>2327</v>
      </c>
      <c r="E8" s="354">
        <v>0.4</v>
      </c>
      <c r="F8" s="354">
        <v>0.6</v>
      </c>
      <c r="G8" s="354">
        <v>1</v>
      </c>
      <c r="H8" s="137" t="s">
        <v>3184</v>
      </c>
      <c r="J8" s="143" t="s">
        <v>757</v>
      </c>
      <c r="K8" s="143" t="s">
        <v>758</v>
      </c>
      <c r="L8" s="143" t="s">
        <v>680</v>
      </c>
      <c r="M8" s="143">
        <v>2327</v>
      </c>
      <c r="N8" s="137">
        <v>0.18181820000000001</v>
      </c>
      <c r="O8" s="137">
        <v>0.6545455</v>
      </c>
      <c r="P8" s="265">
        <v>0.83636359999999998</v>
      </c>
      <c r="Q8" s="137" t="s">
        <v>3185</v>
      </c>
      <c r="R8" s="137">
        <v>0.15</v>
      </c>
      <c r="S8" s="137">
        <v>0.6</v>
      </c>
      <c r="T8" s="137">
        <v>0.75</v>
      </c>
      <c r="V8" s="143" t="s">
        <v>757</v>
      </c>
      <c r="W8" s="143" t="s">
        <v>758</v>
      </c>
      <c r="X8" s="143" t="s">
        <v>680</v>
      </c>
      <c r="Y8" s="143">
        <v>2327</v>
      </c>
      <c r="Z8" s="137" t="s">
        <v>3185</v>
      </c>
      <c r="AA8" s="137" t="s">
        <v>3184</v>
      </c>
      <c r="AB8" s="137" t="s">
        <v>3184</v>
      </c>
      <c r="AC8" s="137" t="s">
        <v>3184</v>
      </c>
      <c r="AD8" s="137" t="s">
        <v>3185</v>
      </c>
      <c r="AE8" s="137" t="s">
        <v>3185</v>
      </c>
      <c r="AF8" s="137" t="s">
        <v>3184</v>
      </c>
      <c r="AG8" s="137" t="s">
        <v>3184</v>
      </c>
      <c r="AH8" s="137" t="s">
        <v>3184</v>
      </c>
      <c r="AI8" s="137" t="s">
        <v>3184</v>
      </c>
      <c r="AJ8" s="137" t="s">
        <v>3184</v>
      </c>
      <c r="AK8" s="137">
        <v>0.72727269999999999</v>
      </c>
      <c r="AM8" s="143" t="s">
        <v>757</v>
      </c>
      <c r="AN8" s="143" t="s">
        <v>758</v>
      </c>
      <c r="AO8" s="143">
        <v>1</v>
      </c>
      <c r="AP8" s="143">
        <v>2327</v>
      </c>
      <c r="AQ8" s="137"/>
      <c r="AR8" s="137"/>
      <c r="AS8" s="137"/>
      <c r="AT8" s="137"/>
      <c r="AU8" s="137"/>
      <c r="AV8" s="137"/>
      <c r="AW8" s="137"/>
      <c r="AX8" s="189">
        <v>0.88749999999999996</v>
      </c>
      <c r="AY8" s="189">
        <v>0.88749999999999996</v>
      </c>
      <c r="AZ8" s="78" t="s">
        <v>3185</v>
      </c>
      <c r="BB8" s="143" t="s">
        <v>757</v>
      </c>
      <c r="BC8" s="143" t="s">
        <v>758</v>
      </c>
      <c r="BD8" s="143" t="s">
        <v>680</v>
      </c>
      <c r="BE8" s="143">
        <v>2327</v>
      </c>
      <c r="BF8" s="137"/>
      <c r="BG8" s="137"/>
      <c r="BH8" s="137"/>
      <c r="BI8" s="137"/>
      <c r="BJ8" s="137"/>
      <c r="BK8" s="137"/>
      <c r="BL8" s="137"/>
      <c r="BM8" s="137"/>
      <c r="BN8" s="137"/>
      <c r="BO8" s="137"/>
      <c r="BP8" s="137"/>
      <c r="BQ8" s="137"/>
      <c r="BR8" s="137" t="s">
        <v>3184</v>
      </c>
      <c r="BS8" s="137" t="s">
        <v>3184</v>
      </c>
      <c r="BT8" s="189" t="s">
        <v>3184</v>
      </c>
      <c r="BU8" s="189">
        <v>1</v>
      </c>
      <c r="BV8" s="78" t="s">
        <v>3184</v>
      </c>
      <c r="BX8" s="143" t="s">
        <v>757</v>
      </c>
      <c r="BY8" s="143" t="s">
        <v>758</v>
      </c>
      <c r="BZ8" s="143" t="s">
        <v>680</v>
      </c>
      <c r="CA8" s="143">
        <v>2327</v>
      </c>
      <c r="CC8" s="137"/>
      <c r="CD8" s="137"/>
      <c r="CE8" s="137"/>
      <c r="CF8" s="189"/>
      <c r="CG8" s="189"/>
    </row>
    <row r="9" spans="1:87" x14ac:dyDescent="0.25">
      <c r="A9" s="143" t="s">
        <v>757</v>
      </c>
      <c r="B9" s="143" t="s">
        <v>758</v>
      </c>
      <c r="C9" s="143" t="s">
        <v>680</v>
      </c>
      <c r="D9" s="143">
        <v>2568</v>
      </c>
      <c r="E9" s="354">
        <v>0.39740259999999999</v>
      </c>
      <c r="F9" s="354">
        <v>0.6</v>
      </c>
      <c r="G9" s="354">
        <v>0.99740260000000003</v>
      </c>
      <c r="H9" s="137" t="s">
        <v>3185</v>
      </c>
      <c r="J9" s="143" t="s">
        <v>757</v>
      </c>
      <c r="K9" s="143" t="s">
        <v>758</v>
      </c>
      <c r="L9" s="143" t="s">
        <v>680</v>
      </c>
      <c r="M9" s="143">
        <v>2568</v>
      </c>
      <c r="N9" s="137">
        <v>0.16363639999999999</v>
      </c>
      <c r="O9" s="137">
        <v>0.63595959999999996</v>
      </c>
      <c r="P9" s="265">
        <v>0.79959599999999997</v>
      </c>
      <c r="Q9" s="137" t="s">
        <v>3185</v>
      </c>
      <c r="R9" s="137">
        <v>0.1833333</v>
      </c>
      <c r="S9" s="137">
        <v>0.66666669999999995</v>
      </c>
      <c r="T9" s="137">
        <v>0.85</v>
      </c>
      <c r="V9" s="143" t="s">
        <v>757</v>
      </c>
      <c r="W9" s="143" t="s">
        <v>758</v>
      </c>
      <c r="X9" s="143" t="s">
        <v>680</v>
      </c>
      <c r="Y9" s="143">
        <v>2568</v>
      </c>
      <c r="Z9" s="137" t="s">
        <v>3184</v>
      </c>
      <c r="AA9" s="137" t="s">
        <v>3184</v>
      </c>
      <c r="AB9" s="137" t="s">
        <v>3184</v>
      </c>
      <c r="AC9" s="137" t="s">
        <v>3184</v>
      </c>
      <c r="AD9" s="137" t="s">
        <v>3185</v>
      </c>
      <c r="AE9" s="137" t="s">
        <v>3185</v>
      </c>
      <c r="AF9" s="137" t="s">
        <v>3184</v>
      </c>
      <c r="AG9" s="137" t="s">
        <v>3184</v>
      </c>
      <c r="AH9" s="137" t="s">
        <v>3184</v>
      </c>
      <c r="AI9" s="137" t="s">
        <v>3184</v>
      </c>
      <c r="AJ9" s="137" t="s">
        <v>3184</v>
      </c>
      <c r="AK9" s="137">
        <v>0.81818179999999996</v>
      </c>
      <c r="AM9" s="143" t="s">
        <v>757</v>
      </c>
      <c r="AN9" s="143" t="s">
        <v>758</v>
      </c>
      <c r="AO9" s="143">
        <v>1</v>
      </c>
      <c r="AP9" s="143">
        <v>2568</v>
      </c>
      <c r="AQ9" s="137"/>
      <c r="AR9" s="137"/>
      <c r="AS9" s="137"/>
      <c r="AT9" s="137"/>
      <c r="AU9" s="137"/>
      <c r="AV9" s="137"/>
      <c r="AW9" s="137"/>
      <c r="AX9" s="189">
        <v>0.92500000000000004</v>
      </c>
      <c r="AY9" s="189">
        <v>0.92500000000000004</v>
      </c>
      <c r="AZ9" s="78" t="s">
        <v>3185</v>
      </c>
      <c r="BB9" s="143" t="s">
        <v>757</v>
      </c>
      <c r="BC9" s="143" t="s">
        <v>758</v>
      </c>
      <c r="BD9" s="143" t="s">
        <v>680</v>
      </c>
      <c r="BE9" s="143">
        <v>2568</v>
      </c>
      <c r="BF9" s="137"/>
      <c r="BG9" s="137"/>
      <c r="BH9" s="137"/>
      <c r="BI9" s="137"/>
      <c r="BJ9" s="137"/>
      <c r="BK9" s="137"/>
      <c r="BL9" s="137"/>
      <c r="BM9" s="137"/>
      <c r="BN9" s="137"/>
      <c r="BO9" s="137"/>
      <c r="BP9" s="137"/>
      <c r="BQ9" s="137"/>
      <c r="BR9" s="137" t="s">
        <v>3184</v>
      </c>
      <c r="BS9" s="137" t="s">
        <v>3184</v>
      </c>
      <c r="BT9" s="189" t="s">
        <v>3184</v>
      </c>
      <c r="BU9" s="189">
        <v>1</v>
      </c>
      <c r="BV9" s="78" t="s">
        <v>3184</v>
      </c>
      <c r="BX9" s="143" t="s">
        <v>757</v>
      </c>
      <c r="BY9" s="143" t="s">
        <v>758</v>
      </c>
      <c r="BZ9" s="143" t="s">
        <v>680</v>
      </c>
      <c r="CA9" s="143">
        <v>2568</v>
      </c>
      <c r="CC9" s="137"/>
      <c r="CD9" s="137"/>
      <c r="CE9" s="137"/>
      <c r="CF9" s="189"/>
      <c r="CG9" s="189"/>
    </row>
    <row r="10" spans="1:87" x14ac:dyDescent="0.25">
      <c r="A10" s="143" t="s">
        <v>757</v>
      </c>
      <c r="B10" s="143" t="s">
        <v>758</v>
      </c>
      <c r="C10" s="143" t="s">
        <v>680</v>
      </c>
      <c r="D10" s="143">
        <v>2875</v>
      </c>
      <c r="E10" s="354">
        <v>0.4</v>
      </c>
      <c r="F10" s="354">
        <v>0.6</v>
      </c>
      <c r="G10" s="354">
        <v>1</v>
      </c>
      <c r="H10" s="137" t="s">
        <v>3184</v>
      </c>
      <c r="J10" s="143" t="s">
        <v>757</v>
      </c>
      <c r="K10" s="143" t="s">
        <v>758</v>
      </c>
      <c r="L10" s="143" t="s">
        <v>680</v>
      </c>
      <c r="M10" s="143">
        <v>2875</v>
      </c>
      <c r="N10" s="137">
        <v>0.1090909</v>
      </c>
      <c r="O10" s="137">
        <v>0.6424242</v>
      </c>
      <c r="P10" s="265">
        <v>0.75151520000000005</v>
      </c>
      <c r="Q10" s="137" t="s">
        <v>3185</v>
      </c>
      <c r="R10" s="137">
        <v>0.1666667</v>
      </c>
      <c r="S10" s="137">
        <v>0.66666669999999995</v>
      </c>
      <c r="T10" s="137">
        <v>0.83333330000000005</v>
      </c>
      <c r="V10" s="143" t="s">
        <v>757</v>
      </c>
      <c r="W10" s="143" t="s">
        <v>758</v>
      </c>
      <c r="X10" s="143" t="s">
        <v>680</v>
      </c>
      <c r="Y10" s="143">
        <v>2875</v>
      </c>
      <c r="Z10" s="137" t="s">
        <v>3184</v>
      </c>
      <c r="AA10" s="137" t="s">
        <v>3185</v>
      </c>
      <c r="AB10" s="137" t="s">
        <v>3184</v>
      </c>
      <c r="AC10" s="137" t="s">
        <v>3184</v>
      </c>
      <c r="AD10" s="137" t="s">
        <v>3185</v>
      </c>
      <c r="AE10" s="137" t="s">
        <v>3185</v>
      </c>
      <c r="AF10" s="137" t="s">
        <v>3184</v>
      </c>
      <c r="AG10" s="137" t="s">
        <v>3185</v>
      </c>
      <c r="AH10" s="137" t="s">
        <v>3184</v>
      </c>
      <c r="AI10" s="137" t="s">
        <v>3184</v>
      </c>
      <c r="AJ10" s="137" t="s">
        <v>3184</v>
      </c>
      <c r="AK10" s="137">
        <v>0.63636360000000003</v>
      </c>
      <c r="AM10" s="143" t="s">
        <v>757</v>
      </c>
      <c r="AN10" s="143" t="s">
        <v>758</v>
      </c>
      <c r="AO10" s="143">
        <v>1</v>
      </c>
      <c r="AP10" s="143">
        <v>2875</v>
      </c>
      <c r="AQ10" s="137"/>
      <c r="AR10" s="137"/>
      <c r="AS10" s="137"/>
      <c r="AT10" s="137"/>
      <c r="AU10" s="137"/>
      <c r="AV10" s="137"/>
      <c r="AW10" s="137"/>
      <c r="AX10" s="189">
        <v>0.9</v>
      </c>
      <c r="AY10" s="189">
        <v>0.9</v>
      </c>
      <c r="AZ10" s="78" t="s">
        <v>3185</v>
      </c>
      <c r="BB10" s="143" t="s">
        <v>757</v>
      </c>
      <c r="BC10" s="143" t="s">
        <v>758</v>
      </c>
      <c r="BD10" s="143" t="s">
        <v>680</v>
      </c>
      <c r="BE10" s="143">
        <v>2875</v>
      </c>
      <c r="BF10" s="137"/>
      <c r="BG10" s="137"/>
      <c r="BH10" s="137"/>
      <c r="BI10" s="137"/>
      <c r="BJ10" s="137"/>
      <c r="BK10" s="137"/>
      <c r="BL10" s="137"/>
      <c r="BM10" s="137"/>
      <c r="BN10" s="137"/>
      <c r="BO10" s="137"/>
      <c r="BP10" s="137"/>
      <c r="BQ10" s="137"/>
      <c r="BR10" s="137" t="s">
        <v>3184</v>
      </c>
      <c r="BS10" s="137" t="s">
        <v>3184</v>
      </c>
      <c r="BT10" s="189" t="s">
        <v>3184</v>
      </c>
      <c r="BU10" s="189">
        <v>1</v>
      </c>
      <c r="BV10" s="78" t="s">
        <v>3184</v>
      </c>
      <c r="BX10" s="143" t="s">
        <v>757</v>
      </c>
      <c r="BY10" s="143" t="s">
        <v>758</v>
      </c>
      <c r="BZ10" s="143" t="s">
        <v>680</v>
      </c>
      <c r="CA10" s="143">
        <v>2875</v>
      </c>
      <c r="CC10" s="137"/>
      <c r="CD10" s="137"/>
      <c r="CE10" s="137"/>
      <c r="CF10" s="189"/>
      <c r="CG10" s="189"/>
    </row>
    <row r="11" spans="1:87" x14ac:dyDescent="0.25">
      <c r="A11" s="143" t="s">
        <v>757</v>
      </c>
      <c r="B11" s="143" t="s">
        <v>758</v>
      </c>
      <c r="C11" s="143" t="s">
        <v>680</v>
      </c>
      <c r="D11" s="143">
        <v>2876</v>
      </c>
      <c r="E11" s="354">
        <v>0.4</v>
      </c>
      <c r="F11" s="354">
        <v>0.6</v>
      </c>
      <c r="G11" s="354">
        <v>1</v>
      </c>
      <c r="H11" s="137" t="s">
        <v>3184</v>
      </c>
      <c r="J11" s="143" t="s">
        <v>757</v>
      </c>
      <c r="K11" s="143" t="s">
        <v>758</v>
      </c>
      <c r="L11" s="143" t="s">
        <v>680</v>
      </c>
      <c r="M11" s="143">
        <v>2876</v>
      </c>
      <c r="N11" s="137">
        <v>0.16363639999999999</v>
      </c>
      <c r="O11" s="137">
        <v>0.65212119999999996</v>
      </c>
      <c r="P11" s="265">
        <v>0.81575759999999997</v>
      </c>
      <c r="Q11" s="137" t="s">
        <v>3185</v>
      </c>
      <c r="R11" s="137">
        <v>0.1833333</v>
      </c>
      <c r="S11" s="137">
        <v>0.8</v>
      </c>
      <c r="T11" s="137">
        <v>0.98333329999999997</v>
      </c>
      <c r="V11" s="143" t="s">
        <v>757</v>
      </c>
      <c r="W11" s="143" t="s">
        <v>758</v>
      </c>
      <c r="X11" s="143" t="s">
        <v>680</v>
      </c>
      <c r="Y11" s="143">
        <v>2876</v>
      </c>
      <c r="Z11" s="137" t="s">
        <v>3184</v>
      </c>
      <c r="AA11" s="137" t="s">
        <v>3184</v>
      </c>
      <c r="AB11" s="137" t="s">
        <v>3184</v>
      </c>
      <c r="AC11" s="137" t="s">
        <v>3184</v>
      </c>
      <c r="AD11" s="137" t="s">
        <v>3185</v>
      </c>
      <c r="AE11" s="137" t="s">
        <v>3185</v>
      </c>
      <c r="AF11" s="137" t="s">
        <v>3184</v>
      </c>
      <c r="AG11" s="137" t="s">
        <v>3184</v>
      </c>
      <c r="AH11" s="137" t="s">
        <v>3184</v>
      </c>
      <c r="AI11" s="137" t="s">
        <v>3184</v>
      </c>
      <c r="AJ11" s="137" t="s">
        <v>3185</v>
      </c>
      <c r="AK11" s="137">
        <v>0.72727269999999999</v>
      </c>
      <c r="AM11" s="143" t="s">
        <v>757</v>
      </c>
      <c r="AN11" s="143" t="s">
        <v>758</v>
      </c>
      <c r="AO11" s="143">
        <v>1</v>
      </c>
      <c r="AP11" s="143">
        <v>2876</v>
      </c>
      <c r="AQ11" s="137"/>
      <c r="AR11" s="137"/>
      <c r="AS11" s="137"/>
      <c r="AT11" s="137"/>
      <c r="AU11" s="137"/>
      <c r="AV11" s="137"/>
      <c r="AW11" s="137"/>
      <c r="AX11" s="189">
        <v>0.875</v>
      </c>
      <c r="AY11" s="189">
        <v>0.875</v>
      </c>
      <c r="AZ11" s="78" t="s">
        <v>3185</v>
      </c>
      <c r="BB11" s="143" t="s">
        <v>757</v>
      </c>
      <c r="BC11" s="143" t="s">
        <v>758</v>
      </c>
      <c r="BD11" s="143" t="s">
        <v>680</v>
      </c>
      <c r="BE11" s="143">
        <v>2876</v>
      </c>
      <c r="BF11" s="137"/>
      <c r="BG11" s="137"/>
      <c r="BH11" s="137"/>
      <c r="BI11" s="137"/>
      <c r="BJ11" s="137"/>
      <c r="BK11" s="137"/>
      <c r="BL11" s="137"/>
      <c r="BM11" s="137"/>
      <c r="BN11" s="137"/>
      <c r="BO11" s="137"/>
      <c r="BP11" s="137"/>
      <c r="BQ11" s="137"/>
      <c r="BR11" s="137" t="s">
        <v>3184</v>
      </c>
      <c r="BS11" s="137" t="s">
        <v>3184</v>
      </c>
      <c r="BT11" s="189" t="s">
        <v>3184</v>
      </c>
      <c r="BU11" s="189">
        <v>1</v>
      </c>
      <c r="BV11" s="78" t="s">
        <v>3184</v>
      </c>
      <c r="BX11" s="143" t="s">
        <v>757</v>
      </c>
      <c r="BY11" s="143" t="s">
        <v>758</v>
      </c>
      <c r="BZ11" s="143" t="s">
        <v>680</v>
      </c>
      <c r="CA11" s="143">
        <v>2876</v>
      </c>
      <c r="CC11" s="137"/>
      <c r="CD11" s="137"/>
      <c r="CE11" s="137"/>
      <c r="CF11" s="189"/>
      <c r="CG11" s="189"/>
    </row>
    <row r="12" spans="1:87" x14ac:dyDescent="0.25">
      <c r="A12" s="143" t="s">
        <v>757</v>
      </c>
      <c r="B12" s="143" t="s">
        <v>758</v>
      </c>
      <c r="C12" s="143" t="s">
        <v>680</v>
      </c>
      <c r="D12" s="143">
        <v>4274</v>
      </c>
      <c r="E12" s="354">
        <v>0.4</v>
      </c>
      <c r="F12" s="354">
        <v>0.6</v>
      </c>
      <c r="G12" s="354">
        <v>1</v>
      </c>
      <c r="H12" s="137" t="s">
        <v>3184</v>
      </c>
      <c r="J12" s="143" t="s">
        <v>757</v>
      </c>
      <c r="K12" s="143" t="s">
        <v>758</v>
      </c>
      <c r="L12" s="143" t="s">
        <v>680</v>
      </c>
      <c r="M12" s="143">
        <v>4274</v>
      </c>
      <c r="N12" s="137">
        <v>0.18181820000000001</v>
      </c>
      <c r="O12" s="137">
        <v>0.75151520000000005</v>
      </c>
      <c r="P12" s="265">
        <v>0.93333330000000003</v>
      </c>
      <c r="Q12" s="137" t="s">
        <v>3184</v>
      </c>
      <c r="R12" s="137">
        <v>0.1666667</v>
      </c>
      <c r="S12" s="137">
        <v>0.73333329999999997</v>
      </c>
      <c r="T12" s="137">
        <v>0.9</v>
      </c>
      <c r="V12" s="143" t="s">
        <v>757</v>
      </c>
      <c r="W12" s="143" t="s">
        <v>758</v>
      </c>
      <c r="X12" s="143" t="s">
        <v>680</v>
      </c>
      <c r="Y12" s="143">
        <v>4274</v>
      </c>
      <c r="Z12" s="137" t="s">
        <v>3185</v>
      </c>
      <c r="AA12" s="137" t="s">
        <v>3184</v>
      </c>
      <c r="AB12" s="137" t="s">
        <v>3184</v>
      </c>
      <c r="AC12" s="137" t="s">
        <v>3184</v>
      </c>
      <c r="AD12" s="137" t="s">
        <v>3185</v>
      </c>
      <c r="AE12" s="137" t="s">
        <v>3185</v>
      </c>
      <c r="AF12" s="137" t="s">
        <v>3184</v>
      </c>
      <c r="AG12" s="137" t="s">
        <v>3184</v>
      </c>
      <c r="AH12" s="137" t="s">
        <v>3184</v>
      </c>
      <c r="AI12" s="137" t="s">
        <v>3184</v>
      </c>
      <c r="AJ12" s="137" t="s">
        <v>3184</v>
      </c>
      <c r="AK12" s="137">
        <v>0.72727269999999999</v>
      </c>
      <c r="AM12" s="143" t="s">
        <v>757</v>
      </c>
      <c r="AN12" s="143" t="s">
        <v>758</v>
      </c>
      <c r="AO12" s="143">
        <v>1</v>
      </c>
      <c r="AP12" s="143">
        <v>4274</v>
      </c>
      <c r="AQ12" s="137"/>
      <c r="AR12" s="137"/>
      <c r="AS12" s="137"/>
      <c r="AT12" s="137"/>
      <c r="AU12" s="137"/>
      <c r="AV12" s="137"/>
      <c r="AW12" s="137"/>
      <c r="AX12" s="189">
        <v>0.88749999999999996</v>
      </c>
      <c r="AY12" s="189">
        <v>0.88749999999999996</v>
      </c>
      <c r="AZ12" s="78" t="s">
        <v>3185</v>
      </c>
      <c r="BB12" s="143" t="s">
        <v>757</v>
      </c>
      <c r="BC12" s="143" t="s">
        <v>758</v>
      </c>
      <c r="BD12" s="143" t="s">
        <v>680</v>
      </c>
      <c r="BE12" s="143">
        <v>4274</v>
      </c>
      <c r="BF12" s="137"/>
      <c r="BG12" s="137"/>
      <c r="BH12" s="137"/>
      <c r="BI12" s="137"/>
      <c r="BJ12" s="137"/>
      <c r="BK12" s="137"/>
      <c r="BL12" s="137"/>
      <c r="BM12" s="137"/>
      <c r="BN12" s="137"/>
      <c r="BO12" s="137"/>
      <c r="BP12" s="137"/>
      <c r="BQ12" s="137"/>
      <c r="BR12" s="137" t="s">
        <v>3184</v>
      </c>
      <c r="BS12" s="137" t="s">
        <v>3184</v>
      </c>
      <c r="BT12" s="189" t="s">
        <v>3184</v>
      </c>
      <c r="BU12" s="189">
        <v>1</v>
      </c>
      <c r="BV12" s="78" t="s">
        <v>3184</v>
      </c>
      <c r="BX12" s="143" t="s">
        <v>757</v>
      </c>
      <c r="BY12" s="143" t="s">
        <v>758</v>
      </c>
      <c r="BZ12" s="143" t="s">
        <v>680</v>
      </c>
      <c r="CA12" s="143">
        <v>4274</v>
      </c>
      <c r="CC12" s="137"/>
      <c r="CD12" s="137"/>
      <c r="CE12" s="137"/>
      <c r="CF12" s="189"/>
      <c r="CG12" s="189"/>
    </row>
    <row r="13" spans="1:87" x14ac:dyDescent="0.25">
      <c r="A13" s="143" t="s">
        <v>757</v>
      </c>
      <c r="B13" s="143" t="s">
        <v>758</v>
      </c>
      <c r="C13" s="143" t="s">
        <v>680</v>
      </c>
      <c r="D13" s="143">
        <v>4287</v>
      </c>
      <c r="E13" s="354">
        <v>0.4</v>
      </c>
      <c r="F13" s="354">
        <v>0.6</v>
      </c>
      <c r="G13" s="354">
        <v>1</v>
      </c>
      <c r="H13" s="137" t="s">
        <v>3184</v>
      </c>
      <c r="J13" s="143" t="s">
        <v>757</v>
      </c>
      <c r="K13" s="143" t="s">
        <v>758</v>
      </c>
      <c r="L13" s="143" t="s">
        <v>680</v>
      </c>
      <c r="M13" s="143">
        <v>4287</v>
      </c>
      <c r="N13" s="137">
        <v>0.12727269999999999</v>
      </c>
      <c r="O13" s="137">
        <v>0.6787879</v>
      </c>
      <c r="P13" s="265">
        <v>0.80606060000000002</v>
      </c>
      <c r="Q13" s="137" t="s">
        <v>3185</v>
      </c>
      <c r="R13" s="137">
        <v>0.1833333</v>
      </c>
      <c r="S13" s="137">
        <v>0.8</v>
      </c>
      <c r="T13" s="137">
        <v>0.98333329999999997</v>
      </c>
      <c r="V13" s="143" t="s">
        <v>757</v>
      </c>
      <c r="W13" s="143" t="s">
        <v>758</v>
      </c>
      <c r="X13" s="143" t="s">
        <v>680</v>
      </c>
      <c r="Y13" s="143">
        <v>4287</v>
      </c>
      <c r="Z13" s="137" t="s">
        <v>3184</v>
      </c>
      <c r="AA13" s="137" t="s">
        <v>3184</v>
      </c>
      <c r="AB13" s="137" t="s">
        <v>3184</v>
      </c>
      <c r="AC13" s="137" t="s">
        <v>3184</v>
      </c>
      <c r="AD13" s="137" t="s">
        <v>3185</v>
      </c>
      <c r="AE13" s="137" t="s">
        <v>3185</v>
      </c>
      <c r="AF13" s="137" t="s">
        <v>3184</v>
      </c>
      <c r="AG13" s="137" t="s">
        <v>3184</v>
      </c>
      <c r="AH13" s="137" t="s">
        <v>3184</v>
      </c>
      <c r="AI13" s="137" t="s">
        <v>3184</v>
      </c>
      <c r="AJ13" s="137" t="s">
        <v>3184</v>
      </c>
      <c r="AK13" s="137">
        <v>0.81818179999999996</v>
      </c>
      <c r="AM13" s="143" t="s">
        <v>757</v>
      </c>
      <c r="AN13" s="143" t="s">
        <v>758</v>
      </c>
      <c r="AO13" s="143">
        <v>1</v>
      </c>
      <c r="AP13" s="143">
        <v>4287</v>
      </c>
      <c r="AQ13" s="137"/>
      <c r="AR13" s="137"/>
      <c r="AS13" s="137"/>
      <c r="AT13" s="137"/>
      <c r="AU13" s="137"/>
      <c r="AV13" s="137"/>
      <c r="AW13" s="137"/>
      <c r="AX13" s="189">
        <v>0.92500000000000004</v>
      </c>
      <c r="AY13" s="189">
        <v>0.92500000000000004</v>
      </c>
      <c r="AZ13" s="78" t="s">
        <v>3185</v>
      </c>
      <c r="BB13" s="143" t="s">
        <v>757</v>
      </c>
      <c r="BC13" s="143" t="s">
        <v>758</v>
      </c>
      <c r="BD13" s="143" t="s">
        <v>680</v>
      </c>
      <c r="BE13" s="143">
        <v>4287</v>
      </c>
      <c r="BF13" s="137"/>
      <c r="BG13" s="137"/>
      <c r="BH13" s="137"/>
      <c r="BI13" s="137"/>
      <c r="BJ13" s="137"/>
      <c r="BK13" s="137"/>
      <c r="BL13" s="137"/>
      <c r="BM13" s="137"/>
      <c r="BN13" s="137"/>
      <c r="BO13" s="137"/>
      <c r="BP13" s="137"/>
      <c r="BQ13" s="137"/>
      <c r="BR13" s="137" t="s">
        <v>3184</v>
      </c>
      <c r="BS13" s="137" t="s">
        <v>3184</v>
      </c>
      <c r="BT13" s="189" t="s">
        <v>3184</v>
      </c>
      <c r="BU13" s="189">
        <v>1</v>
      </c>
      <c r="BV13" s="78" t="s">
        <v>3184</v>
      </c>
      <c r="BX13" s="143" t="s">
        <v>757</v>
      </c>
      <c r="BY13" s="143" t="s">
        <v>758</v>
      </c>
      <c r="BZ13" s="143" t="s">
        <v>680</v>
      </c>
      <c r="CA13" s="143">
        <v>4287</v>
      </c>
      <c r="CC13" s="137"/>
      <c r="CD13" s="137"/>
      <c r="CE13" s="137"/>
      <c r="CF13" s="189"/>
      <c r="CG13" s="189"/>
    </row>
    <row r="14" spans="1:87" x14ac:dyDescent="0.25">
      <c r="A14" s="143" t="s">
        <v>757</v>
      </c>
      <c r="B14" s="143" t="s">
        <v>758</v>
      </c>
      <c r="C14" s="143" t="s">
        <v>680</v>
      </c>
      <c r="D14" s="143">
        <v>4291</v>
      </c>
      <c r="E14" s="354">
        <v>0.4</v>
      </c>
      <c r="F14" s="354">
        <v>0.3</v>
      </c>
      <c r="G14" s="354">
        <v>0.7</v>
      </c>
      <c r="H14" s="137" t="s">
        <v>3185</v>
      </c>
      <c r="J14" s="143" t="s">
        <v>757</v>
      </c>
      <c r="K14" s="143" t="s">
        <v>758</v>
      </c>
      <c r="L14" s="143" t="s">
        <v>680</v>
      </c>
      <c r="M14" s="143">
        <v>4291</v>
      </c>
      <c r="N14" s="137">
        <v>0.16363639999999999</v>
      </c>
      <c r="O14" s="137">
        <v>0.6545455</v>
      </c>
      <c r="P14" s="265">
        <v>0.81818179999999996</v>
      </c>
      <c r="Q14" s="137" t="s">
        <v>3185</v>
      </c>
      <c r="R14" s="137">
        <v>0.1833333</v>
      </c>
      <c r="S14" s="137">
        <v>0.66666669999999995</v>
      </c>
      <c r="T14" s="137">
        <v>0.85</v>
      </c>
      <c r="V14" s="143" t="s">
        <v>757</v>
      </c>
      <c r="W14" s="143" t="s">
        <v>758</v>
      </c>
      <c r="X14" s="143" t="s">
        <v>680</v>
      </c>
      <c r="Y14" s="143">
        <v>4291</v>
      </c>
      <c r="Z14" s="137" t="s">
        <v>3184</v>
      </c>
      <c r="AA14" s="137" t="s">
        <v>3184</v>
      </c>
      <c r="AB14" s="137" t="s">
        <v>3184</v>
      </c>
      <c r="AC14" s="137" t="s">
        <v>3184</v>
      </c>
      <c r="AD14" s="137" t="s">
        <v>3185</v>
      </c>
      <c r="AE14" s="137" t="s">
        <v>3185</v>
      </c>
      <c r="AF14" s="137" t="s">
        <v>3184</v>
      </c>
      <c r="AG14" s="137" t="s">
        <v>3184</v>
      </c>
      <c r="AH14" s="137" t="s">
        <v>3184</v>
      </c>
      <c r="AI14" s="137" t="s">
        <v>3184</v>
      </c>
      <c r="AJ14" s="137" t="s">
        <v>3184</v>
      </c>
      <c r="AK14" s="137">
        <v>0.81818179999999996</v>
      </c>
      <c r="AM14" s="143" t="s">
        <v>757</v>
      </c>
      <c r="AN14" s="143" t="s">
        <v>758</v>
      </c>
      <c r="AO14" s="143">
        <v>1</v>
      </c>
      <c r="AP14" s="143">
        <v>4291</v>
      </c>
      <c r="AQ14" s="137"/>
      <c r="AR14" s="137"/>
      <c r="AS14" s="137"/>
      <c r="AT14" s="137"/>
      <c r="AU14" s="137"/>
      <c r="AV14" s="137"/>
      <c r="AW14" s="137"/>
      <c r="AX14" s="189">
        <v>0.8125</v>
      </c>
      <c r="AY14" s="189">
        <v>0.8125</v>
      </c>
      <c r="AZ14" s="78" t="s">
        <v>3185</v>
      </c>
      <c r="BB14" s="143" t="s">
        <v>757</v>
      </c>
      <c r="BC14" s="143" t="s">
        <v>758</v>
      </c>
      <c r="BD14" s="143" t="s">
        <v>680</v>
      </c>
      <c r="BE14" s="143">
        <v>4291</v>
      </c>
      <c r="BF14" s="137"/>
      <c r="BG14" s="137"/>
      <c r="BH14" s="137"/>
      <c r="BI14" s="137"/>
      <c r="BJ14" s="137"/>
      <c r="BK14" s="137"/>
      <c r="BL14" s="137"/>
      <c r="BM14" s="137"/>
      <c r="BN14" s="137"/>
      <c r="BO14" s="137"/>
      <c r="BP14" s="137"/>
      <c r="BQ14" s="137"/>
      <c r="BR14" s="137" t="s">
        <v>3184</v>
      </c>
      <c r="BS14" s="137" t="s">
        <v>3184</v>
      </c>
      <c r="BT14" s="189" t="s">
        <v>3184</v>
      </c>
      <c r="BU14" s="189">
        <v>1</v>
      </c>
      <c r="BV14" s="78" t="s">
        <v>3184</v>
      </c>
      <c r="BX14" s="143" t="s">
        <v>757</v>
      </c>
      <c r="BY14" s="143" t="s">
        <v>758</v>
      </c>
      <c r="BZ14" s="143" t="s">
        <v>680</v>
      </c>
      <c r="CA14" s="143">
        <v>4291</v>
      </c>
      <c r="CC14" s="137"/>
      <c r="CD14" s="137"/>
      <c r="CE14" s="137"/>
      <c r="CF14" s="189"/>
      <c r="CG14" s="189"/>
    </row>
    <row r="15" spans="1:87" x14ac:dyDescent="0.25">
      <c r="A15" s="143" t="s">
        <v>759</v>
      </c>
      <c r="B15" s="143" t="s">
        <v>758</v>
      </c>
      <c r="C15" s="143" t="s">
        <v>680</v>
      </c>
      <c r="D15" s="143">
        <v>2620</v>
      </c>
      <c r="E15" s="354">
        <v>0.3922078</v>
      </c>
      <c r="F15" s="354">
        <v>0.6</v>
      </c>
      <c r="G15" s="354">
        <v>0.99220779999999997</v>
      </c>
      <c r="H15" s="137" t="s">
        <v>3185</v>
      </c>
      <c r="J15" s="143" t="s">
        <v>759</v>
      </c>
      <c r="K15" s="143" t="s">
        <v>758</v>
      </c>
      <c r="L15" s="143" t="s">
        <v>680</v>
      </c>
      <c r="M15" s="143">
        <v>2620</v>
      </c>
      <c r="N15" s="137">
        <v>0.12727269999999999</v>
      </c>
      <c r="O15" s="137">
        <v>0.50909090000000001</v>
      </c>
      <c r="P15" s="265">
        <v>0.63636360000000003</v>
      </c>
      <c r="Q15" s="137" t="s">
        <v>3185</v>
      </c>
      <c r="R15" s="137">
        <v>0.1833333</v>
      </c>
      <c r="S15" s="137">
        <v>0.66666669999999995</v>
      </c>
      <c r="T15" s="137">
        <v>0.85</v>
      </c>
      <c r="V15" s="143" t="s">
        <v>759</v>
      </c>
      <c r="W15" s="143" t="s">
        <v>758</v>
      </c>
      <c r="X15" s="143" t="s">
        <v>680</v>
      </c>
      <c r="Y15" s="143">
        <v>2620</v>
      </c>
      <c r="Z15" s="137" t="s">
        <v>3184</v>
      </c>
      <c r="AA15" s="137" t="s">
        <v>3184</v>
      </c>
      <c r="AB15" s="137" t="s">
        <v>3185</v>
      </c>
      <c r="AC15" s="137" t="s">
        <v>3184</v>
      </c>
      <c r="AD15" s="137" t="s">
        <v>3185</v>
      </c>
      <c r="AE15" s="137" t="s">
        <v>3185</v>
      </c>
      <c r="AF15" s="137" t="s">
        <v>3184</v>
      </c>
      <c r="AG15" s="137" t="s">
        <v>3184</v>
      </c>
      <c r="AH15" s="137" t="s">
        <v>3184</v>
      </c>
      <c r="AI15" s="137" t="s">
        <v>3184</v>
      </c>
      <c r="AJ15" s="137" t="s">
        <v>3184</v>
      </c>
      <c r="AK15" s="137">
        <v>0.72727269999999999</v>
      </c>
      <c r="AM15" s="143" t="s">
        <v>759</v>
      </c>
      <c r="AN15" s="143" t="s">
        <v>758</v>
      </c>
      <c r="AO15" s="143">
        <v>1</v>
      </c>
      <c r="AP15" s="143">
        <v>2620</v>
      </c>
      <c r="AQ15" s="137"/>
      <c r="AR15" s="137"/>
      <c r="AS15" s="137"/>
      <c r="AT15" s="137"/>
      <c r="AU15" s="137"/>
      <c r="AV15" s="137"/>
      <c r="AW15" s="137"/>
      <c r="AX15" s="189">
        <v>0.9375</v>
      </c>
      <c r="AY15" s="189">
        <v>0.9375</v>
      </c>
      <c r="AZ15" s="78" t="s">
        <v>3185</v>
      </c>
      <c r="BB15" s="143" t="s">
        <v>759</v>
      </c>
      <c r="BC15" s="143" t="s">
        <v>758</v>
      </c>
      <c r="BD15" s="143" t="s">
        <v>680</v>
      </c>
      <c r="BE15" s="143">
        <v>2620</v>
      </c>
      <c r="BF15" s="137"/>
      <c r="BG15" s="137"/>
      <c r="BH15" s="137"/>
      <c r="BI15" s="137"/>
      <c r="BJ15" s="137"/>
      <c r="BK15" s="137"/>
      <c r="BL15" s="137"/>
      <c r="BM15" s="137"/>
      <c r="BN15" s="137"/>
      <c r="BO15" s="137"/>
      <c r="BP15" s="137"/>
      <c r="BQ15" s="137"/>
      <c r="BR15" s="137" t="s">
        <v>3184</v>
      </c>
      <c r="BS15" s="137" t="s">
        <v>3184</v>
      </c>
      <c r="BT15" s="189" t="s">
        <v>3184</v>
      </c>
      <c r="BU15" s="189">
        <v>1</v>
      </c>
      <c r="BV15" s="78" t="s">
        <v>3184</v>
      </c>
      <c r="BX15" s="143" t="s">
        <v>759</v>
      </c>
      <c r="BY15" s="143" t="s">
        <v>758</v>
      </c>
      <c r="BZ15" s="143" t="s">
        <v>680</v>
      </c>
      <c r="CA15" s="143">
        <v>2620</v>
      </c>
      <c r="CC15" s="137"/>
      <c r="CD15" s="137"/>
      <c r="CE15" s="137"/>
      <c r="CF15" s="189"/>
      <c r="CG15" s="189"/>
    </row>
    <row r="16" spans="1:87" x14ac:dyDescent="0.25">
      <c r="A16" s="143" t="s">
        <v>759</v>
      </c>
      <c r="B16" s="143" t="s">
        <v>758</v>
      </c>
      <c r="C16" s="143" t="s">
        <v>680</v>
      </c>
      <c r="D16" s="143">
        <v>2712</v>
      </c>
      <c r="E16" s="354">
        <v>0.4</v>
      </c>
      <c r="F16" s="354">
        <v>0.6</v>
      </c>
      <c r="G16" s="354">
        <v>1</v>
      </c>
      <c r="H16" s="137" t="s">
        <v>3184</v>
      </c>
      <c r="J16" s="143" t="s">
        <v>759</v>
      </c>
      <c r="K16" s="143" t="s">
        <v>758</v>
      </c>
      <c r="L16" s="143" t="s">
        <v>680</v>
      </c>
      <c r="M16" s="143">
        <v>2712</v>
      </c>
      <c r="N16" s="137">
        <v>0.14545449999999999</v>
      </c>
      <c r="O16" s="137">
        <v>0.46787879999999998</v>
      </c>
      <c r="P16" s="265">
        <v>0.61333329999999997</v>
      </c>
      <c r="Q16" s="137" t="s">
        <v>3185</v>
      </c>
      <c r="R16" s="137">
        <v>0.2</v>
      </c>
      <c r="S16" s="137">
        <v>0.49177490000000001</v>
      </c>
      <c r="T16" s="137">
        <v>0.69177489999999997</v>
      </c>
      <c r="V16" s="143" t="s">
        <v>759</v>
      </c>
      <c r="W16" s="143" t="s">
        <v>758</v>
      </c>
      <c r="X16" s="143" t="s">
        <v>680</v>
      </c>
      <c r="Y16" s="143">
        <v>2712</v>
      </c>
      <c r="Z16" s="137" t="s">
        <v>3184</v>
      </c>
      <c r="AA16" s="137" t="s">
        <v>3184</v>
      </c>
      <c r="AB16" s="137" t="s">
        <v>3184</v>
      </c>
      <c r="AC16" s="137" t="s">
        <v>3184</v>
      </c>
      <c r="AD16" s="137" t="s">
        <v>3185</v>
      </c>
      <c r="AE16" s="137" t="s">
        <v>3185</v>
      </c>
      <c r="AF16" s="137" t="s">
        <v>3184</v>
      </c>
      <c r="AG16" s="137" t="s">
        <v>3184</v>
      </c>
      <c r="AH16" s="137" t="s">
        <v>3184</v>
      </c>
      <c r="AI16" s="137" t="s">
        <v>3184</v>
      </c>
      <c r="AJ16" s="137" t="s">
        <v>3184</v>
      </c>
      <c r="AK16" s="137">
        <v>0.81818179999999996</v>
      </c>
      <c r="AM16" s="143" t="s">
        <v>759</v>
      </c>
      <c r="AN16" s="143" t="s">
        <v>758</v>
      </c>
      <c r="AO16" s="143">
        <v>1</v>
      </c>
      <c r="AP16" s="143">
        <v>2712</v>
      </c>
      <c r="AQ16" s="137"/>
      <c r="AR16" s="137"/>
      <c r="AS16" s="137"/>
      <c r="AT16" s="137"/>
      <c r="AU16" s="137"/>
      <c r="AV16" s="137"/>
      <c r="AW16" s="137"/>
      <c r="AX16" s="189">
        <v>0.96250000000000002</v>
      </c>
      <c r="AY16" s="189">
        <v>0.96250000000000002</v>
      </c>
      <c r="AZ16" s="78" t="s">
        <v>3184</v>
      </c>
      <c r="BB16" s="143" t="s">
        <v>759</v>
      </c>
      <c r="BC16" s="143" t="s">
        <v>758</v>
      </c>
      <c r="BD16" s="143" t="s">
        <v>680</v>
      </c>
      <c r="BE16" s="143">
        <v>2712</v>
      </c>
      <c r="BF16" s="137"/>
      <c r="BG16" s="137"/>
      <c r="BH16" s="137"/>
      <c r="BI16" s="137"/>
      <c r="BJ16" s="137"/>
      <c r="BK16" s="137"/>
      <c r="BL16" s="137"/>
      <c r="BM16" s="137"/>
      <c r="BN16" s="137"/>
      <c r="BO16" s="137"/>
      <c r="BP16" s="137"/>
      <c r="BQ16" s="137"/>
      <c r="BR16" s="137" t="s">
        <v>3184</v>
      </c>
      <c r="BS16" s="137" t="s">
        <v>3184</v>
      </c>
      <c r="BT16" s="189" t="s">
        <v>3184</v>
      </c>
      <c r="BU16" s="189">
        <v>1</v>
      </c>
      <c r="BV16" s="78" t="s">
        <v>3184</v>
      </c>
      <c r="BX16" s="143" t="s">
        <v>759</v>
      </c>
      <c r="BY16" s="143" t="s">
        <v>758</v>
      </c>
      <c r="BZ16" s="143" t="s">
        <v>680</v>
      </c>
      <c r="CA16" s="143">
        <v>2712</v>
      </c>
      <c r="CC16" s="137"/>
      <c r="CD16" s="137"/>
      <c r="CE16" s="137"/>
      <c r="CF16" s="189"/>
      <c r="CG16" s="189"/>
    </row>
    <row r="17" spans="1:85" x14ac:dyDescent="0.25">
      <c r="A17" s="143" t="s">
        <v>759</v>
      </c>
      <c r="B17" s="143" t="s">
        <v>758</v>
      </c>
      <c r="C17" s="143" t="s">
        <v>680</v>
      </c>
      <c r="D17" s="143">
        <v>2724</v>
      </c>
      <c r="E17" s="354">
        <v>0.37922080000000002</v>
      </c>
      <c r="F17" s="354">
        <v>0.6</v>
      </c>
      <c r="G17" s="354">
        <v>0.9792208</v>
      </c>
      <c r="H17" s="137" t="s">
        <v>3185</v>
      </c>
      <c r="J17" s="143" t="s">
        <v>759</v>
      </c>
      <c r="K17" s="143" t="s">
        <v>758</v>
      </c>
      <c r="L17" s="143" t="s">
        <v>680</v>
      </c>
      <c r="M17" s="143">
        <v>2724</v>
      </c>
      <c r="N17" s="137">
        <v>0.16363639999999999</v>
      </c>
      <c r="O17" s="137">
        <v>0.54868689999999998</v>
      </c>
      <c r="P17" s="265">
        <v>0.71232320000000005</v>
      </c>
      <c r="Q17" s="137" t="s">
        <v>3185</v>
      </c>
      <c r="R17" s="137">
        <v>0.2</v>
      </c>
      <c r="S17" s="137">
        <v>0.52121209999999996</v>
      </c>
      <c r="T17" s="137">
        <v>0.72121210000000002</v>
      </c>
      <c r="V17" s="143" t="s">
        <v>759</v>
      </c>
      <c r="W17" s="143" t="s">
        <v>758</v>
      </c>
      <c r="X17" s="143" t="s">
        <v>680</v>
      </c>
      <c r="Y17" s="143">
        <v>2724</v>
      </c>
      <c r="Z17" s="137" t="s">
        <v>3184</v>
      </c>
      <c r="AA17" s="137" t="s">
        <v>3184</v>
      </c>
      <c r="AB17" s="137" t="s">
        <v>3184</v>
      </c>
      <c r="AC17" s="137" t="s">
        <v>3184</v>
      </c>
      <c r="AD17" s="137" t="s">
        <v>3185</v>
      </c>
      <c r="AE17" s="137" t="s">
        <v>3185</v>
      </c>
      <c r="AF17" s="137" t="s">
        <v>3184</v>
      </c>
      <c r="AG17" s="137" t="s">
        <v>3184</v>
      </c>
      <c r="AH17" s="137" t="s">
        <v>3184</v>
      </c>
      <c r="AI17" s="137" t="s">
        <v>3184</v>
      </c>
      <c r="AJ17" s="137" t="s">
        <v>3184</v>
      </c>
      <c r="AK17" s="137">
        <v>0.81818179999999996</v>
      </c>
      <c r="AM17" s="143" t="s">
        <v>759</v>
      </c>
      <c r="AN17" s="143" t="s">
        <v>758</v>
      </c>
      <c r="AO17" s="143">
        <v>1</v>
      </c>
      <c r="AP17" s="143">
        <v>2724</v>
      </c>
      <c r="AQ17" s="137"/>
      <c r="AR17" s="137"/>
      <c r="AS17" s="137"/>
      <c r="AT17" s="137"/>
      <c r="AU17" s="137"/>
      <c r="AV17" s="137"/>
      <c r="AW17" s="137"/>
      <c r="AX17" s="189">
        <v>0.92500000000000004</v>
      </c>
      <c r="AY17" s="189">
        <v>0.92500000000000004</v>
      </c>
      <c r="AZ17" s="78" t="s">
        <v>3185</v>
      </c>
      <c r="BB17" s="143" t="s">
        <v>759</v>
      </c>
      <c r="BC17" s="143" t="s">
        <v>758</v>
      </c>
      <c r="BD17" s="143" t="s">
        <v>680</v>
      </c>
      <c r="BE17" s="143">
        <v>2724</v>
      </c>
      <c r="BF17" s="137"/>
      <c r="BG17" s="137"/>
      <c r="BH17" s="137"/>
      <c r="BI17" s="137"/>
      <c r="BJ17" s="137"/>
      <c r="BK17" s="137"/>
      <c r="BL17" s="137"/>
      <c r="BM17" s="137"/>
      <c r="BN17" s="137"/>
      <c r="BO17" s="137"/>
      <c r="BP17" s="137"/>
      <c r="BQ17" s="137"/>
      <c r="BR17" s="137" t="s">
        <v>3184</v>
      </c>
      <c r="BS17" s="137" t="s">
        <v>3184</v>
      </c>
      <c r="BT17" s="189" t="s">
        <v>3184</v>
      </c>
      <c r="BU17" s="189">
        <v>1</v>
      </c>
      <c r="BV17" s="78" t="s">
        <v>3184</v>
      </c>
      <c r="BX17" s="143" t="s">
        <v>759</v>
      </c>
      <c r="BY17" s="143" t="s">
        <v>758</v>
      </c>
      <c r="BZ17" s="143" t="s">
        <v>680</v>
      </c>
      <c r="CA17" s="143">
        <v>2724</v>
      </c>
      <c r="CC17" s="137"/>
      <c r="CD17" s="137"/>
      <c r="CE17" s="137"/>
      <c r="CF17" s="189"/>
      <c r="CG17" s="189"/>
    </row>
    <row r="18" spans="1:85" x14ac:dyDescent="0.25">
      <c r="A18" s="143" t="s">
        <v>759</v>
      </c>
      <c r="B18" s="143" t="s">
        <v>758</v>
      </c>
      <c r="C18" s="143" t="s">
        <v>680</v>
      </c>
      <c r="D18" s="143">
        <v>3176</v>
      </c>
      <c r="E18" s="354">
        <v>0.4</v>
      </c>
      <c r="F18" s="354">
        <v>0.6</v>
      </c>
      <c r="G18" s="354">
        <v>1</v>
      </c>
      <c r="H18" s="137" t="s">
        <v>3184</v>
      </c>
      <c r="J18" s="143" t="s">
        <v>759</v>
      </c>
      <c r="K18" s="143" t="s">
        <v>758</v>
      </c>
      <c r="L18" s="143" t="s">
        <v>680</v>
      </c>
      <c r="M18" s="143">
        <v>3176</v>
      </c>
      <c r="N18" s="137">
        <v>9.0909100000000007E-2</v>
      </c>
      <c r="O18" s="137">
        <v>0.43636360000000002</v>
      </c>
      <c r="P18" s="265">
        <v>0.52727270000000004</v>
      </c>
      <c r="Q18" s="137" t="s">
        <v>3185</v>
      </c>
      <c r="R18" s="137">
        <v>0.1666667</v>
      </c>
      <c r="S18" s="137">
        <v>0.63982680000000003</v>
      </c>
      <c r="T18" s="137">
        <v>0.80649349999999997</v>
      </c>
      <c r="V18" s="143" t="s">
        <v>759</v>
      </c>
      <c r="W18" s="143" t="s">
        <v>758</v>
      </c>
      <c r="X18" s="143" t="s">
        <v>680</v>
      </c>
      <c r="Y18" s="143">
        <v>3176</v>
      </c>
      <c r="Z18" s="137" t="s">
        <v>3184</v>
      </c>
      <c r="AA18" s="137" t="s">
        <v>3184</v>
      </c>
      <c r="AB18" s="137" t="s">
        <v>3185</v>
      </c>
      <c r="AC18" s="137" t="s">
        <v>3184</v>
      </c>
      <c r="AD18" s="137" t="s">
        <v>3185</v>
      </c>
      <c r="AE18" s="137" t="s">
        <v>3185</v>
      </c>
      <c r="AF18" s="137" t="s">
        <v>3184</v>
      </c>
      <c r="AG18" s="137" t="s">
        <v>3184</v>
      </c>
      <c r="AH18" s="137" t="s">
        <v>3184</v>
      </c>
      <c r="AI18" s="137" t="s">
        <v>3184</v>
      </c>
      <c r="AJ18" s="137" t="s">
        <v>3184</v>
      </c>
      <c r="AK18" s="137">
        <v>0.72727269999999999</v>
      </c>
      <c r="AM18" s="143" t="s">
        <v>759</v>
      </c>
      <c r="AN18" s="143" t="s">
        <v>758</v>
      </c>
      <c r="AO18" s="143">
        <v>1</v>
      </c>
      <c r="AP18" s="143">
        <v>3176</v>
      </c>
      <c r="AQ18" s="137"/>
      <c r="AR18" s="137"/>
      <c r="AS18" s="137"/>
      <c r="AT18" s="137"/>
      <c r="AU18" s="137"/>
      <c r="AV18" s="137"/>
      <c r="AW18" s="137"/>
      <c r="AX18" s="189">
        <v>0.9375</v>
      </c>
      <c r="AY18" s="189">
        <v>0.9375</v>
      </c>
      <c r="AZ18" s="78" t="s">
        <v>3185</v>
      </c>
      <c r="BB18" s="143" t="s">
        <v>759</v>
      </c>
      <c r="BC18" s="143" t="s">
        <v>758</v>
      </c>
      <c r="BD18" s="143" t="s">
        <v>680</v>
      </c>
      <c r="BE18" s="143">
        <v>3176</v>
      </c>
      <c r="BF18" s="137"/>
      <c r="BG18" s="137"/>
      <c r="BH18" s="137"/>
      <c r="BI18" s="137"/>
      <c r="BJ18" s="137"/>
      <c r="BK18" s="137"/>
      <c r="BL18" s="137"/>
      <c r="BM18" s="137"/>
      <c r="BN18" s="137"/>
      <c r="BO18" s="137"/>
      <c r="BP18" s="137"/>
      <c r="BQ18" s="137"/>
      <c r="BR18" s="137" t="s">
        <v>3184</v>
      </c>
      <c r="BS18" s="137" t="s">
        <v>3184</v>
      </c>
      <c r="BT18" s="189" t="s">
        <v>3184</v>
      </c>
      <c r="BU18" s="189">
        <v>1</v>
      </c>
      <c r="BV18" s="78" t="s">
        <v>3184</v>
      </c>
      <c r="BX18" s="143" t="s">
        <v>759</v>
      </c>
      <c r="BY18" s="143" t="s">
        <v>758</v>
      </c>
      <c r="BZ18" s="143" t="s">
        <v>680</v>
      </c>
      <c r="CA18" s="143">
        <v>3176</v>
      </c>
      <c r="CC18" s="137"/>
      <c r="CD18" s="137"/>
      <c r="CE18" s="137"/>
      <c r="CF18" s="189"/>
      <c r="CG18" s="189"/>
    </row>
    <row r="19" spans="1:85" x14ac:dyDescent="0.25">
      <c r="A19" s="143" t="s">
        <v>759</v>
      </c>
      <c r="B19" s="143" t="s">
        <v>758</v>
      </c>
      <c r="C19" s="143" t="s">
        <v>680</v>
      </c>
      <c r="D19" s="143">
        <v>3252</v>
      </c>
      <c r="E19" s="354">
        <v>0.39740259999999999</v>
      </c>
      <c r="F19" s="354">
        <v>0.6</v>
      </c>
      <c r="G19" s="354">
        <v>0.99740260000000003</v>
      </c>
      <c r="H19" s="137" t="s">
        <v>3185</v>
      </c>
      <c r="J19" s="143" t="s">
        <v>759</v>
      </c>
      <c r="K19" s="143" t="s">
        <v>758</v>
      </c>
      <c r="L19" s="143" t="s">
        <v>680</v>
      </c>
      <c r="M19" s="143">
        <v>3252</v>
      </c>
      <c r="N19" s="137">
        <v>0.12727269999999999</v>
      </c>
      <c r="O19" s="137">
        <v>0.58181819999999995</v>
      </c>
      <c r="P19" s="265">
        <v>0.70909089999999997</v>
      </c>
      <c r="Q19" s="137" t="s">
        <v>3185</v>
      </c>
      <c r="R19" s="137">
        <v>0.1833333</v>
      </c>
      <c r="S19" s="137">
        <v>0.66666669999999995</v>
      </c>
      <c r="T19" s="137">
        <v>0.85</v>
      </c>
      <c r="V19" s="143" t="s">
        <v>759</v>
      </c>
      <c r="W19" s="143" t="s">
        <v>758</v>
      </c>
      <c r="X19" s="143" t="s">
        <v>680</v>
      </c>
      <c r="Y19" s="143">
        <v>3252</v>
      </c>
      <c r="Z19" s="137" t="s">
        <v>3184</v>
      </c>
      <c r="AA19" s="137" t="s">
        <v>3184</v>
      </c>
      <c r="AB19" s="137" t="s">
        <v>3184</v>
      </c>
      <c r="AC19" s="137" t="s">
        <v>3184</v>
      </c>
      <c r="AD19" s="137" t="s">
        <v>3185</v>
      </c>
      <c r="AE19" s="137" t="s">
        <v>3185</v>
      </c>
      <c r="AF19" s="137" t="s">
        <v>3184</v>
      </c>
      <c r="AG19" s="137" t="s">
        <v>3185</v>
      </c>
      <c r="AH19" s="137" t="s">
        <v>3184</v>
      </c>
      <c r="AI19" s="137" t="s">
        <v>3184</v>
      </c>
      <c r="AJ19" s="137" t="s">
        <v>3184</v>
      </c>
      <c r="AK19" s="137">
        <v>0.72727269999999999</v>
      </c>
      <c r="AM19" s="143" t="s">
        <v>759</v>
      </c>
      <c r="AN19" s="143" t="s">
        <v>758</v>
      </c>
      <c r="AO19" s="143">
        <v>1</v>
      </c>
      <c r="AP19" s="143">
        <v>3252</v>
      </c>
      <c r="AQ19" s="137"/>
      <c r="AR19" s="137"/>
      <c r="AS19" s="137"/>
      <c r="AT19" s="137"/>
      <c r="AU19" s="137"/>
      <c r="AV19" s="137"/>
      <c r="AW19" s="137"/>
      <c r="AX19" s="189">
        <v>0.95</v>
      </c>
      <c r="AY19" s="189">
        <v>0.95</v>
      </c>
      <c r="AZ19" s="78" t="s">
        <v>3185</v>
      </c>
      <c r="BB19" s="143" t="s">
        <v>759</v>
      </c>
      <c r="BC19" s="143" t="s">
        <v>758</v>
      </c>
      <c r="BD19" s="143" t="s">
        <v>680</v>
      </c>
      <c r="BE19" s="143">
        <v>3252</v>
      </c>
      <c r="BF19" s="137"/>
      <c r="BG19" s="137"/>
      <c r="BH19" s="137"/>
      <c r="BI19" s="137"/>
      <c r="BJ19" s="137"/>
      <c r="BK19" s="137"/>
      <c r="BL19" s="137"/>
      <c r="BM19" s="137"/>
      <c r="BN19" s="137"/>
      <c r="BO19" s="137"/>
      <c r="BP19" s="137"/>
      <c r="BQ19" s="137"/>
      <c r="BR19" s="137" t="s">
        <v>3184</v>
      </c>
      <c r="BS19" s="137" t="s">
        <v>3184</v>
      </c>
      <c r="BT19" s="189" t="s">
        <v>3184</v>
      </c>
      <c r="BU19" s="189">
        <v>1</v>
      </c>
      <c r="BV19" s="78" t="s">
        <v>3184</v>
      </c>
      <c r="BX19" s="143" t="s">
        <v>759</v>
      </c>
      <c r="BY19" s="143" t="s">
        <v>758</v>
      </c>
      <c r="BZ19" s="143" t="s">
        <v>680</v>
      </c>
      <c r="CA19" s="143">
        <v>3252</v>
      </c>
      <c r="CC19" s="137"/>
      <c r="CD19" s="137"/>
      <c r="CE19" s="137"/>
      <c r="CF19" s="189"/>
      <c r="CG19" s="189"/>
    </row>
    <row r="20" spans="1:85" x14ac:dyDescent="0.25">
      <c r="A20" s="143" t="s">
        <v>760</v>
      </c>
      <c r="B20" s="143" t="s">
        <v>761</v>
      </c>
      <c r="C20" s="143" t="s">
        <v>680</v>
      </c>
      <c r="D20" s="143">
        <v>2265</v>
      </c>
      <c r="E20" s="354">
        <v>0.4</v>
      </c>
      <c r="F20" s="354">
        <v>0.6</v>
      </c>
      <c r="G20" s="354">
        <v>1</v>
      </c>
      <c r="H20" s="137" t="s">
        <v>3184</v>
      </c>
      <c r="J20" s="143" t="s">
        <v>760</v>
      </c>
      <c r="K20" s="143" t="s">
        <v>761</v>
      </c>
      <c r="L20" s="143" t="s">
        <v>680</v>
      </c>
      <c r="M20" s="143">
        <v>2265</v>
      </c>
      <c r="N20" s="137">
        <v>0.16363639999999999</v>
      </c>
      <c r="O20" s="137">
        <v>0.72646460000000002</v>
      </c>
      <c r="P20" s="265">
        <v>0.89010100000000003</v>
      </c>
      <c r="Q20" s="137" t="s">
        <v>3185</v>
      </c>
      <c r="R20" s="137">
        <v>0.1666667</v>
      </c>
      <c r="S20" s="137">
        <v>0.70562769999999997</v>
      </c>
      <c r="T20" s="137">
        <v>0.87229440000000003</v>
      </c>
      <c r="V20" s="143" t="s">
        <v>760</v>
      </c>
      <c r="W20" s="143" t="s">
        <v>761</v>
      </c>
      <c r="X20" s="143" t="s">
        <v>680</v>
      </c>
      <c r="Y20" s="143">
        <v>2265</v>
      </c>
      <c r="Z20" s="137" t="s">
        <v>3185</v>
      </c>
      <c r="AA20" s="137" t="s">
        <v>3184</v>
      </c>
      <c r="AB20" s="137" t="s">
        <v>3184</v>
      </c>
      <c r="AC20" s="137" t="s">
        <v>3184</v>
      </c>
      <c r="AD20" s="137" t="s">
        <v>3185</v>
      </c>
      <c r="AE20" s="137" t="s">
        <v>3185</v>
      </c>
      <c r="AF20" s="137" t="s">
        <v>3184</v>
      </c>
      <c r="AG20" s="137" t="s">
        <v>3184</v>
      </c>
      <c r="AH20" s="137" t="s">
        <v>3184</v>
      </c>
      <c r="AI20" s="137" t="s">
        <v>3184</v>
      </c>
      <c r="AJ20" s="137" t="s">
        <v>3184</v>
      </c>
      <c r="AK20" s="137">
        <v>0.72727269999999999</v>
      </c>
      <c r="AM20" s="143" t="s">
        <v>760</v>
      </c>
      <c r="AN20" s="143" t="s">
        <v>761</v>
      </c>
      <c r="AO20" s="143">
        <v>1</v>
      </c>
      <c r="AP20" s="143">
        <v>2265</v>
      </c>
      <c r="AQ20" s="137"/>
      <c r="AR20" s="137"/>
      <c r="AS20" s="137"/>
      <c r="AT20" s="137"/>
      <c r="AU20" s="137"/>
      <c r="AV20" s="137"/>
      <c r="AW20" s="137"/>
      <c r="AX20" s="189">
        <v>0.95</v>
      </c>
      <c r="AY20" s="189">
        <v>0.95</v>
      </c>
      <c r="AZ20" s="78" t="s">
        <v>3185</v>
      </c>
      <c r="BB20" s="143" t="s">
        <v>760</v>
      </c>
      <c r="BC20" s="143" t="s">
        <v>761</v>
      </c>
      <c r="BD20" s="143" t="s">
        <v>680</v>
      </c>
      <c r="BE20" s="143">
        <v>2265</v>
      </c>
      <c r="BF20" s="137"/>
      <c r="BG20" s="137"/>
      <c r="BH20" s="137"/>
      <c r="BI20" s="137"/>
      <c r="BJ20" s="137"/>
      <c r="BK20" s="137"/>
      <c r="BL20" s="137"/>
      <c r="BM20" s="137"/>
      <c r="BN20" s="137"/>
      <c r="BO20" s="137"/>
      <c r="BP20" s="137"/>
      <c r="BQ20" s="137"/>
      <c r="BR20" s="137" t="s">
        <v>3184</v>
      </c>
      <c r="BS20" s="137" t="s">
        <v>3184</v>
      </c>
      <c r="BT20" s="189" t="s">
        <v>3184</v>
      </c>
      <c r="BU20" s="189">
        <v>1</v>
      </c>
      <c r="BV20" s="78" t="s">
        <v>3184</v>
      </c>
      <c r="BX20" s="143" t="s">
        <v>760</v>
      </c>
      <c r="BY20" s="143" t="s">
        <v>761</v>
      </c>
      <c r="BZ20" s="143" t="s">
        <v>680</v>
      </c>
      <c r="CA20" s="143">
        <v>2265</v>
      </c>
      <c r="CC20" s="137"/>
      <c r="CD20" s="137"/>
      <c r="CE20" s="137"/>
      <c r="CF20" s="189"/>
      <c r="CG20" s="189"/>
    </row>
    <row r="21" spans="1:85" x14ac:dyDescent="0.25">
      <c r="A21" s="143" t="s">
        <v>760</v>
      </c>
      <c r="B21" s="143" t="s">
        <v>761</v>
      </c>
      <c r="C21" s="143" t="s">
        <v>680</v>
      </c>
      <c r="D21" s="143">
        <v>2266</v>
      </c>
      <c r="E21" s="354">
        <v>0.31688309999999997</v>
      </c>
      <c r="F21" s="354">
        <v>0.6</v>
      </c>
      <c r="G21" s="354">
        <v>0.91688309999999995</v>
      </c>
      <c r="H21" s="137" t="s">
        <v>3185</v>
      </c>
      <c r="J21" s="143" t="s">
        <v>760</v>
      </c>
      <c r="K21" s="143" t="s">
        <v>761</v>
      </c>
      <c r="L21" s="143" t="s">
        <v>680</v>
      </c>
      <c r="M21" s="143">
        <v>2266</v>
      </c>
      <c r="N21" s="137">
        <v>0.18181820000000001</v>
      </c>
      <c r="O21" s="137">
        <v>0.6545455</v>
      </c>
      <c r="P21" s="265">
        <v>0.83636359999999998</v>
      </c>
      <c r="Q21" s="137" t="s">
        <v>3185</v>
      </c>
      <c r="R21" s="137">
        <v>0.1666667</v>
      </c>
      <c r="S21" s="137">
        <v>0.53852809999999995</v>
      </c>
      <c r="T21" s="137">
        <v>0.70519480000000001</v>
      </c>
      <c r="V21" s="143" t="s">
        <v>760</v>
      </c>
      <c r="W21" s="143" t="s">
        <v>761</v>
      </c>
      <c r="X21" s="143" t="s">
        <v>680</v>
      </c>
      <c r="Y21" s="143">
        <v>2266</v>
      </c>
      <c r="Z21" s="137" t="s">
        <v>3185</v>
      </c>
      <c r="AA21" s="137" t="s">
        <v>3184</v>
      </c>
      <c r="AB21" s="137" t="s">
        <v>3185</v>
      </c>
      <c r="AC21" s="137" t="s">
        <v>3184</v>
      </c>
      <c r="AD21" s="137" t="s">
        <v>3185</v>
      </c>
      <c r="AE21" s="137" t="s">
        <v>3185</v>
      </c>
      <c r="AF21" s="137" t="s">
        <v>3184</v>
      </c>
      <c r="AG21" s="137" t="s">
        <v>3185</v>
      </c>
      <c r="AH21" s="137" t="s">
        <v>3184</v>
      </c>
      <c r="AI21" s="137" t="s">
        <v>3184</v>
      </c>
      <c r="AJ21" s="137" t="s">
        <v>3185</v>
      </c>
      <c r="AK21" s="137">
        <v>0.45454549999999999</v>
      </c>
      <c r="AM21" s="143" t="s">
        <v>760</v>
      </c>
      <c r="AN21" s="143" t="s">
        <v>761</v>
      </c>
      <c r="AO21" s="143">
        <v>1</v>
      </c>
      <c r="AP21" s="143">
        <v>2266</v>
      </c>
      <c r="AQ21" s="137"/>
      <c r="AR21" s="137"/>
      <c r="AS21" s="137"/>
      <c r="AT21" s="137"/>
      <c r="AU21" s="137"/>
      <c r="AV21" s="137"/>
      <c r="AW21" s="137"/>
      <c r="AX21" s="189">
        <v>0.97499999999999998</v>
      </c>
      <c r="AY21" s="189">
        <v>0.97499999999999998</v>
      </c>
      <c r="AZ21" s="78" t="s">
        <v>3184</v>
      </c>
      <c r="BB21" s="143" t="s">
        <v>760</v>
      </c>
      <c r="BC21" s="143" t="s">
        <v>761</v>
      </c>
      <c r="BD21" s="143" t="s">
        <v>680</v>
      </c>
      <c r="BE21" s="143">
        <v>2266</v>
      </c>
      <c r="BF21" s="137"/>
      <c r="BG21" s="137"/>
      <c r="BH21" s="137"/>
      <c r="BI21" s="137"/>
      <c r="BJ21" s="137"/>
      <c r="BK21" s="137"/>
      <c r="BL21" s="137"/>
      <c r="BM21" s="137"/>
      <c r="BN21" s="137"/>
      <c r="BO21" s="137"/>
      <c r="BP21" s="137"/>
      <c r="BQ21" s="137"/>
      <c r="BR21" s="137" t="s">
        <v>3184</v>
      </c>
      <c r="BS21" s="137" t="s">
        <v>3184</v>
      </c>
      <c r="BT21" s="189" t="s">
        <v>3184</v>
      </c>
      <c r="BU21" s="189">
        <v>1</v>
      </c>
      <c r="BV21" s="78" t="s">
        <v>3184</v>
      </c>
      <c r="BX21" s="143" t="s">
        <v>760</v>
      </c>
      <c r="BY21" s="143" t="s">
        <v>761</v>
      </c>
      <c r="BZ21" s="143" t="s">
        <v>680</v>
      </c>
      <c r="CA21" s="143">
        <v>2266</v>
      </c>
      <c r="CC21" s="137"/>
      <c r="CD21" s="137"/>
      <c r="CE21" s="137"/>
      <c r="CF21" s="189"/>
      <c r="CG21" s="189"/>
    </row>
    <row r="22" spans="1:85" x14ac:dyDescent="0.25">
      <c r="A22" s="143" t="s">
        <v>760</v>
      </c>
      <c r="B22" s="143" t="s">
        <v>761</v>
      </c>
      <c r="C22" s="143" t="s">
        <v>680</v>
      </c>
      <c r="D22" s="143">
        <v>3109</v>
      </c>
      <c r="E22" s="354">
        <v>0.39480520000000002</v>
      </c>
      <c r="F22" s="354">
        <v>0.6</v>
      </c>
      <c r="G22" s="354">
        <v>0.99480519999999995</v>
      </c>
      <c r="H22" s="137" t="s">
        <v>3185</v>
      </c>
      <c r="J22" s="143" t="s">
        <v>760</v>
      </c>
      <c r="K22" s="143" t="s">
        <v>761</v>
      </c>
      <c r="L22" s="143" t="s">
        <v>680</v>
      </c>
      <c r="M22" s="143">
        <v>3109</v>
      </c>
      <c r="N22" s="137">
        <v>0.16363639999999999</v>
      </c>
      <c r="O22" s="137">
        <v>0.69737369999999999</v>
      </c>
      <c r="P22" s="265">
        <v>0.8610101</v>
      </c>
      <c r="Q22" s="137" t="s">
        <v>3185</v>
      </c>
      <c r="R22" s="137">
        <v>0.13333329999999999</v>
      </c>
      <c r="S22" s="137">
        <v>0.6</v>
      </c>
      <c r="T22" s="137">
        <v>0.73333329999999997</v>
      </c>
      <c r="V22" s="143" t="s">
        <v>760</v>
      </c>
      <c r="W22" s="143" t="s">
        <v>761</v>
      </c>
      <c r="X22" s="143" t="s">
        <v>680</v>
      </c>
      <c r="Y22" s="143">
        <v>3109</v>
      </c>
      <c r="Z22" s="137" t="s">
        <v>3185</v>
      </c>
      <c r="AA22" s="137" t="s">
        <v>3184</v>
      </c>
      <c r="AB22" s="137" t="s">
        <v>3184</v>
      </c>
      <c r="AC22" s="137" t="s">
        <v>3184</v>
      </c>
      <c r="AD22" s="137" t="s">
        <v>3185</v>
      </c>
      <c r="AE22" s="137" t="s">
        <v>3185</v>
      </c>
      <c r="AF22" s="137" t="s">
        <v>3184</v>
      </c>
      <c r="AG22" s="137" t="s">
        <v>3184</v>
      </c>
      <c r="AH22" s="137" t="s">
        <v>3184</v>
      </c>
      <c r="AI22" s="137" t="s">
        <v>3184</v>
      </c>
      <c r="AJ22" s="137" t="s">
        <v>3184</v>
      </c>
      <c r="AK22" s="137">
        <v>0.72727269999999999</v>
      </c>
      <c r="AM22" s="143" t="s">
        <v>760</v>
      </c>
      <c r="AN22" s="143" t="s">
        <v>761</v>
      </c>
      <c r="AO22" s="143">
        <v>1</v>
      </c>
      <c r="AP22" s="143">
        <v>3109</v>
      </c>
      <c r="AQ22" s="137"/>
      <c r="AR22" s="137"/>
      <c r="AS22" s="137"/>
      <c r="AT22" s="137"/>
      <c r="AU22" s="137"/>
      <c r="AV22" s="137"/>
      <c r="AW22" s="137"/>
      <c r="AX22" s="189">
        <v>0.83750000000000002</v>
      </c>
      <c r="AY22" s="189">
        <v>0.83750000000000002</v>
      </c>
      <c r="AZ22" s="78" t="s">
        <v>3185</v>
      </c>
      <c r="BB22" s="143" t="s">
        <v>760</v>
      </c>
      <c r="BC22" s="143" t="s">
        <v>761</v>
      </c>
      <c r="BD22" s="143" t="s">
        <v>680</v>
      </c>
      <c r="BE22" s="143">
        <v>3109</v>
      </c>
      <c r="BF22" s="137"/>
      <c r="BG22" s="137"/>
      <c r="BH22" s="137"/>
      <c r="BI22" s="137"/>
      <c r="BJ22" s="137"/>
      <c r="BK22" s="137"/>
      <c r="BL22" s="137"/>
      <c r="BM22" s="137"/>
      <c r="BN22" s="137"/>
      <c r="BO22" s="137"/>
      <c r="BP22" s="137"/>
      <c r="BQ22" s="137"/>
      <c r="BR22" s="137" t="s">
        <v>3184</v>
      </c>
      <c r="BS22" s="137" t="s">
        <v>3184</v>
      </c>
      <c r="BT22" s="189" t="s">
        <v>3184</v>
      </c>
      <c r="BU22" s="189">
        <v>1</v>
      </c>
      <c r="BV22" s="78" t="s">
        <v>3184</v>
      </c>
      <c r="BX22" s="143" t="s">
        <v>760</v>
      </c>
      <c r="BY22" s="143" t="s">
        <v>761</v>
      </c>
      <c r="BZ22" s="143" t="s">
        <v>680</v>
      </c>
      <c r="CA22" s="143">
        <v>3109</v>
      </c>
      <c r="CC22" s="137"/>
      <c r="CD22" s="137"/>
      <c r="CE22" s="137"/>
      <c r="CF22" s="189"/>
      <c r="CG22" s="189"/>
    </row>
    <row r="23" spans="1:85" x14ac:dyDescent="0.25">
      <c r="A23" s="143" t="s">
        <v>760</v>
      </c>
      <c r="B23" s="143" t="s">
        <v>761</v>
      </c>
      <c r="C23" s="143" t="s">
        <v>680</v>
      </c>
      <c r="D23" s="143">
        <v>3635</v>
      </c>
      <c r="E23" s="354">
        <v>0.39480520000000002</v>
      </c>
      <c r="F23" s="354">
        <v>0.6</v>
      </c>
      <c r="G23" s="354">
        <v>0.99480519999999995</v>
      </c>
      <c r="H23" s="137" t="s">
        <v>3185</v>
      </c>
      <c r="J23" s="143" t="s">
        <v>760</v>
      </c>
      <c r="K23" s="143" t="s">
        <v>761</v>
      </c>
      <c r="L23" s="143" t="s">
        <v>680</v>
      </c>
      <c r="M23" s="143">
        <v>3635</v>
      </c>
      <c r="N23" s="137">
        <v>0.18181820000000001</v>
      </c>
      <c r="O23" s="137">
        <v>0.36363640000000003</v>
      </c>
      <c r="P23" s="265">
        <v>0.54545460000000001</v>
      </c>
      <c r="Q23" s="137" t="s">
        <v>3185</v>
      </c>
      <c r="R23" s="137">
        <v>0.15</v>
      </c>
      <c r="S23" s="137">
        <v>0.4</v>
      </c>
      <c r="T23" s="137">
        <v>0.55000000000000004</v>
      </c>
      <c r="V23" s="143" t="s">
        <v>760</v>
      </c>
      <c r="W23" s="143" t="s">
        <v>761</v>
      </c>
      <c r="X23" s="143" t="s">
        <v>680</v>
      </c>
      <c r="Y23" s="143">
        <v>3635</v>
      </c>
      <c r="Z23" s="137" t="s">
        <v>3184</v>
      </c>
      <c r="AA23" s="137" t="s">
        <v>3184</v>
      </c>
      <c r="AB23" s="137" t="s">
        <v>3184</v>
      </c>
      <c r="AC23" s="137" t="s">
        <v>3184</v>
      </c>
      <c r="AD23" s="137" t="s">
        <v>3185</v>
      </c>
      <c r="AE23" s="137" t="s">
        <v>3185</v>
      </c>
      <c r="AF23" s="137" t="s">
        <v>3184</v>
      </c>
      <c r="AG23" s="137" t="s">
        <v>3184</v>
      </c>
      <c r="AH23" s="137" t="s">
        <v>3184</v>
      </c>
      <c r="AI23" s="137" t="s">
        <v>3184</v>
      </c>
      <c r="AJ23" s="137" t="s">
        <v>3184</v>
      </c>
      <c r="AK23" s="137">
        <v>0.81818179999999996</v>
      </c>
      <c r="AM23" s="143" t="s">
        <v>760</v>
      </c>
      <c r="AN23" s="143" t="s">
        <v>761</v>
      </c>
      <c r="AO23" s="143">
        <v>1</v>
      </c>
      <c r="AP23" s="143">
        <v>3635</v>
      </c>
      <c r="AQ23" s="137"/>
      <c r="AR23" s="137"/>
      <c r="AS23" s="137"/>
      <c r="AT23" s="137"/>
      <c r="AU23" s="137"/>
      <c r="AV23" s="137"/>
      <c r="AW23" s="137"/>
      <c r="AX23" s="189">
        <v>0.78749999999999998</v>
      </c>
      <c r="AY23" s="189">
        <v>0.78749999999999998</v>
      </c>
      <c r="AZ23" s="78" t="s">
        <v>3185</v>
      </c>
      <c r="BB23" s="143" t="s">
        <v>760</v>
      </c>
      <c r="BC23" s="143" t="s">
        <v>761</v>
      </c>
      <c r="BD23" s="143" t="s">
        <v>680</v>
      </c>
      <c r="BE23" s="143">
        <v>3635</v>
      </c>
      <c r="BF23" s="137"/>
      <c r="BG23" s="137"/>
      <c r="BH23" s="137"/>
      <c r="BI23" s="137"/>
      <c r="BJ23" s="137"/>
      <c r="BK23" s="137"/>
      <c r="BL23" s="137"/>
      <c r="BM23" s="137"/>
      <c r="BN23" s="137"/>
      <c r="BO23" s="137"/>
      <c r="BP23" s="137"/>
      <c r="BQ23" s="137"/>
      <c r="BR23" s="137" t="s">
        <v>3184</v>
      </c>
      <c r="BS23" s="137" t="s">
        <v>3184</v>
      </c>
      <c r="BT23" s="189" t="s">
        <v>3184</v>
      </c>
      <c r="BU23" s="189">
        <v>1</v>
      </c>
      <c r="BV23" s="78" t="s">
        <v>3184</v>
      </c>
      <c r="BX23" s="143" t="s">
        <v>760</v>
      </c>
      <c r="BY23" s="143" t="s">
        <v>761</v>
      </c>
      <c r="BZ23" s="143" t="s">
        <v>680</v>
      </c>
      <c r="CA23" s="143">
        <v>3635</v>
      </c>
      <c r="CC23" s="137"/>
      <c r="CD23" s="137"/>
      <c r="CE23" s="137"/>
      <c r="CF23" s="189"/>
      <c r="CG23" s="189"/>
    </row>
    <row r="24" spans="1:85" x14ac:dyDescent="0.25">
      <c r="A24" s="143" t="s">
        <v>760</v>
      </c>
      <c r="B24" s="143" t="s">
        <v>761</v>
      </c>
      <c r="C24" s="143" t="s">
        <v>680</v>
      </c>
      <c r="D24" s="143">
        <v>3888</v>
      </c>
      <c r="E24" s="354">
        <v>0.4</v>
      </c>
      <c r="F24" s="354">
        <v>0.6</v>
      </c>
      <c r="G24" s="354">
        <v>1</v>
      </c>
      <c r="H24" s="137" t="s">
        <v>3184</v>
      </c>
      <c r="J24" s="143" t="s">
        <v>760</v>
      </c>
      <c r="K24" s="143" t="s">
        <v>761</v>
      </c>
      <c r="L24" s="143" t="s">
        <v>680</v>
      </c>
      <c r="M24" s="143">
        <v>3888</v>
      </c>
      <c r="N24" s="137">
        <v>0.2</v>
      </c>
      <c r="O24" s="137">
        <v>0.8</v>
      </c>
      <c r="P24" s="265">
        <v>1</v>
      </c>
      <c r="Q24" s="137" t="s">
        <v>3184</v>
      </c>
      <c r="R24" s="137">
        <v>0.1666667</v>
      </c>
      <c r="S24" s="137">
        <v>0.6</v>
      </c>
      <c r="T24" s="137">
        <v>0.76666670000000003</v>
      </c>
      <c r="V24" s="143" t="s">
        <v>760</v>
      </c>
      <c r="W24" s="143" t="s">
        <v>761</v>
      </c>
      <c r="X24" s="143" t="s">
        <v>680</v>
      </c>
      <c r="Y24" s="143">
        <v>3888</v>
      </c>
      <c r="Z24" s="137" t="s">
        <v>3185</v>
      </c>
      <c r="AA24" s="137" t="s">
        <v>3184</v>
      </c>
      <c r="AB24" s="137" t="s">
        <v>3184</v>
      </c>
      <c r="AC24" s="137" t="s">
        <v>3184</v>
      </c>
      <c r="AD24" s="137" t="s">
        <v>3185</v>
      </c>
      <c r="AE24" s="137" t="s">
        <v>3185</v>
      </c>
      <c r="AF24" s="137" t="s">
        <v>3184</v>
      </c>
      <c r="AG24" s="137" t="s">
        <v>3184</v>
      </c>
      <c r="AH24" s="137" t="s">
        <v>3184</v>
      </c>
      <c r="AI24" s="137" t="s">
        <v>3184</v>
      </c>
      <c r="AJ24" s="137" t="s">
        <v>3184</v>
      </c>
      <c r="AK24" s="137">
        <v>0.72727269999999999</v>
      </c>
      <c r="AM24" s="143" t="s">
        <v>760</v>
      </c>
      <c r="AN24" s="143" t="s">
        <v>761</v>
      </c>
      <c r="AO24" s="143">
        <v>1</v>
      </c>
      <c r="AP24" s="143">
        <v>3888</v>
      </c>
      <c r="AQ24" s="137"/>
      <c r="AR24" s="137"/>
      <c r="AS24" s="137"/>
      <c r="AT24" s="137"/>
      <c r="AU24" s="137"/>
      <c r="AV24" s="137"/>
      <c r="AW24" s="137"/>
      <c r="AX24" s="189">
        <v>0.91249999999999998</v>
      </c>
      <c r="AY24" s="189">
        <v>0.91249999999999998</v>
      </c>
      <c r="AZ24" s="78" t="s">
        <v>3185</v>
      </c>
      <c r="BB24" s="143" t="s">
        <v>760</v>
      </c>
      <c r="BC24" s="143" t="s">
        <v>761</v>
      </c>
      <c r="BD24" s="143" t="s">
        <v>680</v>
      </c>
      <c r="BE24" s="143">
        <v>3888</v>
      </c>
      <c r="BF24" s="137"/>
      <c r="BG24" s="137"/>
      <c r="BH24" s="137"/>
      <c r="BI24" s="137"/>
      <c r="BJ24" s="137"/>
      <c r="BK24" s="137"/>
      <c r="BL24" s="137"/>
      <c r="BM24" s="137"/>
      <c r="BN24" s="137"/>
      <c r="BO24" s="137"/>
      <c r="BP24" s="137"/>
      <c r="BQ24" s="137"/>
      <c r="BR24" s="137" t="s">
        <v>3184</v>
      </c>
      <c r="BS24" s="137" t="s">
        <v>3184</v>
      </c>
      <c r="BT24" s="189" t="s">
        <v>3184</v>
      </c>
      <c r="BU24" s="189">
        <v>1</v>
      </c>
      <c r="BV24" s="78" t="s">
        <v>3184</v>
      </c>
      <c r="BX24" s="143" t="s">
        <v>760</v>
      </c>
      <c r="BY24" s="143" t="s">
        <v>761</v>
      </c>
      <c r="BZ24" s="143" t="s">
        <v>680</v>
      </c>
      <c r="CA24" s="143">
        <v>3888</v>
      </c>
      <c r="CC24" s="137"/>
      <c r="CD24" s="137"/>
      <c r="CE24" s="137"/>
      <c r="CF24" s="189"/>
      <c r="CG24" s="189"/>
    </row>
    <row r="25" spans="1:85" x14ac:dyDescent="0.25">
      <c r="A25" s="143" t="s">
        <v>760</v>
      </c>
      <c r="B25" s="143" t="s">
        <v>761</v>
      </c>
      <c r="C25" s="143" t="s">
        <v>680</v>
      </c>
      <c r="D25" s="143">
        <v>3891</v>
      </c>
      <c r="E25" s="354">
        <v>0.4</v>
      </c>
      <c r="F25" s="354">
        <v>0.6</v>
      </c>
      <c r="G25" s="354">
        <v>1</v>
      </c>
      <c r="H25" s="137" t="s">
        <v>3184</v>
      </c>
      <c r="J25" s="143" t="s">
        <v>760</v>
      </c>
      <c r="K25" s="143" t="s">
        <v>761</v>
      </c>
      <c r="L25" s="143" t="s">
        <v>680</v>
      </c>
      <c r="M25" s="143">
        <v>3891</v>
      </c>
      <c r="N25" s="137">
        <v>0.12727269999999999</v>
      </c>
      <c r="O25" s="137">
        <v>0.43636360000000002</v>
      </c>
      <c r="P25" s="265">
        <v>0.56363640000000004</v>
      </c>
      <c r="Q25" s="137" t="s">
        <v>3185</v>
      </c>
      <c r="R25" s="137">
        <v>0.15</v>
      </c>
      <c r="S25" s="137">
        <v>0</v>
      </c>
      <c r="T25" s="137">
        <v>0.15</v>
      </c>
      <c r="V25" s="143" t="s">
        <v>760</v>
      </c>
      <c r="W25" s="143" t="s">
        <v>761</v>
      </c>
      <c r="X25" s="143" t="s">
        <v>680</v>
      </c>
      <c r="Y25" s="143">
        <v>3891</v>
      </c>
      <c r="Z25" s="137" t="s">
        <v>3185</v>
      </c>
      <c r="AA25" s="137" t="s">
        <v>3184</v>
      </c>
      <c r="AB25" s="137" t="s">
        <v>3184</v>
      </c>
      <c r="AC25" s="137" t="s">
        <v>3185</v>
      </c>
      <c r="AD25" s="137" t="s">
        <v>3185</v>
      </c>
      <c r="AE25" s="137" t="s">
        <v>3185</v>
      </c>
      <c r="AF25" s="137" t="s">
        <v>3184</v>
      </c>
      <c r="AG25" s="137" t="s">
        <v>3184</v>
      </c>
      <c r="AH25" s="137" t="s">
        <v>3184</v>
      </c>
      <c r="AI25" s="137" t="s">
        <v>3185</v>
      </c>
      <c r="AJ25" s="137" t="s">
        <v>3184</v>
      </c>
      <c r="AK25" s="137">
        <v>0.54545460000000001</v>
      </c>
      <c r="AM25" s="143" t="s">
        <v>760</v>
      </c>
      <c r="AN25" s="143" t="s">
        <v>761</v>
      </c>
      <c r="AO25" s="143">
        <v>1</v>
      </c>
      <c r="AP25" s="143">
        <v>3891</v>
      </c>
      <c r="AQ25" s="137"/>
      <c r="AR25" s="137"/>
      <c r="AS25" s="137"/>
      <c r="AT25" s="137"/>
      <c r="AU25" s="137"/>
      <c r="AV25" s="137"/>
      <c r="AW25" s="137"/>
      <c r="AX25" s="189">
        <v>0.88749999999999996</v>
      </c>
      <c r="AY25" s="189">
        <v>0.88749999999999996</v>
      </c>
      <c r="AZ25" s="78" t="s">
        <v>3185</v>
      </c>
      <c r="BB25" s="143" t="s">
        <v>760</v>
      </c>
      <c r="BC25" s="143" t="s">
        <v>761</v>
      </c>
      <c r="BD25" s="143" t="s">
        <v>680</v>
      </c>
      <c r="BE25" s="143">
        <v>3891</v>
      </c>
      <c r="BF25" s="137"/>
      <c r="BG25" s="137"/>
      <c r="BH25" s="137"/>
      <c r="BI25" s="137"/>
      <c r="BJ25" s="137"/>
      <c r="BK25" s="137"/>
      <c r="BL25" s="137"/>
      <c r="BM25" s="137"/>
      <c r="BN25" s="137"/>
      <c r="BO25" s="137"/>
      <c r="BP25" s="137"/>
      <c r="BQ25" s="137"/>
      <c r="BR25" s="137" t="s">
        <v>3184</v>
      </c>
      <c r="BS25" s="137" t="s">
        <v>3184</v>
      </c>
      <c r="BT25" s="189" t="s">
        <v>3184</v>
      </c>
      <c r="BU25" s="189">
        <v>1</v>
      </c>
      <c r="BV25" s="78" t="s">
        <v>3184</v>
      </c>
      <c r="BX25" s="143" t="s">
        <v>760</v>
      </c>
      <c r="BY25" s="143" t="s">
        <v>761</v>
      </c>
      <c r="BZ25" s="143" t="s">
        <v>680</v>
      </c>
      <c r="CA25" s="143">
        <v>3891</v>
      </c>
      <c r="CC25" s="137"/>
      <c r="CD25" s="137"/>
      <c r="CE25" s="137"/>
      <c r="CF25" s="189"/>
      <c r="CG25" s="189"/>
    </row>
    <row r="26" spans="1:85" x14ac:dyDescent="0.25">
      <c r="A26" s="143" t="s">
        <v>760</v>
      </c>
      <c r="B26" s="143" t="s">
        <v>761</v>
      </c>
      <c r="C26" s="143" t="s">
        <v>680</v>
      </c>
      <c r="D26" s="143">
        <v>4039</v>
      </c>
      <c r="E26" s="354">
        <v>0.4</v>
      </c>
      <c r="F26" s="354">
        <v>0.6</v>
      </c>
      <c r="G26" s="354">
        <v>1</v>
      </c>
      <c r="H26" s="137" t="s">
        <v>3184</v>
      </c>
      <c r="J26" s="143" t="s">
        <v>760</v>
      </c>
      <c r="K26" s="143" t="s">
        <v>761</v>
      </c>
      <c r="L26" s="143" t="s">
        <v>680</v>
      </c>
      <c r="M26" s="143">
        <v>4039</v>
      </c>
      <c r="N26" s="137">
        <v>0.14545449999999999</v>
      </c>
      <c r="O26" s="137">
        <v>0.61898989999999998</v>
      </c>
      <c r="P26" s="265">
        <v>0.76444449999999997</v>
      </c>
      <c r="Q26" s="137" t="s">
        <v>3185</v>
      </c>
      <c r="R26" s="137">
        <v>0.1166667</v>
      </c>
      <c r="S26" s="137">
        <v>0.53333339999999996</v>
      </c>
      <c r="T26" s="137">
        <v>0.65</v>
      </c>
      <c r="V26" s="143" t="s">
        <v>760</v>
      </c>
      <c r="W26" s="143" t="s">
        <v>761</v>
      </c>
      <c r="X26" s="143" t="s">
        <v>680</v>
      </c>
      <c r="Y26" s="143">
        <v>4039</v>
      </c>
      <c r="Z26" s="137" t="s">
        <v>3184</v>
      </c>
      <c r="AA26" s="137" t="s">
        <v>3185</v>
      </c>
      <c r="AB26" s="137" t="s">
        <v>3184</v>
      </c>
      <c r="AC26" s="137" t="s">
        <v>3184</v>
      </c>
      <c r="AD26" s="137" t="s">
        <v>3185</v>
      </c>
      <c r="AE26" s="137" t="s">
        <v>3185</v>
      </c>
      <c r="AF26" s="137" t="s">
        <v>3184</v>
      </c>
      <c r="AG26" s="137" t="s">
        <v>3185</v>
      </c>
      <c r="AH26" s="137" t="s">
        <v>3184</v>
      </c>
      <c r="AI26" s="137" t="s">
        <v>3184</v>
      </c>
      <c r="AJ26" s="137" t="s">
        <v>3184</v>
      </c>
      <c r="AK26" s="137">
        <v>0.63636360000000003</v>
      </c>
      <c r="AM26" s="143" t="s">
        <v>760</v>
      </c>
      <c r="AN26" s="143" t="s">
        <v>761</v>
      </c>
      <c r="AO26" s="143">
        <v>1</v>
      </c>
      <c r="AP26" s="143">
        <v>4039</v>
      </c>
      <c r="AQ26" s="137"/>
      <c r="AR26" s="137"/>
      <c r="AS26" s="137"/>
      <c r="AT26" s="137"/>
      <c r="AU26" s="137"/>
      <c r="AV26" s="137"/>
      <c r="AW26" s="137"/>
      <c r="AX26" s="189">
        <v>0.85</v>
      </c>
      <c r="AY26" s="189">
        <v>0.85</v>
      </c>
      <c r="AZ26" s="78" t="s">
        <v>3185</v>
      </c>
      <c r="BB26" s="143" t="s">
        <v>760</v>
      </c>
      <c r="BC26" s="143" t="s">
        <v>761</v>
      </c>
      <c r="BD26" s="143" t="s">
        <v>680</v>
      </c>
      <c r="BE26" s="143">
        <v>4039</v>
      </c>
      <c r="BF26" s="137"/>
      <c r="BG26" s="137"/>
      <c r="BH26" s="137"/>
      <c r="BI26" s="137"/>
      <c r="BJ26" s="137"/>
      <c r="BK26" s="137"/>
      <c r="BL26" s="137"/>
      <c r="BM26" s="137"/>
      <c r="BN26" s="137"/>
      <c r="BO26" s="137"/>
      <c r="BP26" s="137"/>
      <c r="BQ26" s="137"/>
      <c r="BR26" s="137" t="s">
        <v>3184</v>
      </c>
      <c r="BS26" s="137" t="s">
        <v>3184</v>
      </c>
      <c r="BT26" s="189" t="s">
        <v>3184</v>
      </c>
      <c r="BU26" s="189">
        <v>1</v>
      </c>
      <c r="BV26" s="78" t="s">
        <v>3184</v>
      </c>
      <c r="BX26" s="143" t="s">
        <v>760</v>
      </c>
      <c r="BY26" s="143" t="s">
        <v>761</v>
      </c>
      <c r="BZ26" s="143" t="s">
        <v>680</v>
      </c>
      <c r="CA26" s="143">
        <v>4039</v>
      </c>
      <c r="CC26" s="137"/>
      <c r="CD26" s="137"/>
      <c r="CE26" s="137"/>
      <c r="CF26" s="189"/>
      <c r="CG26" s="189"/>
    </row>
    <row r="27" spans="1:85" x14ac:dyDescent="0.25">
      <c r="A27" s="143" t="s">
        <v>762</v>
      </c>
      <c r="B27" s="143" t="s">
        <v>758</v>
      </c>
      <c r="C27" s="143" t="s">
        <v>680</v>
      </c>
      <c r="D27" s="143">
        <v>1992</v>
      </c>
      <c r="E27" s="354">
        <v>0.39480520000000002</v>
      </c>
      <c r="F27" s="354">
        <v>0.6</v>
      </c>
      <c r="G27" s="354">
        <v>0.99480519999999995</v>
      </c>
      <c r="H27" s="137" t="s">
        <v>3185</v>
      </c>
      <c r="J27" s="143" t="s">
        <v>762</v>
      </c>
      <c r="K27" s="143" t="s">
        <v>758</v>
      </c>
      <c r="L27" s="143" t="s">
        <v>680</v>
      </c>
      <c r="M27" s="143">
        <v>1992</v>
      </c>
      <c r="N27" s="137">
        <v>0.14545449999999999</v>
      </c>
      <c r="O27" s="137">
        <v>0.50909090000000001</v>
      </c>
      <c r="P27" s="265">
        <v>0.65454540000000005</v>
      </c>
      <c r="Q27" s="137" t="s">
        <v>3185</v>
      </c>
      <c r="R27" s="137">
        <v>0.1666667</v>
      </c>
      <c r="S27" s="137">
        <v>0.6</v>
      </c>
      <c r="T27" s="137">
        <v>0.76666670000000003</v>
      </c>
      <c r="V27" s="143" t="s">
        <v>762</v>
      </c>
      <c r="W27" s="143" t="s">
        <v>758</v>
      </c>
      <c r="X27" s="143" t="s">
        <v>680</v>
      </c>
      <c r="Y27" s="143">
        <v>1992</v>
      </c>
      <c r="Z27" s="137" t="s">
        <v>3185</v>
      </c>
      <c r="AA27" s="137" t="s">
        <v>3184</v>
      </c>
      <c r="AB27" s="137" t="s">
        <v>3184</v>
      </c>
      <c r="AC27" s="137" t="s">
        <v>3184</v>
      </c>
      <c r="AD27" s="137" t="s">
        <v>3185</v>
      </c>
      <c r="AE27" s="137" t="s">
        <v>3185</v>
      </c>
      <c r="AF27" s="137" t="s">
        <v>3184</v>
      </c>
      <c r="AG27" s="137" t="s">
        <v>3184</v>
      </c>
      <c r="AH27" s="137" t="s">
        <v>3184</v>
      </c>
      <c r="AI27" s="137" t="s">
        <v>3184</v>
      </c>
      <c r="AJ27" s="137" t="s">
        <v>3185</v>
      </c>
      <c r="AK27" s="137">
        <v>0.63636360000000003</v>
      </c>
      <c r="AM27" s="143" t="s">
        <v>762</v>
      </c>
      <c r="AN27" s="143" t="s">
        <v>758</v>
      </c>
      <c r="AO27" s="143">
        <v>1</v>
      </c>
      <c r="AP27" s="143">
        <v>1992</v>
      </c>
      <c r="AQ27" s="137"/>
      <c r="AR27" s="137"/>
      <c r="AS27" s="137"/>
      <c r="AT27" s="137"/>
      <c r="AU27" s="137"/>
      <c r="AV27" s="137"/>
      <c r="AW27" s="137"/>
      <c r="AX27" s="189">
        <v>0.91249999999999998</v>
      </c>
      <c r="AY27" s="189">
        <v>0.91249999999999998</v>
      </c>
      <c r="AZ27" s="78" t="s">
        <v>3185</v>
      </c>
      <c r="BB27" s="143" t="s">
        <v>762</v>
      </c>
      <c r="BC27" s="143" t="s">
        <v>758</v>
      </c>
      <c r="BD27" s="143" t="s">
        <v>680</v>
      </c>
      <c r="BE27" s="143">
        <v>1992</v>
      </c>
      <c r="BF27" s="137"/>
      <c r="BG27" s="137"/>
      <c r="BH27" s="137"/>
      <c r="BI27" s="137"/>
      <c r="BJ27" s="137"/>
      <c r="BK27" s="137"/>
      <c r="BL27" s="137"/>
      <c r="BM27" s="137"/>
      <c r="BN27" s="137"/>
      <c r="BO27" s="137"/>
      <c r="BP27" s="137"/>
      <c r="BQ27" s="137"/>
      <c r="BR27" s="137" t="s">
        <v>3184</v>
      </c>
      <c r="BS27" s="137" t="s">
        <v>3184</v>
      </c>
      <c r="BT27" s="189" t="s">
        <v>3184</v>
      </c>
      <c r="BU27" s="189">
        <v>1</v>
      </c>
      <c r="BV27" s="78" t="s">
        <v>3184</v>
      </c>
      <c r="BX27" s="143" t="s">
        <v>762</v>
      </c>
      <c r="BY27" s="143" t="s">
        <v>758</v>
      </c>
      <c r="BZ27" s="143" t="s">
        <v>680</v>
      </c>
      <c r="CA27" s="143">
        <v>1992</v>
      </c>
      <c r="CC27" s="137"/>
      <c r="CD27" s="137"/>
      <c r="CE27" s="137"/>
      <c r="CF27" s="189"/>
      <c r="CG27" s="189"/>
    </row>
    <row r="28" spans="1:85" x14ac:dyDescent="0.25">
      <c r="A28" s="143" t="s">
        <v>762</v>
      </c>
      <c r="B28" s="143" t="s">
        <v>758</v>
      </c>
      <c r="C28" s="143" t="s">
        <v>680</v>
      </c>
      <c r="D28" s="143">
        <v>2321</v>
      </c>
      <c r="E28" s="354">
        <v>0.4</v>
      </c>
      <c r="F28" s="354">
        <v>0.6</v>
      </c>
      <c r="G28" s="354">
        <v>1</v>
      </c>
      <c r="H28" s="78" t="s">
        <v>3184</v>
      </c>
      <c r="J28" s="143" t="s">
        <v>762</v>
      </c>
      <c r="K28" s="143" t="s">
        <v>758</v>
      </c>
      <c r="L28" s="143" t="s">
        <v>680</v>
      </c>
      <c r="M28" s="143">
        <v>2321</v>
      </c>
      <c r="N28" s="137">
        <v>0.16363639999999999</v>
      </c>
      <c r="O28" s="137">
        <v>0.46060610000000002</v>
      </c>
      <c r="P28" s="265">
        <v>0.62424239999999998</v>
      </c>
      <c r="Q28" s="137" t="s">
        <v>3185</v>
      </c>
      <c r="R28" s="137">
        <v>0.2</v>
      </c>
      <c r="S28" s="137">
        <v>0</v>
      </c>
      <c r="T28" s="137">
        <v>0.2</v>
      </c>
      <c r="V28" s="143" t="s">
        <v>762</v>
      </c>
      <c r="W28" s="143" t="s">
        <v>758</v>
      </c>
      <c r="X28" s="143" t="s">
        <v>680</v>
      </c>
      <c r="Y28" s="143">
        <v>2321</v>
      </c>
      <c r="Z28" s="137" t="s">
        <v>3184</v>
      </c>
      <c r="AA28" s="137" t="s">
        <v>3184</v>
      </c>
      <c r="AB28" s="137" t="s">
        <v>3185</v>
      </c>
      <c r="AC28" s="137" t="s">
        <v>3184</v>
      </c>
      <c r="AD28" s="137" t="s">
        <v>3185</v>
      </c>
      <c r="AE28" s="137" t="s">
        <v>3184</v>
      </c>
      <c r="AF28" s="137" t="s">
        <v>3184</v>
      </c>
      <c r="AG28" s="137" t="s">
        <v>3184</v>
      </c>
      <c r="AH28" s="137" t="s">
        <v>3184</v>
      </c>
      <c r="AI28" s="137" t="s">
        <v>3184</v>
      </c>
      <c r="AJ28" s="137" t="s">
        <v>3184</v>
      </c>
      <c r="AK28" s="137">
        <v>0.81818179999999996</v>
      </c>
      <c r="AM28" s="143" t="s">
        <v>762</v>
      </c>
      <c r="AN28" s="143" t="s">
        <v>758</v>
      </c>
      <c r="AO28" s="143">
        <v>1</v>
      </c>
      <c r="AP28" s="143">
        <v>2321</v>
      </c>
      <c r="AQ28" s="137"/>
      <c r="AR28" s="137"/>
      <c r="AS28" s="137"/>
      <c r="AT28" s="137"/>
      <c r="AU28" s="137"/>
      <c r="AV28" s="137"/>
      <c r="AW28" s="137"/>
      <c r="AX28" s="189">
        <v>0.9375</v>
      </c>
      <c r="AY28" s="189">
        <v>0.9375</v>
      </c>
      <c r="AZ28" s="78" t="s">
        <v>3185</v>
      </c>
      <c r="BB28" s="143" t="s">
        <v>762</v>
      </c>
      <c r="BC28" s="143" t="s">
        <v>758</v>
      </c>
      <c r="BD28" s="143" t="s">
        <v>680</v>
      </c>
      <c r="BE28" s="143">
        <v>2321</v>
      </c>
      <c r="BF28" s="137"/>
      <c r="BG28" s="137"/>
      <c r="BH28" s="137"/>
      <c r="BI28" s="137"/>
      <c r="BJ28" s="137"/>
      <c r="BK28" s="137"/>
      <c r="BL28" s="137"/>
      <c r="BM28" s="137"/>
      <c r="BN28" s="137"/>
      <c r="BO28" s="137"/>
      <c r="BP28" s="137"/>
      <c r="BQ28" s="137"/>
      <c r="BR28" s="137" t="s">
        <v>3184</v>
      </c>
      <c r="BS28" s="137" t="s">
        <v>3184</v>
      </c>
      <c r="BT28" s="189" t="s">
        <v>3184</v>
      </c>
      <c r="BU28" s="189">
        <v>1</v>
      </c>
      <c r="BV28" s="78" t="s">
        <v>3184</v>
      </c>
      <c r="BX28" s="143" t="s">
        <v>762</v>
      </c>
      <c r="BY28" s="143" t="s">
        <v>758</v>
      </c>
      <c r="BZ28" s="143" t="s">
        <v>680</v>
      </c>
      <c r="CA28" s="143">
        <v>2321</v>
      </c>
      <c r="CC28" s="137"/>
      <c r="CD28" s="137"/>
      <c r="CE28" s="137"/>
      <c r="CF28" s="189"/>
      <c r="CG28" s="189"/>
    </row>
    <row r="29" spans="1:85" x14ac:dyDescent="0.25">
      <c r="A29" s="143" t="s">
        <v>762</v>
      </c>
      <c r="B29" s="143" t="s">
        <v>758</v>
      </c>
      <c r="C29" s="143" t="s">
        <v>680</v>
      </c>
      <c r="D29" s="143">
        <v>2644</v>
      </c>
      <c r="E29" s="354">
        <v>0.4</v>
      </c>
      <c r="F29" s="354">
        <v>0.6</v>
      </c>
      <c r="G29" s="354">
        <v>1</v>
      </c>
      <c r="H29" s="78" t="s">
        <v>3184</v>
      </c>
      <c r="J29" s="143" t="s">
        <v>762</v>
      </c>
      <c r="K29" s="143" t="s">
        <v>758</v>
      </c>
      <c r="L29" s="143" t="s">
        <v>680</v>
      </c>
      <c r="M29" s="143">
        <v>2644</v>
      </c>
      <c r="N29" s="137">
        <v>0.16363639999999999</v>
      </c>
      <c r="O29" s="137">
        <v>0.50909090000000001</v>
      </c>
      <c r="P29" s="265">
        <v>0.67272730000000003</v>
      </c>
      <c r="Q29" s="137" t="s">
        <v>3185</v>
      </c>
      <c r="R29" s="137">
        <v>0.1666667</v>
      </c>
      <c r="S29" s="137">
        <v>0.59653679999999998</v>
      </c>
      <c r="T29" s="137">
        <v>0.76320339999999998</v>
      </c>
      <c r="V29" s="143" t="s">
        <v>762</v>
      </c>
      <c r="W29" s="143" t="s">
        <v>758</v>
      </c>
      <c r="X29" s="143" t="s">
        <v>680</v>
      </c>
      <c r="Y29" s="143">
        <v>2644</v>
      </c>
      <c r="Z29" s="137" t="s">
        <v>3185</v>
      </c>
      <c r="AA29" s="137" t="s">
        <v>3184</v>
      </c>
      <c r="AB29" s="137" t="s">
        <v>3184</v>
      </c>
      <c r="AC29" s="137" t="s">
        <v>3184</v>
      </c>
      <c r="AD29" s="137" t="s">
        <v>3185</v>
      </c>
      <c r="AE29" s="137" t="s">
        <v>3185</v>
      </c>
      <c r="AF29" s="137" t="s">
        <v>3184</v>
      </c>
      <c r="AG29" s="137" t="s">
        <v>3184</v>
      </c>
      <c r="AH29" s="137" t="s">
        <v>3184</v>
      </c>
      <c r="AI29" s="137" t="s">
        <v>3184</v>
      </c>
      <c r="AJ29" s="137" t="s">
        <v>3185</v>
      </c>
      <c r="AK29" s="137">
        <v>0.63636360000000003</v>
      </c>
      <c r="AM29" s="143" t="s">
        <v>762</v>
      </c>
      <c r="AN29" s="143" t="s">
        <v>758</v>
      </c>
      <c r="AO29" s="143">
        <v>1</v>
      </c>
      <c r="AP29" s="143">
        <v>2644</v>
      </c>
      <c r="AQ29" s="137"/>
      <c r="AR29" s="137"/>
      <c r="AS29" s="137"/>
      <c r="AT29" s="137"/>
      <c r="AU29" s="137"/>
      <c r="AV29" s="137"/>
      <c r="AW29" s="137"/>
      <c r="AX29" s="189">
        <v>0.91249999999999998</v>
      </c>
      <c r="AY29" s="189">
        <v>0.91249999999999998</v>
      </c>
      <c r="AZ29" s="78" t="s">
        <v>3185</v>
      </c>
      <c r="BB29" s="143" t="s">
        <v>762</v>
      </c>
      <c r="BC29" s="143" t="s">
        <v>758</v>
      </c>
      <c r="BD29" s="143" t="s">
        <v>680</v>
      </c>
      <c r="BE29" s="143">
        <v>2644</v>
      </c>
      <c r="BF29" s="137"/>
      <c r="BG29" s="137"/>
      <c r="BH29" s="137"/>
      <c r="BI29" s="137"/>
      <c r="BJ29" s="137"/>
      <c r="BK29" s="137"/>
      <c r="BL29" s="137"/>
      <c r="BM29" s="137"/>
      <c r="BN29" s="137"/>
      <c r="BO29" s="137"/>
      <c r="BP29" s="137"/>
      <c r="BQ29" s="137"/>
      <c r="BR29" s="137" t="s">
        <v>3184</v>
      </c>
      <c r="BS29" s="137" t="s">
        <v>3185</v>
      </c>
      <c r="BT29" s="189" t="s">
        <v>3184</v>
      </c>
      <c r="BU29" s="189">
        <v>0.66666669999999995</v>
      </c>
      <c r="BV29" s="78" t="s">
        <v>3185</v>
      </c>
      <c r="BX29" s="143" t="s">
        <v>762</v>
      </c>
      <c r="BY29" s="143" t="s">
        <v>758</v>
      </c>
      <c r="BZ29" s="143" t="s">
        <v>680</v>
      </c>
      <c r="CA29" s="143">
        <v>2644</v>
      </c>
      <c r="CC29" s="137"/>
      <c r="CD29" s="137"/>
      <c r="CE29" s="137"/>
      <c r="CF29" s="189"/>
      <c r="CG29" s="189"/>
    </row>
    <row r="30" spans="1:85" x14ac:dyDescent="0.25">
      <c r="A30" s="143" t="s">
        <v>762</v>
      </c>
      <c r="B30" s="143" t="s">
        <v>758</v>
      </c>
      <c r="C30" s="143" t="s">
        <v>680</v>
      </c>
      <c r="D30" s="143">
        <v>4352</v>
      </c>
      <c r="E30" s="354">
        <v>0.4</v>
      </c>
      <c r="F30" s="354">
        <v>0.6</v>
      </c>
      <c r="G30" s="354">
        <v>1</v>
      </c>
      <c r="H30" s="78" t="s">
        <v>3184</v>
      </c>
      <c r="J30" s="143" t="s">
        <v>762</v>
      </c>
      <c r="K30" s="143" t="s">
        <v>758</v>
      </c>
      <c r="L30" s="143" t="s">
        <v>680</v>
      </c>
      <c r="M30" s="143">
        <v>4352</v>
      </c>
      <c r="N30" s="137">
        <v>0.16363639999999999</v>
      </c>
      <c r="O30" s="137">
        <v>0.6545455</v>
      </c>
      <c r="P30" s="265">
        <v>0.81818179999999996</v>
      </c>
      <c r="Q30" s="137" t="s">
        <v>3185</v>
      </c>
      <c r="R30" s="137">
        <v>0.2</v>
      </c>
      <c r="S30" s="137">
        <v>0.65367969999999997</v>
      </c>
      <c r="T30" s="137">
        <v>0.85367970000000004</v>
      </c>
      <c r="V30" s="143" t="s">
        <v>762</v>
      </c>
      <c r="W30" s="143" t="s">
        <v>758</v>
      </c>
      <c r="X30" s="143" t="s">
        <v>680</v>
      </c>
      <c r="Y30" s="143">
        <v>4352</v>
      </c>
      <c r="Z30" s="137" t="s">
        <v>3185</v>
      </c>
      <c r="AA30" s="137" t="s">
        <v>3184</v>
      </c>
      <c r="AB30" s="137" t="s">
        <v>3185</v>
      </c>
      <c r="AC30" s="137" t="s">
        <v>3184</v>
      </c>
      <c r="AD30" s="137" t="s">
        <v>3185</v>
      </c>
      <c r="AE30" s="137" t="s">
        <v>3185</v>
      </c>
      <c r="AF30" s="137" t="s">
        <v>3184</v>
      </c>
      <c r="AG30" s="137" t="s">
        <v>3184</v>
      </c>
      <c r="AH30" s="137" t="s">
        <v>3184</v>
      </c>
      <c r="AI30" s="137" t="s">
        <v>3184</v>
      </c>
      <c r="AJ30" s="137" t="s">
        <v>3185</v>
      </c>
      <c r="AK30" s="137">
        <v>0.54545460000000001</v>
      </c>
      <c r="AM30" s="143" t="s">
        <v>762</v>
      </c>
      <c r="AN30" s="143" t="s">
        <v>758</v>
      </c>
      <c r="AO30" s="143">
        <v>1</v>
      </c>
      <c r="AP30" s="143">
        <v>4352</v>
      </c>
      <c r="AQ30" s="137"/>
      <c r="AR30" s="137"/>
      <c r="AS30" s="137"/>
      <c r="AT30" s="137"/>
      <c r="AU30" s="137"/>
      <c r="AV30" s="137"/>
      <c r="AW30" s="137"/>
      <c r="AX30" s="189">
        <v>0.9</v>
      </c>
      <c r="AY30" s="189">
        <v>0.9</v>
      </c>
      <c r="AZ30" s="78" t="s">
        <v>3185</v>
      </c>
      <c r="BB30" s="143" t="s">
        <v>762</v>
      </c>
      <c r="BC30" s="143" t="s">
        <v>758</v>
      </c>
      <c r="BD30" s="143" t="s">
        <v>680</v>
      </c>
      <c r="BE30" s="143">
        <v>4352</v>
      </c>
      <c r="BF30" s="137"/>
      <c r="BG30" s="137"/>
      <c r="BH30" s="137"/>
      <c r="BI30" s="137"/>
      <c r="BJ30" s="137"/>
      <c r="BK30" s="137"/>
      <c r="BL30" s="137"/>
      <c r="BM30" s="137"/>
      <c r="BN30" s="137"/>
      <c r="BO30" s="137"/>
      <c r="BP30" s="137"/>
      <c r="BQ30" s="137"/>
      <c r="BR30" s="137" t="s">
        <v>3184</v>
      </c>
      <c r="BS30" s="137" t="s">
        <v>3184</v>
      </c>
      <c r="BT30" s="189" t="s">
        <v>3184</v>
      </c>
      <c r="BU30" s="189">
        <v>1</v>
      </c>
      <c r="BV30" s="78" t="s">
        <v>3184</v>
      </c>
      <c r="BX30" s="143" t="s">
        <v>762</v>
      </c>
      <c r="BY30" s="143" t="s">
        <v>758</v>
      </c>
      <c r="BZ30" s="143" t="s">
        <v>680</v>
      </c>
      <c r="CA30" s="143">
        <v>4352</v>
      </c>
      <c r="CC30" s="137"/>
      <c r="CD30" s="137"/>
      <c r="CE30" s="137"/>
      <c r="CF30" s="189"/>
      <c r="CG30" s="189"/>
    </row>
    <row r="31" spans="1:85" x14ac:dyDescent="0.25">
      <c r="A31" s="143" t="s">
        <v>762</v>
      </c>
      <c r="B31" s="143" t="s">
        <v>758</v>
      </c>
      <c r="C31" s="143" t="s">
        <v>680</v>
      </c>
      <c r="D31" s="143">
        <v>4356</v>
      </c>
      <c r="E31" s="354">
        <v>0.4</v>
      </c>
      <c r="F31" s="354">
        <v>0.6</v>
      </c>
      <c r="G31" s="354">
        <v>1</v>
      </c>
      <c r="H31" s="78" t="s">
        <v>3184</v>
      </c>
      <c r="J31" s="143" t="s">
        <v>762</v>
      </c>
      <c r="K31" s="143" t="s">
        <v>758</v>
      </c>
      <c r="L31" s="143" t="s">
        <v>680</v>
      </c>
      <c r="M31" s="143">
        <v>4356</v>
      </c>
      <c r="N31" s="137">
        <v>0.2</v>
      </c>
      <c r="O31" s="137">
        <v>0.8</v>
      </c>
      <c r="P31" s="265">
        <v>1</v>
      </c>
      <c r="Q31" s="137" t="s">
        <v>3184</v>
      </c>
      <c r="R31" s="137">
        <v>0.1833333</v>
      </c>
      <c r="S31" s="137">
        <v>0.73333329999999997</v>
      </c>
      <c r="T31" s="137">
        <v>0.91666669999999995</v>
      </c>
      <c r="V31" s="143" t="s">
        <v>762</v>
      </c>
      <c r="W31" s="143" t="s">
        <v>758</v>
      </c>
      <c r="X31" s="143" t="s">
        <v>680</v>
      </c>
      <c r="Y31" s="143">
        <v>4356</v>
      </c>
      <c r="Z31" s="137" t="s">
        <v>3184</v>
      </c>
      <c r="AA31" s="137" t="s">
        <v>3184</v>
      </c>
      <c r="AB31" s="137" t="s">
        <v>3185</v>
      </c>
      <c r="AC31" s="137" t="s">
        <v>3184</v>
      </c>
      <c r="AD31" s="137" t="s">
        <v>3185</v>
      </c>
      <c r="AE31" s="137" t="s">
        <v>3185</v>
      </c>
      <c r="AF31" s="137" t="s">
        <v>3184</v>
      </c>
      <c r="AG31" s="137" t="s">
        <v>3184</v>
      </c>
      <c r="AH31" s="137" t="s">
        <v>3184</v>
      </c>
      <c r="AI31" s="137" t="s">
        <v>3184</v>
      </c>
      <c r="AJ31" s="137" t="s">
        <v>3185</v>
      </c>
      <c r="AK31" s="137">
        <v>0.63636360000000003</v>
      </c>
      <c r="AM31" s="143" t="s">
        <v>762</v>
      </c>
      <c r="AN31" s="143" t="s">
        <v>758</v>
      </c>
      <c r="AO31" s="143">
        <v>1</v>
      </c>
      <c r="AP31" s="143">
        <v>4356</v>
      </c>
      <c r="AQ31" s="137"/>
      <c r="AR31" s="137"/>
      <c r="AS31" s="137"/>
      <c r="AT31" s="137"/>
      <c r="AU31" s="137"/>
      <c r="AV31" s="137"/>
      <c r="AW31" s="137"/>
      <c r="AX31" s="189">
        <v>0.97499999999999998</v>
      </c>
      <c r="AY31" s="189">
        <v>0.97499999999999998</v>
      </c>
      <c r="AZ31" s="78" t="s">
        <v>3184</v>
      </c>
      <c r="BB31" s="143" t="s">
        <v>762</v>
      </c>
      <c r="BC31" s="143" t="s">
        <v>758</v>
      </c>
      <c r="BD31" s="143" t="s">
        <v>680</v>
      </c>
      <c r="BE31" s="143">
        <v>4356</v>
      </c>
      <c r="BF31" s="137"/>
      <c r="BG31" s="137"/>
      <c r="BH31" s="137"/>
      <c r="BI31" s="137"/>
      <c r="BJ31" s="137"/>
      <c r="BK31" s="137"/>
      <c r="BL31" s="137"/>
      <c r="BM31" s="137"/>
      <c r="BN31" s="137"/>
      <c r="BO31" s="137"/>
      <c r="BP31" s="137"/>
      <c r="BQ31" s="137"/>
      <c r="BR31" s="137" t="s">
        <v>3184</v>
      </c>
      <c r="BS31" s="137" t="s">
        <v>3184</v>
      </c>
      <c r="BT31" s="189" t="s">
        <v>3184</v>
      </c>
      <c r="BU31" s="189">
        <v>1</v>
      </c>
      <c r="BV31" s="78" t="s">
        <v>3184</v>
      </c>
      <c r="BX31" s="143" t="s">
        <v>762</v>
      </c>
      <c r="BY31" s="143" t="s">
        <v>758</v>
      </c>
      <c r="BZ31" s="143" t="s">
        <v>680</v>
      </c>
      <c r="CA31" s="143">
        <v>4356</v>
      </c>
      <c r="CC31" s="137"/>
      <c r="CD31" s="137"/>
      <c r="CE31" s="137"/>
      <c r="CF31" s="189"/>
      <c r="CG31" s="189"/>
    </row>
    <row r="32" spans="1:85" x14ac:dyDescent="0.25">
      <c r="A32" s="143" t="s">
        <v>762</v>
      </c>
      <c r="B32" s="143" t="s">
        <v>758</v>
      </c>
      <c r="C32" s="143" t="s">
        <v>680</v>
      </c>
      <c r="D32" s="143">
        <v>4358</v>
      </c>
      <c r="E32" s="354">
        <v>0.4</v>
      </c>
      <c r="F32" s="354">
        <v>0.6</v>
      </c>
      <c r="G32" s="354">
        <v>1</v>
      </c>
      <c r="H32" s="78" t="s">
        <v>3184</v>
      </c>
      <c r="J32" s="143" t="s">
        <v>762</v>
      </c>
      <c r="K32" s="143" t="s">
        <v>758</v>
      </c>
      <c r="L32" s="143" t="s">
        <v>680</v>
      </c>
      <c r="M32" s="143">
        <v>4358</v>
      </c>
      <c r="N32" s="137">
        <v>0.18181820000000001</v>
      </c>
      <c r="O32" s="137">
        <v>0.6545455</v>
      </c>
      <c r="P32" s="265">
        <v>0.83636359999999998</v>
      </c>
      <c r="Q32" s="137" t="s">
        <v>3185</v>
      </c>
      <c r="R32" s="137">
        <v>0.2</v>
      </c>
      <c r="S32" s="137">
        <v>0.73333329999999997</v>
      </c>
      <c r="T32" s="137">
        <v>0.93333330000000003</v>
      </c>
      <c r="V32" s="143" t="s">
        <v>762</v>
      </c>
      <c r="W32" s="143" t="s">
        <v>758</v>
      </c>
      <c r="X32" s="143" t="s">
        <v>680</v>
      </c>
      <c r="Y32" s="143">
        <v>4358</v>
      </c>
      <c r="Z32" s="137" t="s">
        <v>3185</v>
      </c>
      <c r="AA32" s="137" t="s">
        <v>3184</v>
      </c>
      <c r="AB32" s="137" t="s">
        <v>3184</v>
      </c>
      <c r="AC32" s="137" t="s">
        <v>3184</v>
      </c>
      <c r="AD32" s="137" t="s">
        <v>3185</v>
      </c>
      <c r="AE32" s="137" t="s">
        <v>3185</v>
      </c>
      <c r="AF32" s="137" t="s">
        <v>3184</v>
      </c>
      <c r="AG32" s="137" t="s">
        <v>3184</v>
      </c>
      <c r="AH32" s="137" t="s">
        <v>3184</v>
      </c>
      <c r="AI32" s="137" t="s">
        <v>3184</v>
      </c>
      <c r="AJ32" s="137" t="s">
        <v>3184</v>
      </c>
      <c r="AK32" s="137">
        <v>0.72727269999999999</v>
      </c>
      <c r="AM32" s="143" t="s">
        <v>762</v>
      </c>
      <c r="AN32" s="143" t="s">
        <v>758</v>
      </c>
      <c r="AO32" s="143">
        <v>1</v>
      </c>
      <c r="AP32" s="143">
        <v>4358</v>
      </c>
      <c r="AQ32" s="137"/>
      <c r="AR32" s="137"/>
      <c r="AS32" s="137"/>
      <c r="AT32" s="137"/>
      <c r="AU32" s="137"/>
      <c r="AV32" s="137"/>
      <c r="AW32" s="137"/>
      <c r="AX32" s="189">
        <v>0.91249999999999998</v>
      </c>
      <c r="AY32" s="189">
        <v>0.91249999999999998</v>
      </c>
      <c r="AZ32" s="78" t="s">
        <v>3185</v>
      </c>
      <c r="BB32" s="143" t="s">
        <v>762</v>
      </c>
      <c r="BC32" s="143" t="s">
        <v>758</v>
      </c>
      <c r="BD32" s="143" t="s">
        <v>680</v>
      </c>
      <c r="BE32" s="143">
        <v>4358</v>
      </c>
      <c r="BF32" s="137"/>
      <c r="BG32" s="137"/>
      <c r="BH32" s="137"/>
      <c r="BI32" s="137"/>
      <c r="BJ32" s="137"/>
      <c r="BK32" s="137"/>
      <c r="BL32" s="137"/>
      <c r="BM32" s="137"/>
      <c r="BN32" s="137"/>
      <c r="BO32" s="137"/>
      <c r="BP32" s="137"/>
      <c r="BQ32" s="137"/>
      <c r="BR32" s="137" t="s">
        <v>3184</v>
      </c>
      <c r="BS32" s="137" t="s">
        <v>3184</v>
      </c>
      <c r="BT32" s="189" t="s">
        <v>3184</v>
      </c>
      <c r="BU32" s="189">
        <v>1</v>
      </c>
      <c r="BV32" s="78" t="s">
        <v>3184</v>
      </c>
      <c r="BX32" s="143" t="s">
        <v>762</v>
      </c>
      <c r="BY32" s="143" t="s">
        <v>758</v>
      </c>
      <c r="BZ32" s="143" t="s">
        <v>680</v>
      </c>
      <c r="CA32" s="143">
        <v>4358</v>
      </c>
      <c r="CC32" s="137"/>
      <c r="CD32" s="137"/>
      <c r="CE32" s="137"/>
      <c r="CF32" s="189"/>
      <c r="CG32" s="189"/>
    </row>
    <row r="33" spans="1:85" x14ac:dyDescent="0.25">
      <c r="A33" s="143" t="s">
        <v>763</v>
      </c>
      <c r="B33" s="143" t="s">
        <v>764</v>
      </c>
      <c r="C33" s="143" t="s">
        <v>680</v>
      </c>
      <c r="D33" s="143">
        <v>2656</v>
      </c>
      <c r="E33" s="354">
        <v>0.4</v>
      </c>
      <c r="F33" s="354">
        <v>0.6</v>
      </c>
      <c r="G33" s="354">
        <v>1</v>
      </c>
      <c r="H33" s="78" t="s">
        <v>3184</v>
      </c>
      <c r="J33" s="143" t="s">
        <v>763</v>
      </c>
      <c r="K33" s="143" t="s">
        <v>764</v>
      </c>
      <c r="L33" s="143" t="s">
        <v>680</v>
      </c>
      <c r="M33" s="143">
        <v>2656</v>
      </c>
      <c r="N33" s="137">
        <v>9.0909100000000007E-2</v>
      </c>
      <c r="O33" s="137">
        <v>9.21212E-2</v>
      </c>
      <c r="P33" s="265">
        <v>0.18303030000000001</v>
      </c>
      <c r="Q33" s="137" t="s">
        <v>3185</v>
      </c>
      <c r="R33" s="137">
        <v>8.3333299999999999E-2</v>
      </c>
      <c r="S33" s="137">
        <v>6.6666699999999995E-2</v>
      </c>
      <c r="T33" s="137">
        <v>0.15</v>
      </c>
      <c r="V33" s="143" t="s">
        <v>763</v>
      </c>
      <c r="W33" s="143" t="s">
        <v>764</v>
      </c>
      <c r="X33" s="143" t="s">
        <v>680</v>
      </c>
      <c r="Y33" s="143">
        <v>2656</v>
      </c>
      <c r="Z33" s="137" t="s">
        <v>3184</v>
      </c>
      <c r="AA33" s="137" t="s">
        <v>3185</v>
      </c>
      <c r="AB33" s="137" t="s">
        <v>3185</v>
      </c>
      <c r="AC33" s="137" t="s">
        <v>3184</v>
      </c>
      <c r="AD33" s="137" t="s">
        <v>3185</v>
      </c>
      <c r="AE33" s="137" t="s">
        <v>3185</v>
      </c>
      <c r="AF33" s="137" t="s">
        <v>3184</v>
      </c>
      <c r="AG33" s="137" t="s">
        <v>3184</v>
      </c>
      <c r="AH33" s="137" t="s">
        <v>3184</v>
      </c>
      <c r="AI33" s="137" t="s">
        <v>3184</v>
      </c>
      <c r="AJ33" s="137" t="s">
        <v>3185</v>
      </c>
      <c r="AK33" s="137">
        <v>0.54545460000000001</v>
      </c>
      <c r="AM33" s="143" t="s">
        <v>763</v>
      </c>
      <c r="AN33" s="143" t="s">
        <v>764</v>
      </c>
      <c r="AO33" s="143">
        <v>1</v>
      </c>
      <c r="AP33" s="143">
        <v>2656</v>
      </c>
      <c r="AQ33" s="137"/>
      <c r="AR33" s="137"/>
      <c r="AS33" s="137"/>
      <c r="AT33" s="137"/>
      <c r="AU33" s="137"/>
      <c r="AV33" s="137"/>
      <c r="AW33" s="137"/>
      <c r="AX33" s="189">
        <v>0.86250000000000004</v>
      </c>
      <c r="AY33" s="189">
        <v>0.86250000000000004</v>
      </c>
      <c r="AZ33" s="78" t="s">
        <v>3185</v>
      </c>
      <c r="BB33" s="143" t="s">
        <v>763</v>
      </c>
      <c r="BC33" s="143" t="s">
        <v>764</v>
      </c>
      <c r="BD33" s="143" t="s">
        <v>680</v>
      </c>
      <c r="BE33" s="143">
        <v>2656</v>
      </c>
      <c r="BF33" s="137"/>
      <c r="BG33" s="137"/>
      <c r="BH33" s="137"/>
      <c r="BI33" s="137"/>
      <c r="BJ33" s="137"/>
      <c r="BK33" s="137"/>
      <c r="BL33" s="137"/>
      <c r="BM33" s="137"/>
      <c r="BN33" s="137"/>
      <c r="BO33" s="137"/>
      <c r="BP33" s="137"/>
      <c r="BQ33" s="137"/>
      <c r="BR33" s="137" t="s">
        <v>3184</v>
      </c>
      <c r="BS33" s="137" t="s">
        <v>3184</v>
      </c>
      <c r="BT33" s="189" t="s">
        <v>3184</v>
      </c>
      <c r="BU33" s="189">
        <v>1</v>
      </c>
      <c r="BV33" s="78" t="s">
        <v>3184</v>
      </c>
      <c r="BX33" s="143" t="s">
        <v>763</v>
      </c>
      <c r="BY33" s="143" t="s">
        <v>764</v>
      </c>
      <c r="BZ33" s="143" t="s">
        <v>680</v>
      </c>
      <c r="CA33" s="143">
        <v>2656</v>
      </c>
      <c r="CC33" s="137"/>
      <c r="CD33" s="137"/>
      <c r="CE33" s="137"/>
      <c r="CF33" s="189"/>
      <c r="CG33" s="189"/>
    </row>
    <row r="34" spans="1:85" x14ac:dyDescent="0.25">
      <c r="A34" s="143" t="s">
        <v>763</v>
      </c>
      <c r="B34" s="143" t="s">
        <v>764</v>
      </c>
      <c r="C34" s="143" t="s">
        <v>680</v>
      </c>
      <c r="D34" s="143">
        <v>3590</v>
      </c>
      <c r="E34" s="354">
        <v>0.4</v>
      </c>
      <c r="F34" s="354">
        <v>0.6</v>
      </c>
      <c r="G34" s="354">
        <v>1</v>
      </c>
      <c r="H34" s="78" t="s">
        <v>3184</v>
      </c>
      <c r="J34" s="143" t="s">
        <v>763</v>
      </c>
      <c r="K34" s="143" t="s">
        <v>764</v>
      </c>
      <c r="L34" s="143" t="s">
        <v>680</v>
      </c>
      <c r="M34" s="143">
        <v>3590</v>
      </c>
      <c r="N34" s="137">
        <v>0.18181820000000001</v>
      </c>
      <c r="O34" s="137">
        <v>0.60121210000000003</v>
      </c>
      <c r="P34" s="265">
        <v>0.78303029999999996</v>
      </c>
      <c r="Q34" s="137" t="s">
        <v>3185</v>
      </c>
      <c r="R34" s="137">
        <v>0.15</v>
      </c>
      <c r="S34" s="137">
        <v>0.3333333</v>
      </c>
      <c r="T34" s="137">
        <v>0.48333330000000002</v>
      </c>
      <c r="V34" s="143" t="s">
        <v>763</v>
      </c>
      <c r="W34" s="143" t="s">
        <v>764</v>
      </c>
      <c r="X34" s="143" t="s">
        <v>680</v>
      </c>
      <c r="Y34" s="143">
        <v>3590</v>
      </c>
      <c r="Z34" s="137" t="s">
        <v>3184</v>
      </c>
      <c r="AA34" s="137" t="s">
        <v>3184</v>
      </c>
      <c r="AB34" s="137" t="s">
        <v>3184</v>
      </c>
      <c r="AC34" s="137" t="s">
        <v>3184</v>
      </c>
      <c r="AD34" s="137" t="s">
        <v>3185</v>
      </c>
      <c r="AE34" s="137" t="s">
        <v>3185</v>
      </c>
      <c r="AF34" s="137" t="s">
        <v>3185</v>
      </c>
      <c r="AG34" s="137" t="s">
        <v>3184</v>
      </c>
      <c r="AH34" s="137" t="s">
        <v>3184</v>
      </c>
      <c r="AI34" s="137" t="s">
        <v>3184</v>
      </c>
      <c r="AJ34" s="137" t="s">
        <v>3184</v>
      </c>
      <c r="AK34" s="137">
        <v>0.72727269999999999</v>
      </c>
      <c r="AM34" s="143" t="s">
        <v>763</v>
      </c>
      <c r="AN34" s="143" t="s">
        <v>764</v>
      </c>
      <c r="AO34" s="143">
        <v>1</v>
      </c>
      <c r="AP34" s="143">
        <v>3590</v>
      </c>
      <c r="AQ34" s="137"/>
      <c r="AR34" s="137"/>
      <c r="AS34" s="137"/>
      <c r="AT34" s="137"/>
      <c r="AU34" s="137"/>
      <c r="AV34" s="137"/>
      <c r="AW34" s="137"/>
      <c r="AX34" s="189">
        <v>0.9</v>
      </c>
      <c r="AY34" s="189">
        <v>0.9</v>
      </c>
      <c r="AZ34" s="78" t="s">
        <v>3185</v>
      </c>
      <c r="BB34" s="143" t="s">
        <v>763</v>
      </c>
      <c r="BC34" s="143" t="s">
        <v>764</v>
      </c>
      <c r="BD34" s="143" t="s">
        <v>680</v>
      </c>
      <c r="BE34" s="143">
        <v>3590</v>
      </c>
      <c r="BF34" s="137"/>
      <c r="BG34" s="137"/>
      <c r="BH34" s="137"/>
      <c r="BI34" s="137"/>
      <c r="BJ34" s="137"/>
      <c r="BK34" s="137"/>
      <c r="BL34" s="137"/>
      <c r="BM34" s="137"/>
      <c r="BN34" s="137"/>
      <c r="BO34" s="137"/>
      <c r="BP34" s="137"/>
      <c r="BQ34" s="137"/>
      <c r="BR34" s="137" t="s">
        <v>3184</v>
      </c>
      <c r="BS34" s="137" t="s">
        <v>3184</v>
      </c>
      <c r="BT34" s="189" t="s">
        <v>3184</v>
      </c>
      <c r="BU34" s="189">
        <v>1</v>
      </c>
      <c r="BV34" s="78" t="s">
        <v>3184</v>
      </c>
      <c r="BX34" s="143" t="s">
        <v>763</v>
      </c>
      <c r="BY34" s="143" t="s">
        <v>764</v>
      </c>
      <c r="BZ34" s="143" t="s">
        <v>680</v>
      </c>
      <c r="CA34" s="143">
        <v>3590</v>
      </c>
      <c r="CC34" s="137"/>
      <c r="CD34" s="137"/>
      <c r="CE34" s="137"/>
      <c r="CF34" s="189"/>
      <c r="CG34" s="189"/>
    </row>
    <row r="35" spans="1:85" x14ac:dyDescent="0.25">
      <c r="A35" s="143" t="s">
        <v>763</v>
      </c>
      <c r="B35" s="143" t="s">
        <v>764</v>
      </c>
      <c r="C35" s="143" t="s">
        <v>680</v>
      </c>
      <c r="D35" s="143">
        <v>4429</v>
      </c>
      <c r="E35" s="354">
        <v>0.4</v>
      </c>
      <c r="F35" s="354">
        <v>0.6</v>
      </c>
      <c r="G35" s="354">
        <v>1</v>
      </c>
      <c r="H35" s="78" t="s">
        <v>3184</v>
      </c>
      <c r="J35" s="143" t="s">
        <v>763</v>
      </c>
      <c r="K35" s="143" t="s">
        <v>764</v>
      </c>
      <c r="L35" s="143" t="s">
        <v>680</v>
      </c>
      <c r="M35" s="143">
        <v>4429</v>
      </c>
      <c r="N35" s="137">
        <v>0.16363639999999999</v>
      </c>
      <c r="O35" s="137">
        <v>0.73696969999999995</v>
      </c>
      <c r="P35" s="265">
        <v>0.90060600000000002</v>
      </c>
      <c r="Q35" s="137" t="s">
        <v>3184</v>
      </c>
      <c r="R35" s="137">
        <v>0.15</v>
      </c>
      <c r="S35" s="137">
        <v>0.48225109999999999</v>
      </c>
      <c r="T35" s="137">
        <v>0.63225109999999995</v>
      </c>
      <c r="V35" s="143" t="s">
        <v>763</v>
      </c>
      <c r="W35" s="143" t="s">
        <v>764</v>
      </c>
      <c r="X35" s="143" t="s">
        <v>680</v>
      </c>
      <c r="Y35" s="143">
        <v>4429</v>
      </c>
      <c r="Z35" s="137" t="s">
        <v>3184</v>
      </c>
      <c r="AA35" s="137" t="s">
        <v>3184</v>
      </c>
      <c r="AB35" s="137" t="s">
        <v>3184</v>
      </c>
      <c r="AC35" s="137" t="s">
        <v>3184</v>
      </c>
      <c r="AD35" s="137" t="s">
        <v>3185</v>
      </c>
      <c r="AE35" s="137" t="s">
        <v>3185</v>
      </c>
      <c r="AF35" s="137" t="s">
        <v>3184</v>
      </c>
      <c r="AG35" s="137" t="s">
        <v>3184</v>
      </c>
      <c r="AH35" s="137" t="s">
        <v>3184</v>
      </c>
      <c r="AI35" s="137" t="s">
        <v>3184</v>
      </c>
      <c r="AJ35" s="137" t="s">
        <v>3184</v>
      </c>
      <c r="AK35" s="137">
        <v>0.81818179999999996</v>
      </c>
      <c r="AM35" s="143" t="s">
        <v>763</v>
      </c>
      <c r="AN35" s="143" t="s">
        <v>764</v>
      </c>
      <c r="AO35" s="143">
        <v>1</v>
      </c>
      <c r="AP35" s="143">
        <v>4429</v>
      </c>
      <c r="AQ35" s="137"/>
      <c r="AR35" s="137"/>
      <c r="AS35" s="137"/>
      <c r="AT35" s="137"/>
      <c r="AU35" s="137"/>
      <c r="AV35" s="137"/>
      <c r="AW35" s="137"/>
      <c r="AX35" s="189">
        <v>0.92500000000000004</v>
      </c>
      <c r="AY35" s="189">
        <v>0.92500000000000004</v>
      </c>
      <c r="AZ35" s="78" t="s">
        <v>3185</v>
      </c>
      <c r="BB35" s="143" t="s">
        <v>763</v>
      </c>
      <c r="BC35" s="143" t="s">
        <v>764</v>
      </c>
      <c r="BD35" s="143" t="s">
        <v>680</v>
      </c>
      <c r="BE35" s="143">
        <v>4429</v>
      </c>
      <c r="BF35" s="137"/>
      <c r="BG35" s="137"/>
      <c r="BH35" s="137"/>
      <c r="BI35" s="137"/>
      <c r="BJ35" s="137"/>
      <c r="BK35" s="137"/>
      <c r="BL35" s="137"/>
      <c r="BM35" s="137"/>
      <c r="BN35" s="137"/>
      <c r="BO35" s="137"/>
      <c r="BP35" s="137"/>
      <c r="BQ35" s="137"/>
      <c r="BR35" s="137" t="s">
        <v>3184</v>
      </c>
      <c r="BS35" s="137" t="s">
        <v>3184</v>
      </c>
      <c r="BT35" s="189" t="s">
        <v>3184</v>
      </c>
      <c r="BU35" s="189">
        <v>1</v>
      </c>
      <c r="BV35" s="78" t="s">
        <v>3184</v>
      </c>
      <c r="BX35" s="143" t="s">
        <v>763</v>
      </c>
      <c r="BY35" s="143" t="s">
        <v>764</v>
      </c>
      <c r="BZ35" s="143" t="s">
        <v>680</v>
      </c>
      <c r="CA35" s="143">
        <v>4429</v>
      </c>
      <c r="CC35" s="137"/>
      <c r="CD35" s="137"/>
      <c r="CE35" s="137"/>
      <c r="CF35" s="189"/>
      <c r="CG35" s="189"/>
    </row>
    <row r="36" spans="1:85" x14ac:dyDescent="0.25">
      <c r="A36" s="143" t="s">
        <v>763</v>
      </c>
      <c r="B36" s="143" t="s">
        <v>764</v>
      </c>
      <c r="C36" s="143" t="s">
        <v>680</v>
      </c>
      <c r="D36" s="143">
        <v>4430</v>
      </c>
      <c r="E36" s="354">
        <v>0.33246759999999997</v>
      </c>
      <c r="F36" s="354">
        <v>0.6</v>
      </c>
      <c r="G36" s="354">
        <v>0.93246759999999995</v>
      </c>
      <c r="H36" s="78" t="s">
        <v>3185</v>
      </c>
      <c r="J36" s="143" t="s">
        <v>763</v>
      </c>
      <c r="K36" s="143" t="s">
        <v>764</v>
      </c>
      <c r="L36" s="143" t="s">
        <v>680</v>
      </c>
      <c r="M36" s="143">
        <v>4430</v>
      </c>
      <c r="N36" s="137">
        <v>0.12727269999999999</v>
      </c>
      <c r="O36" s="137">
        <v>0.35797980000000001</v>
      </c>
      <c r="P36" s="265">
        <v>0.48525249999999998</v>
      </c>
      <c r="Q36" s="137" t="s">
        <v>3185</v>
      </c>
      <c r="R36" s="137">
        <v>0.13333329999999999</v>
      </c>
      <c r="S36" s="137">
        <v>0</v>
      </c>
      <c r="T36" s="137">
        <v>0.13333329999999999</v>
      </c>
      <c r="V36" s="143" t="s">
        <v>763</v>
      </c>
      <c r="W36" s="143" t="s">
        <v>764</v>
      </c>
      <c r="X36" s="143" t="s">
        <v>680</v>
      </c>
      <c r="Y36" s="143">
        <v>4430</v>
      </c>
      <c r="Z36" s="137" t="s">
        <v>3184</v>
      </c>
      <c r="AA36" s="137" t="s">
        <v>3184</v>
      </c>
      <c r="AB36" s="137" t="s">
        <v>3184</v>
      </c>
      <c r="AC36" s="137" t="s">
        <v>3184</v>
      </c>
      <c r="AD36" s="137" t="s">
        <v>3185</v>
      </c>
      <c r="AE36" s="137" t="s">
        <v>3185</v>
      </c>
      <c r="AF36" s="137" t="s">
        <v>3184</v>
      </c>
      <c r="AG36" s="137" t="s">
        <v>3184</v>
      </c>
      <c r="AH36" s="137" t="s">
        <v>3184</v>
      </c>
      <c r="AI36" s="137" t="s">
        <v>3184</v>
      </c>
      <c r="AJ36" s="137" t="s">
        <v>3184</v>
      </c>
      <c r="AK36" s="137">
        <v>0.81818179999999996</v>
      </c>
      <c r="AM36" s="143" t="s">
        <v>763</v>
      </c>
      <c r="AN36" s="143" t="s">
        <v>764</v>
      </c>
      <c r="AO36" s="143">
        <v>1</v>
      </c>
      <c r="AP36" s="143">
        <v>4430</v>
      </c>
      <c r="AQ36" s="137"/>
      <c r="AR36" s="137"/>
      <c r="AS36" s="137"/>
      <c r="AT36" s="137"/>
      <c r="AU36" s="137"/>
      <c r="AV36" s="137"/>
      <c r="AW36" s="137"/>
      <c r="AX36" s="189">
        <v>0.875</v>
      </c>
      <c r="AY36" s="189">
        <v>0.875</v>
      </c>
      <c r="AZ36" s="78" t="s">
        <v>3185</v>
      </c>
      <c r="BB36" s="143" t="s">
        <v>763</v>
      </c>
      <c r="BC36" s="143" t="s">
        <v>764</v>
      </c>
      <c r="BD36" s="143" t="s">
        <v>680</v>
      </c>
      <c r="BE36" s="143">
        <v>4430</v>
      </c>
      <c r="BF36" s="137"/>
      <c r="BG36" s="137"/>
      <c r="BH36" s="137"/>
      <c r="BI36" s="137"/>
      <c r="BJ36" s="137"/>
      <c r="BK36" s="137"/>
      <c r="BL36" s="137"/>
      <c r="BM36" s="137"/>
      <c r="BN36" s="137"/>
      <c r="BO36" s="137"/>
      <c r="BP36" s="137"/>
      <c r="BQ36" s="137"/>
      <c r="BR36" s="137" t="s">
        <v>3184</v>
      </c>
      <c r="BS36" s="137" t="s">
        <v>3184</v>
      </c>
      <c r="BT36" s="189" t="s">
        <v>3184</v>
      </c>
      <c r="BU36" s="189">
        <v>1</v>
      </c>
      <c r="BV36" s="78" t="s">
        <v>3184</v>
      </c>
      <c r="BX36" s="143" t="s">
        <v>763</v>
      </c>
      <c r="BY36" s="143" t="s">
        <v>764</v>
      </c>
      <c r="BZ36" s="143" t="s">
        <v>680</v>
      </c>
      <c r="CA36" s="143">
        <v>4430</v>
      </c>
      <c r="CC36" s="137"/>
      <c r="CD36" s="137"/>
      <c r="CE36" s="137"/>
      <c r="CF36" s="189"/>
      <c r="CG36" s="189"/>
    </row>
    <row r="37" spans="1:85" x14ac:dyDescent="0.25">
      <c r="A37" s="143" t="s">
        <v>765</v>
      </c>
      <c r="B37" s="143" t="s">
        <v>766</v>
      </c>
      <c r="C37" s="143" t="s">
        <v>680</v>
      </c>
      <c r="D37" s="143">
        <v>3285</v>
      </c>
      <c r="E37" s="354">
        <v>0.3922078</v>
      </c>
      <c r="F37" s="354">
        <v>0.6</v>
      </c>
      <c r="G37" s="354">
        <v>0.99220779999999997</v>
      </c>
      <c r="H37" s="78" t="s">
        <v>3185</v>
      </c>
      <c r="J37" s="143" t="s">
        <v>765</v>
      </c>
      <c r="K37" s="143" t="s">
        <v>766</v>
      </c>
      <c r="L37" s="143" t="s">
        <v>680</v>
      </c>
      <c r="M37" s="143">
        <v>3285</v>
      </c>
      <c r="N37" s="137">
        <v>0.12727269999999999</v>
      </c>
      <c r="O37" s="137">
        <v>0.42747479999999999</v>
      </c>
      <c r="P37" s="265">
        <v>0.55474749999999995</v>
      </c>
      <c r="Q37" s="137" t="s">
        <v>3185</v>
      </c>
      <c r="R37" s="137">
        <v>0.15</v>
      </c>
      <c r="S37" s="137">
        <v>0.3333333</v>
      </c>
      <c r="T37" s="137">
        <v>0.48333330000000002</v>
      </c>
      <c r="V37" s="143" t="s">
        <v>765</v>
      </c>
      <c r="W37" s="143" t="s">
        <v>766</v>
      </c>
      <c r="X37" s="143" t="s">
        <v>680</v>
      </c>
      <c r="Y37" s="143">
        <v>3285</v>
      </c>
      <c r="Z37" s="137" t="s">
        <v>3185</v>
      </c>
      <c r="AA37" s="137" t="s">
        <v>3184</v>
      </c>
      <c r="AB37" s="137" t="s">
        <v>3184</v>
      </c>
      <c r="AC37" s="137" t="s">
        <v>3184</v>
      </c>
      <c r="AD37" s="137" t="s">
        <v>3185</v>
      </c>
      <c r="AE37" s="137" t="s">
        <v>3185</v>
      </c>
      <c r="AF37" s="137" t="s">
        <v>3184</v>
      </c>
      <c r="AG37" s="137" t="s">
        <v>3184</v>
      </c>
      <c r="AH37" s="137" t="s">
        <v>3184</v>
      </c>
      <c r="AI37" s="137" t="s">
        <v>3184</v>
      </c>
      <c r="AJ37" s="137" t="s">
        <v>3185</v>
      </c>
      <c r="AK37" s="137">
        <v>0.63636360000000003</v>
      </c>
      <c r="AM37" s="143" t="s">
        <v>765</v>
      </c>
      <c r="AN37" s="143" t="s">
        <v>766</v>
      </c>
      <c r="AO37" s="143">
        <v>1</v>
      </c>
      <c r="AP37" s="143">
        <v>3285</v>
      </c>
      <c r="AQ37" s="137"/>
      <c r="AR37" s="137"/>
      <c r="AS37" s="137"/>
      <c r="AT37" s="137"/>
      <c r="AU37" s="137"/>
      <c r="AV37" s="137"/>
      <c r="AW37" s="137"/>
      <c r="AX37" s="189">
        <v>0.9</v>
      </c>
      <c r="AY37" s="189">
        <v>0.9</v>
      </c>
      <c r="AZ37" s="78" t="s">
        <v>3185</v>
      </c>
      <c r="BB37" s="143" t="s">
        <v>765</v>
      </c>
      <c r="BC37" s="143" t="s">
        <v>766</v>
      </c>
      <c r="BD37" s="143" t="s">
        <v>680</v>
      </c>
      <c r="BE37" s="143">
        <v>3285</v>
      </c>
      <c r="BF37" s="137"/>
      <c r="BG37" s="137"/>
      <c r="BH37" s="137"/>
      <c r="BI37" s="137"/>
      <c r="BJ37" s="137"/>
      <c r="BK37" s="137"/>
      <c r="BL37" s="137"/>
      <c r="BM37" s="137"/>
      <c r="BN37" s="137"/>
      <c r="BO37" s="137"/>
      <c r="BP37" s="137"/>
      <c r="BQ37" s="137"/>
      <c r="BR37" s="137" t="s">
        <v>3184</v>
      </c>
      <c r="BS37" s="137" t="s">
        <v>3184</v>
      </c>
      <c r="BT37" s="189" t="s">
        <v>3184</v>
      </c>
      <c r="BU37" s="189">
        <v>1</v>
      </c>
      <c r="BV37" s="78" t="s">
        <v>3184</v>
      </c>
      <c r="BX37" s="143" t="s">
        <v>765</v>
      </c>
      <c r="BY37" s="143" t="s">
        <v>766</v>
      </c>
      <c r="BZ37" s="143" t="s">
        <v>680</v>
      </c>
      <c r="CA37" s="143">
        <v>3285</v>
      </c>
      <c r="CC37" s="137"/>
      <c r="CD37" s="137"/>
      <c r="CE37" s="137"/>
      <c r="CF37" s="189"/>
      <c r="CG37" s="189"/>
    </row>
    <row r="38" spans="1:85" x14ac:dyDescent="0.25">
      <c r="A38" s="143" t="s">
        <v>765</v>
      </c>
      <c r="B38" s="143" t="s">
        <v>766</v>
      </c>
      <c r="C38" s="143" t="s">
        <v>680</v>
      </c>
      <c r="D38" s="143">
        <v>4300</v>
      </c>
      <c r="E38" s="354">
        <v>0.4</v>
      </c>
      <c r="F38" s="354">
        <v>0.6</v>
      </c>
      <c r="G38" s="354">
        <v>1</v>
      </c>
      <c r="H38" s="78" t="s">
        <v>3184</v>
      </c>
      <c r="J38" s="143" t="s">
        <v>765</v>
      </c>
      <c r="K38" s="143" t="s">
        <v>766</v>
      </c>
      <c r="L38" s="143" t="s">
        <v>680</v>
      </c>
      <c r="M38" s="143">
        <v>4300</v>
      </c>
      <c r="N38" s="137">
        <v>0.12727269999999999</v>
      </c>
      <c r="O38" s="137">
        <v>0.59717169999999997</v>
      </c>
      <c r="P38" s="265">
        <v>0.72444439999999999</v>
      </c>
      <c r="Q38" s="137" t="s">
        <v>3185</v>
      </c>
      <c r="R38" s="137">
        <v>0.2</v>
      </c>
      <c r="S38" s="137">
        <v>0.73333329999999997</v>
      </c>
      <c r="T38" s="137">
        <v>0.93333330000000003</v>
      </c>
      <c r="V38" s="143" t="s">
        <v>765</v>
      </c>
      <c r="W38" s="143" t="s">
        <v>766</v>
      </c>
      <c r="X38" s="143" t="s">
        <v>680</v>
      </c>
      <c r="Y38" s="143">
        <v>4300</v>
      </c>
      <c r="Z38" s="137" t="s">
        <v>3185</v>
      </c>
      <c r="AA38" s="137" t="s">
        <v>3185</v>
      </c>
      <c r="AB38" s="137" t="s">
        <v>3184</v>
      </c>
      <c r="AC38" s="137" t="s">
        <v>3184</v>
      </c>
      <c r="AD38" s="137" t="s">
        <v>3185</v>
      </c>
      <c r="AE38" s="137" t="s">
        <v>3185</v>
      </c>
      <c r="AF38" s="137" t="s">
        <v>3184</v>
      </c>
      <c r="AG38" s="137" t="s">
        <v>3184</v>
      </c>
      <c r="AH38" s="137" t="s">
        <v>3184</v>
      </c>
      <c r="AI38" s="137" t="s">
        <v>3184</v>
      </c>
      <c r="AJ38" s="137" t="s">
        <v>3185</v>
      </c>
      <c r="AK38" s="137">
        <v>0.54545460000000001</v>
      </c>
      <c r="AM38" s="143" t="s">
        <v>765</v>
      </c>
      <c r="AN38" s="143" t="s">
        <v>766</v>
      </c>
      <c r="AO38" s="143">
        <v>1</v>
      </c>
      <c r="AP38" s="143">
        <v>4300</v>
      </c>
      <c r="AQ38" s="137"/>
      <c r="AR38" s="137"/>
      <c r="AS38" s="137"/>
      <c r="AT38" s="137"/>
      <c r="AU38" s="137"/>
      <c r="AV38" s="137"/>
      <c r="AW38" s="137"/>
      <c r="AX38" s="189">
        <v>0.95</v>
      </c>
      <c r="AY38" s="189">
        <v>0.95</v>
      </c>
      <c r="AZ38" s="78" t="s">
        <v>3185</v>
      </c>
      <c r="BB38" s="143" t="s">
        <v>765</v>
      </c>
      <c r="BC38" s="143" t="s">
        <v>766</v>
      </c>
      <c r="BD38" s="143" t="s">
        <v>680</v>
      </c>
      <c r="BE38" s="143">
        <v>4300</v>
      </c>
      <c r="BF38" s="137"/>
      <c r="BG38" s="137"/>
      <c r="BH38" s="137"/>
      <c r="BI38" s="137"/>
      <c r="BJ38" s="137"/>
      <c r="BK38" s="137"/>
      <c r="BL38" s="137"/>
      <c r="BM38" s="137"/>
      <c r="BN38" s="137"/>
      <c r="BO38" s="137"/>
      <c r="BP38" s="137"/>
      <c r="BQ38" s="137"/>
      <c r="BR38" s="137" t="s">
        <v>3184</v>
      </c>
      <c r="BS38" s="137" t="s">
        <v>3184</v>
      </c>
      <c r="BT38" s="189" t="s">
        <v>3184</v>
      </c>
      <c r="BU38" s="189">
        <v>1</v>
      </c>
      <c r="BV38" s="78" t="s">
        <v>3184</v>
      </c>
      <c r="BX38" s="143" t="s">
        <v>765</v>
      </c>
      <c r="BY38" s="143" t="s">
        <v>766</v>
      </c>
      <c r="BZ38" s="143" t="s">
        <v>680</v>
      </c>
      <c r="CA38" s="143">
        <v>4300</v>
      </c>
      <c r="CC38" s="137"/>
      <c r="CD38" s="137"/>
      <c r="CE38" s="137"/>
      <c r="CF38" s="189"/>
      <c r="CG38" s="189"/>
    </row>
    <row r="39" spans="1:85" x14ac:dyDescent="0.25">
      <c r="A39" s="143" t="s">
        <v>765</v>
      </c>
      <c r="B39" s="143" t="s">
        <v>766</v>
      </c>
      <c r="C39" s="143" t="s">
        <v>680</v>
      </c>
      <c r="D39" s="143">
        <v>4307</v>
      </c>
      <c r="E39" s="354">
        <v>0.4</v>
      </c>
      <c r="F39" s="354">
        <v>0.6</v>
      </c>
      <c r="G39" s="354">
        <v>1</v>
      </c>
      <c r="H39" s="78" t="s">
        <v>3184</v>
      </c>
      <c r="J39" s="143" t="s">
        <v>765</v>
      </c>
      <c r="K39" s="143" t="s">
        <v>766</v>
      </c>
      <c r="L39" s="143" t="s">
        <v>680</v>
      </c>
      <c r="M39" s="143">
        <v>4307</v>
      </c>
      <c r="N39" s="137">
        <v>0.14545449999999999</v>
      </c>
      <c r="O39" s="137">
        <v>0.109899</v>
      </c>
      <c r="P39" s="265">
        <v>0.25535350000000001</v>
      </c>
      <c r="Q39" s="137" t="s">
        <v>3185</v>
      </c>
      <c r="R39" s="137">
        <v>0.1166667</v>
      </c>
      <c r="S39" s="137">
        <v>0</v>
      </c>
      <c r="T39" s="137">
        <v>0.1166667</v>
      </c>
      <c r="V39" s="143" t="s">
        <v>765</v>
      </c>
      <c r="W39" s="143" t="s">
        <v>766</v>
      </c>
      <c r="X39" s="143" t="s">
        <v>680</v>
      </c>
      <c r="Y39" s="143">
        <v>4307</v>
      </c>
      <c r="Z39" s="137" t="s">
        <v>3185</v>
      </c>
      <c r="AA39" s="137" t="s">
        <v>3184</v>
      </c>
      <c r="AB39" s="137" t="s">
        <v>3184</v>
      </c>
      <c r="AC39" s="137" t="s">
        <v>3184</v>
      </c>
      <c r="AD39" s="137" t="s">
        <v>3185</v>
      </c>
      <c r="AE39" s="137" t="s">
        <v>3185</v>
      </c>
      <c r="AF39" s="137" t="s">
        <v>3185</v>
      </c>
      <c r="AG39" s="137" t="s">
        <v>3184</v>
      </c>
      <c r="AH39" s="137" t="s">
        <v>3184</v>
      </c>
      <c r="AI39" s="137" t="s">
        <v>3184</v>
      </c>
      <c r="AJ39" s="137" t="s">
        <v>3185</v>
      </c>
      <c r="AK39" s="137">
        <v>0.54545460000000001</v>
      </c>
      <c r="AM39" s="143" t="s">
        <v>765</v>
      </c>
      <c r="AN39" s="143" t="s">
        <v>766</v>
      </c>
      <c r="AO39" s="143">
        <v>1</v>
      </c>
      <c r="AP39" s="143">
        <v>4307</v>
      </c>
      <c r="AQ39" s="137"/>
      <c r="AR39" s="137"/>
      <c r="AS39" s="137"/>
      <c r="AT39" s="137"/>
      <c r="AU39" s="137"/>
      <c r="AV39" s="137"/>
      <c r="AW39" s="137"/>
      <c r="AX39" s="189">
        <v>0.88749999999999996</v>
      </c>
      <c r="AY39" s="189">
        <v>0.88749999999999996</v>
      </c>
      <c r="AZ39" s="78" t="s">
        <v>3185</v>
      </c>
      <c r="BB39" s="143" t="s">
        <v>765</v>
      </c>
      <c r="BC39" s="143" t="s">
        <v>766</v>
      </c>
      <c r="BD39" s="143" t="s">
        <v>680</v>
      </c>
      <c r="BE39" s="143">
        <v>4307</v>
      </c>
      <c r="BF39" s="137"/>
      <c r="BG39" s="137"/>
      <c r="BH39" s="137"/>
      <c r="BI39" s="137"/>
      <c r="BJ39" s="137"/>
      <c r="BK39" s="137"/>
      <c r="BL39" s="137"/>
      <c r="BM39" s="137"/>
      <c r="BN39" s="137"/>
      <c r="BO39" s="137"/>
      <c r="BP39" s="137"/>
      <c r="BQ39" s="137"/>
      <c r="BR39" s="137" t="s">
        <v>3184</v>
      </c>
      <c r="BS39" s="137" t="s">
        <v>3184</v>
      </c>
      <c r="BT39" s="189" t="s">
        <v>3184</v>
      </c>
      <c r="BU39" s="189">
        <v>1</v>
      </c>
      <c r="BV39" s="78" t="s">
        <v>3184</v>
      </c>
      <c r="BX39" s="143" t="s">
        <v>765</v>
      </c>
      <c r="BY39" s="143" t="s">
        <v>766</v>
      </c>
      <c r="BZ39" s="143" t="s">
        <v>680</v>
      </c>
      <c r="CA39" s="143">
        <v>4307</v>
      </c>
      <c r="CC39" s="137"/>
      <c r="CD39" s="137"/>
      <c r="CE39" s="137"/>
      <c r="CF39" s="189"/>
      <c r="CG39" s="189"/>
    </row>
    <row r="40" spans="1:85" x14ac:dyDescent="0.25">
      <c r="A40" s="143" t="s">
        <v>765</v>
      </c>
      <c r="B40" s="143" t="s">
        <v>766</v>
      </c>
      <c r="C40" s="143" t="s">
        <v>680</v>
      </c>
      <c r="D40" s="143">
        <v>4318</v>
      </c>
      <c r="E40" s="354">
        <v>0.4</v>
      </c>
      <c r="F40" s="354">
        <v>0.6</v>
      </c>
      <c r="G40" s="354">
        <v>1</v>
      </c>
      <c r="H40" s="78" t="s">
        <v>3184</v>
      </c>
      <c r="J40" s="143" t="s">
        <v>765</v>
      </c>
      <c r="K40" s="143" t="s">
        <v>766</v>
      </c>
      <c r="L40" s="143" t="s">
        <v>680</v>
      </c>
      <c r="M40" s="143">
        <v>4318</v>
      </c>
      <c r="N40" s="137">
        <v>9.0909100000000007E-2</v>
      </c>
      <c r="O40" s="137">
        <v>0.35878789999999999</v>
      </c>
      <c r="P40" s="265">
        <v>0.44969700000000001</v>
      </c>
      <c r="Q40" s="137" t="s">
        <v>3185</v>
      </c>
      <c r="R40" s="137">
        <v>0.13333329999999999</v>
      </c>
      <c r="S40" s="137">
        <v>0</v>
      </c>
      <c r="T40" s="137">
        <v>0.13333329999999999</v>
      </c>
      <c r="V40" s="143" t="s">
        <v>765</v>
      </c>
      <c r="W40" s="143" t="s">
        <v>766</v>
      </c>
      <c r="X40" s="143" t="s">
        <v>680</v>
      </c>
      <c r="Y40" s="143">
        <v>4318</v>
      </c>
      <c r="Z40" s="137" t="s">
        <v>3185</v>
      </c>
      <c r="AA40" s="137" t="s">
        <v>3185</v>
      </c>
      <c r="AB40" s="137" t="s">
        <v>3185</v>
      </c>
      <c r="AC40" s="137" t="s">
        <v>3185</v>
      </c>
      <c r="AD40" s="137" t="s">
        <v>3185</v>
      </c>
      <c r="AE40" s="137" t="s">
        <v>3185</v>
      </c>
      <c r="AF40" s="137" t="s">
        <v>3185</v>
      </c>
      <c r="AG40" s="137" t="s">
        <v>3184</v>
      </c>
      <c r="AH40" s="137" t="s">
        <v>3184</v>
      </c>
      <c r="AI40" s="137" t="s">
        <v>3185</v>
      </c>
      <c r="AJ40" s="137" t="s">
        <v>3185</v>
      </c>
      <c r="AK40" s="137">
        <v>0.18181820000000001</v>
      </c>
      <c r="AM40" s="143" t="s">
        <v>765</v>
      </c>
      <c r="AN40" s="143" t="s">
        <v>766</v>
      </c>
      <c r="AO40" s="143">
        <v>1</v>
      </c>
      <c r="AP40" s="143">
        <v>4318</v>
      </c>
      <c r="AQ40" s="137"/>
      <c r="AR40" s="137"/>
      <c r="AS40" s="137"/>
      <c r="AT40" s="137"/>
      <c r="AU40" s="137"/>
      <c r="AV40" s="137"/>
      <c r="AW40" s="137"/>
      <c r="AX40" s="189">
        <v>0.88749999999999996</v>
      </c>
      <c r="AY40" s="189">
        <v>0.88749999999999996</v>
      </c>
      <c r="AZ40" s="78" t="s">
        <v>3185</v>
      </c>
      <c r="BB40" s="143" t="s">
        <v>765</v>
      </c>
      <c r="BC40" s="143" t="s">
        <v>766</v>
      </c>
      <c r="BD40" s="143" t="s">
        <v>680</v>
      </c>
      <c r="BE40" s="143">
        <v>4318</v>
      </c>
      <c r="BF40" s="137"/>
      <c r="BG40" s="137"/>
      <c r="BH40" s="137"/>
      <c r="BI40" s="137"/>
      <c r="BJ40" s="137"/>
      <c r="BK40" s="137"/>
      <c r="BL40" s="137"/>
      <c r="BM40" s="137"/>
      <c r="BN40" s="137"/>
      <c r="BO40" s="137"/>
      <c r="BP40" s="137"/>
      <c r="BQ40" s="137"/>
      <c r="BR40" s="137" t="s">
        <v>3184</v>
      </c>
      <c r="BS40" s="137" t="s">
        <v>3184</v>
      </c>
      <c r="BT40" s="189" t="s">
        <v>3185</v>
      </c>
      <c r="BU40" s="189">
        <v>0.66666669999999995</v>
      </c>
      <c r="BV40" s="78" t="s">
        <v>3185</v>
      </c>
      <c r="BX40" s="143" t="s">
        <v>765</v>
      </c>
      <c r="BY40" s="143" t="s">
        <v>766</v>
      </c>
      <c r="BZ40" s="143" t="s">
        <v>680</v>
      </c>
      <c r="CA40" s="143">
        <v>4318</v>
      </c>
      <c r="CC40" s="137"/>
      <c r="CD40" s="137"/>
      <c r="CE40" s="137"/>
      <c r="CF40" s="189"/>
      <c r="CG40" s="189"/>
    </row>
    <row r="41" spans="1:85" x14ac:dyDescent="0.25">
      <c r="A41" s="143" t="s">
        <v>765</v>
      </c>
      <c r="B41" s="143" t="s">
        <v>766</v>
      </c>
      <c r="C41" s="143" t="s">
        <v>680</v>
      </c>
      <c r="D41" s="143">
        <v>4321</v>
      </c>
      <c r="E41" s="354">
        <v>0.39740259999999999</v>
      </c>
      <c r="F41" s="354">
        <v>0.6</v>
      </c>
      <c r="G41" s="354">
        <v>0.99740260000000003</v>
      </c>
      <c r="H41" s="78" t="s">
        <v>3185</v>
      </c>
      <c r="J41" s="143" t="s">
        <v>765</v>
      </c>
      <c r="K41" s="143" t="s">
        <v>766</v>
      </c>
      <c r="L41" s="143" t="s">
        <v>680</v>
      </c>
      <c r="M41" s="143">
        <v>4321</v>
      </c>
      <c r="N41" s="137">
        <v>0.16363639999999999</v>
      </c>
      <c r="O41" s="137">
        <v>0.6545455</v>
      </c>
      <c r="P41" s="265">
        <v>0.81818179999999996</v>
      </c>
      <c r="Q41" s="137" t="s">
        <v>3185</v>
      </c>
      <c r="R41" s="137">
        <v>0.2</v>
      </c>
      <c r="S41" s="137">
        <v>0.69870129999999997</v>
      </c>
      <c r="T41" s="137">
        <v>0.89870130000000004</v>
      </c>
      <c r="V41" s="143" t="s">
        <v>765</v>
      </c>
      <c r="W41" s="143" t="s">
        <v>766</v>
      </c>
      <c r="X41" s="143" t="s">
        <v>680</v>
      </c>
      <c r="Y41" s="143">
        <v>4321</v>
      </c>
      <c r="Z41" s="137" t="s">
        <v>3185</v>
      </c>
      <c r="AA41" s="137" t="s">
        <v>3184</v>
      </c>
      <c r="AB41" s="137" t="s">
        <v>3184</v>
      </c>
      <c r="AC41" s="137" t="s">
        <v>3184</v>
      </c>
      <c r="AD41" s="137" t="s">
        <v>3185</v>
      </c>
      <c r="AE41" s="137" t="s">
        <v>3185</v>
      </c>
      <c r="AF41" s="137" t="s">
        <v>3184</v>
      </c>
      <c r="AG41" s="137" t="s">
        <v>3184</v>
      </c>
      <c r="AH41" s="137" t="s">
        <v>3184</v>
      </c>
      <c r="AI41" s="137" t="s">
        <v>3184</v>
      </c>
      <c r="AJ41" s="137" t="s">
        <v>3185</v>
      </c>
      <c r="AK41" s="137">
        <v>0.63636360000000003</v>
      </c>
      <c r="AM41" s="143" t="s">
        <v>765</v>
      </c>
      <c r="AN41" s="143" t="s">
        <v>766</v>
      </c>
      <c r="AO41" s="143">
        <v>1</v>
      </c>
      <c r="AP41" s="143">
        <v>4321</v>
      </c>
      <c r="AQ41" s="137"/>
      <c r="AR41" s="137"/>
      <c r="AS41" s="137"/>
      <c r="AT41" s="137"/>
      <c r="AU41" s="137"/>
      <c r="AV41" s="137"/>
      <c r="AW41" s="137"/>
      <c r="AX41" s="189">
        <v>0.7</v>
      </c>
      <c r="AY41" s="189">
        <v>0.7</v>
      </c>
      <c r="AZ41" s="78" t="s">
        <v>3185</v>
      </c>
      <c r="BB41" s="143" t="s">
        <v>765</v>
      </c>
      <c r="BC41" s="143" t="s">
        <v>766</v>
      </c>
      <c r="BD41" s="143" t="s">
        <v>680</v>
      </c>
      <c r="BE41" s="143">
        <v>4321</v>
      </c>
      <c r="BF41" s="137"/>
      <c r="BG41" s="137"/>
      <c r="BH41" s="137"/>
      <c r="BI41" s="137"/>
      <c r="BJ41" s="137"/>
      <c r="BK41" s="137"/>
      <c r="BL41" s="137"/>
      <c r="BM41" s="137"/>
      <c r="BN41" s="137"/>
      <c r="BO41" s="137"/>
      <c r="BP41" s="137"/>
      <c r="BQ41" s="137"/>
      <c r="BR41" s="137" t="s">
        <v>3184</v>
      </c>
      <c r="BS41" s="137" t="s">
        <v>3184</v>
      </c>
      <c r="BT41" s="189" t="s">
        <v>3185</v>
      </c>
      <c r="BU41" s="189">
        <v>0.66666669999999995</v>
      </c>
      <c r="BV41" s="78" t="s">
        <v>3185</v>
      </c>
      <c r="BX41" s="143" t="s">
        <v>765</v>
      </c>
      <c r="BY41" s="143" t="s">
        <v>766</v>
      </c>
      <c r="BZ41" s="143" t="s">
        <v>680</v>
      </c>
      <c r="CA41" s="143">
        <v>4321</v>
      </c>
      <c r="CC41" s="137"/>
      <c r="CD41" s="137"/>
      <c r="CE41" s="137"/>
      <c r="CF41" s="189"/>
      <c r="CG41" s="189"/>
    </row>
    <row r="42" spans="1:85" x14ac:dyDescent="0.25">
      <c r="A42" s="143" t="s">
        <v>765</v>
      </c>
      <c r="B42" s="143" t="s">
        <v>766</v>
      </c>
      <c r="C42" s="143" t="s">
        <v>680</v>
      </c>
      <c r="D42" s="143">
        <v>4325</v>
      </c>
      <c r="E42" s="354">
        <v>0.39480520000000002</v>
      </c>
      <c r="F42" s="354">
        <v>0.3</v>
      </c>
      <c r="G42" s="354">
        <v>0.69480520000000001</v>
      </c>
      <c r="H42" s="78" t="s">
        <v>3185</v>
      </c>
      <c r="J42" s="143" t="s">
        <v>765</v>
      </c>
      <c r="K42" s="143" t="s">
        <v>766</v>
      </c>
      <c r="L42" s="143" t="s">
        <v>680</v>
      </c>
      <c r="M42" s="143">
        <v>4325</v>
      </c>
      <c r="N42" s="137">
        <v>0.1090909</v>
      </c>
      <c r="O42" s="137">
        <v>0.43636360000000002</v>
      </c>
      <c r="P42" s="265">
        <v>0.54545460000000001</v>
      </c>
      <c r="Q42" s="137" t="s">
        <v>3185</v>
      </c>
      <c r="R42" s="137">
        <v>0.1666667</v>
      </c>
      <c r="S42" s="137">
        <v>0.53333339999999996</v>
      </c>
      <c r="T42" s="137">
        <v>0.7</v>
      </c>
      <c r="V42" s="143" t="s">
        <v>765</v>
      </c>
      <c r="W42" s="143" t="s">
        <v>766</v>
      </c>
      <c r="X42" s="143" t="s">
        <v>680</v>
      </c>
      <c r="Y42" s="143">
        <v>4325</v>
      </c>
      <c r="Z42" s="137" t="s">
        <v>3185</v>
      </c>
      <c r="AA42" s="137" t="s">
        <v>3184</v>
      </c>
      <c r="AB42" s="137" t="s">
        <v>3184</v>
      </c>
      <c r="AC42" s="137" t="s">
        <v>3184</v>
      </c>
      <c r="AD42" s="137" t="s">
        <v>3185</v>
      </c>
      <c r="AE42" s="137" t="s">
        <v>3185</v>
      </c>
      <c r="AF42" s="137" t="s">
        <v>3184</v>
      </c>
      <c r="AG42" s="137" t="s">
        <v>3185</v>
      </c>
      <c r="AH42" s="137" t="s">
        <v>3185</v>
      </c>
      <c r="AI42" s="137" t="s">
        <v>3184</v>
      </c>
      <c r="AJ42" s="137" t="s">
        <v>3185</v>
      </c>
      <c r="AK42" s="137">
        <v>0.45454549999999999</v>
      </c>
      <c r="AM42" s="143" t="s">
        <v>765</v>
      </c>
      <c r="AN42" s="143" t="s">
        <v>766</v>
      </c>
      <c r="AO42" s="143">
        <v>1</v>
      </c>
      <c r="AP42" s="143">
        <v>4325</v>
      </c>
      <c r="AQ42" s="137"/>
      <c r="AR42" s="137"/>
      <c r="AS42" s="137"/>
      <c r="AT42" s="137"/>
      <c r="AU42" s="137"/>
      <c r="AV42" s="137"/>
      <c r="AW42" s="137"/>
      <c r="AX42" s="189">
        <v>0.83750000000000002</v>
      </c>
      <c r="AY42" s="189">
        <v>0.83750000000000002</v>
      </c>
      <c r="AZ42" s="78" t="s">
        <v>3185</v>
      </c>
      <c r="BB42" s="143" t="s">
        <v>765</v>
      </c>
      <c r="BC42" s="143" t="s">
        <v>766</v>
      </c>
      <c r="BD42" s="143" t="s">
        <v>680</v>
      </c>
      <c r="BE42" s="143">
        <v>4325</v>
      </c>
      <c r="BF42" s="137"/>
      <c r="BG42" s="137"/>
      <c r="BH42" s="137"/>
      <c r="BI42" s="137"/>
      <c r="BJ42" s="137"/>
      <c r="BK42" s="137"/>
      <c r="BL42" s="137"/>
      <c r="BM42" s="137"/>
      <c r="BN42" s="137"/>
      <c r="BO42" s="137"/>
      <c r="BP42" s="137"/>
      <c r="BQ42" s="137"/>
      <c r="BR42" s="137" t="s">
        <v>3184</v>
      </c>
      <c r="BS42" s="137" t="s">
        <v>3184</v>
      </c>
      <c r="BT42" s="189" t="s">
        <v>3184</v>
      </c>
      <c r="BU42" s="189">
        <v>1</v>
      </c>
      <c r="BV42" s="78" t="s">
        <v>3184</v>
      </c>
      <c r="BX42" s="143" t="s">
        <v>765</v>
      </c>
      <c r="BY42" s="143" t="s">
        <v>766</v>
      </c>
      <c r="BZ42" s="143" t="s">
        <v>680</v>
      </c>
      <c r="CA42" s="143">
        <v>4325</v>
      </c>
      <c r="CC42" s="137"/>
      <c r="CD42" s="137"/>
      <c r="CE42" s="137"/>
      <c r="CF42" s="189"/>
      <c r="CG42" s="189"/>
    </row>
    <row r="43" spans="1:85" x14ac:dyDescent="0.25">
      <c r="A43" s="143" t="s">
        <v>767</v>
      </c>
      <c r="B43" s="143" t="s">
        <v>768</v>
      </c>
      <c r="C43" s="143" t="s">
        <v>680</v>
      </c>
      <c r="D43" s="143">
        <v>2689</v>
      </c>
      <c r="E43" s="354">
        <v>0.4</v>
      </c>
      <c r="F43" s="354">
        <v>0.6</v>
      </c>
      <c r="G43" s="354">
        <v>1</v>
      </c>
      <c r="H43" s="78" t="s">
        <v>3184</v>
      </c>
      <c r="J43" s="143" t="s">
        <v>767</v>
      </c>
      <c r="K43" s="143" t="s">
        <v>768</v>
      </c>
      <c r="L43" s="143" t="s">
        <v>680</v>
      </c>
      <c r="M43" s="143">
        <v>2689</v>
      </c>
      <c r="N43" s="137">
        <v>0.18181820000000001</v>
      </c>
      <c r="O43" s="137">
        <v>0.7111111</v>
      </c>
      <c r="P43" s="265">
        <v>0.89292930000000004</v>
      </c>
      <c r="Q43" s="137" t="s">
        <v>3185</v>
      </c>
      <c r="R43" s="137">
        <v>0.15</v>
      </c>
      <c r="S43" s="137">
        <v>0.53333339999999996</v>
      </c>
      <c r="T43" s="137">
        <v>0.68333330000000003</v>
      </c>
      <c r="V43" s="143" t="s">
        <v>767</v>
      </c>
      <c r="W43" s="143" t="s">
        <v>768</v>
      </c>
      <c r="X43" s="143" t="s">
        <v>680</v>
      </c>
      <c r="Y43" s="143">
        <v>2689</v>
      </c>
      <c r="Z43" s="137" t="s">
        <v>3184</v>
      </c>
      <c r="AA43" s="137" t="s">
        <v>3184</v>
      </c>
      <c r="AB43" s="137" t="s">
        <v>3185</v>
      </c>
      <c r="AC43" s="137" t="s">
        <v>3184</v>
      </c>
      <c r="AD43" s="137" t="s">
        <v>3185</v>
      </c>
      <c r="AE43" s="137" t="s">
        <v>3185</v>
      </c>
      <c r="AF43" s="137" t="s">
        <v>3184</v>
      </c>
      <c r="AG43" s="137" t="s">
        <v>3184</v>
      </c>
      <c r="AH43" s="137" t="s">
        <v>3184</v>
      </c>
      <c r="AI43" s="137" t="s">
        <v>3184</v>
      </c>
      <c r="AJ43" s="137" t="s">
        <v>3185</v>
      </c>
      <c r="AK43" s="137">
        <v>0.63636360000000003</v>
      </c>
      <c r="AM43" s="143" t="s">
        <v>767</v>
      </c>
      <c r="AN43" s="143" t="s">
        <v>768</v>
      </c>
      <c r="AO43" s="143">
        <v>1</v>
      </c>
      <c r="AP43" s="143">
        <v>2689</v>
      </c>
      <c r="AQ43" s="137"/>
      <c r="AR43" s="137"/>
      <c r="AS43" s="137"/>
      <c r="AT43" s="137"/>
      <c r="AU43" s="137"/>
      <c r="AV43" s="137"/>
      <c r="AW43" s="137"/>
      <c r="AX43" s="189">
        <v>0.91249999999999998</v>
      </c>
      <c r="AY43" s="189">
        <v>0.91249999999999998</v>
      </c>
      <c r="AZ43" s="78" t="s">
        <v>3185</v>
      </c>
      <c r="BB43" s="143" t="s">
        <v>767</v>
      </c>
      <c r="BC43" s="143" t="s">
        <v>768</v>
      </c>
      <c r="BD43" s="143" t="s">
        <v>680</v>
      </c>
      <c r="BE43" s="143">
        <v>2689</v>
      </c>
      <c r="BF43" s="137"/>
      <c r="BG43" s="137"/>
      <c r="BH43" s="137"/>
      <c r="BI43" s="137"/>
      <c r="BJ43" s="137"/>
      <c r="BK43" s="137"/>
      <c r="BL43" s="137"/>
      <c r="BM43" s="137"/>
      <c r="BN43" s="137"/>
      <c r="BO43" s="137"/>
      <c r="BP43" s="137"/>
      <c r="BQ43" s="137"/>
      <c r="BR43" s="137" t="s">
        <v>3184</v>
      </c>
      <c r="BS43" s="137" t="s">
        <v>3184</v>
      </c>
      <c r="BT43" s="189" t="s">
        <v>3184</v>
      </c>
      <c r="BU43" s="189">
        <v>1</v>
      </c>
      <c r="BV43" s="78" t="s">
        <v>3184</v>
      </c>
      <c r="BX43" s="143" t="s">
        <v>767</v>
      </c>
      <c r="BY43" s="143" t="s">
        <v>768</v>
      </c>
      <c r="BZ43" s="143" t="s">
        <v>680</v>
      </c>
      <c r="CA43" s="143">
        <v>2689</v>
      </c>
      <c r="CC43" s="137"/>
      <c r="CD43" s="137"/>
      <c r="CE43" s="137"/>
      <c r="CF43" s="189"/>
      <c r="CG43" s="189"/>
    </row>
    <row r="44" spans="1:85" x14ac:dyDescent="0.25">
      <c r="A44" s="143" t="s">
        <v>767</v>
      </c>
      <c r="B44" s="143" t="s">
        <v>768</v>
      </c>
      <c r="C44" s="143" t="s">
        <v>680</v>
      </c>
      <c r="D44" s="143">
        <v>2919</v>
      </c>
      <c r="E44" s="354">
        <v>0.4</v>
      </c>
      <c r="F44" s="354">
        <v>0.6</v>
      </c>
      <c r="G44" s="354">
        <v>1</v>
      </c>
      <c r="H44" s="78" t="s">
        <v>3184</v>
      </c>
      <c r="J44" s="143" t="s">
        <v>767</v>
      </c>
      <c r="K44" s="143" t="s">
        <v>768</v>
      </c>
      <c r="L44" s="143" t="s">
        <v>680</v>
      </c>
      <c r="M44" s="143">
        <v>2919</v>
      </c>
      <c r="N44" s="137">
        <v>0.2</v>
      </c>
      <c r="O44" s="137">
        <v>0.8</v>
      </c>
      <c r="P44" s="265">
        <v>1</v>
      </c>
      <c r="Q44" s="137" t="s">
        <v>3184</v>
      </c>
      <c r="R44" s="137">
        <v>0.2</v>
      </c>
      <c r="S44" s="137">
        <v>0.73333329999999997</v>
      </c>
      <c r="T44" s="137">
        <v>0.93333330000000003</v>
      </c>
      <c r="V44" s="143" t="s">
        <v>767</v>
      </c>
      <c r="W44" s="143" t="s">
        <v>768</v>
      </c>
      <c r="X44" s="143" t="s">
        <v>680</v>
      </c>
      <c r="Y44" s="143">
        <v>2919</v>
      </c>
      <c r="Z44" s="137" t="s">
        <v>3184</v>
      </c>
      <c r="AA44" s="137" t="s">
        <v>3184</v>
      </c>
      <c r="AB44" s="137" t="s">
        <v>3184</v>
      </c>
      <c r="AC44" s="137" t="s">
        <v>3184</v>
      </c>
      <c r="AD44" s="137" t="s">
        <v>3185</v>
      </c>
      <c r="AE44" s="137" t="s">
        <v>3185</v>
      </c>
      <c r="AF44" s="137" t="s">
        <v>3184</v>
      </c>
      <c r="AG44" s="137" t="s">
        <v>3184</v>
      </c>
      <c r="AH44" s="137" t="s">
        <v>3184</v>
      </c>
      <c r="AI44" s="137" t="s">
        <v>3184</v>
      </c>
      <c r="AJ44" s="137" t="s">
        <v>3184</v>
      </c>
      <c r="AK44" s="137">
        <v>0.81818179999999996</v>
      </c>
      <c r="AM44" s="143" t="s">
        <v>767</v>
      </c>
      <c r="AN44" s="143" t="s">
        <v>768</v>
      </c>
      <c r="AO44" s="143">
        <v>1</v>
      </c>
      <c r="AP44" s="143">
        <v>2919</v>
      </c>
      <c r="AQ44" s="137"/>
      <c r="AR44" s="137"/>
      <c r="AS44" s="137"/>
      <c r="AT44" s="137"/>
      <c r="AU44" s="137"/>
      <c r="AV44" s="137"/>
      <c r="AW44" s="137"/>
      <c r="AX44" s="189">
        <v>0.98750000000000004</v>
      </c>
      <c r="AY44" s="189">
        <v>0.98750000000000004</v>
      </c>
      <c r="AZ44" s="78" t="s">
        <v>3184</v>
      </c>
      <c r="BB44" s="143" t="s">
        <v>767</v>
      </c>
      <c r="BC44" s="143" t="s">
        <v>768</v>
      </c>
      <c r="BD44" s="143" t="s">
        <v>680</v>
      </c>
      <c r="BE44" s="143">
        <v>2919</v>
      </c>
      <c r="BF44" s="137"/>
      <c r="BG44" s="137"/>
      <c r="BH44" s="137"/>
      <c r="BI44" s="137"/>
      <c r="BJ44" s="137"/>
      <c r="BK44" s="137"/>
      <c r="BL44" s="137"/>
      <c r="BM44" s="137"/>
      <c r="BN44" s="137"/>
      <c r="BO44" s="137"/>
      <c r="BP44" s="137"/>
      <c r="BQ44" s="137"/>
      <c r="BR44" s="137" t="s">
        <v>3184</v>
      </c>
      <c r="BS44" s="137" t="s">
        <v>3184</v>
      </c>
      <c r="BT44" s="189" t="s">
        <v>3184</v>
      </c>
      <c r="BU44" s="189">
        <v>1</v>
      </c>
      <c r="BV44" s="78" t="s">
        <v>3184</v>
      </c>
      <c r="BX44" s="143" t="s">
        <v>767</v>
      </c>
      <c r="BY44" s="143" t="s">
        <v>768</v>
      </c>
      <c r="BZ44" s="143" t="s">
        <v>680</v>
      </c>
      <c r="CA44" s="143">
        <v>2919</v>
      </c>
      <c r="CC44" s="137"/>
      <c r="CD44" s="137"/>
      <c r="CE44" s="137"/>
      <c r="CF44" s="189"/>
      <c r="CG44" s="189"/>
    </row>
    <row r="45" spans="1:85" x14ac:dyDescent="0.25">
      <c r="A45" s="143" t="s">
        <v>767</v>
      </c>
      <c r="B45" s="143" t="s">
        <v>768</v>
      </c>
      <c r="C45" s="143" t="s">
        <v>680</v>
      </c>
      <c r="D45" s="143">
        <v>3426</v>
      </c>
      <c r="E45" s="354">
        <v>0.4</v>
      </c>
      <c r="F45" s="354">
        <v>0.6</v>
      </c>
      <c r="G45" s="354">
        <v>1</v>
      </c>
      <c r="H45" s="78" t="s">
        <v>3184</v>
      </c>
      <c r="J45" s="143" t="s">
        <v>767</v>
      </c>
      <c r="K45" s="143" t="s">
        <v>768</v>
      </c>
      <c r="L45" s="143" t="s">
        <v>680</v>
      </c>
      <c r="M45" s="143">
        <v>3426</v>
      </c>
      <c r="N45" s="137">
        <v>0.14545449999999999</v>
      </c>
      <c r="O45" s="137">
        <v>0.51070709999999997</v>
      </c>
      <c r="P45" s="265">
        <v>0.65616160000000001</v>
      </c>
      <c r="Q45" s="137" t="s">
        <v>3185</v>
      </c>
      <c r="R45" s="137">
        <v>0.2</v>
      </c>
      <c r="S45" s="137">
        <v>0.73333329999999997</v>
      </c>
      <c r="T45" s="137">
        <v>0.93333330000000003</v>
      </c>
      <c r="V45" s="143" t="s">
        <v>767</v>
      </c>
      <c r="W45" s="143" t="s">
        <v>768</v>
      </c>
      <c r="X45" s="143" t="s">
        <v>680</v>
      </c>
      <c r="Y45" s="143">
        <v>3426</v>
      </c>
      <c r="Z45" s="137" t="s">
        <v>3184</v>
      </c>
      <c r="AA45" s="137" t="s">
        <v>3184</v>
      </c>
      <c r="AB45" s="137" t="s">
        <v>3184</v>
      </c>
      <c r="AC45" s="137" t="s">
        <v>3185</v>
      </c>
      <c r="AD45" s="137" t="s">
        <v>3185</v>
      </c>
      <c r="AE45" s="137" t="s">
        <v>3185</v>
      </c>
      <c r="AF45" s="137" t="s">
        <v>3184</v>
      </c>
      <c r="AG45" s="137" t="s">
        <v>3184</v>
      </c>
      <c r="AH45" s="137" t="s">
        <v>3184</v>
      </c>
      <c r="AI45" s="137" t="s">
        <v>3184</v>
      </c>
      <c r="AJ45" s="137" t="s">
        <v>3184</v>
      </c>
      <c r="AK45" s="137">
        <v>0.72727269999999999</v>
      </c>
      <c r="AM45" s="143" t="s">
        <v>767</v>
      </c>
      <c r="AN45" s="143" t="s">
        <v>768</v>
      </c>
      <c r="AO45" s="143">
        <v>1</v>
      </c>
      <c r="AP45" s="143">
        <v>3426</v>
      </c>
      <c r="AQ45" s="137"/>
      <c r="AR45" s="137"/>
      <c r="AS45" s="137"/>
      <c r="AT45" s="137"/>
      <c r="AU45" s="137"/>
      <c r="AV45" s="137"/>
      <c r="AW45" s="137"/>
      <c r="AX45" s="189">
        <v>0.96250000000000002</v>
      </c>
      <c r="AY45" s="189">
        <v>0.96250000000000002</v>
      </c>
      <c r="AZ45" s="78" t="s">
        <v>3184</v>
      </c>
      <c r="BB45" s="143" t="s">
        <v>767</v>
      </c>
      <c r="BC45" s="143" t="s">
        <v>768</v>
      </c>
      <c r="BD45" s="143" t="s">
        <v>680</v>
      </c>
      <c r="BE45" s="143">
        <v>3426</v>
      </c>
      <c r="BF45" s="137"/>
      <c r="BG45" s="137"/>
      <c r="BH45" s="137"/>
      <c r="BI45" s="137"/>
      <c r="BJ45" s="137"/>
      <c r="BK45" s="137"/>
      <c r="BL45" s="137"/>
      <c r="BM45" s="137"/>
      <c r="BN45" s="137"/>
      <c r="BO45" s="137"/>
      <c r="BP45" s="137"/>
      <c r="BQ45" s="137"/>
      <c r="BR45" s="137" t="s">
        <v>3184</v>
      </c>
      <c r="BS45" s="137" t="s">
        <v>3184</v>
      </c>
      <c r="BT45" s="189" t="s">
        <v>3184</v>
      </c>
      <c r="BU45" s="189">
        <v>1</v>
      </c>
      <c r="BV45" s="78" t="s">
        <v>3184</v>
      </c>
      <c r="BX45" s="143" t="s">
        <v>767</v>
      </c>
      <c r="BY45" s="143" t="s">
        <v>768</v>
      </c>
      <c r="BZ45" s="143" t="s">
        <v>680</v>
      </c>
      <c r="CA45" s="143">
        <v>3426</v>
      </c>
      <c r="CC45" s="137"/>
      <c r="CD45" s="137"/>
      <c r="CE45" s="137"/>
      <c r="CF45" s="189"/>
      <c r="CG45" s="189"/>
    </row>
    <row r="46" spans="1:85" x14ac:dyDescent="0.25">
      <c r="A46" s="143" t="s">
        <v>767</v>
      </c>
      <c r="B46" s="143" t="s">
        <v>768</v>
      </c>
      <c r="C46" s="143" t="s">
        <v>680</v>
      </c>
      <c r="D46" s="143">
        <v>3899</v>
      </c>
      <c r="E46" s="354">
        <v>0.39480520000000002</v>
      </c>
      <c r="F46" s="354">
        <v>0.6</v>
      </c>
      <c r="G46" s="354">
        <v>0.99480519999999995</v>
      </c>
      <c r="H46" s="78" t="s">
        <v>3185</v>
      </c>
      <c r="J46" s="143" t="s">
        <v>767</v>
      </c>
      <c r="K46" s="143" t="s">
        <v>768</v>
      </c>
      <c r="L46" s="143" t="s">
        <v>680</v>
      </c>
      <c r="M46" s="143">
        <v>3899</v>
      </c>
      <c r="N46" s="137">
        <v>0.2</v>
      </c>
      <c r="O46" s="137">
        <v>0.75878789999999996</v>
      </c>
      <c r="P46" s="265">
        <v>0.95878790000000003</v>
      </c>
      <c r="Q46" s="137" t="s">
        <v>3184</v>
      </c>
      <c r="R46" s="137">
        <v>0.1833333</v>
      </c>
      <c r="S46" s="137">
        <v>0.72380949999999999</v>
      </c>
      <c r="T46" s="137">
        <v>0.90714289999999997</v>
      </c>
      <c r="V46" s="143" t="s">
        <v>767</v>
      </c>
      <c r="W46" s="143" t="s">
        <v>768</v>
      </c>
      <c r="X46" s="143" t="s">
        <v>680</v>
      </c>
      <c r="Y46" s="143">
        <v>3899</v>
      </c>
      <c r="Z46" s="137" t="s">
        <v>3184</v>
      </c>
      <c r="AA46" s="137" t="s">
        <v>3184</v>
      </c>
      <c r="AB46" s="137" t="s">
        <v>3184</v>
      </c>
      <c r="AC46" s="137" t="s">
        <v>3184</v>
      </c>
      <c r="AD46" s="137" t="s">
        <v>3185</v>
      </c>
      <c r="AE46" s="137" t="s">
        <v>3184</v>
      </c>
      <c r="AF46" s="137" t="s">
        <v>3185</v>
      </c>
      <c r="AG46" s="137" t="s">
        <v>3184</v>
      </c>
      <c r="AH46" s="137" t="s">
        <v>3184</v>
      </c>
      <c r="AI46" s="137" t="s">
        <v>3184</v>
      </c>
      <c r="AJ46" s="137" t="s">
        <v>3184</v>
      </c>
      <c r="AK46" s="137">
        <v>0.81818179999999996</v>
      </c>
      <c r="AM46" s="143" t="s">
        <v>767</v>
      </c>
      <c r="AN46" s="143" t="s">
        <v>768</v>
      </c>
      <c r="AO46" s="143">
        <v>1</v>
      </c>
      <c r="AP46" s="143">
        <v>3899</v>
      </c>
      <c r="AQ46" s="137"/>
      <c r="AR46" s="137"/>
      <c r="AS46" s="137"/>
      <c r="AT46" s="137"/>
      <c r="AU46" s="137"/>
      <c r="AV46" s="137"/>
      <c r="AW46" s="137"/>
      <c r="AX46" s="189">
        <v>0.875</v>
      </c>
      <c r="AY46" s="189">
        <v>0.875</v>
      </c>
      <c r="AZ46" s="78" t="s">
        <v>3185</v>
      </c>
      <c r="BB46" s="143" t="s">
        <v>767</v>
      </c>
      <c r="BC46" s="143" t="s">
        <v>768</v>
      </c>
      <c r="BD46" s="143" t="s">
        <v>680</v>
      </c>
      <c r="BE46" s="143">
        <v>3899</v>
      </c>
      <c r="BF46" s="137"/>
      <c r="BG46" s="137"/>
      <c r="BH46" s="137"/>
      <c r="BI46" s="137"/>
      <c r="BJ46" s="137"/>
      <c r="BK46" s="137"/>
      <c r="BL46" s="137"/>
      <c r="BM46" s="137"/>
      <c r="BN46" s="137"/>
      <c r="BO46" s="137"/>
      <c r="BP46" s="137"/>
      <c r="BQ46" s="137"/>
      <c r="BR46" s="137" t="s">
        <v>3184</v>
      </c>
      <c r="BS46" s="137" t="s">
        <v>3185</v>
      </c>
      <c r="BT46" s="189" t="s">
        <v>3185</v>
      </c>
      <c r="BU46" s="189">
        <v>0.3333333</v>
      </c>
      <c r="BV46" s="78" t="s">
        <v>3185</v>
      </c>
      <c r="BX46" s="143" t="s">
        <v>767</v>
      </c>
      <c r="BY46" s="143" t="s">
        <v>768</v>
      </c>
      <c r="BZ46" s="143" t="s">
        <v>680</v>
      </c>
      <c r="CA46" s="143">
        <v>3899</v>
      </c>
      <c r="CC46" s="137"/>
      <c r="CD46" s="137"/>
      <c r="CE46" s="137"/>
      <c r="CF46" s="189"/>
      <c r="CG46" s="189"/>
    </row>
    <row r="47" spans="1:85" x14ac:dyDescent="0.25">
      <c r="A47" s="143" t="s">
        <v>767</v>
      </c>
      <c r="B47" s="143" t="s">
        <v>768</v>
      </c>
      <c r="C47" s="143" t="s">
        <v>680</v>
      </c>
      <c r="D47" s="143">
        <v>3978</v>
      </c>
      <c r="E47" s="354">
        <v>0.38441560000000002</v>
      </c>
      <c r="F47" s="354">
        <v>0.6</v>
      </c>
      <c r="G47" s="354">
        <v>0.9844157</v>
      </c>
      <c r="H47" s="78" t="s">
        <v>3185</v>
      </c>
      <c r="J47" s="143" t="s">
        <v>767</v>
      </c>
      <c r="K47" s="143" t="s">
        <v>768</v>
      </c>
      <c r="L47" s="143" t="s">
        <v>680</v>
      </c>
      <c r="M47" s="143">
        <v>3978</v>
      </c>
      <c r="N47" s="137">
        <v>0.12727269999999999</v>
      </c>
      <c r="O47" s="137">
        <v>0.41373739999999998</v>
      </c>
      <c r="P47" s="265">
        <v>0.54101010000000005</v>
      </c>
      <c r="Q47" s="137" t="s">
        <v>3185</v>
      </c>
      <c r="R47" s="137">
        <v>0.13333329999999999</v>
      </c>
      <c r="S47" s="137">
        <v>0.3904762</v>
      </c>
      <c r="T47" s="137">
        <v>0.52380950000000004</v>
      </c>
      <c r="V47" s="143" t="s">
        <v>767</v>
      </c>
      <c r="W47" s="143" t="s">
        <v>768</v>
      </c>
      <c r="X47" s="143" t="s">
        <v>680</v>
      </c>
      <c r="Y47" s="143">
        <v>3978</v>
      </c>
      <c r="Z47" s="137" t="s">
        <v>3184</v>
      </c>
      <c r="AA47" s="137" t="s">
        <v>3184</v>
      </c>
      <c r="AB47" s="137" t="s">
        <v>3184</v>
      </c>
      <c r="AC47" s="137" t="s">
        <v>3184</v>
      </c>
      <c r="AD47" s="137" t="s">
        <v>3185</v>
      </c>
      <c r="AE47" s="137" t="s">
        <v>3185</v>
      </c>
      <c r="AF47" s="137" t="s">
        <v>3185</v>
      </c>
      <c r="AG47" s="137" t="s">
        <v>3184</v>
      </c>
      <c r="AH47" s="137" t="s">
        <v>3184</v>
      </c>
      <c r="AI47" s="137" t="s">
        <v>3184</v>
      </c>
      <c r="AJ47" s="137" t="s">
        <v>3184</v>
      </c>
      <c r="AK47" s="137">
        <v>0.72727269999999999</v>
      </c>
      <c r="AM47" s="143" t="s">
        <v>767</v>
      </c>
      <c r="AN47" s="143" t="s">
        <v>768</v>
      </c>
      <c r="AO47" s="143">
        <v>1</v>
      </c>
      <c r="AP47" s="143">
        <v>3978</v>
      </c>
      <c r="AQ47" s="137"/>
      <c r="AR47" s="137"/>
      <c r="AS47" s="137"/>
      <c r="AT47" s="137"/>
      <c r="AU47" s="137"/>
      <c r="AV47" s="137"/>
      <c r="AW47" s="137"/>
      <c r="AX47" s="189">
        <v>0.83750000000000002</v>
      </c>
      <c r="AY47" s="189">
        <v>0.83750000000000002</v>
      </c>
      <c r="AZ47" s="78" t="s">
        <v>3185</v>
      </c>
      <c r="BB47" s="143" t="s">
        <v>767</v>
      </c>
      <c r="BC47" s="143" t="s">
        <v>768</v>
      </c>
      <c r="BD47" s="143" t="s">
        <v>680</v>
      </c>
      <c r="BE47" s="143">
        <v>3978</v>
      </c>
      <c r="BF47" s="137"/>
      <c r="BG47" s="137"/>
      <c r="BH47" s="137"/>
      <c r="BI47" s="137"/>
      <c r="BJ47" s="137"/>
      <c r="BK47" s="137"/>
      <c r="BL47" s="137"/>
      <c r="BM47" s="137"/>
      <c r="BN47" s="137"/>
      <c r="BO47" s="137"/>
      <c r="BP47" s="137"/>
      <c r="BQ47" s="137"/>
      <c r="BR47" s="137" t="s">
        <v>3184</v>
      </c>
      <c r="BS47" s="137" t="s">
        <v>3184</v>
      </c>
      <c r="BT47" s="189" t="s">
        <v>3184</v>
      </c>
      <c r="BU47" s="189">
        <v>1</v>
      </c>
      <c r="BV47" s="78" t="s">
        <v>3184</v>
      </c>
      <c r="BX47" s="143" t="s">
        <v>767</v>
      </c>
      <c r="BY47" s="143" t="s">
        <v>768</v>
      </c>
      <c r="BZ47" s="143" t="s">
        <v>680</v>
      </c>
      <c r="CA47" s="143">
        <v>3978</v>
      </c>
      <c r="CC47" s="137"/>
      <c r="CD47" s="137"/>
      <c r="CE47" s="137"/>
      <c r="CF47" s="189"/>
      <c r="CG47" s="189"/>
    </row>
    <row r="48" spans="1:85" x14ac:dyDescent="0.25">
      <c r="A48" s="143" t="s">
        <v>767</v>
      </c>
      <c r="B48" s="143" t="s">
        <v>768</v>
      </c>
      <c r="C48" s="143" t="s">
        <v>680</v>
      </c>
      <c r="D48" s="143">
        <v>3979</v>
      </c>
      <c r="E48" s="354">
        <v>0.3350649</v>
      </c>
      <c r="F48" s="354">
        <v>0.6</v>
      </c>
      <c r="G48" s="354">
        <v>0.93506500000000004</v>
      </c>
      <c r="H48" s="78" t="s">
        <v>3185</v>
      </c>
      <c r="J48" s="143" t="s">
        <v>767</v>
      </c>
      <c r="K48" s="143" t="s">
        <v>768</v>
      </c>
      <c r="L48" s="143" t="s">
        <v>680</v>
      </c>
      <c r="M48" s="143">
        <v>3979</v>
      </c>
      <c r="N48" s="137">
        <v>0.1090909</v>
      </c>
      <c r="O48" s="137">
        <v>0.32323229999999997</v>
      </c>
      <c r="P48" s="265">
        <v>0.43232320000000002</v>
      </c>
      <c r="Q48" s="137" t="s">
        <v>3185</v>
      </c>
      <c r="R48" s="137">
        <v>0.1166667</v>
      </c>
      <c r="S48" s="137">
        <v>0</v>
      </c>
      <c r="T48" s="137">
        <v>0.1166667</v>
      </c>
      <c r="V48" s="143" t="s">
        <v>767</v>
      </c>
      <c r="W48" s="143" t="s">
        <v>768</v>
      </c>
      <c r="X48" s="143" t="s">
        <v>680</v>
      </c>
      <c r="Y48" s="143">
        <v>3979</v>
      </c>
      <c r="Z48" s="137" t="s">
        <v>3184</v>
      </c>
      <c r="AA48" s="137" t="s">
        <v>3184</v>
      </c>
      <c r="AB48" s="137" t="s">
        <v>3184</v>
      </c>
      <c r="AC48" s="137" t="s">
        <v>3184</v>
      </c>
      <c r="AD48" s="137" t="s">
        <v>3185</v>
      </c>
      <c r="AE48" s="137" t="s">
        <v>3185</v>
      </c>
      <c r="AF48" s="137" t="s">
        <v>3185</v>
      </c>
      <c r="AG48" s="137" t="s">
        <v>3184</v>
      </c>
      <c r="AH48" s="137" t="s">
        <v>3184</v>
      </c>
      <c r="AI48" s="137" t="s">
        <v>3184</v>
      </c>
      <c r="AJ48" s="137" t="s">
        <v>3185</v>
      </c>
      <c r="AK48" s="137">
        <v>0.63636360000000003</v>
      </c>
      <c r="AM48" s="143" t="s">
        <v>767</v>
      </c>
      <c r="AN48" s="143" t="s">
        <v>768</v>
      </c>
      <c r="AO48" s="143">
        <v>1</v>
      </c>
      <c r="AP48" s="143">
        <v>3979</v>
      </c>
      <c r="AQ48" s="137"/>
      <c r="AR48" s="137"/>
      <c r="AS48" s="137"/>
      <c r="AT48" s="137"/>
      <c r="AU48" s="137"/>
      <c r="AV48" s="137"/>
      <c r="AW48" s="137"/>
      <c r="AX48" s="189">
        <v>0.82499999999999996</v>
      </c>
      <c r="AY48" s="189">
        <v>0.82499999999999996</v>
      </c>
      <c r="AZ48" s="78" t="s">
        <v>3185</v>
      </c>
      <c r="BB48" s="143" t="s">
        <v>767</v>
      </c>
      <c r="BC48" s="143" t="s">
        <v>768</v>
      </c>
      <c r="BD48" s="143" t="s">
        <v>680</v>
      </c>
      <c r="BE48" s="143">
        <v>3979</v>
      </c>
      <c r="BF48" s="137"/>
      <c r="BG48" s="137"/>
      <c r="BH48" s="137"/>
      <c r="BI48" s="137"/>
      <c r="BJ48" s="137"/>
      <c r="BK48" s="137"/>
      <c r="BL48" s="137"/>
      <c r="BM48" s="137"/>
      <c r="BN48" s="137"/>
      <c r="BO48" s="137"/>
      <c r="BP48" s="137"/>
      <c r="BQ48" s="137"/>
      <c r="BR48" s="137" t="s">
        <v>3185</v>
      </c>
      <c r="BS48" s="137" t="s">
        <v>3185</v>
      </c>
      <c r="BT48" s="189" t="s">
        <v>3185</v>
      </c>
      <c r="BU48" s="189">
        <v>0</v>
      </c>
      <c r="BV48" s="78" t="s">
        <v>3185</v>
      </c>
      <c r="BX48" s="143" t="s">
        <v>767</v>
      </c>
      <c r="BY48" s="143" t="s">
        <v>768</v>
      </c>
      <c r="BZ48" s="143" t="s">
        <v>680</v>
      </c>
      <c r="CA48" s="143">
        <v>3979</v>
      </c>
      <c r="CC48" s="137"/>
      <c r="CD48" s="137"/>
      <c r="CE48" s="137"/>
      <c r="CF48" s="189"/>
      <c r="CG48" s="189"/>
    </row>
    <row r="49" spans="1:85" x14ac:dyDescent="0.25">
      <c r="A49" s="143" t="s">
        <v>769</v>
      </c>
      <c r="B49" s="143" t="s">
        <v>770</v>
      </c>
      <c r="C49" s="143" t="s">
        <v>680</v>
      </c>
      <c r="D49" s="143">
        <v>2440</v>
      </c>
      <c r="E49" s="354">
        <v>0.39740259999999999</v>
      </c>
      <c r="F49" s="354">
        <v>0.6</v>
      </c>
      <c r="G49" s="354">
        <v>0.99740260000000003</v>
      </c>
      <c r="H49" s="78" t="s">
        <v>3185</v>
      </c>
      <c r="J49" s="143" t="s">
        <v>769</v>
      </c>
      <c r="K49" s="143" t="s">
        <v>770</v>
      </c>
      <c r="L49" s="143" t="s">
        <v>680</v>
      </c>
      <c r="M49" s="143">
        <v>2440</v>
      </c>
      <c r="N49" s="137">
        <v>0.12727269999999999</v>
      </c>
      <c r="O49" s="137">
        <v>0.28686869999999998</v>
      </c>
      <c r="P49" s="265">
        <v>0.41414139999999999</v>
      </c>
      <c r="Q49" s="137" t="s">
        <v>3185</v>
      </c>
      <c r="R49" s="137">
        <v>8.3333299999999999E-2</v>
      </c>
      <c r="S49" s="137">
        <v>6.6666699999999995E-2</v>
      </c>
      <c r="T49" s="137">
        <v>0.15</v>
      </c>
      <c r="V49" s="143" t="s">
        <v>769</v>
      </c>
      <c r="W49" s="143" t="s">
        <v>770</v>
      </c>
      <c r="X49" s="143" t="s">
        <v>680</v>
      </c>
      <c r="Y49" s="143">
        <v>2440</v>
      </c>
      <c r="Z49" s="137" t="s">
        <v>3185</v>
      </c>
      <c r="AA49" s="137" t="s">
        <v>3184</v>
      </c>
      <c r="AB49" s="137" t="s">
        <v>3185</v>
      </c>
      <c r="AC49" s="137" t="s">
        <v>3184</v>
      </c>
      <c r="AD49" s="137" t="s">
        <v>3185</v>
      </c>
      <c r="AE49" s="137" t="s">
        <v>3185</v>
      </c>
      <c r="AF49" s="137" t="s">
        <v>3184</v>
      </c>
      <c r="AG49" s="137" t="s">
        <v>3185</v>
      </c>
      <c r="AH49" s="137" t="s">
        <v>3184</v>
      </c>
      <c r="AI49" s="137" t="s">
        <v>3184</v>
      </c>
      <c r="AJ49" s="137" t="s">
        <v>3185</v>
      </c>
      <c r="AK49" s="137">
        <v>0.45454549999999999</v>
      </c>
      <c r="AM49" s="143" t="s">
        <v>769</v>
      </c>
      <c r="AN49" s="143" t="s">
        <v>770</v>
      </c>
      <c r="AO49" s="143">
        <v>1</v>
      </c>
      <c r="AP49" s="143">
        <v>2440</v>
      </c>
      <c r="AQ49" s="137"/>
      <c r="AR49" s="137"/>
      <c r="AS49" s="137"/>
      <c r="AT49" s="137"/>
      <c r="AU49" s="137"/>
      <c r="AV49" s="137"/>
      <c r="AW49" s="137"/>
      <c r="AX49" s="189">
        <v>0.67500000000000004</v>
      </c>
      <c r="AY49" s="189">
        <v>0.67500000000000004</v>
      </c>
      <c r="AZ49" s="78" t="s">
        <v>3185</v>
      </c>
      <c r="BB49" s="143" t="s">
        <v>769</v>
      </c>
      <c r="BC49" s="143" t="s">
        <v>770</v>
      </c>
      <c r="BD49" s="143" t="s">
        <v>680</v>
      </c>
      <c r="BE49" s="143">
        <v>2440</v>
      </c>
      <c r="BF49" s="137"/>
      <c r="BG49" s="137"/>
      <c r="BH49" s="137"/>
      <c r="BI49" s="137"/>
      <c r="BJ49" s="137"/>
      <c r="BK49" s="137"/>
      <c r="BL49" s="137"/>
      <c r="BM49" s="137"/>
      <c r="BN49" s="137"/>
      <c r="BO49" s="137"/>
      <c r="BP49" s="137"/>
      <c r="BQ49" s="137"/>
      <c r="BR49" s="137" t="s">
        <v>3185</v>
      </c>
      <c r="BS49" s="137" t="s">
        <v>3185</v>
      </c>
      <c r="BT49" s="189" t="s">
        <v>3184</v>
      </c>
      <c r="BU49" s="189">
        <v>0.3333333</v>
      </c>
      <c r="BV49" s="78" t="s">
        <v>3185</v>
      </c>
      <c r="BX49" s="143" t="s">
        <v>769</v>
      </c>
      <c r="BY49" s="143" t="s">
        <v>770</v>
      </c>
      <c r="BZ49" s="143" t="s">
        <v>680</v>
      </c>
      <c r="CA49" s="143">
        <v>2440</v>
      </c>
      <c r="CC49" s="137"/>
      <c r="CD49" s="137"/>
      <c r="CE49" s="137"/>
      <c r="CF49" s="189"/>
      <c r="CG49" s="189"/>
    </row>
    <row r="50" spans="1:85" x14ac:dyDescent="0.25">
      <c r="A50" s="143" t="s">
        <v>769</v>
      </c>
      <c r="B50" s="143" t="s">
        <v>770</v>
      </c>
      <c r="C50" s="143" t="s">
        <v>680</v>
      </c>
      <c r="D50" s="143">
        <v>2441</v>
      </c>
      <c r="E50" s="354">
        <v>0.4</v>
      </c>
      <c r="F50" s="354">
        <v>0.6</v>
      </c>
      <c r="G50" s="354">
        <v>1</v>
      </c>
      <c r="H50" s="78" t="s">
        <v>3184</v>
      </c>
      <c r="J50" s="143" t="s">
        <v>769</v>
      </c>
      <c r="K50" s="143" t="s">
        <v>770</v>
      </c>
      <c r="L50" s="143" t="s">
        <v>680</v>
      </c>
      <c r="M50" s="143">
        <v>2441</v>
      </c>
      <c r="N50" s="137">
        <v>0.12727269999999999</v>
      </c>
      <c r="O50" s="137">
        <v>0.67959590000000003</v>
      </c>
      <c r="P50" s="265">
        <v>0.80686869999999999</v>
      </c>
      <c r="Q50" s="137" t="s">
        <v>3185</v>
      </c>
      <c r="R50" s="137">
        <v>0.15</v>
      </c>
      <c r="S50" s="137">
        <v>0.16883119999999999</v>
      </c>
      <c r="T50" s="137">
        <v>0.31883119999999998</v>
      </c>
      <c r="V50" s="143" t="s">
        <v>769</v>
      </c>
      <c r="W50" s="143" t="s">
        <v>770</v>
      </c>
      <c r="X50" s="143" t="s">
        <v>680</v>
      </c>
      <c r="Y50" s="143">
        <v>2441</v>
      </c>
      <c r="Z50" s="137" t="s">
        <v>3185</v>
      </c>
      <c r="AA50" s="137" t="s">
        <v>3184</v>
      </c>
      <c r="AB50" s="137" t="s">
        <v>3184</v>
      </c>
      <c r="AC50" s="137" t="s">
        <v>3184</v>
      </c>
      <c r="AD50" s="137" t="s">
        <v>3185</v>
      </c>
      <c r="AE50" s="137" t="s">
        <v>3185</v>
      </c>
      <c r="AF50" s="137" t="s">
        <v>3184</v>
      </c>
      <c r="AG50" s="137" t="s">
        <v>3184</v>
      </c>
      <c r="AH50" s="137" t="s">
        <v>3184</v>
      </c>
      <c r="AI50" s="137" t="s">
        <v>3184</v>
      </c>
      <c r="AJ50" s="137" t="s">
        <v>3184</v>
      </c>
      <c r="AK50" s="137">
        <v>0.72727269999999999</v>
      </c>
      <c r="AM50" s="143" t="s">
        <v>769</v>
      </c>
      <c r="AN50" s="143" t="s">
        <v>770</v>
      </c>
      <c r="AO50" s="143">
        <v>1</v>
      </c>
      <c r="AP50" s="143">
        <v>2441</v>
      </c>
      <c r="AQ50" s="137"/>
      <c r="AR50" s="137"/>
      <c r="AS50" s="137"/>
      <c r="AT50" s="137"/>
      <c r="AU50" s="137"/>
      <c r="AV50" s="137"/>
      <c r="AW50" s="137"/>
      <c r="AX50" s="189">
        <v>0.8125</v>
      </c>
      <c r="AY50" s="189">
        <v>0.8125</v>
      </c>
      <c r="AZ50" s="78" t="s">
        <v>3185</v>
      </c>
      <c r="BB50" s="143" t="s">
        <v>769</v>
      </c>
      <c r="BC50" s="143" t="s">
        <v>770</v>
      </c>
      <c r="BD50" s="143" t="s">
        <v>680</v>
      </c>
      <c r="BE50" s="143">
        <v>2441</v>
      </c>
      <c r="BF50" s="137"/>
      <c r="BG50" s="137"/>
      <c r="BH50" s="137"/>
      <c r="BI50" s="137"/>
      <c r="BJ50" s="137"/>
      <c r="BK50" s="137"/>
      <c r="BL50" s="137"/>
      <c r="BM50" s="137"/>
      <c r="BN50" s="137"/>
      <c r="BO50" s="137"/>
      <c r="BP50" s="137"/>
      <c r="BQ50" s="137"/>
      <c r="BR50" s="137" t="s">
        <v>3184</v>
      </c>
      <c r="BS50" s="137" t="s">
        <v>3184</v>
      </c>
      <c r="BT50" s="189" t="s">
        <v>3184</v>
      </c>
      <c r="BU50" s="189">
        <v>1</v>
      </c>
      <c r="BV50" s="78" t="s">
        <v>3184</v>
      </c>
      <c r="BX50" s="143" t="s">
        <v>769</v>
      </c>
      <c r="BY50" s="143" t="s">
        <v>770</v>
      </c>
      <c r="BZ50" s="143" t="s">
        <v>680</v>
      </c>
      <c r="CA50" s="143">
        <v>2441</v>
      </c>
      <c r="CC50" s="137"/>
      <c r="CD50" s="137"/>
      <c r="CE50" s="137"/>
      <c r="CF50" s="189"/>
      <c r="CG50" s="189"/>
    </row>
    <row r="51" spans="1:85" x14ac:dyDescent="0.25">
      <c r="A51" s="143" t="s">
        <v>769</v>
      </c>
      <c r="B51" s="143" t="s">
        <v>770</v>
      </c>
      <c r="C51" s="143" t="s">
        <v>680</v>
      </c>
      <c r="D51" s="143">
        <v>2442</v>
      </c>
      <c r="E51" s="354">
        <v>0.4</v>
      </c>
      <c r="F51" s="354">
        <v>0.6</v>
      </c>
      <c r="G51" s="354">
        <v>1</v>
      </c>
      <c r="H51" s="78" t="s">
        <v>3184</v>
      </c>
      <c r="J51" s="143" t="s">
        <v>769</v>
      </c>
      <c r="K51" s="143" t="s">
        <v>770</v>
      </c>
      <c r="L51" s="143" t="s">
        <v>680</v>
      </c>
      <c r="M51" s="143">
        <v>2442</v>
      </c>
      <c r="N51" s="137">
        <v>0.14545449999999999</v>
      </c>
      <c r="O51" s="137">
        <v>0.6545455</v>
      </c>
      <c r="P51" s="265">
        <v>0.8</v>
      </c>
      <c r="Q51" s="137" t="s">
        <v>3185</v>
      </c>
      <c r="R51" s="137">
        <v>0.1833333</v>
      </c>
      <c r="S51" s="137">
        <v>0.73333329999999997</v>
      </c>
      <c r="T51" s="137">
        <v>0.91666669999999995</v>
      </c>
      <c r="V51" s="143" t="s">
        <v>769</v>
      </c>
      <c r="W51" s="143" t="s">
        <v>770</v>
      </c>
      <c r="X51" s="143" t="s">
        <v>680</v>
      </c>
      <c r="Y51" s="143">
        <v>2442</v>
      </c>
      <c r="Z51" s="137" t="s">
        <v>3184</v>
      </c>
      <c r="AA51" s="137" t="s">
        <v>3184</v>
      </c>
      <c r="AB51" s="137" t="s">
        <v>3184</v>
      </c>
      <c r="AC51" s="137" t="s">
        <v>3184</v>
      </c>
      <c r="AD51" s="137" t="s">
        <v>3185</v>
      </c>
      <c r="AE51" s="137" t="s">
        <v>3185</v>
      </c>
      <c r="AF51" s="137" t="s">
        <v>3184</v>
      </c>
      <c r="AG51" s="137" t="s">
        <v>3184</v>
      </c>
      <c r="AH51" s="137" t="s">
        <v>3184</v>
      </c>
      <c r="AI51" s="137" t="s">
        <v>3185</v>
      </c>
      <c r="AJ51" s="137" t="s">
        <v>3184</v>
      </c>
      <c r="AK51" s="137">
        <v>0.72727269999999999</v>
      </c>
      <c r="AM51" s="143" t="s">
        <v>769</v>
      </c>
      <c r="AN51" s="143" t="s">
        <v>770</v>
      </c>
      <c r="AO51" s="143">
        <v>1</v>
      </c>
      <c r="AP51" s="143">
        <v>2442</v>
      </c>
      <c r="AQ51" s="137"/>
      <c r="AR51" s="137"/>
      <c r="AS51" s="137"/>
      <c r="AT51" s="137"/>
      <c r="AU51" s="137"/>
      <c r="AV51" s="137"/>
      <c r="AW51" s="137"/>
      <c r="AX51" s="189">
        <v>0.91249999999999998</v>
      </c>
      <c r="AY51" s="189">
        <v>0.91249999999999998</v>
      </c>
      <c r="AZ51" s="78" t="s">
        <v>3185</v>
      </c>
      <c r="BB51" s="143" t="s">
        <v>769</v>
      </c>
      <c r="BC51" s="143" t="s">
        <v>770</v>
      </c>
      <c r="BD51" s="143" t="s">
        <v>680</v>
      </c>
      <c r="BE51" s="143">
        <v>2442</v>
      </c>
      <c r="BF51" s="137"/>
      <c r="BG51" s="137"/>
      <c r="BH51" s="137"/>
      <c r="BI51" s="137"/>
      <c r="BJ51" s="137"/>
      <c r="BK51" s="137"/>
      <c r="BL51" s="137"/>
      <c r="BM51" s="137"/>
      <c r="BN51" s="137"/>
      <c r="BO51" s="137"/>
      <c r="BP51" s="137"/>
      <c r="BQ51" s="137"/>
      <c r="BR51" s="137" t="s">
        <v>3185</v>
      </c>
      <c r="BS51" s="137" t="s">
        <v>3184</v>
      </c>
      <c r="BT51" s="189" t="s">
        <v>3184</v>
      </c>
      <c r="BU51" s="189">
        <v>0.66666669999999995</v>
      </c>
      <c r="BV51" s="78" t="s">
        <v>3185</v>
      </c>
      <c r="BX51" s="143" t="s">
        <v>769</v>
      </c>
      <c r="BY51" s="143" t="s">
        <v>770</v>
      </c>
      <c r="BZ51" s="143" t="s">
        <v>680</v>
      </c>
      <c r="CA51" s="143">
        <v>2442</v>
      </c>
      <c r="CC51" s="137"/>
      <c r="CD51" s="137"/>
      <c r="CE51" s="137"/>
      <c r="CF51" s="189"/>
      <c r="CG51" s="189"/>
    </row>
    <row r="52" spans="1:85" x14ac:dyDescent="0.25">
      <c r="A52" s="143" t="s">
        <v>769</v>
      </c>
      <c r="B52" s="143" t="s">
        <v>770</v>
      </c>
      <c r="C52" s="143" t="s">
        <v>680</v>
      </c>
      <c r="D52" s="143">
        <v>4680</v>
      </c>
      <c r="E52" s="354">
        <v>0.4</v>
      </c>
      <c r="F52" s="354">
        <v>0.6</v>
      </c>
      <c r="G52" s="354">
        <v>1</v>
      </c>
      <c r="H52" s="78" t="s">
        <v>3184</v>
      </c>
      <c r="J52" s="143" t="s">
        <v>769</v>
      </c>
      <c r="K52" s="143" t="s">
        <v>770</v>
      </c>
      <c r="L52" s="143" t="s">
        <v>680</v>
      </c>
      <c r="M52" s="143">
        <v>4680</v>
      </c>
      <c r="N52" s="137">
        <v>0.16363639999999999</v>
      </c>
      <c r="O52" s="137">
        <v>0.6545455</v>
      </c>
      <c r="P52" s="265">
        <v>0.81818179999999996</v>
      </c>
      <c r="Q52" s="137" t="s">
        <v>3185</v>
      </c>
      <c r="R52" s="137">
        <v>0.15</v>
      </c>
      <c r="S52" s="137">
        <v>0.65367969999999997</v>
      </c>
      <c r="T52" s="137">
        <v>0.80367960000000005</v>
      </c>
      <c r="V52" s="143" t="s">
        <v>769</v>
      </c>
      <c r="W52" s="143" t="s">
        <v>770</v>
      </c>
      <c r="X52" s="143" t="s">
        <v>680</v>
      </c>
      <c r="Y52" s="143">
        <v>4680</v>
      </c>
      <c r="Z52" s="137" t="s">
        <v>3185</v>
      </c>
      <c r="AA52" s="137" t="s">
        <v>3184</v>
      </c>
      <c r="AB52" s="137" t="s">
        <v>3184</v>
      </c>
      <c r="AC52" s="137" t="s">
        <v>3184</v>
      </c>
      <c r="AD52" s="137" t="s">
        <v>3185</v>
      </c>
      <c r="AE52" s="137" t="s">
        <v>3185</v>
      </c>
      <c r="AF52" s="137" t="s">
        <v>3184</v>
      </c>
      <c r="AG52" s="137" t="s">
        <v>3184</v>
      </c>
      <c r="AH52" s="137" t="s">
        <v>3184</v>
      </c>
      <c r="AI52" s="137" t="s">
        <v>3184</v>
      </c>
      <c r="AJ52" s="137" t="s">
        <v>3184</v>
      </c>
      <c r="AK52" s="137">
        <v>0.72727269999999999</v>
      </c>
      <c r="AM52" s="143" t="s">
        <v>769</v>
      </c>
      <c r="AN52" s="143" t="s">
        <v>770</v>
      </c>
      <c r="AO52" s="143">
        <v>1</v>
      </c>
      <c r="AP52" s="143">
        <v>4680</v>
      </c>
      <c r="AQ52" s="137"/>
      <c r="AR52" s="137"/>
      <c r="AS52" s="137"/>
      <c r="AT52" s="137"/>
      <c r="AU52" s="137"/>
      <c r="AV52" s="137"/>
      <c r="AW52" s="137"/>
      <c r="AX52" s="189">
        <v>0.88749999999999996</v>
      </c>
      <c r="AY52" s="189">
        <v>0.88749999999999996</v>
      </c>
      <c r="AZ52" s="78" t="s">
        <v>3185</v>
      </c>
      <c r="BB52" s="143" t="s">
        <v>769</v>
      </c>
      <c r="BC52" s="143" t="s">
        <v>770</v>
      </c>
      <c r="BD52" s="143" t="s">
        <v>680</v>
      </c>
      <c r="BE52" s="143">
        <v>4680</v>
      </c>
      <c r="BF52" s="137"/>
      <c r="BG52" s="137"/>
      <c r="BH52" s="137"/>
      <c r="BI52" s="137"/>
      <c r="BJ52" s="137"/>
      <c r="BK52" s="137"/>
      <c r="BL52" s="137"/>
      <c r="BM52" s="137"/>
      <c r="BN52" s="137"/>
      <c r="BO52" s="137"/>
      <c r="BP52" s="137"/>
      <c r="BQ52" s="137"/>
      <c r="BR52" s="137" t="s">
        <v>3184</v>
      </c>
      <c r="BS52" s="137" t="s">
        <v>3184</v>
      </c>
      <c r="BT52" s="189" t="s">
        <v>3184</v>
      </c>
      <c r="BU52" s="189">
        <v>1</v>
      </c>
      <c r="BV52" s="78" t="s">
        <v>3184</v>
      </c>
      <c r="BX52" s="143" t="s">
        <v>769</v>
      </c>
      <c r="BY52" s="143" t="s">
        <v>770</v>
      </c>
      <c r="BZ52" s="143" t="s">
        <v>680</v>
      </c>
      <c r="CA52" s="143">
        <v>4680</v>
      </c>
      <c r="CC52" s="137"/>
      <c r="CD52" s="137"/>
      <c r="CE52" s="137"/>
      <c r="CF52" s="189"/>
      <c r="CG52" s="189"/>
    </row>
    <row r="53" spans="1:85" x14ac:dyDescent="0.25">
      <c r="A53" s="143" t="s">
        <v>769</v>
      </c>
      <c r="B53" s="143" t="s">
        <v>770</v>
      </c>
      <c r="C53" s="143" t="s">
        <v>680</v>
      </c>
      <c r="D53" s="143">
        <v>4698</v>
      </c>
      <c r="E53" s="354">
        <v>0.38961040000000002</v>
      </c>
      <c r="F53" s="354">
        <v>0.6</v>
      </c>
      <c r="G53" s="354">
        <v>0.9896104</v>
      </c>
      <c r="H53" s="78" t="s">
        <v>3185</v>
      </c>
      <c r="J53" s="143" t="s">
        <v>769</v>
      </c>
      <c r="K53" s="143" t="s">
        <v>770</v>
      </c>
      <c r="L53" s="143" t="s">
        <v>680</v>
      </c>
      <c r="M53" s="143">
        <v>4698</v>
      </c>
      <c r="N53" s="137">
        <v>0.1090909</v>
      </c>
      <c r="O53" s="137">
        <v>0.18989900000000001</v>
      </c>
      <c r="P53" s="265">
        <v>0.29898989999999998</v>
      </c>
      <c r="Q53" s="137" t="s">
        <v>3185</v>
      </c>
      <c r="R53" s="137">
        <v>8.3333299999999999E-2</v>
      </c>
      <c r="S53" s="137">
        <v>0.15324679999999999</v>
      </c>
      <c r="T53" s="137">
        <v>0.23658009999999999</v>
      </c>
      <c r="V53" s="143" t="s">
        <v>769</v>
      </c>
      <c r="W53" s="143" t="s">
        <v>770</v>
      </c>
      <c r="X53" s="143" t="s">
        <v>680</v>
      </c>
      <c r="Y53" s="143">
        <v>4698</v>
      </c>
      <c r="Z53" s="137" t="s">
        <v>3185</v>
      </c>
      <c r="AA53" s="137" t="s">
        <v>3184</v>
      </c>
      <c r="AB53" s="137" t="s">
        <v>3185</v>
      </c>
      <c r="AC53" s="137" t="s">
        <v>3184</v>
      </c>
      <c r="AD53" s="137" t="s">
        <v>3185</v>
      </c>
      <c r="AE53" s="137" t="s">
        <v>3185</v>
      </c>
      <c r="AF53" s="137" t="s">
        <v>3184</v>
      </c>
      <c r="AG53" s="137" t="s">
        <v>3185</v>
      </c>
      <c r="AH53" s="137" t="s">
        <v>3184</v>
      </c>
      <c r="AI53" s="137" t="s">
        <v>3184</v>
      </c>
      <c r="AJ53" s="137" t="s">
        <v>3184</v>
      </c>
      <c r="AK53" s="137">
        <v>0.54545460000000001</v>
      </c>
      <c r="AM53" s="143" t="s">
        <v>769</v>
      </c>
      <c r="AN53" s="143" t="s">
        <v>770</v>
      </c>
      <c r="AO53" s="143">
        <v>1</v>
      </c>
      <c r="AP53" s="143">
        <v>4698</v>
      </c>
      <c r="AQ53" s="137"/>
      <c r="AR53" s="137"/>
      <c r="AS53" s="137"/>
      <c r="AT53" s="137"/>
      <c r="AU53" s="137"/>
      <c r="AV53" s="137"/>
      <c r="AW53" s="137"/>
      <c r="AX53" s="189">
        <v>0.76249999999999996</v>
      </c>
      <c r="AY53" s="189">
        <v>0.76249999999999996</v>
      </c>
      <c r="AZ53" s="78" t="s">
        <v>3185</v>
      </c>
      <c r="BB53" s="143" t="s">
        <v>769</v>
      </c>
      <c r="BC53" s="143" t="s">
        <v>770</v>
      </c>
      <c r="BD53" s="143" t="s">
        <v>680</v>
      </c>
      <c r="BE53" s="143">
        <v>4698</v>
      </c>
      <c r="BF53" s="137"/>
      <c r="BG53" s="137"/>
      <c r="BH53" s="137"/>
      <c r="BI53" s="137"/>
      <c r="BJ53" s="137"/>
      <c r="BK53" s="137"/>
      <c r="BL53" s="137"/>
      <c r="BM53" s="137"/>
      <c r="BN53" s="137"/>
      <c r="BO53" s="137"/>
      <c r="BP53" s="137"/>
      <c r="BQ53" s="137"/>
      <c r="BR53" s="137" t="s">
        <v>3184</v>
      </c>
      <c r="BS53" s="137" t="s">
        <v>3184</v>
      </c>
      <c r="BT53" s="189" t="s">
        <v>3184</v>
      </c>
      <c r="BU53" s="189">
        <v>1</v>
      </c>
      <c r="BV53" s="78" t="s">
        <v>3184</v>
      </c>
      <c r="BX53" s="143" t="s">
        <v>769</v>
      </c>
      <c r="BY53" s="143" t="s">
        <v>770</v>
      </c>
      <c r="BZ53" s="143" t="s">
        <v>680</v>
      </c>
      <c r="CA53" s="143">
        <v>4698</v>
      </c>
      <c r="CC53" s="137"/>
      <c r="CD53" s="137"/>
      <c r="CE53" s="137"/>
      <c r="CF53" s="189"/>
      <c r="CG53" s="189"/>
    </row>
    <row r="54" spans="1:85" x14ac:dyDescent="0.25">
      <c r="A54" s="143" t="s">
        <v>769</v>
      </c>
      <c r="B54" s="143" t="s">
        <v>770</v>
      </c>
      <c r="C54" s="143" t="s">
        <v>680</v>
      </c>
      <c r="D54" s="143">
        <v>4703</v>
      </c>
      <c r="E54" s="354">
        <v>0.4</v>
      </c>
      <c r="F54" s="354">
        <v>0.6</v>
      </c>
      <c r="G54" s="354">
        <v>1</v>
      </c>
      <c r="H54" s="78" t="s">
        <v>3184</v>
      </c>
      <c r="J54" s="143" t="s">
        <v>769</v>
      </c>
      <c r="K54" s="143" t="s">
        <v>770</v>
      </c>
      <c r="L54" s="143" t="s">
        <v>680</v>
      </c>
      <c r="M54" s="143">
        <v>4703</v>
      </c>
      <c r="N54" s="137">
        <v>0.1090909</v>
      </c>
      <c r="O54" s="137">
        <v>0.53656570000000003</v>
      </c>
      <c r="P54" s="265">
        <v>0.64565660000000002</v>
      </c>
      <c r="Q54" s="137" t="s">
        <v>3185</v>
      </c>
      <c r="R54" s="137">
        <v>0.1166667</v>
      </c>
      <c r="S54" s="137">
        <v>0.15064939999999999</v>
      </c>
      <c r="T54" s="137">
        <v>0.267316</v>
      </c>
      <c r="V54" s="143" t="s">
        <v>769</v>
      </c>
      <c r="W54" s="143" t="s">
        <v>770</v>
      </c>
      <c r="X54" s="143" t="s">
        <v>680</v>
      </c>
      <c r="Y54" s="143">
        <v>4703</v>
      </c>
      <c r="Z54" s="137" t="s">
        <v>3185</v>
      </c>
      <c r="AA54" s="137" t="s">
        <v>3185</v>
      </c>
      <c r="AB54" s="137" t="s">
        <v>3184</v>
      </c>
      <c r="AC54" s="137" t="s">
        <v>3184</v>
      </c>
      <c r="AD54" s="137" t="s">
        <v>3185</v>
      </c>
      <c r="AE54" s="137" t="s">
        <v>3185</v>
      </c>
      <c r="AF54" s="137" t="s">
        <v>3184</v>
      </c>
      <c r="AG54" s="137" t="s">
        <v>3184</v>
      </c>
      <c r="AH54" s="137" t="s">
        <v>3184</v>
      </c>
      <c r="AI54" s="137" t="s">
        <v>3185</v>
      </c>
      <c r="AJ54" s="137" t="s">
        <v>3185</v>
      </c>
      <c r="AK54" s="137">
        <v>0.45454549999999999</v>
      </c>
      <c r="AM54" s="143" t="s">
        <v>769</v>
      </c>
      <c r="AN54" s="143" t="s">
        <v>770</v>
      </c>
      <c r="AO54" s="143">
        <v>1</v>
      </c>
      <c r="AP54" s="143">
        <v>4703</v>
      </c>
      <c r="AQ54" s="137"/>
      <c r="AR54" s="137"/>
      <c r="AS54" s="137"/>
      <c r="AT54" s="137"/>
      <c r="AU54" s="137"/>
      <c r="AV54" s="137"/>
      <c r="AW54" s="137"/>
      <c r="AX54" s="189">
        <v>0.77500000000000002</v>
      </c>
      <c r="AY54" s="189">
        <v>0.77500000000000002</v>
      </c>
      <c r="AZ54" s="78" t="s">
        <v>3185</v>
      </c>
      <c r="BB54" s="143" t="s">
        <v>769</v>
      </c>
      <c r="BC54" s="143" t="s">
        <v>770</v>
      </c>
      <c r="BD54" s="143" t="s">
        <v>680</v>
      </c>
      <c r="BE54" s="143">
        <v>4703</v>
      </c>
      <c r="BF54" s="137"/>
      <c r="BG54" s="137"/>
      <c r="BH54" s="137"/>
      <c r="BI54" s="137"/>
      <c r="BJ54" s="137"/>
      <c r="BK54" s="137"/>
      <c r="BL54" s="137"/>
      <c r="BM54" s="137"/>
      <c r="BN54" s="137"/>
      <c r="BO54" s="137"/>
      <c r="BP54" s="137"/>
      <c r="BQ54" s="137"/>
      <c r="BR54" s="137" t="s">
        <v>3184</v>
      </c>
      <c r="BS54" s="137" t="s">
        <v>3184</v>
      </c>
      <c r="BT54" s="189" t="s">
        <v>3184</v>
      </c>
      <c r="BU54" s="189">
        <v>1</v>
      </c>
      <c r="BV54" s="78" t="s">
        <v>3184</v>
      </c>
      <c r="BX54" s="143" t="s">
        <v>769</v>
      </c>
      <c r="BY54" s="143" t="s">
        <v>770</v>
      </c>
      <c r="BZ54" s="143" t="s">
        <v>680</v>
      </c>
      <c r="CA54" s="143">
        <v>4703</v>
      </c>
      <c r="CC54" s="137"/>
      <c r="CD54" s="137"/>
      <c r="CE54" s="137"/>
      <c r="CF54" s="189"/>
      <c r="CG54" s="189"/>
    </row>
    <row r="55" spans="1:85" x14ac:dyDescent="0.25">
      <c r="A55" s="143" t="s">
        <v>769</v>
      </c>
      <c r="B55" s="143" t="s">
        <v>770</v>
      </c>
      <c r="C55" s="143" t="s">
        <v>680</v>
      </c>
      <c r="D55" s="143">
        <v>6265</v>
      </c>
      <c r="E55" s="354">
        <v>0.2</v>
      </c>
      <c r="F55" s="354">
        <v>0.3</v>
      </c>
      <c r="G55" s="354">
        <v>0.5</v>
      </c>
      <c r="H55" s="78" t="s">
        <v>3185</v>
      </c>
      <c r="J55" s="143" t="s">
        <v>769</v>
      </c>
      <c r="K55" s="143" t="s">
        <v>770</v>
      </c>
      <c r="L55" s="143" t="s">
        <v>680</v>
      </c>
      <c r="M55" s="143">
        <v>6265</v>
      </c>
      <c r="N55" s="137">
        <v>0.2</v>
      </c>
      <c r="O55" s="137">
        <v>0</v>
      </c>
      <c r="P55" s="265">
        <v>0.2</v>
      </c>
      <c r="Q55" s="137" t="s">
        <v>3185</v>
      </c>
      <c r="R55" s="137">
        <v>0.1166667</v>
      </c>
      <c r="S55" s="137">
        <v>0</v>
      </c>
      <c r="T55" s="137">
        <v>0.1166667</v>
      </c>
      <c r="V55" s="143" t="s">
        <v>769</v>
      </c>
      <c r="W55" s="143" t="s">
        <v>770</v>
      </c>
      <c r="X55" s="143" t="s">
        <v>680</v>
      </c>
      <c r="Y55" s="143">
        <v>6265</v>
      </c>
      <c r="Z55" s="137" t="s">
        <v>3185</v>
      </c>
      <c r="AA55" s="137" t="s">
        <v>3184</v>
      </c>
      <c r="AB55" s="137" t="s">
        <v>3185</v>
      </c>
      <c r="AC55" s="137" t="s">
        <v>3184</v>
      </c>
      <c r="AD55" s="137" t="s">
        <v>3185</v>
      </c>
      <c r="AE55" s="137" t="s">
        <v>3185</v>
      </c>
      <c r="AF55" s="137" t="s">
        <v>3185</v>
      </c>
      <c r="AG55" s="137" t="s">
        <v>3185</v>
      </c>
      <c r="AH55" s="137" t="s">
        <v>3185</v>
      </c>
      <c r="AI55" s="137" t="s">
        <v>3185</v>
      </c>
      <c r="AJ55" s="137" t="s">
        <v>3185</v>
      </c>
      <c r="AK55" s="137">
        <v>0.18181820000000001</v>
      </c>
      <c r="AM55" s="143" t="s">
        <v>769</v>
      </c>
      <c r="AN55" s="143" t="s">
        <v>770</v>
      </c>
      <c r="AO55" s="143">
        <v>1</v>
      </c>
      <c r="AP55" s="143">
        <v>6265</v>
      </c>
      <c r="AQ55" s="137"/>
      <c r="AR55" s="137"/>
      <c r="AS55" s="137"/>
      <c r="AT55" s="137"/>
      <c r="AU55" s="137"/>
      <c r="AV55" s="137"/>
      <c r="AW55" s="137"/>
      <c r="AX55" s="189">
        <v>0.65</v>
      </c>
      <c r="AY55" s="189">
        <v>0.65</v>
      </c>
      <c r="AZ55" s="78" t="s">
        <v>3185</v>
      </c>
      <c r="BB55" s="143" t="s">
        <v>769</v>
      </c>
      <c r="BC55" s="143" t="s">
        <v>770</v>
      </c>
      <c r="BD55" s="143" t="s">
        <v>680</v>
      </c>
      <c r="BE55" s="143">
        <v>6265</v>
      </c>
      <c r="BF55" s="137"/>
      <c r="BG55" s="137"/>
      <c r="BH55" s="137"/>
      <c r="BI55" s="137"/>
      <c r="BJ55" s="137"/>
      <c r="BK55" s="137"/>
      <c r="BL55" s="137"/>
      <c r="BM55" s="137"/>
      <c r="BN55" s="137"/>
      <c r="BO55" s="137"/>
      <c r="BP55" s="137"/>
      <c r="BQ55" s="137"/>
      <c r="BR55" s="137" t="s">
        <v>3185</v>
      </c>
      <c r="BS55" s="137" t="s">
        <v>3185</v>
      </c>
      <c r="BT55" s="189" t="s">
        <v>3185</v>
      </c>
      <c r="BU55" s="189">
        <v>0</v>
      </c>
      <c r="BV55" s="78" t="s">
        <v>3185</v>
      </c>
      <c r="BX55" s="143" t="s">
        <v>769</v>
      </c>
      <c r="BY55" s="143" t="s">
        <v>770</v>
      </c>
      <c r="BZ55" s="143" t="s">
        <v>680</v>
      </c>
      <c r="CA55" s="143">
        <v>6265</v>
      </c>
      <c r="CC55" s="137"/>
      <c r="CD55" s="137"/>
      <c r="CE55" s="137"/>
      <c r="CF55" s="189"/>
      <c r="CG55" s="189"/>
    </row>
    <row r="56" spans="1:85" x14ac:dyDescent="0.25">
      <c r="A56" s="143" t="s">
        <v>771</v>
      </c>
      <c r="B56" s="143" t="s">
        <v>772</v>
      </c>
      <c r="C56" s="143" t="s">
        <v>680</v>
      </c>
      <c r="D56" s="143">
        <v>2472</v>
      </c>
      <c r="E56" s="354">
        <v>0.39740259999999999</v>
      </c>
      <c r="F56" s="354">
        <v>0.6</v>
      </c>
      <c r="G56" s="354">
        <v>0.99740260000000003</v>
      </c>
      <c r="H56" s="78" t="s">
        <v>3185</v>
      </c>
      <c r="J56" s="143" t="s">
        <v>771</v>
      </c>
      <c r="K56" s="143" t="s">
        <v>772</v>
      </c>
      <c r="L56" s="143" t="s">
        <v>680</v>
      </c>
      <c r="M56" s="143">
        <v>2472</v>
      </c>
      <c r="N56" s="137">
        <v>0.18181820000000001</v>
      </c>
      <c r="O56" s="137">
        <v>0.55272730000000003</v>
      </c>
      <c r="P56" s="265">
        <v>0.73454549999999996</v>
      </c>
      <c r="Q56" s="137" t="s">
        <v>3185</v>
      </c>
      <c r="R56" s="137">
        <v>0.2</v>
      </c>
      <c r="S56" s="137">
        <v>0.8</v>
      </c>
      <c r="T56" s="137">
        <v>1</v>
      </c>
      <c r="V56" s="143" t="s">
        <v>771</v>
      </c>
      <c r="W56" s="143" t="s">
        <v>772</v>
      </c>
      <c r="X56" s="143" t="s">
        <v>680</v>
      </c>
      <c r="Y56" s="143">
        <v>2472</v>
      </c>
      <c r="Z56" s="137" t="s">
        <v>3184</v>
      </c>
      <c r="AA56" s="137" t="s">
        <v>3184</v>
      </c>
      <c r="AB56" s="137" t="s">
        <v>3184</v>
      </c>
      <c r="AC56" s="137" t="s">
        <v>3184</v>
      </c>
      <c r="AD56" s="137" t="s">
        <v>3185</v>
      </c>
      <c r="AE56" s="137" t="s">
        <v>3185</v>
      </c>
      <c r="AF56" s="137" t="s">
        <v>3184</v>
      </c>
      <c r="AG56" s="137" t="s">
        <v>3184</v>
      </c>
      <c r="AH56" s="137" t="s">
        <v>3184</v>
      </c>
      <c r="AI56" s="137" t="s">
        <v>3184</v>
      </c>
      <c r="AJ56" s="137" t="s">
        <v>3184</v>
      </c>
      <c r="AK56" s="137">
        <v>0.81818179999999996</v>
      </c>
      <c r="AM56" s="143" t="s">
        <v>771</v>
      </c>
      <c r="AN56" s="143" t="s">
        <v>772</v>
      </c>
      <c r="AO56" s="143">
        <v>1</v>
      </c>
      <c r="AP56" s="143">
        <v>2472</v>
      </c>
      <c r="AQ56" s="137"/>
      <c r="AR56" s="137"/>
      <c r="AS56" s="137"/>
      <c r="AT56" s="137"/>
      <c r="AU56" s="137"/>
      <c r="AV56" s="137"/>
      <c r="AW56" s="137"/>
      <c r="AX56" s="189">
        <v>0.95</v>
      </c>
      <c r="AY56" s="189">
        <v>0.95</v>
      </c>
      <c r="AZ56" s="78" t="s">
        <v>3185</v>
      </c>
      <c r="BB56" s="143" t="s">
        <v>771</v>
      </c>
      <c r="BC56" s="143" t="s">
        <v>772</v>
      </c>
      <c r="BD56" s="143" t="s">
        <v>680</v>
      </c>
      <c r="BE56" s="143">
        <v>2472</v>
      </c>
      <c r="BF56" s="137"/>
      <c r="BG56" s="137"/>
      <c r="BH56" s="137"/>
      <c r="BI56" s="137"/>
      <c r="BJ56" s="137"/>
      <c r="BK56" s="137"/>
      <c r="BL56" s="137"/>
      <c r="BM56" s="137"/>
      <c r="BN56" s="137"/>
      <c r="BO56" s="137"/>
      <c r="BP56" s="137"/>
      <c r="BQ56" s="137"/>
      <c r="BR56" s="137" t="s">
        <v>3184</v>
      </c>
      <c r="BS56" s="137" t="s">
        <v>3184</v>
      </c>
      <c r="BT56" s="189" t="s">
        <v>3184</v>
      </c>
      <c r="BU56" s="189">
        <v>1</v>
      </c>
      <c r="BV56" s="78" t="s">
        <v>3184</v>
      </c>
      <c r="BX56" s="143" t="s">
        <v>771</v>
      </c>
      <c r="BY56" s="143" t="s">
        <v>772</v>
      </c>
      <c r="BZ56" s="143" t="s">
        <v>680</v>
      </c>
      <c r="CA56" s="143">
        <v>2472</v>
      </c>
      <c r="CC56" s="137"/>
      <c r="CD56" s="137"/>
      <c r="CE56" s="137"/>
      <c r="CF56" s="189"/>
      <c r="CG56" s="189"/>
    </row>
    <row r="57" spans="1:85" x14ac:dyDescent="0.25">
      <c r="A57" s="143" t="s">
        <v>771</v>
      </c>
      <c r="B57" s="143" t="s">
        <v>772</v>
      </c>
      <c r="C57" s="143" t="s">
        <v>680</v>
      </c>
      <c r="D57" s="143">
        <v>2592</v>
      </c>
      <c r="E57" s="354">
        <v>0.4</v>
      </c>
      <c r="F57" s="354">
        <v>0.6</v>
      </c>
      <c r="G57" s="354">
        <v>1</v>
      </c>
      <c r="H57" s="78" t="s">
        <v>3184</v>
      </c>
      <c r="J57" s="143" t="s">
        <v>771</v>
      </c>
      <c r="K57" s="143" t="s">
        <v>772</v>
      </c>
      <c r="L57" s="143" t="s">
        <v>680</v>
      </c>
      <c r="M57" s="143">
        <v>2592</v>
      </c>
      <c r="N57" s="137">
        <v>0.18181820000000001</v>
      </c>
      <c r="O57" s="137">
        <v>0.72727269999999999</v>
      </c>
      <c r="P57" s="265">
        <v>0.90909090000000004</v>
      </c>
      <c r="Q57" s="137" t="s">
        <v>3184</v>
      </c>
      <c r="R57" s="137">
        <v>0.2</v>
      </c>
      <c r="S57" s="137">
        <v>0.7064935</v>
      </c>
      <c r="T57" s="137">
        <v>0.90649349999999995</v>
      </c>
      <c r="V57" s="143" t="s">
        <v>771</v>
      </c>
      <c r="W57" s="143" t="s">
        <v>772</v>
      </c>
      <c r="X57" s="143" t="s">
        <v>680</v>
      </c>
      <c r="Y57" s="143">
        <v>2592</v>
      </c>
      <c r="Z57" s="137" t="s">
        <v>3185</v>
      </c>
      <c r="AA57" s="137" t="s">
        <v>3184</v>
      </c>
      <c r="AB57" s="137" t="s">
        <v>3184</v>
      </c>
      <c r="AC57" s="137" t="s">
        <v>3184</v>
      </c>
      <c r="AD57" s="137" t="s">
        <v>3185</v>
      </c>
      <c r="AE57" s="137" t="s">
        <v>3185</v>
      </c>
      <c r="AF57" s="137" t="s">
        <v>3184</v>
      </c>
      <c r="AG57" s="137" t="s">
        <v>3184</v>
      </c>
      <c r="AH57" s="137" t="s">
        <v>3184</v>
      </c>
      <c r="AI57" s="137" t="s">
        <v>3184</v>
      </c>
      <c r="AJ57" s="137" t="s">
        <v>3184</v>
      </c>
      <c r="AK57" s="137">
        <v>0.72727269999999999</v>
      </c>
      <c r="AM57" s="143" t="s">
        <v>771</v>
      </c>
      <c r="AN57" s="143" t="s">
        <v>772</v>
      </c>
      <c r="AO57" s="143">
        <v>1</v>
      </c>
      <c r="AP57" s="143">
        <v>2592</v>
      </c>
      <c r="AQ57" s="137"/>
      <c r="AR57" s="137"/>
      <c r="AS57" s="137"/>
      <c r="AT57" s="137"/>
      <c r="AU57" s="137"/>
      <c r="AV57" s="137"/>
      <c r="AW57" s="137"/>
      <c r="AX57" s="189">
        <v>0.96250000000000002</v>
      </c>
      <c r="AY57" s="189">
        <v>0.96250000000000002</v>
      </c>
      <c r="AZ57" s="78" t="s">
        <v>3184</v>
      </c>
      <c r="BB57" s="143" t="s">
        <v>771</v>
      </c>
      <c r="BC57" s="143" t="s">
        <v>772</v>
      </c>
      <c r="BD57" s="143" t="s">
        <v>680</v>
      </c>
      <c r="BE57" s="143">
        <v>2592</v>
      </c>
      <c r="BF57" s="137"/>
      <c r="BG57" s="137"/>
      <c r="BH57" s="137"/>
      <c r="BI57" s="137"/>
      <c r="BJ57" s="137"/>
      <c r="BK57" s="137"/>
      <c r="BL57" s="137"/>
      <c r="BM57" s="137"/>
      <c r="BN57" s="137"/>
      <c r="BO57" s="137"/>
      <c r="BP57" s="137"/>
      <c r="BQ57" s="137"/>
      <c r="BR57" s="137" t="s">
        <v>3184</v>
      </c>
      <c r="BS57" s="137" t="s">
        <v>3184</v>
      </c>
      <c r="BT57" s="189" t="s">
        <v>3184</v>
      </c>
      <c r="BU57" s="189">
        <v>1</v>
      </c>
      <c r="BV57" s="78" t="s">
        <v>3184</v>
      </c>
      <c r="BX57" s="143" t="s">
        <v>771</v>
      </c>
      <c r="BY57" s="143" t="s">
        <v>772</v>
      </c>
      <c r="BZ57" s="143" t="s">
        <v>680</v>
      </c>
      <c r="CA57" s="143">
        <v>2592</v>
      </c>
      <c r="CC57" s="137"/>
      <c r="CD57" s="137"/>
      <c r="CE57" s="137"/>
      <c r="CF57" s="189"/>
      <c r="CG57" s="189"/>
    </row>
    <row r="58" spans="1:85" x14ac:dyDescent="0.25">
      <c r="A58" s="143" t="s">
        <v>771</v>
      </c>
      <c r="B58" s="143" t="s">
        <v>772</v>
      </c>
      <c r="C58" s="143" t="s">
        <v>680</v>
      </c>
      <c r="D58" s="143">
        <v>2593</v>
      </c>
      <c r="E58" s="354">
        <v>0.4</v>
      </c>
      <c r="F58" s="354">
        <v>0.6</v>
      </c>
      <c r="G58" s="354">
        <v>1</v>
      </c>
      <c r="H58" s="78" t="s">
        <v>3184</v>
      </c>
      <c r="J58" s="143" t="s">
        <v>771</v>
      </c>
      <c r="K58" s="143" t="s">
        <v>772</v>
      </c>
      <c r="L58" s="143" t="s">
        <v>680</v>
      </c>
      <c r="M58" s="143">
        <v>2593</v>
      </c>
      <c r="N58" s="137">
        <v>0.16363639999999999</v>
      </c>
      <c r="O58" s="137">
        <v>0.65535350000000003</v>
      </c>
      <c r="P58" s="265">
        <v>0.81898990000000005</v>
      </c>
      <c r="Q58" s="137" t="s">
        <v>3185</v>
      </c>
      <c r="R58" s="137">
        <v>0.2</v>
      </c>
      <c r="S58" s="137">
        <v>0.69090910000000005</v>
      </c>
      <c r="T58" s="137">
        <v>0.89090910000000001</v>
      </c>
      <c r="V58" s="143" t="s">
        <v>771</v>
      </c>
      <c r="W58" s="143" t="s">
        <v>772</v>
      </c>
      <c r="X58" s="143" t="s">
        <v>680</v>
      </c>
      <c r="Y58" s="143">
        <v>2593</v>
      </c>
      <c r="Z58" s="137" t="s">
        <v>3184</v>
      </c>
      <c r="AA58" s="137" t="s">
        <v>3184</v>
      </c>
      <c r="AB58" s="137" t="s">
        <v>3184</v>
      </c>
      <c r="AC58" s="137" t="s">
        <v>3184</v>
      </c>
      <c r="AD58" s="137" t="s">
        <v>3185</v>
      </c>
      <c r="AE58" s="137" t="s">
        <v>3185</v>
      </c>
      <c r="AF58" s="137" t="s">
        <v>3184</v>
      </c>
      <c r="AG58" s="137" t="s">
        <v>3184</v>
      </c>
      <c r="AH58" s="137" t="s">
        <v>3184</v>
      </c>
      <c r="AI58" s="137" t="s">
        <v>3184</v>
      </c>
      <c r="AJ58" s="137" t="s">
        <v>3185</v>
      </c>
      <c r="AK58" s="137">
        <v>0.72727269999999999</v>
      </c>
      <c r="AM58" s="143" t="s">
        <v>771</v>
      </c>
      <c r="AN58" s="143" t="s">
        <v>772</v>
      </c>
      <c r="AO58" s="143">
        <v>1</v>
      </c>
      <c r="AP58" s="143">
        <v>2593</v>
      </c>
      <c r="AQ58" s="137"/>
      <c r="AR58" s="137"/>
      <c r="AS58" s="137"/>
      <c r="AT58" s="137"/>
      <c r="AU58" s="137"/>
      <c r="AV58" s="137"/>
      <c r="AW58" s="137"/>
      <c r="AX58" s="189">
        <v>0.9</v>
      </c>
      <c r="AY58" s="189">
        <v>0.9</v>
      </c>
      <c r="AZ58" s="78" t="s">
        <v>3185</v>
      </c>
      <c r="BB58" s="143" t="s">
        <v>771</v>
      </c>
      <c r="BC58" s="143" t="s">
        <v>772</v>
      </c>
      <c r="BD58" s="143" t="s">
        <v>680</v>
      </c>
      <c r="BE58" s="143">
        <v>2593</v>
      </c>
      <c r="BF58" s="137"/>
      <c r="BG58" s="137"/>
      <c r="BH58" s="137"/>
      <c r="BI58" s="137"/>
      <c r="BJ58" s="137"/>
      <c r="BK58" s="137"/>
      <c r="BL58" s="137"/>
      <c r="BM58" s="137"/>
      <c r="BN58" s="137"/>
      <c r="BO58" s="137"/>
      <c r="BP58" s="137"/>
      <c r="BQ58" s="137"/>
      <c r="BR58" s="137" t="s">
        <v>3184</v>
      </c>
      <c r="BS58" s="137" t="s">
        <v>3184</v>
      </c>
      <c r="BT58" s="189" t="s">
        <v>3184</v>
      </c>
      <c r="BU58" s="189">
        <v>1</v>
      </c>
      <c r="BV58" s="78" t="s">
        <v>3184</v>
      </c>
      <c r="BX58" s="143" t="s">
        <v>771</v>
      </c>
      <c r="BY58" s="143" t="s">
        <v>772</v>
      </c>
      <c r="BZ58" s="143" t="s">
        <v>680</v>
      </c>
      <c r="CA58" s="143">
        <v>2593</v>
      </c>
      <c r="CC58" s="137"/>
      <c r="CD58" s="137"/>
      <c r="CE58" s="137"/>
      <c r="CF58" s="189"/>
      <c r="CG58" s="189"/>
    </row>
    <row r="59" spans="1:85" x14ac:dyDescent="0.25">
      <c r="A59" s="143" t="s">
        <v>771</v>
      </c>
      <c r="B59" s="143" t="s">
        <v>772</v>
      </c>
      <c r="C59" s="143" t="s">
        <v>680</v>
      </c>
      <c r="D59" s="143">
        <v>2787</v>
      </c>
      <c r="E59" s="354">
        <v>0.4</v>
      </c>
      <c r="F59" s="354">
        <v>0.6</v>
      </c>
      <c r="G59" s="354">
        <v>1</v>
      </c>
      <c r="H59" s="78" t="s">
        <v>3184</v>
      </c>
      <c r="J59" s="143" t="s">
        <v>771</v>
      </c>
      <c r="K59" s="143" t="s">
        <v>772</v>
      </c>
      <c r="L59" s="143" t="s">
        <v>680</v>
      </c>
      <c r="M59" s="143">
        <v>2787</v>
      </c>
      <c r="N59" s="137">
        <v>0.18181820000000001</v>
      </c>
      <c r="O59" s="137">
        <v>0.7313132</v>
      </c>
      <c r="P59" s="265">
        <v>0.91313129999999998</v>
      </c>
      <c r="Q59" s="137" t="s">
        <v>3184</v>
      </c>
      <c r="R59" s="137">
        <v>0.1833333</v>
      </c>
      <c r="S59" s="137">
        <v>0.8</v>
      </c>
      <c r="T59" s="137">
        <v>0.98333329999999997</v>
      </c>
      <c r="V59" s="143" t="s">
        <v>771</v>
      </c>
      <c r="W59" s="143" t="s">
        <v>772</v>
      </c>
      <c r="X59" s="143" t="s">
        <v>680</v>
      </c>
      <c r="Y59" s="143">
        <v>2787</v>
      </c>
      <c r="Z59" s="137" t="s">
        <v>3184</v>
      </c>
      <c r="AA59" s="137" t="s">
        <v>3184</v>
      </c>
      <c r="AB59" s="137" t="s">
        <v>3184</v>
      </c>
      <c r="AC59" s="137" t="s">
        <v>3184</v>
      </c>
      <c r="AD59" s="137" t="s">
        <v>3184</v>
      </c>
      <c r="AE59" s="137" t="s">
        <v>3184</v>
      </c>
      <c r="AF59" s="137" t="s">
        <v>3184</v>
      </c>
      <c r="AG59" s="137" t="s">
        <v>3184</v>
      </c>
      <c r="AH59" s="137" t="s">
        <v>3184</v>
      </c>
      <c r="AI59" s="137" t="s">
        <v>3184</v>
      </c>
      <c r="AJ59" s="137" t="s">
        <v>3184</v>
      </c>
      <c r="AK59" s="137">
        <v>1</v>
      </c>
      <c r="AM59" s="143" t="s">
        <v>771</v>
      </c>
      <c r="AN59" s="143" t="s">
        <v>772</v>
      </c>
      <c r="AO59" s="143">
        <v>1</v>
      </c>
      <c r="AP59" s="143">
        <v>2787</v>
      </c>
      <c r="AQ59" s="137"/>
      <c r="AR59" s="137"/>
      <c r="AS59" s="137"/>
      <c r="AT59" s="137"/>
      <c r="AU59" s="137"/>
      <c r="AV59" s="137"/>
      <c r="AW59" s="137"/>
      <c r="AX59" s="189">
        <v>0.97499999999999998</v>
      </c>
      <c r="AY59" s="189">
        <v>0.97499999999999998</v>
      </c>
      <c r="AZ59" s="78" t="s">
        <v>3184</v>
      </c>
      <c r="BB59" s="143" t="s">
        <v>771</v>
      </c>
      <c r="BC59" s="143" t="s">
        <v>772</v>
      </c>
      <c r="BD59" s="143" t="s">
        <v>680</v>
      </c>
      <c r="BE59" s="143">
        <v>2787</v>
      </c>
      <c r="BF59" s="137"/>
      <c r="BG59" s="137"/>
      <c r="BH59" s="137"/>
      <c r="BI59" s="137"/>
      <c r="BJ59" s="137"/>
      <c r="BK59" s="137"/>
      <c r="BL59" s="137"/>
      <c r="BM59" s="137"/>
      <c r="BN59" s="137"/>
      <c r="BO59" s="137"/>
      <c r="BP59" s="137"/>
      <c r="BQ59" s="137"/>
      <c r="BR59" s="137" t="s">
        <v>3184</v>
      </c>
      <c r="BS59" s="137" t="s">
        <v>3184</v>
      </c>
      <c r="BT59" s="189" t="s">
        <v>3184</v>
      </c>
      <c r="BU59" s="189">
        <v>1</v>
      </c>
      <c r="BV59" s="78" t="s">
        <v>3184</v>
      </c>
      <c r="BX59" s="143" t="s">
        <v>771</v>
      </c>
      <c r="BY59" s="143" t="s">
        <v>772</v>
      </c>
      <c r="BZ59" s="143" t="s">
        <v>680</v>
      </c>
      <c r="CA59" s="143">
        <v>2787</v>
      </c>
      <c r="CC59" s="137"/>
      <c r="CD59" s="137"/>
      <c r="CE59" s="137"/>
      <c r="CF59" s="189"/>
      <c r="CG59" s="189"/>
    </row>
    <row r="60" spans="1:85" x14ac:dyDescent="0.25">
      <c r="A60" s="143" t="s">
        <v>771</v>
      </c>
      <c r="B60" s="143" t="s">
        <v>772</v>
      </c>
      <c r="C60" s="143" t="s">
        <v>680</v>
      </c>
      <c r="D60" s="143">
        <v>4145</v>
      </c>
      <c r="E60" s="354">
        <v>0.4</v>
      </c>
      <c r="F60" s="354">
        <v>0.6</v>
      </c>
      <c r="G60" s="354">
        <v>1</v>
      </c>
      <c r="H60" s="78" t="s">
        <v>3184</v>
      </c>
      <c r="J60" s="143" t="s">
        <v>771</v>
      </c>
      <c r="K60" s="143" t="s">
        <v>772</v>
      </c>
      <c r="L60" s="143" t="s">
        <v>680</v>
      </c>
      <c r="M60" s="143">
        <v>4145</v>
      </c>
      <c r="N60" s="137">
        <v>0.12727269999999999</v>
      </c>
      <c r="O60" s="137">
        <v>0.64</v>
      </c>
      <c r="P60" s="265">
        <v>0.76727270000000003</v>
      </c>
      <c r="Q60" s="137" t="s">
        <v>3185</v>
      </c>
      <c r="R60" s="137">
        <v>0.2</v>
      </c>
      <c r="S60" s="137">
        <v>0.66666669999999995</v>
      </c>
      <c r="T60" s="137">
        <v>0.86666670000000001</v>
      </c>
      <c r="V60" s="143" t="s">
        <v>771</v>
      </c>
      <c r="W60" s="143" t="s">
        <v>772</v>
      </c>
      <c r="X60" s="143" t="s">
        <v>680</v>
      </c>
      <c r="Y60" s="143">
        <v>4145</v>
      </c>
      <c r="Z60" s="137" t="s">
        <v>3184</v>
      </c>
      <c r="AA60" s="137" t="s">
        <v>3184</v>
      </c>
      <c r="AB60" s="137" t="s">
        <v>3185</v>
      </c>
      <c r="AC60" s="137" t="s">
        <v>3184</v>
      </c>
      <c r="AD60" s="137" t="s">
        <v>3185</v>
      </c>
      <c r="AE60" s="137" t="s">
        <v>3185</v>
      </c>
      <c r="AF60" s="137" t="s">
        <v>3184</v>
      </c>
      <c r="AG60" s="137" t="s">
        <v>3184</v>
      </c>
      <c r="AH60" s="137" t="s">
        <v>3184</v>
      </c>
      <c r="AI60" s="137" t="s">
        <v>3184</v>
      </c>
      <c r="AJ60" s="137" t="s">
        <v>3184</v>
      </c>
      <c r="AK60" s="137">
        <v>0.72727269999999999</v>
      </c>
      <c r="AM60" s="143" t="s">
        <v>771</v>
      </c>
      <c r="AN60" s="143" t="s">
        <v>772</v>
      </c>
      <c r="AO60" s="143">
        <v>1</v>
      </c>
      <c r="AP60" s="143">
        <v>4145</v>
      </c>
      <c r="AQ60" s="137"/>
      <c r="AR60" s="137"/>
      <c r="AS60" s="137"/>
      <c r="AT60" s="137"/>
      <c r="AU60" s="137"/>
      <c r="AV60" s="137"/>
      <c r="AW60" s="137"/>
      <c r="AX60" s="189">
        <v>0.92500000000000004</v>
      </c>
      <c r="AY60" s="189">
        <v>0.92500000000000004</v>
      </c>
      <c r="AZ60" s="78" t="s">
        <v>3185</v>
      </c>
      <c r="BB60" s="143" t="s">
        <v>771</v>
      </c>
      <c r="BC60" s="143" t="s">
        <v>772</v>
      </c>
      <c r="BD60" s="143" t="s">
        <v>680</v>
      </c>
      <c r="BE60" s="143">
        <v>4145</v>
      </c>
      <c r="BF60" s="137"/>
      <c r="BG60" s="137"/>
      <c r="BH60" s="137"/>
      <c r="BI60" s="137"/>
      <c r="BJ60" s="137"/>
      <c r="BK60" s="137"/>
      <c r="BL60" s="137"/>
      <c r="BM60" s="137"/>
      <c r="BN60" s="137"/>
      <c r="BO60" s="137"/>
      <c r="BP60" s="137"/>
      <c r="BQ60" s="137"/>
      <c r="BR60" s="137" t="s">
        <v>3184</v>
      </c>
      <c r="BS60" s="137" t="s">
        <v>3184</v>
      </c>
      <c r="BT60" s="189" t="s">
        <v>3184</v>
      </c>
      <c r="BU60" s="189">
        <v>1</v>
      </c>
      <c r="BV60" s="78" t="s">
        <v>3184</v>
      </c>
      <c r="BX60" s="143" t="s">
        <v>771</v>
      </c>
      <c r="BY60" s="143" t="s">
        <v>772</v>
      </c>
      <c r="BZ60" s="143" t="s">
        <v>680</v>
      </c>
      <c r="CA60" s="143">
        <v>4145</v>
      </c>
      <c r="CC60" s="137"/>
      <c r="CD60" s="137"/>
      <c r="CE60" s="137"/>
      <c r="CF60" s="189"/>
      <c r="CG60" s="189"/>
    </row>
    <row r="61" spans="1:85" x14ac:dyDescent="0.25">
      <c r="A61" s="143" t="s">
        <v>771</v>
      </c>
      <c r="B61" s="143" t="s">
        <v>772</v>
      </c>
      <c r="C61" s="143" t="s">
        <v>680</v>
      </c>
      <c r="D61" s="143">
        <v>4150</v>
      </c>
      <c r="E61" s="354">
        <v>0.4</v>
      </c>
      <c r="F61" s="354">
        <v>0.6</v>
      </c>
      <c r="G61" s="354">
        <v>1</v>
      </c>
      <c r="H61" s="78" t="s">
        <v>3184</v>
      </c>
      <c r="J61" s="143" t="s">
        <v>771</v>
      </c>
      <c r="K61" s="143" t="s">
        <v>772</v>
      </c>
      <c r="L61" s="143" t="s">
        <v>680</v>
      </c>
      <c r="M61" s="143">
        <v>4150</v>
      </c>
      <c r="N61" s="137">
        <v>0.16363639999999999</v>
      </c>
      <c r="O61" s="137">
        <v>0.72727269999999999</v>
      </c>
      <c r="P61" s="265">
        <v>0.89090910000000001</v>
      </c>
      <c r="Q61" s="137" t="s">
        <v>3185</v>
      </c>
      <c r="R61" s="137">
        <v>0.2</v>
      </c>
      <c r="S61" s="137">
        <v>0.8</v>
      </c>
      <c r="T61" s="137">
        <v>1</v>
      </c>
      <c r="V61" s="143" t="s">
        <v>771</v>
      </c>
      <c r="W61" s="143" t="s">
        <v>772</v>
      </c>
      <c r="X61" s="143" t="s">
        <v>680</v>
      </c>
      <c r="Y61" s="143">
        <v>4150</v>
      </c>
      <c r="Z61" s="137" t="s">
        <v>3184</v>
      </c>
      <c r="AA61" s="137" t="s">
        <v>3184</v>
      </c>
      <c r="AB61" s="137" t="s">
        <v>3184</v>
      </c>
      <c r="AC61" s="137" t="s">
        <v>3184</v>
      </c>
      <c r="AD61" s="137" t="s">
        <v>3185</v>
      </c>
      <c r="AE61" s="137" t="s">
        <v>3185</v>
      </c>
      <c r="AF61" s="137" t="s">
        <v>3184</v>
      </c>
      <c r="AG61" s="137" t="s">
        <v>3184</v>
      </c>
      <c r="AH61" s="137" t="s">
        <v>3184</v>
      </c>
      <c r="AI61" s="137" t="s">
        <v>3184</v>
      </c>
      <c r="AJ61" s="137" t="s">
        <v>3184</v>
      </c>
      <c r="AK61" s="137">
        <v>0.81818179999999996</v>
      </c>
      <c r="AM61" s="143" t="s">
        <v>771</v>
      </c>
      <c r="AN61" s="143" t="s">
        <v>772</v>
      </c>
      <c r="AO61" s="143">
        <v>1</v>
      </c>
      <c r="AP61" s="143">
        <v>4150</v>
      </c>
      <c r="AQ61" s="137"/>
      <c r="AR61" s="137"/>
      <c r="AS61" s="137"/>
      <c r="AT61" s="137"/>
      <c r="AU61" s="137"/>
      <c r="AV61" s="137"/>
      <c r="AW61" s="137"/>
      <c r="AX61" s="189">
        <v>0.96250000000000002</v>
      </c>
      <c r="AY61" s="189">
        <v>0.96250000000000002</v>
      </c>
      <c r="AZ61" s="78" t="s">
        <v>3184</v>
      </c>
      <c r="BB61" s="143" t="s">
        <v>771</v>
      </c>
      <c r="BC61" s="143" t="s">
        <v>772</v>
      </c>
      <c r="BD61" s="143" t="s">
        <v>680</v>
      </c>
      <c r="BE61" s="143">
        <v>4150</v>
      </c>
      <c r="BF61" s="137"/>
      <c r="BG61" s="137"/>
      <c r="BH61" s="137"/>
      <c r="BI61" s="137"/>
      <c r="BJ61" s="137"/>
      <c r="BK61" s="137"/>
      <c r="BL61" s="137"/>
      <c r="BM61" s="137"/>
      <c r="BN61" s="137"/>
      <c r="BO61" s="137"/>
      <c r="BP61" s="137"/>
      <c r="BQ61" s="137"/>
      <c r="BR61" s="137" t="s">
        <v>3184</v>
      </c>
      <c r="BS61" s="137" t="s">
        <v>3184</v>
      </c>
      <c r="BT61" s="189" t="s">
        <v>3184</v>
      </c>
      <c r="BU61" s="189">
        <v>1</v>
      </c>
      <c r="BV61" s="78" t="s">
        <v>3184</v>
      </c>
      <c r="BX61" s="143" t="s">
        <v>771</v>
      </c>
      <c r="BY61" s="143" t="s">
        <v>772</v>
      </c>
      <c r="BZ61" s="143" t="s">
        <v>680</v>
      </c>
      <c r="CA61" s="143">
        <v>4150</v>
      </c>
      <c r="CC61" s="137"/>
      <c r="CD61" s="137"/>
      <c r="CE61" s="137"/>
      <c r="CF61" s="189"/>
      <c r="CG61" s="189"/>
    </row>
    <row r="62" spans="1:85" x14ac:dyDescent="0.25">
      <c r="A62" s="143" t="s">
        <v>773</v>
      </c>
      <c r="B62" s="143" t="s">
        <v>764</v>
      </c>
      <c r="C62" s="143" t="s">
        <v>680</v>
      </c>
      <c r="D62" s="143">
        <v>4363</v>
      </c>
      <c r="E62" s="354">
        <v>0.4</v>
      </c>
      <c r="F62" s="354">
        <v>0.6</v>
      </c>
      <c r="G62" s="354">
        <v>1</v>
      </c>
      <c r="H62" s="78" t="s">
        <v>3184</v>
      </c>
      <c r="J62" s="143" t="s">
        <v>773</v>
      </c>
      <c r="K62" s="143" t="s">
        <v>764</v>
      </c>
      <c r="L62" s="143" t="s">
        <v>680</v>
      </c>
      <c r="M62" s="143">
        <v>4363</v>
      </c>
      <c r="N62" s="137">
        <v>0.2</v>
      </c>
      <c r="O62" s="137">
        <v>0.79919200000000001</v>
      </c>
      <c r="P62" s="265">
        <v>0.99919190000000002</v>
      </c>
      <c r="Q62" s="137" t="s">
        <v>3184</v>
      </c>
      <c r="R62" s="137">
        <v>0.2</v>
      </c>
      <c r="S62" s="137">
        <v>0.8</v>
      </c>
      <c r="T62" s="137">
        <v>1</v>
      </c>
      <c r="V62" s="143" t="s">
        <v>773</v>
      </c>
      <c r="W62" s="143" t="s">
        <v>764</v>
      </c>
      <c r="X62" s="143" t="s">
        <v>680</v>
      </c>
      <c r="Y62" s="143">
        <v>4363</v>
      </c>
      <c r="Z62" s="137" t="s">
        <v>3184</v>
      </c>
      <c r="AA62" s="137" t="s">
        <v>3184</v>
      </c>
      <c r="AB62" s="137" t="s">
        <v>3184</v>
      </c>
      <c r="AC62" s="137" t="s">
        <v>3184</v>
      </c>
      <c r="AD62" s="137" t="s">
        <v>3185</v>
      </c>
      <c r="AE62" s="137" t="s">
        <v>3184</v>
      </c>
      <c r="AF62" s="137" t="s">
        <v>3184</v>
      </c>
      <c r="AG62" s="137" t="s">
        <v>3184</v>
      </c>
      <c r="AH62" s="137" t="s">
        <v>3184</v>
      </c>
      <c r="AI62" s="137" t="s">
        <v>3184</v>
      </c>
      <c r="AJ62" s="137" t="s">
        <v>3184</v>
      </c>
      <c r="AK62" s="137">
        <v>0.90909090000000004</v>
      </c>
      <c r="AM62" s="143" t="s">
        <v>773</v>
      </c>
      <c r="AN62" s="143" t="s">
        <v>764</v>
      </c>
      <c r="AO62" s="143">
        <v>1</v>
      </c>
      <c r="AP62" s="143">
        <v>4363</v>
      </c>
      <c r="AQ62" s="137"/>
      <c r="AR62" s="137"/>
      <c r="AS62" s="137"/>
      <c r="AT62" s="137"/>
      <c r="AU62" s="137"/>
      <c r="AV62" s="137"/>
      <c r="AW62" s="137"/>
      <c r="AX62" s="189">
        <v>0.97499999999999998</v>
      </c>
      <c r="AY62" s="189">
        <v>0.97499999999999998</v>
      </c>
      <c r="AZ62" s="78" t="s">
        <v>3184</v>
      </c>
      <c r="BB62" s="143" t="s">
        <v>773</v>
      </c>
      <c r="BC62" s="143" t="s">
        <v>764</v>
      </c>
      <c r="BD62" s="143" t="s">
        <v>680</v>
      </c>
      <c r="BE62" s="143">
        <v>4363</v>
      </c>
      <c r="BF62" s="137"/>
      <c r="BG62" s="137"/>
      <c r="BH62" s="137"/>
      <c r="BI62" s="137"/>
      <c r="BJ62" s="137"/>
      <c r="BK62" s="137"/>
      <c r="BL62" s="137"/>
      <c r="BM62" s="137"/>
      <c r="BN62" s="137"/>
      <c r="BO62" s="137"/>
      <c r="BP62" s="137"/>
      <c r="BQ62" s="137"/>
      <c r="BR62" s="137" t="s">
        <v>3184</v>
      </c>
      <c r="BS62" s="137" t="s">
        <v>3184</v>
      </c>
      <c r="BT62" s="189" t="s">
        <v>3184</v>
      </c>
      <c r="BU62" s="189">
        <v>1</v>
      </c>
      <c r="BV62" s="78" t="s">
        <v>3184</v>
      </c>
      <c r="BX62" s="143" t="s">
        <v>773</v>
      </c>
      <c r="BY62" s="143" t="s">
        <v>764</v>
      </c>
      <c r="BZ62" s="143" t="s">
        <v>680</v>
      </c>
      <c r="CA62" s="143">
        <v>4363</v>
      </c>
      <c r="CC62" s="137"/>
      <c r="CD62" s="137"/>
      <c r="CE62" s="137"/>
      <c r="CF62" s="189"/>
      <c r="CG62" s="189"/>
    </row>
    <row r="63" spans="1:85" x14ac:dyDescent="0.25">
      <c r="A63" s="143" t="s">
        <v>773</v>
      </c>
      <c r="B63" s="143" t="s">
        <v>764</v>
      </c>
      <c r="C63" s="143" t="s">
        <v>680</v>
      </c>
      <c r="D63" s="143">
        <v>4367</v>
      </c>
      <c r="E63" s="354">
        <v>0.4</v>
      </c>
      <c r="F63" s="354">
        <v>0.6</v>
      </c>
      <c r="G63" s="354">
        <v>1</v>
      </c>
      <c r="H63" s="78" t="s">
        <v>3184</v>
      </c>
      <c r="J63" s="143" t="s">
        <v>773</v>
      </c>
      <c r="K63" s="143" t="s">
        <v>764</v>
      </c>
      <c r="L63" s="143" t="s">
        <v>680</v>
      </c>
      <c r="M63" s="143">
        <v>4367</v>
      </c>
      <c r="N63" s="137">
        <v>0.16363639999999999</v>
      </c>
      <c r="O63" s="137">
        <v>0.58666669999999999</v>
      </c>
      <c r="P63" s="265">
        <v>0.75030300000000005</v>
      </c>
      <c r="Q63" s="137" t="s">
        <v>3185</v>
      </c>
      <c r="R63" s="137">
        <v>0.1833333</v>
      </c>
      <c r="S63" s="137">
        <v>0.8</v>
      </c>
      <c r="T63" s="137">
        <v>0.98333329999999997</v>
      </c>
      <c r="V63" s="143" t="s">
        <v>773</v>
      </c>
      <c r="W63" s="143" t="s">
        <v>764</v>
      </c>
      <c r="X63" s="143" t="s">
        <v>680</v>
      </c>
      <c r="Y63" s="143">
        <v>4367</v>
      </c>
      <c r="Z63" s="137" t="s">
        <v>3184</v>
      </c>
      <c r="AA63" s="137" t="s">
        <v>3184</v>
      </c>
      <c r="AB63" s="137" t="s">
        <v>3184</v>
      </c>
      <c r="AC63" s="137" t="s">
        <v>3184</v>
      </c>
      <c r="AD63" s="137" t="s">
        <v>3185</v>
      </c>
      <c r="AE63" s="137" t="s">
        <v>3185</v>
      </c>
      <c r="AF63" s="137" t="s">
        <v>3185</v>
      </c>
      <c r="AG63" s="137" t="s">
        <v>3184</v>
      </c>
      <c r="AH63" s="137" t="s">
        <v>3184</v>
      </c>
      <c r="AI63" s="137" t="s">
        <v>3184</v>
      </c>
      <c r="AJ63" s="137" t="s">
        <v>3184</v>
      </c>
      <c r="AK63" s="137">
        <v>0.72727269999999999</v>
      </c>
      <c r="AM63" s="143" t="s">
        <v>773</v>
      </c>
      <c r="AN63" s="143" t="s">
        <v>764</v>
      </c>
      <c r="AO63" s="143">
        <v>1</v>
      </c>
      <c r="AP63" s="143">
        <v>4367</v>
      </c>
      <c r="AQ63" s="137"/>
      <c r="AR63" s="137"/>
      <c r="AS63" s="137"/>
      <c r="AT63" s="137"/>
      <c r="AU63" s="137"/>
      <c r="AV63" s="137"/>
      <c r="AW63" s="137"/>
      <c r="AX63" s="189">
        <v>0.96250000000000002</v>
      </c>
      <c r="AY63" s="189">
        <v>0.96250000000000002</v>
      </c>
      <c r="AZ63" s="78" t="s">
        <v>3184</v>
      </c>
      <c r="BB63" s="143" t="s">
        <v>773</v>
      </c>
      <c r="BC63" s="143" t="s">
        <v>764</v>
      </c>
      <c r="BD63" s="143" t="s">
        <v>680</v>
      </c>
      <c r="BE63" s="143">
        <v>4367</v>
      </c>
      <c r="BF63" s="137"/>
      <c r="BG63" s="137"/>
      <c r="BH63" s="137"/>
      <c r="BI63" s="137"/>
      <c r="BJ63" s="137"/>
      <c r="BK63" s="137"/>
      <c r="BL63" s="137"/>
      <c r="BM63" s="137"/>
      <c r="BN63" s="137"/>
      <c r="BO63" s="137"/>
      <c r="BP63" s="137"/>
      <c r="BQ63" s="137"/>
      <c r="BR63" s="137" t="s">
        <v>3184</v>
      </c>
      <c r="BS63" s="137" t="s">
        <v>3184</v>
      </c>
      <c r="BT63" s="189" t="s">
        <v>3184</v>
      </c>
      <c r="BU63" s="189">
        <v>1</v>
      </c>
      <c r="BV63" s="78" t="s">
        <v>3184</v>
      </c>
      <c r="BX63" s="143" t="s">
        <v>773</v>
      </c>
      <c r="BY63" s="143" t="s">
        <v>764</v>
      </c>
      <c r="BZ63" s="143" t="s">
        <v>680</v>
      </c>
      <c r="CA63" s="143">
        <v>4367</v>
      </c>
      <c r="CC63" s="137"/>
      <c r="CD63" s="137"/>
      <c r="CE63" s="137"/>
      <c r="CF63" s="189"/>
      <c r="CG63" s="189"/>
    </row>
    <row r="64" spans="1:85" x14ac:dyDescent="0.25">
      <c r="A64" s="143" t="s">
        <v>773</v>
      </c>
      <c r="B64" s="143" t="s">
        <v>764</v>
      </c>
      <c r="C64" s="143" t="s">
        <v>680</v>
      </c>
      <c r="D64" s="143">
        <v>4368</v>
      </c>
      <c r="E64" s="354">
        <v>0.4</v>
      </c>
      <c r="F64" s="354">
        <v>0.6</v>
      </c>
      <c r="G64" s="354">
        <v>1</v>
      </c>
      <c r="H64" s="78" t="s">
        <v>3184</v>
      </c>
      <c r="J64" s="143" t="s">
        <v>773</v>
      </c>
      <c r="K64" s="143" t="s">
        <v>764</v>
      </c>
      <c r="L64" s="143" t="s">
        <v>680</v>
      </c>
      <c r="M64" s="143">
        <v>4368</v>
      </c>
      <c r="N64" s="137">
        <v>7.2727299999999995E-2</v>
      </c>
      <c r="O64" s="137">
        <v>0.35070709999999999</v>
      </c>
      <c r="P64" s="265">
        <v>0.42343429999999999</v>
      </c>
      <c r="Q64" s="137" t="s">
        <v>3185</v>
      </c>
      <c r="R64" s="137">
        <v>0.13333329999999999</v>
      </c>
      <c r="S64" s="137">
        <v>0.53333339999999996</v>
      </c>
      <c r="T64" s="137">
        <v>0.66666669999999995</v>
      </c>
      <c r="V64" s="143" t="s">
        <v>773</v>
      </c>
      <c r="W64" s="143" t="s">
        <v>764</v>
      </c>
      <c r="X64" s="143" t="s">
        <v>680</v>
      </c>
      <c r="Y64" s="143">
        <v>4368</v>
      </c>
      <c r="Z64" s="137" t="s">
        <v>3185</v>
      </c>
      <c r="AA64" s="137" t="s">
        <v>3184</v>
      </c>
      <c r="AB64" s="137" t="s">
        <v>3184</v>
      </c>
      <c r="AC64" s="137" t="s">
        <v>3185</v>
      </c>
      <c r="AD64" s="137" t="s">
        <v>3185</v>
      </c>
      <c r="AE64" s="137" t="s">
        <v>3185</v>
      </c>
      <c r="AF64" s="137" t="s">
        <v>3184</v>
      </c>
      <c r="AG64" s="137" t="s">
        <v>3184</v>
      </c>
      <c r="AH64" s="137" t="s">
        <v>3184</v>
      </c>
      <c r="AI64" s="137" t="s">
        <v>3184</v>
      </c>
      <c r="AJ64" s="137" t="s">
        <v>3185</v>
      </c>
      <c r="AK64" s="137">
        <v>0.54545460000000001</v>
      </c>
      <c r="AM64" s="143" t="s">
        <v>773</v>
      </c>
      <c r="AN64" s="143" t="s">
        <v>764</v>
      </c>
      <c r="AO64" s="143">
        <v>1</v>
      </c>
      <c r="AP64" s="143">
        <v>4368</v>
      </c>
      <c r="AQ64" s="137"/>
      <c r="AR64" s="137"/>
      <c r="AS64" s="137"/>
      <c r="AT64" s="137"/>
      <c r="AU64" s="137"/>
      <c r="AV64" s="137"/>
      <c r="AW64" s="137"/>
      <c r="AX64" s="189">
        <v>0.9</v>
      </c>
      <c r="AY64" s="189">
        <v>0.9</v>
      </c>
      <c r="AZ64" s="78" t="s">
        <v>3185</v>
      </c>
      <c r="BB64" s="143" t="s">
        <v>773</v>
      </c>
      <c r="BC64" s="143" t="s">
        <v>764</v>
      </c>
      <c r="BD64" s="143" t="s">
        <v>680</v>
      </c>
      <c r="BE64" s="143">
        <v>4368</v>
      </c>
      <c r="BF64" s="137"/>
      <c r="BG64" s="137"/>
      <c r="BH64" s="137"/>
      <c r="BI64" s="137"/>
      <c r="BJ64" s="137"/>
      <c r="BK64" s="137"/>
      <c r="BL64" s="137"/>
      <c r="BM64" s="137"/>
      <c r="BN64" s="137"/>
      <c r="BO64" s="137"/>
      <c r="BP64" s="137"/>
      <c r="BQ64" s="137"/>
      <c r="BR64" s="137" t="s">
        <v>3184</v>
      </c>
      <c r="BS64" s="137" t="s">
        <v>3184</v>
      </c>
      <c r="BT64" s="189" t="s">
        <v>3184</v>
      </c>
      <c r="BU64" s="189">
        <v>1</v>
      </c>
      <c r="BV64" s="78" t="s">
        <v>3184</v>
      </c>
      <c r="BX64" s="143" t="s">
        <v>773</v>
      </c>
      <c r="BY64" s="143" t="s">
        <v>764</v>
      </c>
      <c r="BZ64" s="143" t="s">
        <v>680</v>
      </c>
      <c r="CA64" s="143">
        <v>4368</v>
      </c>
      <c r="CC64" s="137"/>
      <c r="CD64" s="137"/>
      <c r="CE64" s="137"/>
      <c r="CF64" s="189"/>
      <c r="CG64" s="189"/>
    </row>
    <row r="65" spans="1:85" x14ac:dyDescent="0.25">
      <c r="A65" s="143" t="s">
        <v>773</v>
      </c>
      <c r="B65" s="143" t="s">
        <v>764</v>
      </c>
      <c r="C65" s="143" t="s">
        <v>680</v>
      </c>
      <c r="D65" s="143">
        <v>4371</v>
      </c>
      <c r="E65" s="354">
        <v>0.4</v>
      </c>
      <c r="F65" s="354">
        <v>0.6</v>
      </c>
      <c r="G65" s="354">
        <v>1</v>
      </c>
      <c r="H65" s="78" t="s">
        <v>3184</v>
      </c>
      <c r="J65" s="143" t="s">
        <v>773</v>
      </c>
      <c r="K65" s="143" t="s">
        <v>764</v>
      </c>
      <c r="L65" s="143" t="s">
        <v>680</v>
      </c>
      <c r="M65" s="143">
        <v>4371</v>
      </c>
      <c r="N65" s="137">
        <v>0.12727269999999999</v>
      </c>
      <c r="O65" s="137">
        <v>0.51717170000000001</v>
      </c>
      <c r="P65" s="265">
        <v>0.64444449999999998</v>
      </c>
      <c r="Q65" s="137" t="s">
        <v>3185</v>
      </c>
      <c r="R65" s="137">
        <v>0.1833333</v>
      </c>
      <c r="S65" s="137">
        <v>0</v>
      </c>
      <c r="T65" s="137">
        <v>0.1833333</v>
      </c>
      <c r="V65" s="143" t="s">
        <v>773</v>
      </c>
      <c r="W65" s="143" t="s">
        <v>764</v>
      </c>
      <c r="X65" s="143" t="s">
        <v>680</v>
      </c>
      <c r="Y65" s="143">
        <v>4371</v>
      </c>
      <c r="Z65" s="137" t="s">
        <v>3185</v>
      </c>
      <c r="AA65" s="137" t="s">
        <v>3185</v>
      </c>
      <c r="AB65" s="137" t="s">
        <v>3184</v>
      </c>
      <c r="AC65" s="137" t="s">
        <v>3185</v>
      </c>
      <c r="AD65" s="137" t="s">
        <v>3185</v>
      </c>
      <c r="AE65" s="137" t="s">
        <v>3185</v>
      </c>
      <c r="AF65" s="137" t="s">
        <v>3184</v>
      </c>
      <c r="AG65" s="137" t="s">
        <v>3184</v>
      </c>
      <c r="AH65" s="137" t="s">
        <v>3184</v>
      </c>
      <c r="AI65" s="137" t="s">
        <v>3185</v>
      </c>
      <c r="AJ65" s="137" t="s">
        <v>3184</v>
      </c>
      <c r="AK65" s="137">
        <v>0.45454549999999999</v>
      </c>
      <c r="AM65" s="143" t="s">
        <v>773</v>
      </c>
      <c r="AN65" s="143" t="s">
        <v>764</v>
      </c>
      <c r="AO65" s="143">
        <v>1</v>
      </c>
      <c r="AP65" s="143">
        <v>4371</v>
      </c>
      <c r="AQ65" s="137"/>
      <c r="AR65" s="137"/>
      <c r="AS65" s="137"/>
      <c r="AT65" s="137"/>
      <c r="AU65" s="137"/>
      <c r="AV65" s="137"/>
      <c r="AW65" s="137"/>
      <c r="AX65" s="189">
        <v>0.9</v>
      </c>
      <c r="AY65" s="189">
        <v>0.9</v>
      </c>
      <c r="AZ65" s="78" t="s">
        <v>3185</v>
      </c>
      <c r="BB65" s="143" t="s">
        <v>773</v>
      </c>
      <c r="BC65" s="143" t="s">
        <v>764</v>
      </c>
      <c r="BD65" s="143" t="s">
        <v>680</v>
      </c>
      <c r="BE65" s="143">
        <v>4371</v>
      </c>
      <c r="BF65" s="137"/>
      <c r="BG65" s="137"/>
      <c r="BH65" s="137"/>
      <c r="BI65" s="137"/>
      <c r="BJ65" s="137"/>
      <c r="BK65" s="137"/>
      <c r="BL65" s="137"/>
      <c r="BM65" s="137"/>
      <c r="BN65" s="137"/>
      <c r="BO65" s="137"/>
      <c r="BP65" s="137"/>
      <c r="BQ65" s="137"/>
      <c r="BR65" s="137" t="s">
        <v>3184</v>
      </c>
      <c r="BS65" s="137" t="s">
        <v>3184</v>
      </c>
      <c r="BT65" s="189" t="s">
        <v>3184</v>
      </c>
      <c r="BU65" s="189">
        <v>1</v>
      </c>
      <c r="BV65" s="78" t="s">
        <v>3184</v>
      </c>
      <c r="BX65" s="143" t="s">
        <v>773</v>
      </c>
      <c r="BY65" s="143" t="s">
        <v>764</v>
      </c>
      <c r="BZ65" s="143" t="s">
        <v>680</v>
      </c>
      <c r="CA65" s="143">
        <v>4371</v>
      </c>
      <c r="CC65" s="137"/>
      <c r="CD65" s="137"/>
      <c r="CE65" s="137"/>
      <c r="CF65" s="189"/>
      <c r="CG65" s="189"/>
    </row>
    <row r="66" spans="1:85" x14ac:dyDescent="0.25">
      <c r="A66" s="143" t="s">
        <v>773</v>
      </c>
      <c r="B66" s="143" t="s">
        <v>764</v>
      </c>
      <c r="C66" s="143" t="s">
        <v>680</v>
      </c>
      <c r="D66" s="143">
        <v>4875</v>
      </c>
      <c r="E66" s="354">
        <v>0.4</v>
      </c>
      <c r="F66" s="354">
        <v>0.6</v>
      </c>
      <c r="G66" s="354">
        <v>1</v>
      </c>
      <c r="H66" s="78" t="s">
        <v>3184</v>
      </c>
      <c r="J66" s="143" t="s">
        <v>773</v>
      </c>
      <c r="K66" s="143" t="s">
        <v>764</v>
      </c>
      <c r="L66" s="143" t="s">
        <v>680</v>
      </c>
      <c r="M66" s="143">
        <v>4875</v>
      </c>
      <c r="N66" s="137">
        <v>0.12727269999999999</v>
      </c>
      <c r="O66" s="137">
        <v>0.55515150000000002</v>
      </c>
      <c r="P66" s="265">
        <v>0.68242420000000004</v>
      </c>
      <c r="Q66" s="137" t="s">
        <v>3185</v>
      </c>
      <c r="R66" s="137">
        <v>0.1833333</v>
      </c>
      <c r="S66" s="137">
        <v>0.13333329999999999</v>
      </c>
      <c r="T66" s="137">
        <v>0.31666670000000002</v>
      </c>
      <c r="V66" s="143" t="s">
        <v>773</v>
      </c>
      <c r="W66" s="143" t="s">
        <v>764</v>
      </c>
      <c r="X66" s="143" t="s">
        <v>680</v>
      </c>
      <c r="Y66" s="143">
        <v>4875</v>
      </c>
      <c r="Z66" s="137" t="s">
        <v>3184</v>
      </c>
      <c r="AA66" s="137" t="s">
        <v>3184</v>
      </c>
      <c r="AB66" s="137" t="s">
        <v>3184</v>
      </c>
      <c r="AC66" s="137" t="s">
        <v>3184</v>
      </c>
      <c r="AD66" s="137" t="s">
        <v>3185</v>
      </c>
      <c r="AE66" s="137" t="s">
        <v>3185</v>
      </c>
      <c r="AF66" s="137" t="s">
        <v>3184</v>
      </c>
      <c r="AG66" s="137" t="s">
        <v>3184</v>
      </c>
      <c r="AH66" s="137" t="s">
        <v>3184</v>
      </c>
      <c r="AI66" s="137" t="s">
        <v>3184</v>
      </c>
      <c r="AJ66" s="137" t="s">
        <v>3184</v>
      </c>
      <c r="AK66" s="137">
        <v>0.81818179999999996</v>
      </c>
      <c r="AM66" s="143" t="s">
        <v>773</v>
      </c>
      <c r="AN66" s="143" t="s">
        <v>764</v>
      </c>
      <c r="AO66" s="143">
        <v>1</v>
      </c>
      <c r="AP66" s="143">
        <v>4875</v>
      </c>
      <c r="AQ66" s="137"/>
      <c r="AR66" s="137"/>
      <c r="AS66" s="137"/>
      <c r="AT66" s="137"/>
      <c r="AU66" s="137"/>
      <c r="AV66" s="137"/>
      <c r="AW66" s="137"/>
      <c r="AX66" s="189">
        <v>0.96250000000000002</v>
      </c>
      <c r="AY66" s="189">
        <v>0.96250000000000002</v>
      </c>
      <c r="AZ66" s="78" t="s">
        <v>3184</v>
      </c>
      <c r="BB66" s="143" t="s">
        <v>773</v>
      </c>
      <c r="BC66" s="143" t="s">
        <v>764</v>
      </c>
      <c r="BD66" s="143" t="s">
        <v>680</v>
      </c>
      <c r="BE66" s="143">
        <v>4875</v>
      </c>
      <c r="BF66" s="137"/>
      <c r="BG66" s="137"/>
      <c r="BH66" s="137"/>
      <c r="BI66" s="137"/>
      <c r="BJ66" s="137"/>
      <c r="BK66" s="137"/>
      <c r="BL66" s="137"/>
      <c r="BM66" s="137"/>
      <c r="BN66" s="137"/>
      <c r="BO66" s="137"/>
      <c r="BP66" s="137"/>
      <c r="BQ66" s="137"/>
      <c r="BR66" s="137" t="s">
        <v>3184</v>
      </c>
      <c r="BS66" s="137" t="s">
        <v>3184</v>
      </c>
      <c r="BT66" s="189" t="s">
        <v>3184</v>
      </c>
      <c r="BU66" s="189">
        <v>1</v>
      </c>
      <c r="BV66" s="78" t="s">
        <v>3184</v>
      </c>
      <c r="BX66" s="143" t="s">
        <v>773</v>
      </c>
      <c r="BY66" s="143" t="s">
        <v>764</v>
      </c>
      <c r="BZ66" s="143" t="s">
        <v>680</v>
      </c>
      <c r="CA66" s="143">
        <v>4875</v>
      </c>
      <c r="CC66" s="137"/>
      <c r="CD66" s="137"/>
      <c r="CE66" s="137"/>
      <c r="CF66" s="189"/>
      <c r="CG66" s="189"/>
    </row>
    <row r="67" spans="1:85" x14ac:dyDescent="0.25">
      <c r="A67" s="143" t="s">
        <v>774</v>
      </c>
      <c r="B67" s="143" t="s">
        <v>758</v>
      </c>
      <c r="C67" s="143" t="s">
        <v>680</v>
      </c>
      <c r="D67" s="143">
        <v>3959</v>
      </c>
      <c r="E67" s="354">
        <v>0.4</v>
      </c>
      <c r="F67" s="354">
        <v>0.6</v>
      </c>
      <c r="G67" s="354">
        <v>1</v>
      </c>
      <c r="H67" s="78" t="s">
        <v>3184</v>
      </c>
      <c r="J67" s="143" t="s">
        <v>774</v>
      </c>
      <c r="K67" s="143" t="s">
        <v>758</v>
      </c>
      <c r="L67" s="143" t="s">
        <v>680</v>
      </c>
      <c r="M67" s="143">
        <v>3959</v>
      </c>
      <c r="N67" s="137">
        <v>0.14545449999999999</v>
      </c>
      <c r="O67" s="137">
        <v>0.57292929999999997</v>
      </c>
      <c r="P67" s="265">
        <v>0.71838380000000002</v>
      </c>
      <c r="Q67" s="137" t="s">
        <v>3185</v>
      </c>
      <c r="R67" s="137">
        <v>0.1666667</v>
      </c>
      <c r="S67" s="137">
        <v>0.3333333</v>
      </c>
      <c r="T67" s="137">
        <v>0.5</v>
      </c>
      <c r="V67" s="143" t="s">
        <v>774</v>
      </c>
      <c r="W67" s="143" t="s">
        <v>758</v>
      </c>
      <c r="X67" s="143" t="s">
        <v>680</v>
      </c>
      <c r="Y67" s="143">
        <v>3959</v>
      </c>
      <c r="Z67" s="137" t="s">
        <v>3184</v>
      </c>
      <c r="AA67" s="137" t="s">
        <v>3184</v>
      </c>
      <c r="AB67" s="137" t="s">
        <v>3184</v>
      </c>
      <c r="AC67" s="137" t="s">
        <v>3184</v>
      </c>
      <c r="AD67" s="137" t="s">
        <v>3185</v>
      </c>
      <c r="AE67" s="137" t="s">
        <v>3185</v>
      </c>
      <c r="AF67" s="137" t="s">
        <v>3184</v>
      </c>
      <c r="AG67" s="137" t="s">
        <v>3184</v>
      </c>
      <c r="AH67" s="137" t="s">
        <v>3184</v>
      </c>
      <c r="AI67" s="137" t="s">
        <v>3184</v>
      </c>
      <c r="AJ67" s="137" t="s">
        <v>3184</v>
      </c>
      <c r="AK67" s="137">
        <v>0.81818179999999996</v>
      </c>
      <c r="AM67" s="143" t="s">
        <v>774</v>
      </c>
      <c r="AN67" s="143" t="s">
        <v>758</v>
      </c>
      <c r="AO67" s="143">
        <v>1</v>
      </c>
      <c r="AP67" s="143">
        <v>3959</v>
      </c>
      <c r="AQ67" s="137"/>
      <c r="AR67" s="137"/>
      <c r="AS67" s="137"/>
      <c r="AT67" s="137"/>
      <c r="AU67" s="137"/>
      <c r="AV67" s="137"/>
      <c r="AW67" s="137"/>
      <c r="AX67" s="189">
        <v>0.95</v>
      </c>
      <c r="AY67" s="189">
        <v>0.95</v>
      </c>
      <c r="AZ67" s="78" t="s">
        <v>3185</v>
      </c>
      <c r="BB67" s="143" t="s">
        <v>774</v>
      </c>
      <c r="BC67" s="143" t="s">
        <v>758</v>
      </c>
      <c r="BD67" s="143" t="s">
        <v>680</v>
      </c>
      <c r="BE67" s="143">
        <v>3959</v>
      </c>
      <c r="BF67" s="137"/>
      <c r="BG67" s="137"/>
      <c r="BH67" s="137"/>
      <c r="BI67" s="137"/>
      <c r="BJ67" s="137"/>
      <c r="BK67" s="137"/>
      <c r="BL67" s="137"/>
      <c r="BM67" s="137"/>
      <c r="BN67" s="137"/>
      <c r="BO67" s="137"/>
      <c r="BP67" s="137"/>
      <c r="BQ67" s="137"/>
      <c r="BR67" s="137" t="s">
        <v>3184</v>
      </c>
      <c r="BS67" s="137" t="s">
        <v>3184</v>
      </c>
      <c r="BT67" s="189" t="s">
        <v>3184</v>
      </c>
      <c r="BU67" s="189">
        <v>1</v>
      </c>
      <c r="BV67" s="78" t="s">
        <v>3184</v>
      </c>
      <c r="BX67" s="143" t="s">
        <v>774</v>
      </c>
      <c r="BY67" s="143" t="s">
        <v>758</v>
      </c>
      <c r="BZ67" s="143" t="s">
        <v>680</v>
      </c>
      <c r="CA67" s="143">
        <v>3959</v>
      </c>
      <c r="CC67" s="137"/>
      <c r="CD67" s="137"/>
      <c r="CE67" s="137"/>
      <c r="CF67" s="189"/>
      <c r="CG67" s="189"/>
    </row>
    <row r="68" spans="1:85" x14ac:dyDescent="0.25">
      <c r="A68" s="143" t="s">
        <v>774</v>
      </c>
      <c r="B68" s="143" t="s">
        <v>758</v>
      </c>
      <c r="C68" s="143" t="s">
        <v>680</v>
      </c>
      <c r="D68" s="143">
        <v>4161</v>
      </c>
      <c r="E68" s="354">
        <v>0.38961040000000002</v>
      </c>
      <c r="F68" s="354">
        <v>0.6</v>
      </c>
      <c r="G68" s="354">
        <v>0.9896104</v>
      </c>
      <c r="H68" s="78" t="s">
        <v>3185</v>
      </c>
      <c r="J68" s="143" t="s">
        <v>774</v>
      </c>
      <c r="K68" s="143" t="s">
        <v>758</v>
      </c>
      <c r="L68" s="143" t="s">
        <v>680</v>
      </c>
      <c r="M68" s="143">
        <v>4161</v>
      </c>
      <c r="N68" s="137">
        <v>0.12727269999999999</v>
      </c>
      <c r="O68" s="137">
        <v>0.55757579999999995</v>
      </c>
      <c r="P68" s="265">
        <v>0.68484849999999997</v>
      </c>
      <c r="Q68" s="137" t="s">
        <v>3185</v>
      </c>
      <c r="R68" s="137">
        <v>0.1666667</v>
      </c>
      <c r="S68" s="137">
        <v>0.70822510000000005</v>
      </c>
      <c r="T68" s="137">
        <v>0.8748918</v>
      </c>
      <c r="V68" s="143" t="s">
        <v>774</v>
      </c>
      <c r="W68" s="143" t="s">
        <v>758</v>
      </c>
      <c r="X68" s="143" t="s">
        <v>680</v>
      </c>
      <c r="Y68" s="143">
        <v>4161</v>
      </c>
      <c r="Z68" s="137" t="s">
        <v>3185</v>
      </c>
      <c r="AA68" s="137" t="s">
        <v>3184</v>
      </c>
      <c r="AB68" s="137" t="s">
        <v>3184</v>
      </c>
      <c r="AC68" s="137" t="s">
        <v>3185</v>
      </c>
      <c r="AD68" s="137" t="s">
        <v>3184</v>
      </c>
      <c r="AE68" s="137" t="s">
        <v>3184</v>
      </c>
      <c r="AF68" s="137" t="s">
        <v>3184</v>
      </c>
      <c r="AG68" s="137" t="s">
        <v>3184</v>
      </c>
      <c r="AH68" s="137" t="s">
        <v>3184</v>
      </c>
      <c r="AI68" s="137" t="s">
        <v>3184</v>
      </c>
      <c r="AJ68" s="137" t="s">
        <v>3184</v>
      </c>
      <c r="AK68" s="137">
        <v>0.81818179999999996</v>
      </c>
      <c r="AM68" s="143" t="s">
        <v>774</v>
      </c>
      <c r="AN68" s="143" t="s">
        <v>758</v>
      </c>
      <c r="AO68" s="143">
        <v>1</v>
      </c>
      <c r="AP68" s="143">
        <v>4161</v>
      </c>
      <c r="AQ68" s="137"/>
      <c r="AR68" s="137"/>
      <c r="AS68" s="137"/>
      <c r="AT68" s="137"/>
      <c r="AU68" s="137"/>
      <c r="AV68" s="137"/>
      <c r="AW68" s="137"/>
      <c r="AX68" s="189">
        <v>0.96250000000000002</v>
      </c>
      <c r="AY68" s="189">
        <v>0.96250000000000002</v>
      </c>
      <c r="AZ68" s="78" t="s">
        <v>3184</v>
      </c>
      <c r="BB68" s="143" t="s">
        <v>774</v>
      </c>
      <c r="BC68" s="143" t="s">
        <v>758</v>
      </c>
      <c r="BD68" s="143" t="s">
        <v>680</v>
      </c>
      <c r="BE68" s="143">
        <v>4161</v>
      </c>
      <c r="BF68" s="137"/>
      <c r="BG68" s="137"/>
      <c r="BH68" s="137"/>
      <c r="BI68" s="137"/>
      <c r="BJ68" s="137"/>
      <c r="BK68" s="137"/>
      <c r="BL68" s="137"/>
      <c r="BM68" s="137"/>
      <c r="BN68" s="137"/>
      <c r="BO68" s="137"/>
      <c r="BP68" s="137"/>
      <c r="BQ68" s="137"/>
      <c r="BR68" s="137" t="s">
        <v>3184</v>
      </c>
      <c r="BS68" s="137" t="s">
        <v>3184</v>
      </c>
      <c r="BT68" s="189" t="s">
        <v>3184</v>
      </c>
      <c r="BU68" s="189">
        <v>1</v>
      </c>
      <c r="BV68" s="78" t="s">
        <v>3184</v>
      </c>
      <c r="BX68" s="143" t="s">
        <v>774</v>
      </c>
      <c r="BY68" s="143" t="s">
        <v>758</v>
      </c>
      <c r="BZ68" s="143" t="s">
        <v>680</v>
      </c>
      <c r="CA68" s="143">
        <v>4161</v>
      </c>
      <c r="CC68" s="137"/>
      <c r="CD68" s="137"/>
      <c r="CE68" s="137"/>
      <c r="CF68" s="189"/>
      <c r="CG68" s="189"/>
    </row>
    <row r="69" spans="1:85" x14ac:dyDescent="0.25">
      <c r="A69" s="143" t="s">
        <v>775</v>
      </c>
      <c r="B69" s="143" t="s">
        <v>766</v>
      </c>
      <c r="C69" s="143" t="s">
        <v>680</v>
      </c>
      <c r="D69" s="143">
        <v>3637</v>
      </c>
      <c r="E69" s="354">
        <v>0.4</v>
      </c>
      <c r="F69" s="354">
        <v>0.6</v>
      </c>
      <c r="G69" s="354">
        <v>1</v>
      </c>
      <c r="H69" s="78" t="s">
        <v>3184</v>
      </c>
      <c r="J69" s="143" t="s">
        <v>775</v>
      </c>
      <c r="K69" s="143" t="s">
        <v>766</v>
      </c>
      <c r="L69" s="143" t="s">
        <v>680</v>
      </c>
      <c r="M69" s="143">
        <v>3637</v>
      </c>
      <c r="N69" s="137">
        <v>0.2</v>
      </c>
      <c r="O69" s="137">
        <v>0.8</v>
      </c>
      <c r="P69" s="265">
        <v>1</v>
      </c>
      <c r="Q69" s="137" t="s">
        <v>3184</v>
      </c>
      <c r="R69" s="137">
        <v>0.13333329999999999</v>
      </c>
      <c r="S69" s="137">
        <v>0.51082249999999996</v>
      </c>
      <c r="T69" s="137">
        <v>0.6441559</v>
      </c>
      <c r="V69" s="143" t="s">
        <v>775</v>
      </c>
      <c r="W69" s="143" t="s">
        <v>766</v>
      </c>
      <c r="X69" s="143" t="s">
        <v>680</v>
      </c>
      <c r="Y69" s="143">
        <v>3637</v>
      </c>
      <c r="Z69" s="137" t="s">
        <v>3184</v>
      </c>
      <c r="AA69" s="137" t="s">
        <v>3185</v>
      </c>
      <c r="AB69" s="137" t="s">
        <v>3185</v>
      </c>
      <c r="AC69" s="137" t="s">
        <v>3184</v>
      </c>
      <c r="AD69" s="137" t="s">
        <v>3185</v>
      </c>
      <c r="AE69" s="137" t="s">
        <v>3185</v>
      </c>
      <c r="AF69" s="137" t="s">
        <v>3184</v>
      </c>
      <c r="AG69" s="137" t="s">
        <v>3185</v>
      </c>
      <c r="AH69" s="137" t="s">
        <v>3185</v>
      </c>
      <c r="AI69" s="137" t="s">
        <v>3184</v>
      </c>
      <c r="AJ69" s="137" t="s">
        <v>3184</v>
      </c>
      <c r="AK69" s="137">
        <v>0.45454549999999999</v>
      </c>
      <c r="AM69" s="143" t="s">
        <v>775</v>
      </c>
      <c r="AN69" s="143" t="s">
        <v>766</v>
      </c>
      <c r="AO69" s="143">
        <v>1</v>
      </c>
      <c r="AP69" s="143">
        <v>3637</v>
      </c>
      <c r="AQ69" s="137"/>
      <c r="AR69" s="137"/>
      <c r="AS69" s="137"/>
      <c r="AT69" s="137"/>
      <c r="AU69" s="137"/>
      <c r="AV69" s="137"/>
      <c r="AW69" s="137"/>
      <c r="AX69" s="189">
        <v>0.83750000000000002</v>
      </c>
      <c r="AY69" s="189">
        <v>0.83750000000000002</v>
      </c>
      <c r="AZ69" s="78" t="s">
        <v>3185</v>
      </c>
      <c r="BB69" s="143" t="s">
        <v>775</v>
      </c>
      <c r="BC69" s="143" t="s">
        <v>766</v>
      </c>
      <c r="BD69" s="143" t="s">
        <v>680</v>
      </c>
      <c r="BE69" s="143">
        <v>3637</v>
      </c>
      <c r="BF69" s="137"/>
      <c r="BG69" s="137"/>
      <c r="BH69" s="137"/>
      <c r="BI69" s="137"/>
      <c r="BJ69" s="137"/>
      <c r="BK69" s="137"/>
      <c r="BL69" s="137"/>
      <c r="BM69" s="137"/>
      <c r="BN69" s="137"/>
      <c r="BO69" s="137"/>
      <c r="BP69" s="137"/>
      <c r="BQ69" s="137"/>
      <c r="BR69" s="137" t="s">
        <v>3185</v>
      </c>
      <c r="BS69" s="137" t="s">
        <v>3185</v>
      </c>
      <c r="BT69" s="189" t="s">
        <v>3184</v>
      </c>
      <c r="BU69" s="189">
        <v>0.3333333</v>
      </c>
      <c r="BV69" s="78" t="s">
        <v>3185</v>
      </c>
      <c r="BX69" s="143" t="s">
        <v>775</v>
      </c>
      <c r="BY69" s="143" t="s">
        <v>766</v>
      </c>
      <c r="BZ69" s="143" t="s">
        <v>680</v>
      </c>
      <c r="CA69" s="143">
        <v>3637</v>
      </c>
      <c r="CC69" s="137"/>
      <c r="CD69" s="137"/>
      <c r="CE69" s="137"/>
      <c r="CF69" s="189"/>
      <c r="CG69" s="189"/>
    </row>
    <row r="70" spans="1:85" x14ac:dyDescent="0.25">
      <c r="A70" s="143" t="s">
        <v>775</v>
      </c>
      <c r="B70" s="143" t="s">
        <v>766</v>
      </c>
      <c r="C70" s="143" t="s">
        <v>680</v>
      </c>
      <c r="D70" s="143">
        <v>4252</v>
      </c>
      <c r="E70" s="354">
        <v>0.30129869999999997</v>
      </c>
      <c r="F70" s="354">
        <v>0.6</v>
      </c>
      <c r="G70" s="354">
        <v>0.90129879999999996</v>
      </c>
      <c r="H70" s="78" t="s">
        <v>3185</v>
      </c>
      <c r="J70" s="143" t="s">
        <v>775</v>
      </c>
      <c r="K70" s="143" t="s">
        <v>766</v>
      </c>
      <c r="L70" s="143" t="s">
        <v>680</v>
      </c>
      <c r="M70" s="143">
        <v>4252</v>
      </c>
      <c r="N70" s="137">
        <v>0.18181820000000001</v>
      </c>
      <c r="O70" s="137">
        <v>0.3442424</v>
      </c>
      <c r="P70" s="265">
        <v>0.52606059999999999</v>
      </c>
      <c r="Q70" s="137" t="s">
        <v>3185</v>
      </c>
      <c r="R70" s="137">
        <v>0.2</v>
      </c>
      <c r="S70" s="137">
        <v>0.55497839999999998</v>
      </c>
      <c r="T70" s="137">
        <v>0.75497840000000005</v>
      </c>
      <c r="V70" s="143" t="s">
        <v>775</v>
      </c>
      <c r="W70" s="143" t="s">
        <v>766</v>
      </c>
      <c r="X70" s="143" t="s">
        <v>680</v>
      </c>
      <c r="Y70" s="143">
        <v>4252</v>
      </c>
      <c r="Z70" s="137" t="s">
        <v>3184</v>
      </c>
      <c r="AA70" s="137" t="s">
        <v>3184</v>
      </c>
      <c r="AB70" s="137" t="s">
        <v>3184</v>
      </c>
      <c r="AC70" s="137" t="s">
        <v>3184</v>
      </c>
      <c r="AD70" s="137" t="s">
        <v>3185</v>
      </c>
      <c r="AE70" s="137" t="s">
        <v>3185</v>
      </c>
      <c r="AF70" s="137" t="s">
        <v>3184</v>
      </c>
      <c r="AG70" s="137" t="s">
        <v>3184</v>
      </c>
      <c r="AH70" s="137" t="s">
        <v>3184</v>
      </c>
      <c r="AI70" s="137" t="s">
        <v>3184</v>
      </c>
      <c r="AJ70" s="137" t="s">
        <v>3184</v>
      </c>
      <c r="AK70" s="137">
        <v>0.81818179999999996</v>
      </c>
      <c r="AM70" s="143" t="s">
        <v>775</v>
      </c>
      <c r="AN70" s="143" t="s">
        <v>766</v>
      </c>
      <c r="AO70" s="143">
        <v>1</v>
      </c>
      <c r="AP70" s="143">
        <v>4252</v>
      </c>
      <c r="AQ70" s="137"/>
      <c r="AR70" s="137"/>
      <c r="AS70" s="137"/>
      <c r="AT70" s="137"/>
      <c r="AU70" s="137"/>
      <c r="AV70" s="137"/>
      <c r="AW70" s="137"/>
      <c r="AX70" s="189">
        <v>0.8</v>
      </c>
      <c r="AY70" s="189">
        <v>0.8</v>
      </c>
      <c r="AZ70" s="78" t="s">
        <v>3185</v>
      </c>
      <c r="BB70" s="143" t="s">
        <v>775</v>
      </c>
      <c r="BC70" s="143" t="s">
        <v>766</v>
      </c>
      <c r="BD70" s="143" t="s">
        <v>680</v>
      </c>
      <c r="BE70" s="143">
        <v>4252</v>
      </c>
      <c r="BF70" s="137"/>
      <c r="BG70" s="137"/>
      <c r="BH70" s="137"/>
      <c r="BI70" s="137"/>
      <c r="BJ70" s="137"/>
      <c r="BK70" s="137"/>
      <c r="BL70" s="137"/>
      <c r="BM70" s="137"/>
      <c r="BN70" s="137"/>
      <c r="BO70" s="137"/>
      <c r="BP70" s="137"/>
      <c r="BQ70" s="137"/>
      <c r="BR70" s="137" t="s">
        <v>3184</v>
      </c>
      <c r="BS70" s="137" t="s">
        <v>3185</v>
      </c>
      <c r="BT70" s="189" t="s">
        <v>3185</v>
      </c>
      <c r="BU70" s="189">
        <v>0.3333333</v>
      </c>
      <c r="BV70" s="78" t="s">
        <v>3185</v>
      </c>
      <c r="BX70" s="143" t="s">
        <v>775</v>
      </c>
      <c r="BY70" s="143" t="s">
        <v>766</v>
      </c>
      <c r="BZ70" s="143" t="s">
        <v>680</v>
      </c>
      <c r="CA70" s="143">
        <v>4252</v>
      </c>
      <c r="CC70" s="137"/>
      <c r="CD70" s="137"/>
      <c r="CE70" s="137"/>
      <c r="CF70" s="189"/>
      <c r="CG70" s="189"/>
    </row>
    <row r="71" spans="1:85" x14ac:dyDescent="0.25">
      <c r="A71" s="143" t="s">
        <v>775</v>
      </c>
      <c r="B71" s="143" t="s">
        <v>766</v>
      </c>
      <c r="C71" s="143" t="s">
        <v>680</v>
      </c>
      <c r="D71" s="143">
        <v>4644</v>
      </c>
      <c r="E71" s="354">
        <v>0.4</v>
      </c>
      <c r="F71" s="354">
        <v>0.6</v>
      </c>
      <c r="G71" s="354">
        <v>1</v>
      </c>
      <c r="H71" s="78" t="s">
        <v>3184</v>
      </c>
      <c r="J71" s="143" t="s">
        <v>775</v>
      </c>
      <c r="K71" s="143" t="s">
        <v>766</v>
      </c>
      <c r="L71" s="143" t="s">
        <v>680</v>
      </c>
      <c r="M71" s="143">
        <v>4644</v>
      </c>
      <c r="N71" s="137">
        <v>0.18181820000000001</v>
      </c>
      <c r="O71" s="137">
        <v>0.68040409999999996</v>
      </c>
      <c r="P71" s="265">
        <v>0.86222220000000005</v>
      </c>
      <c r="Q71" s="137" t="s">
        <v>3185</v>
      </c>
      <c r="R71" s="137">
        <v>0.2</v>
      </c>
      <c r="S71" s="137">
        <v>0.53679650000000001</v>
      </c>
      <c r="T71" s="137">
        <v>0.73679649999999997</v>
      </c>
      <c r="V71" s="143" t="s">
        <v>775</v>
      </c>
      <c r="W71" s="143" t="s">
        <v>766</v>
      </c>
      <c r="X71" s="143" t="s">
        <v>680</v>
      </c>
      <c r="Y71" s="143">
        <v>4644</v>
      </c>
      <c r="Z71" s="137" t="s">
        <v>3184</v>
      </c>
      <c r="AA71" s="137" t="s">
        <v>3184</v>
      </c>
      <c r="AB71" s="137" t="s">
        <v>3185</v>
      </c>
      <c r="AC71" s="137" t="s">
        <v>3184</v>
      </c>
      <c r="AD71" s="137" t="s">
        <v>3185</v>
      </c>
      <c r="AE71" s="137" t="s">
        <v>3185</v>
      </c>
      <c r="AF71" s="137" t="s">
        <v>3184</v>
      </c>
      <c r="AG71" s="137" t="s">
        <v>3184</v>
      </c>
      <c r="AH71" s="137" t="s">
        <v>3184</v>
      </c>
      <c r="AI71" s="137" t="s">
        <v>3184</v>
      </c>
      <c r="AJ71" s="137" t="s">
        <v>3184</v>
      </c>
      <c r="AK71" s="137">
        <v>0.72727269999999999</v>
      </c>
      <c r="AM71" s="143" t="s">
        <v>775</v>
      </c>
      <c r="AN71" s="143" t="s">
        <v>766</v>
      </c>
      <c r="AO71" s="143">
        <v>1</v>
      </c>
      <c r="AP71" s="143">
        <v>4644</v>
      </c>
      <c r="AQ71" s="137"/>
      <c r="AR71" s="137"/>
      <c r="AS71" s="137"/>
      <c r="AT71" s="137"/>
      <c r="AU71" s="137"/>
      <c r="AV71" s="137"/>
      <c r="AW71" s="137"/>
      <c r="AX71" s="189">
        <v>0.9</v>
      </c>
      <c r="AY71" s="189">
        <v>0.9</v>
      </c>
      <c r="AZ71" s="78" t="s">
        <v>3185</v>
      </c>
      <c r="BB71" s="143" t="s">
        <v>775</v>
      </c>
      <c r="BC71" s="143" t="s">
        <v>766</v>
      </c>
      <c r="BD71" s="143" t="s">
        <v>680</v>
      </c>
      <c r="BE71" s="143">
        <v>4644</v>
      </c>
      <c r="BF71" s="137"/>
      <c r="BG71" s="137"/>
      <c r="BH71" s="137"/>
      <c r="BI71" s="137"/>
      <c r="BJ71" s="137"/>
      <c r="BK71" s="137"/>
      <c r="BL71" s="137"/>
      <c r="BM71" s="137"/>
      <c r="BN71" s="137"/>
      <c r="BO71" s="137"/>
      <c r="BP71" s="137"/>
      <c r="BQ71" s="137"/>
      <c r="BR71" s="137" t="s">
        <v>3185</v>
      </c>
      <c r="BS71" s="137" t="s">
        <v>3185</v>
      </c>
      <c r="BT71" s="189" t="s">
        <v>3185</v>
      </c>
      <c r="BU71" s="189">
        <v>0</v>
      </c>
      <c r="BV71" s="78" t="s">
        <v>3185</v>
      </c>
      <c r="BX71" s="143" t="s">
        <v>775</v>
      </c>
      <c r="BY71" s="143" t="s">
        <v>766</v>
      </c>
      <c r="BZ71" s="143" t="s">
        <v>680</v>
      </c>
      <c r="CA71" s="143">
        <v>4644</v>
      </c>
      <c r="CC71" s="137"/>
      <c r="CD71" s="137"/>
      <c r="CE71" s="137"/>
      <c r="CF71" s="189"/>
      <c r="CG71" s="189"/>
    </row>
    <row r="72" spans="1:85" x14ac:dyDescent="0.25">
      <c r="A72" s="143" t="s">
        <v>775</v>
      </c>
      <c r="B72" s="143" t="s">
        <v>766</v>
      </c>
      <c r="C72" s="143" t="s">
        <v>680</v>
      </c>
      <c r="D72" s="143">
        <v>4645</v>
      </c>
      <c r="E72" s="354">
        <v>0.4</v>
      </c>
      <c r="F72" s="354">
        <v>0.6</v>
      </c>
      <c r="G72" s="354">
        <v>1</v>
      </c>
      <c r="H72" s="78" t="s">
        <v>3184</v>
      </c>
      <c r="J72" s="143" t="s">
        <v>775</v>
      </c>
      <c r="K72" s="143" t="s">
        <v>766</v>
      </c>
      <c r="L72" s="143" t="s">
        <v>680</v>
      </c>
      <c r="M72" s="143">
        <v>4645</v>
      </c>
      <c r="N72" s="137">
        <v>0.16363639999999999</v>
      </c>
      <c r="O72" s="137">
        <v>0.6545455</v>
      </c>
      <c r="P72" s="265">
        <v>0.81818179999999996</v>
      </c>
      <c r="Q72" s="137" t="s">
        <v>3185</v>
      </c>
      <c r="R72" s="137">
        <v>0.2</v>
      </c>
      <c r="S72" s="137">
        <v>0.8</v>
      </c>
      <c r="T72" s="137">
        <v>1</v>
      </c>
      <c r="V72" s="143" t="s">
        <v>775</v>
      </c>
      <c r="W72" s="143" t="s">
        <v>766</v>
      </c>
      <c r="X72" s="143" t="s">
        <v>680</v>
      </c>
      <c r="Y72" s="143">
        <v>4645</v>
      </c>
      <c r="Z72" s="137" t="s">
        <v>3185</v>
      </c>
      <c r="AA72" s="137" t="s">
        <v>3184</v>
      </c>
      <c r="AB72" s="137" t="s">
        <v>3185</v>
      </c>
      <c r="AC72" s="137" t="s">
        <v>3184</v>
      </c>
      <c r="AD72" s="137" t="s">
        <v>3185</v>
      </c>
      <c r="AE72" s="137" t="s">
        <v>3185</v>
      </c>
      <c r="AF72" s="137" t="s">
        <v>3184</v>
      </c>
      <c r="AG72" s="137" t="s">
        <v>3184</v>
      </c>
      <c r="AH72" s="137" t="s">
        <v>3184</v>
      </c>
      <c r="AI72" s="137" t="s">
        <v>3184</v>
      </c>
      <c r="AJ72" s="137" t="s">
        <v>3184</v>
      </c>
      <c r="AK72" s="137">
        <v>0.63636360000000003</v>
      </c>
      <c r="AM72" s="143" t="s">
        <v>775</v>
      </c>
      <c r="AN72" s="143" t="s">
        <v>766</v>
      </c>
      <c r="AO72" s="143">
        <v>1</v>
      </c>
      <c r="AP72" s="143">
        <v>4645</v>
      </c>
      <c r="AQ72" s="137"/>
      <c r="AR72" s="137"/>
      <c r="AS72" s="137"/>
      <c r="AT72" s="137"/>
      <c r="AU72" s="137"/>
      <c r="AV72" s="137"/>
      <c r="AW72" s="137"/>
      <c r="AX72" s="189">
        <v>0.875</v>
      </c>
      <c r="AY72" s="189">
        <v>0.875</v>
      </c>
      <c r="AZ72" s="78" t="s">
        <v>3185</v>
      </c>
      <c r="BB72" s="143" t="s">
        <v>775</v>
      </c>
      <c r="BC72" s="143" t="s">
        <v>766</v>
      </c>
      <c r="BD72" s="143" t="s">
        <v>680</v>
      </c>
      <c r="BE72" s="143">
        <v>4645</v>
      </c>
      <c r="BF72" s="137"/>
      <c r="BG72" s="137"/>
      <c r="BH72" s="137"/>
      <c r="BI72" s="137"/>
      <c r="BJ72" s="137"/>
      <c r="BK72" s="137"/>
      <c r="BL72" s="137"/>
      <c r="BM72" s="137"/>
      <c r="BN72" s="137"/>
      <c r="BO72" s="137"/>
      <c r="BP72" s="137"/>
      <c r="BQ72" s="137"/>
      <c r="BR72" s="137" t="s">
        <v>3185</v>
      </c>
      <c r="BS72" s="137" t="s">
        <v>3185</v>
      </c>
      <c r="BT72" s="189" t="s">
        <v>3185</v>
      </c>
      <c r="BU72" s="189">
        <v>0</v>
      </c>
      <c r="BV72" s="78" t="s">
        <v>3185</v>
      </c>
      <c r="BX72" s="143" t="s">
        <v>775</v>
      </c>
      <c r="BY72" s="143" t="s">
        <v>766</v>
      </c>
      <c r="BZ72" s="143" t="s">
        <v>680</v>
      </c>
      <c r="CA72" s="143">
        <v>4645</v>
      </c>
      <c r="CC72" s="137"/>
      <c r="CD72" s="137"/>
      <c r="CE72" s="137"/>
      <c r="CF72" s="189"/>
      <c r="CG72" s="189"/>
    </row>
    <row r="73" spans="1:85" x14ac:dyDescent="0.25">
      <c r="A73" s="143" t="s">
        <v>775</v>
      </c>
      <c r="B73" s="143" t="s">
        <v>766</v>
      </c>
      <c r="C73" s="143" t="s">
        <v>680</v>
      </c>
      <c r="D73" s="143">
        <v>4647</v>
      </c>
      <c r="E73" s="354">
        <v>0.4</v>
      </c>
      <c r="F73" s="354">
        <v>0.6</v>
      </c>
      <c r="G73" s="354">
        <v>1</v>
      </c>
      <c r="H73" s="78" t="s">
        <v>3184</v>
      </c>
      <c r="J73" s="143" t="s">
        <v>775</v>
      </c>
      <c r="K73" s="143" t="s">
        <v>766</v>
      </c>
      <c r="L73" s="143" t="s">
        <v>680</v>
      </c>
      <c r="M73" s="143">
        <v>4647</v>
      </c>
      <c r="N73" s="137">
        <v>0.18181820000000001</v>
      </c>
      <c r="O73" s="137">
        <v>0.14545449999999999</v>
      </c>
      <c r="P73" s="265">
        <v>0.32727270000000003</v>
      </c>
      <c r="Q73" s="137" t="s">
        <v>3185</v>
      </c>
      <c r="R73" s="137">
        <v>0.1666667</v>
      </c>
      <c r="S73" s="137">
        <v>0.2</v>
      </c>
      <c r="T73" s="137">
        <v>0.36666670000000001</v>
      </c>
      <c r="V73" s="143" t="s">
        <v>775</v>
      </c>
      <c r="W73" s="143" t="s">
        <v>766</v>
      </c>
      <c r="X73" s="143" t="s">
        <v>680</v>
      </c>
      <c r="Y73" s="143">
        <v>4647</v>
      </c>
      <c r="Z73" s="137" t="s">
        <v>3184</v>
      </c>
      <c r="AA73" s="137" t="s">
        <v>3184</v>
      </c>
      <c r="AB73" s="137" t="s">
        <v>3184</v>
      </c>
      <c r="AC73" s="137" t="s">
        <v>3184</v>
      </c>
      <c r="AD73" s="137" t="s">
        <v>3185</v>
      </c>
      <c r="AE73" s="137" t="s">
        <v>3185</v>
      </c>
      <c r="AF73" s="137" t="s">
        <v>3184</v>
      </c>
      <c r="AG73" s="137" t="s">
        <v>3184</v>
      </c>
      <c r="AH73" s="137" t="s">
        <v>3184</v>
      </c>
      <c r="AI73" s="137" t="s">
        <v>3184</v>
      </c>
      <c r="AJ73" s="137" t="s">
        <v>3184</v>
      </c>
      <c r="AK73" s="137">
        <v>0.81818179999999996</v>
      </c>
      <c r="AM73" s="143" t="s">
        <v>775</v>
      </c>
      <c r="AN73" s="143" t="s">
        <v>766</v>
      </c>
      <c r="AO73" s="143">
        <v>1</v>
      </c>
      <c r="AP73" s="143">
        <v>4647</v>
      </c>
      <c r="AQ73" s="137"/>
      <c r="AR73" s="137"/>
      <c r="AS73" s="137"/>
      <c r="AT73" s="137"/>
      <c r="AU73" s="137"/>
      <c r="AV73" s="137"/>
      <c r="AW73" s="137"/>
      <c r="AX73" s="189">
        <v>0.95</v>
      </c>
      <c r="AY73" s="189">
        <v>0.95</v>
      </c>
      <c r="AZ73" s="78" t="s">
        <v>3185</v>
      </c>
      <c r="BB73" s="143" t="s">
        <v>775</v>
      </c>
      <c r="BC73" s="143" t="s">
        <v>766</v>
      </c>
      <c r="BD73" s="143" t="s">
        <v>680</v>
      </c>
      <c r="BE73" s="143">
        <v>4647</v>
      </c>
      <c r="BF73" s="137"/>
      <c r="BG73" s="137"/>
      <c r="BH73" s="137"/>
      <c r="BI73" s="137"/>
      <c r="BJ73" s="137"/>
      <c r="BK73" s="137"/>
      <c r="BL73" s="137"/>
      <c r="BM73" s="137"/>
      <c r="BN73" s="137"/>
      <c r="BO73" s="137"/>
      <c r="BP73" s="137"/>
      <c r="BQ73" s="137"/>
      <c r="BR73" s="137" t="s">
        <v>3185</v>
      </c>
      <c r="BS73" s="137" t="s">
        <v>3185</v>
      </c>
      <c r="BT73" s="189" t="s">
        <v>3185</v>
      </c>
      <c r="BU73" s="189">
        <v>0</v>
      </c>
      <c r="BV73" s="78" t="s">
        <v>3185</v>
      </c>
      <c r="BX73" s="143" t="s">
        <v>775</v>
      </c>
      <c r="BY73" s="143" t="s">
        <v>766</v>
      </c>
      <c r="BZ73" s="143" t="s">
        <v>680</v>
      </c>
      <c r="CA73" s="143">
        <v>4647</v>
      </c>
      <c r="CC73" s="137"/>
      <c r="CD73" s="137"/>
      <c r="CE73" s="137"/>
      <c r="CF73" s="189"/>
      <c r="CG73" s="189"/>
    </row>
    <row r="74" spans="1:85" x14ac:dyDescent="0.25">
      <c r="A74" s="143" t="s">
        <v>775</v>
      </c>
      <c r="B74" s="143" t="s">
        <v>766</v>
      </c>
      <c r="C74" s="143" t="s">
        <v>680</v>
      </c>
      <c r="D74" s="143">
        <v>4675</v>
      </c>
      <c r="E74" s="354">
        <v>0.4</v>
      </c>
      <c r="F74" s="354">
        <v>0.6</v>
      </c>
      <c r="G74" s="354">
        <v>1</v>
      </c>
      <c r="H74" s="78" t="s">
        <v>3184</v>
      </c>
      <c r="J74" s="143" t="s">
        <v>775</v>
      </c>
      <c r="K74" s="143" t="s">
        <v>766</v>
      </c>
      <c r="L74" s="143" t="s">
        <v>680</v>
      </c>
      <c r="M74" s="143">
        <v>4675</v>
      </c>
      <c r="N74" s="137">
        <v>0.16363639999999999</v>
      </c>
      <c r="O74" s="137">
        <v>0.31595960000000001</v>
      </c>
      <c r="P74" s="265">
        <v>0.47959600000000002</v>
      </c>
      <c r="Q74" s="137" t="s">
        <v>3185</v>
      </c>
      <c r="R74" s="137">
        <v>0.13333329999999999</v>
      </c>
      <c r="S74" s="137">
        <v>0.12727269999999999</v>
      </c>
      <c r="T74" s="137">
        <v>0.26060610000000001</v>
      </c>
      <c r="V74" s="143" t="s">
        <v>775</v>
      </c>
      <c r="W74" s="143" t="s">
        <v>766</v>
      </c>
      <c r="X74" s="143" t="s">
        <v>680</v>
      </c>
      <c r="Y74" s="143">
        <v>4675</v>
      </c>
      <c r="Z74" s="137" t="s">
        <v>3184</v>
      </c>
      <c r="AA74" s="137" t="s">
        <v>3184</v>
      </c>
      <c r="AB74" s="137" t="s">
        <v>3184</v>
      </c>
      <c r="AC74" s="137" t="s">
        <v>3184</v>
      </c>
      <c r="AD74" s="137" t="s">
        <v>3185</v>
      </c>
      <c r="AE74" s="137" t="s">
        <v>3185</v>
      </c>
      <c r="AF74" s="137" t="s">
        <v>3184</v>
      </c>
      <c r="AG74" s="137" t="s">
        <v>3184</v>
      </c>
      <c r="AH74" s="137" t="s">
        <v>3184</v>
      </c>
      <c r="AI74" s="137" t="s">
        <v>3184</v>
      </c>
      <c r="AJ74" s="137" t="s">
        <v>3184</v>
      </c>
      <c r="AK74" s="137">
        <v>0.81818179999999996</v>
      </c>
      <c r="AM74" s="143" t="s">
        <v>775</v>
      </c>
      <c r="AN74" s="143" t="s">
        <v>766</v>
      </c>
      <c r="AO74" s="143">
        <v>1</v>
      </c>
      <c r="AP74" s="143">
        <v>4675</v>
      </c>
      <c r="AQ74" s="137"/>
      <c r="AR74" s="137"/>
      <c r="AS74" s="137"/>
      <c r="AT74" s="137"/>
      <c r="AU74" s="137"/>
      <c r="AV74" s="137"/>
      <c r="AW74" s="137"/>
      <c r="AX74" s="189">
        <v>0.71250000000000002</v>
      </c>
      <c r="AY74" s="189">
        <v>0.71250000000000002</v>
      </c>
      <c r="AZ74" s="78" t="s">
        <v>3185</v>
      </c>
      <c r="BB74" s="143" t="s">
        <v>775</v>
      </c>
      <c r="BC74" s="143" t="s">
        <v>766</v>
      </c>
      <c r="BD74" s="143" t="s">
        <v>680</v>
      </c>
      <c r="BE74" s="143">
        <v>4675</v>
      </c>
      <c r="BF74" s="137"/>
      <c r="BG74" s="137"/>
      <c r="BH74" s="137"/>
      <c r="BI74" s="137"/>
      <c r="BJ74" s="137"/>
      <c r="BK74" s="137"/>
      <c r="BL74" s="137"/>
      <c r="BM74" s="137"/>
      <c r="BN74" s="137"/>
      <c r="BO74" s="137"/>
      <c r="BP74" s="137"/>
      <c r="BQ74" s="137"/>
      <c r="BR74" s="137" t="s">
        <v>3184</v>
      </c>
      <c r="BS74" s="137" t="s">
        <v>3185</v>
      </c>
      <c r="BT74" s="189" t="s">
        <v>3184</v>
      </c>
      <c r="BU74" s="189">
        <v>0.66666669999999995</v>
      </c>
      <c r="BV74" s="78" t="s">
        <v>3185</v>
      </c>
      <c r="BX74" s="143" t="s">
        <v>775</v>
      </c>
      <c r="BY74" s="143" t="s">
        <v>766</v>
      </c>
      <c r="BZ74" s="143" t="s">
        <v>680</v>
      </c>
      <c r="CA74" s="143">
        <v>4675</v>
      </c>
      <c r="CC74" s="137"/>
      <c r="CD74" s="137"/>
      <c r="CE74" s="137"/>
      <c r="CF74" s="189"/>
      <c r="CG74" s="189"/>
    </row>
    <row r="75" spans="1:85" x14ac:dyDescent="0.25">
      <c r="A75" s="143" t="s">
        <v>775</v>
      </c>
      <c r="B75" s="143" t="s">
        <v>766</v>
      </c>
      <c r="C75" s="143" t="s">
        <v>680</v>
      </c>
      <c r="D75" s="143">
        <v>4728</v>
      </c>
      <c r="E75" s="354">
        <v>0.4</v>
      </c>
      <c r="F75" s="354">
        <v>0.6</v>
      </c>
      <c r="G75" s="354">
        <v>1</v>
      </c>
      <c r="H75" s="78" t="s">
        <v>3184</v>
      </c>
      <c r="J75" s="143" t="s">
        <v>775</v>
      </c>
      <c r="K75" s="143" t="s">
        <v>766</v>
      </c>
      <c r="L75" s="143" t="s">
        <v>680</v>
      </c>
      <c r="M75" s="143">
        <v>4728</v>
      </c>
      <c r="N75" s="137">
        <v>0.2</v>
      </c>
      <c r="O75" s="137">
        <v>0.33050499999999999</v>
      </c>
      <c r="P75" s="265">
        <v>0.53050509999999995</v>
      </c>
      <c r="Q75" s="137" t="s">
        <v>3185</v>
      </c>
      <c r="R75" s="137">
        <v>0.1666667</v>
      </c>
      <c r="S75" s="137">
        <v>0.13333329999999999</v>
      </c>
      <c r="T75" s="137">
        <v>0.3</v>
      </c>
      <c r="V75" s="143" t="s">
        <v>775</v>
      </c>
      <c r="W75" s="143" t="s">
        <v>766</v>
      </c>
      <c r="X75" s="143" t="s">
        <v>680</v>
      </c>
      <c r="Y75" s="143">
        <v>4728</v>
      </c>
      <c r="Z75" s="137" t="s">
        <v>3184</v>
      </c>
      <c r="AA75" s="137" t="s">
        <v>3184</v>
      </c>
      <c r="AB75" s="137" t="s">
        <v>3184</v>
      </c>
      <c r="AC75" s="137" t="s">
        <v>3184</v>
      </c>
      <c r="AD75" s="137" t="s">
        <v>3185</v>
      </c>
      <c r="AE75" s="137" t="s">
        <v>3185</v>
      </c>
      <c r="AF75" s="137" t="s">
        <v>3184</v>
      </c>
      <c r="AG75" s="137" t="s">
        <v>3184</v>
      </c>
      <c r="AH75" s="137" t="s">
        <v>3184</v>
      </c>
      <c r="AI75" s="137" t="s">
        <v>3184</v>
      </c>
      <c r="AJ75" s="137" t="s">
        <v>3184</v>
      </c>
      <c r="AK75" s="137">
        <v>0.81818179999999996</v>
      </c>
      <c r="AM75" s="143" t="s">
        <v>775</v>
      </c>
      <c r="AN75" s="143" t="s">
        <v>766</v>
      </c>
      <c r="AO75" s="143">
        <v>1</v>
      </c>
      <c r="AP75" s="143">
        <v>4728</v>
      </c>
      <c r="AQ75" s="137"/>
      <c r="AR75" s="137"/>
      <c r="AS75" s="137"/>
      <c r="AT75" s="137"/>
      <c r="AU75" s="137"/>
      <c r="AV75" s="137"/>
      <c r="AW75" s="137"/>
      <c r="AX75" s="189">
        <v>0.8125</v>
      </c>
      <c r="AY75" s="189">
        <v>0.8125</v>
      </c>
      <c r="AZ75" s="78" t="s">
        <v>3185</v>
      </c>
      <c r="BB75" s="143" t="s">
        <v>775</v>
      </c>
      <c r="BC75" s="143" t="s">
        <v>766</v>
      </c>
      <c r="BD75" s="143" t="s">
        <v>680</v>
      </c>
      <c r="BE75" s="143">
        <v>4728</v>
      </c>
      <c r="BF75" s="137"/>
      <c r="BG75" s="137"/>
      <c r="BH75" s="137"/>
      <c r="BI75" s="137"/>
      <c r="BJ75" s="137"/>
      <c r="BK75" s="137"/>
      <c r="BL75" s="137"/>
      <c r="BM75" s="137"/>
      <c r="BN75" s="137"/>
      <c r="BO75" s="137"/>
      <c r="BP75" s="137"/>
      <c r="BQ75" s="137"/>
      <c r="BR75" s="137" t="s">
        <v>3184</v>
      </c>
      <c r="BS75" s="137" t="s">
        <v>3185</v>
      </c>
      <c r="BT75" s="189" t="s">
        <v>3184</v>
      </c>
      <c r="BU75" s="189">
        <v>0.66666669999999995</v>
      </c>
      <c r="BV75" s="78" t="s">
        <v>3185</v>
      </c>
      <c r="BX75" s="143" t="s">
        <v>775</v>
      </c>
      <c r="BY75" s="143" t="s">
        <v>766</v>
      </c>
      <c r="BZ75" s="143" t="s">
        <v>680</v>
      </c>
      <c r="CA75" s="143">
        <v>4728</v>
      </c>
      <c r="CC75" s="137"/>
      <c r="CD75" s="137"/>
      <c r="CE75" s="137"/>
      <c r="CF75" s="189"/>
      <c r="CG75" s="189"/>
    </row>
    <row r="76" spans="1:85" x14ac:dyDescent="0.25">
      <c r="A76" s="143" t="s">
        <v>775</v>
      </c>
      <c r="B76" s="143" t="s">
        <v>766</v>
      </c>
      <c r="C76" s="143" t="s">
        <v>680</v>
      </c>
      <c r="D76" s="143">
        <v>4731</v>
      </c>
      <c r="E76" s="354">
        <v>0.4</v>
      </c>
      <c r="F76" s="354">
        <v>0.6</v>
      </c>
      <c r="G76" s="354">
        <v>1</v>
      </c>
      <c r="H76" s="78" t="s">
        <v>3184</v>
      </c>
      <c r="J76" s="143" t="s">
        <v>775</v>
      </c>
      <c r="K76" s="143" t="s">
        <v>766</v>
      </c>
      <c r="L76" s="143" t="s">
        <v>680</v>
      </c>
      <c r="M76" s="143">
        <v>4731</v>
      </c>
      <c r="N76" s="137">
        <v>0.12727269999999999</v>
      </c>
      <c r="O76" s="137">
        <v>0.34989900000000002</v>
      </c>
      <c r="P76" s="265">
        <v>0.47717169999999998</v>
      </c>
      <c r="Q76" s="137" t="s">
        <v>3185</v>
      </c>
      <c r="R76" s="137">
        <v>0.1833333</v>
      </c>
      <c r="S76" s="137">
        <v>0</v>
      </c>
      <c r="T76" s="137">
        <v>0.1833333</v>
      </c>
      <c r="V76" s="143" t="s">
        <v>775</v>
      </c>
      <c r="W76" s="143" t="s">
        <v>766</v>
      </c>
      <c r="X76" s="143" t="s">
        <v>680</v>
      </c>
      <c r="Y76" s="143">
        <v>4731</v>
      </c>
      <c r="Z76" s="137" t="s">
        <v>3184</v>
      </c>
      <c r="AA76" s="137" t="s">
        <v>3185</v>
      </c>
      <c r="AB76" s="137" t="s">
        <v>3184</v>
      </c>
      <c r="AC76" s="137" t="s">
        <v>3184</v>
      </c>
      <c r="AD76" s="137" t="s">
        <v>3185</v>
      </c>
      <c r="AE76" s="137" t="s">
        <v>3185</v>
      </c>
      <c r="AF76" s="137" t="s">
        <v>3184</v>
      </c>
      <c r="AG76" s="137" t="s">
        <v>3184</v>
      </c>
      <c r="AH76" s="137" t="s">
        <v>3184</v>
      </c>
      <c r="AI76" s="137" t="s">
        <v>3185</v>
      </c>
      <c r="AJ76" s="137" t="s">
        <v>3184</v>
      </c>
      <c r="AK76" s="137">
        <v>0.63636360000000003</v>
      </c>
      <c r="AM76" s="143" t="s">
        <v>775</v>
      </c>
      <c r="AN76" s="143" t="s">
        <v>766</v>
      </c>
      <c r="AO76" s="143">
        <v>1</v>
      </c>
      <c r="AP76" s="143">
        <v>4731</v>
      </c>
      <c r="AQ76" s="137"/>
      <c r="AR76" s="137"/>
      <c r="AS76" s="137"/>
      <c r="AT76" s="137"/>
      <c r="AU76" s="137"/>
      <c r="AV76" s="137"/>
      <c r="AW76" s="137"/>
      <c r="AX76" s="189">
        <v>0.7</v>
      </c>
      <c r="AY76" s="189">
        <v>0.7</v>
      </c>
      <c r="AZ76" s="78" t="s">
        <v>3185</v>
      </c>
      <c r="BB76" s="143" t="s">
        <v>775</v>
      </c>
      <c r="BC76" s="143" t="s">
        <v>766</v>
      </c>
      <c r="BD76" s="143" t="s">
        <v>680</v>
      </c>
      <c r="BE76" s="143">
        <v>4731</v>
      </c>
      <c r="BF76" s="137"/>
      <c r="BG76" s="137"/>
      <c r="BH76" s="137"/>
      <c r="BI76" s="137"/>
      <c r="BJ76" s="137"/>
      <c r="BK76" s="137"/>
      <c r="BL76" s="137"/>
      <c r="BM76" s="137"/>
      <c r="BN76" s="137"/>
      <c r="BO76" s="137"/>
      <c r="BP76" s="137"/>
      <c r="BQ76" s="137"/>
      <c r="BR76" s="137" t="s">
        <v>3185</v>
      </c>
      <c r="BS76" s="137" t="s">
        <v>3185</v>
      </c>
      <c r="BT76" s="189" t="s">
        <v>3184</v>
      </c>
      <c r="BU76" s="189">
        <v>0.3333333</v>
      </c>
      <c r="BV76" s="78" t="s">
        <v>3185</v>
      </c>
      <c r="BX76" s="143" t="s">
        <v>775</v>
      </c>
      <c r="BY76" s="143" t="s">
        <v>766</v>
      </c>
      <c r="BZ76" s="143" t="s">
        <v>680</v>
      </c>
      <c r="CA76" s="143">
        <v>4731</v>
      </c>
      <c r="CC76" s="137"/>
      <c r="CD76" s="137"/>
      <c r="CE76" s="137"/>
      <c r="CF76" s="189"/>
      <c r="CG76" s="189"/>
    </row>
    <row r="77" spans="1:85" x14ac:dyDescent="0.25">
      <c r="A77" s="143" t="s">
        <v>776</v>
      </c>
      <c r="B77" s="143" t="s">
        <v>777</v>
      </c>
      <c r="C77" s="143" t="s">
        <v>680</v>
      </c>
      <c r="D77" s="143">
        <v>2708</v>
      </c>
      <c r="E77" s="354">
        <v>0.4</v>
      </c>
      <c r="F77" s="354">
        <v>0.6</v>
      </c>
      <c r="G77" s="354">
        <v>1</v>
      </c>
      <c r="H77" s="78" t="s">
        <v>3184</v>
      </c>
      <c r="J77" s="143" t="s">
        <v>776</v>
      </c>
      <c r="K77" s="143" t="s">
        <v>777</v>
      </c>
      <c r="L77" s="143" t="s">
        <v>680</v>
      </c>
      <c r="M77" s="143">
        <v>2708</v>
      </c>
      <c r="N77" s="137">
        <v>0.16363639999999999</v>
      </c>
      <c r="O77" s="137">
        <v>0.57292929999999997</v>
      </c>
      <c r="P77" s="265">
        <v>0.73656560000000004</v>
      </c>
      <c r="Q77" s="137" t="s">
        <v>3185</v>
      </c>
      <c r="R77" s="137">
        <v>0.1833333</v>
      </c>
      <c r="S77" s="137">
        <v>0.66666669999999995</v>
      </c>
      <c r="T77" s="137">
        <v>0.85</v>
      </c>
      <c r="V77" s="143" t="s">
        <v>776</v>
      </c>
      <c r="W77" s="143" t="s">
        <v>777</v>
      </c>
      <c r="X77" s="143" t="s">
        <v>680</v>
      </c>
      <c r="Y77" s="143">
        <v>2708</v>
      </c>
      <c r="Z77" s="137" t="s">
        <v>3185</v>
      </c>
      <c r="AA77" s="137" t="s">
        <v>3185</v>
      </c>
      <c r="AB77" s="137" t="s">
        <v>3184</v>
      </c>
      <c r="AC77" s="137" t="s">
        <v>3184</v>
      </c>
      <c r="AD77" s="137" t="s">
        <v>3185</v>
      </c>
      <c r="AE77" s="137" t="s">
        <v>3185</v>
      </c>
      <c r="AF77" s="137" t="s">
        <v>3184</v>
      </c>
      <c r="AG77" s="137" t="s">
        <v>3184</v>
      </c>
      <c r="AH77" s="137" t="s">
        <v>3184</v>
      </c>
      <c r="AI77" s="137" t="s">
        <v>3184</v>
      </c>
      <c r="AJ77" s="137" t="s">
        <v>3184</v>
      </c>
      <c r="AK77" s="137">
        <v>0.63636360000000003</v>
      </c>
      <c r="AM77" s="143" t="s">
        <v>776</v>
      </c>
      <c r="AN77" s="143" t="s">
        <v>777</v>
      </c>
      <c r="AO77" s="143">
        <v>1</v>
      </c>
      <c r="AP77" s="143">
        <v>2708</v>
      </c>
      <c r="AQ77" s="137"/>
      <c r="AR77" s="137"/>
      <c r="AS77" s="137"/>
      <c r="AT77" s="137"/>
      <c r="AU77" s="137"/>
      <c r="AV77" s="137"/>
      <c r="AW77" s="137"/>
      <c r="AX77" s="189">
        <v>0.91249999999999998</v>
      </c>
      <c r="AY77" s="189">
        <v>0.91249999999999998</v>
      </c>
      <c r="AZ77" s="78" t="s">
        <v>3185</v>
      </c>
      <c r="BB77" s="143" t="s">
        <v>776</v>
      </c>
      <c r="BC77" s="143" t="s">
        <v>777</v>
      </c>
      <c r="BD77" s="143" t="s">
        <v>680</v>
      </c>
      <c r="BE77" s="143">
        <v>2708</v>
      </c>
      <c r="BF77" s="137"/>
      <c r="BG77" s="137"/>
      <c r="BH77" s="137"/>
      <c r="BI77" s="137"/>
      <c r="BJ77" s="137"/>
      <c r="BK77" s="137"/>
      <c r="BL77" s="137"/>
      <c r="BM77" s="137"/>
      <c r="BN77" s="137"/>
      <c r="BO77" s="137"/>
      <c r="BP77" s="137"/>
      <c r="BQ77" s="137"/>
      <c r="BR77" s="137" t="s">
        <v>3184</v>
      </c>
      <c r="BS77" s="137" t="s">
        <v>3184</v>
      </c>
      <c r="BT77" s="189" t="s">
        <v>3184</v>
      </c>
      <c r="BU77" s="189">
        <v>1</v>
      </c>
      <c r="BV77" s="78" t="s">
        <v>3184</v>
      </c>
      <c r="BX77" s="143" t="s">
        <v>776</v>
      </c>
      <c r="BY77" s="143" t="s">
        <v>777</v>
      </c>
      <c r="BZ77" s="143" t="s">
        <v>680</v>
      </c>
      <c r="CA77" s="143">
        <v>2708</v>
      </c>
      <c r="CC77" s="137"/>
      <c r="CD77" s="137"/>
      <c r="CE77" s="137"/>
      <c r="CF77" s="189"/>
      <c r="CG77" s="189"/>
    </row>
    <row r="78" spans="1:85" x14ac:dyDescent="0.25">
      <c r="A78" s="143" t="s">
        <v>776</v>
      </c>
      <c r="B78" s="143" t="s">
        <v>777</v>
      </c>
      <c r="C78" s="143" t="s">
        <v>680</v>
      </c>
      <c r="D78" s="143">
        <v>2709</v>
      </c>
      <c r="E78" s="354">
        <v>0.4</v>
      </c>
      <c r="F78" s="354">
        <v>0.6</v>
      </c>
      <c r="G78" s="354">
        <v>1</v>
      </c>
      <c r="H78" s="78" t="s">
        <v>3184</v>
      </c>
      <c r="J78" s="143" t="s">
        <v>776</v>
      </c>
      <c r="K78" s="143" t="s">
        <v>777</v>
      </c>
      <c r="L78" s="143" t="s">
        <v>680</v>
      </c>
      <c r="M78" s="143">
        <v>2709</v>
      </c>
      <c r="N78" s="137">
        <v>0.2</v>
      </c>
      <c r="O78" s="137">
        <v>0.67232320000000001</v>
      </c>
      <c r="P78" s="265">
        <v>0.87232319999999997</v>
      </c>
      <c r="Q78" s="137" t="s">
        <v>3185</v>
      </c>
      <c r="R78" s="137">
        <v>0.2</v>
      </c>
      <c r="S78" s="137">
        <v>0.77835500000000002</v>
      </c>
      <c r="T78" s="137">
        <v>0.97835499999999997</v>
      </c>
      <c r="V78" s="143" t="s">
        <v>776</v>
      </c>
      <c r="W78" s="143" t="s">
        <v>777</v>
      </c>
      <c r="X78" s="143" t="s">
        <v>680</v>
      </c>
      <c r="Y78" s="143">
        <v>2709</v>
      </c>
      <c r="Z78" s="137" t="s">
        <v>3184</v>
      </c>
      <c r="AA78" s="137" t="s">
        <v>3184</v>
      </c>
      <c r="AB78" s="137" t="s">
        <v>3184</v>
      </c>
      <c r="AC78" s="137" t="s">
        <v>3184</v>
      </c>
      <c r="AD78" s="137" t="s">
        <v>3185</v>
      </c>
      <c r="AE78" s="137" t="s">
        <v>3185</v>
      </c>
      <c r="AF78" s="137" t="s">
        <v>3184</v>
      </c>
      <c r="AG78" s="137" t="s">
        <v>3184</v>
      </c>
      <c r="AH78" s="137" t="s">
        <v>3184</v>
      </c>
      <c r="AI78" s="137" t="s">
        <v>3184</v>
      </c>
      <c r="AJ78" s="137" t="s">
        <v>3184</v>
      </c>
      <c r="AK78" s="137">
        <v>0.81818179999999996</v>
      </c>
      <c r="AM78" s="143" t="s">
        <v>776</v>
      </c>
      <c r="AN78" s="143" t="s">
        <v>777</v>
      </c>
      <c r="AO78" s="143">
        <v>1</v>
      </c>
      <c r="AP78" s="143">
        <v>2709</v>
      </c>
      <c r="AQ78" s="137"/>
      <c r="AR78" s="137"/>
      <c r="AS78" s="137"/>
      <c r="AT78" s="137"/>
      <c r="AU78" s="137"/>
      <c r="AV78" s="137"/>
      <c r="AW78" s="137"/>
      <c r="AX78" s="189">
        <v>0.88749999999999996</v>
      </c>
      <c r="AY78" s="189">
        <v>0.88749999999999996</v>
      </c>
      <c r="AZ78" s="78" t="s">
        <v>3185</v>
      </c>
      <c r="BB78" s="143" t="s">
        <v>776</v>
      </c>
      <c r="BC78" s="143" t="s">
        <v>777</v>
      </c>
      <c r="BD78" s="143" t="s">
        <v>680</v>
      </c>
      <c r="BE78" s="143">
        <v>2709</v>
      </c>
      <c r="BF78" s="137"/>
      <c r="BG78" s="137"/>
      <c r="BH78" s="137"/>
      <c r="BI78" s="137"/>
      <c r="BJ78" s="137"/>
      <c r="BK78" s="137"/>
      <c r="BL78" s="137"/>
      <c r="BM78" s="137"/>
      <c r="BN78" s="137"/>
      <c r="BO78" s="137"/>
      <c r="BP78" s="137"/>
      <c r="BQ78" s="137"/>
      <c r="BR78" s="137" t="s">
        <v>3184</v>
      </c>
      <c r="BS78" s="137" t="s">
        <v>3184</v>
      </c>
      <c r="BT78" s="189" t="s">
        <v>3184</v>
      </c>
      <c r="BU78" s="189">
        <v>1</v>
      </c>
      <c r="BV78" s="78" t="s">
        <v>3184</v>
      </c>
      <c r="BX78" s="143" t="s">
        <v>776</v>
      </c>
      <c r="BY78" s="143" t="s">
        <v>777</v>
      </c>
      <c r="BZ78" s="143" t="s">
        <v>680</v>
      </c>
      <c r="CA78" s="143">
        <v>2709</v>
      </c>
      <c r="CC78" s="137"/>
      <c r="CD78" s="137"/>
      <c r="CE78" s="137"/>
      <c r="CF78" s="189"/>
      <c r="CG78" s="189"/>
    </row>
    <row r="79" spans="1:85" x14ac:dyDescent="0.25">
      <c r="A79" s="143" t="s">
        <v>776</v>
      </c>
      <c r="B79" s="143" t="s">
        <v>777</v>
      </c>
      <c r="C79" s="143" t="s">
        <v>680</v>
      </c>
      <c r="D79" s="143">
        <v>3094</v>
      </c>
      <c r="E79" s="354">
        <v>0.4</v>
      </c>
      <c r="F79" s="354">
        <v>0.6</v>
      </c>
      <c r="G79" s="354">
        <v>1</v>
      </c>
      <c r="H79" s="78" t="s">
        <v>3184</v>
      </c>
      <c r="J79" s="143" t="s">
        <v>776</v>
      </c>
      <c r="K79" s="143" t="s">
        <v>777</v>
      </c>
      <c r="L79" s="143" t="s">
        <v>680</v>
      </c>
      <c r="M79" s="143">
        <v>3094</v>
      </c>
      <c r="N79" s="137">
        <v>0.16363639999999999</v>
      </c>
      <c r="O79" s="137">
        <v>0.79919200000000001</v>
      </c>
      <c r="P79" s="265">
        <v>0.96282829999999997</v>
      </c>
      <c r="Q79" s="137" t="s">
        <v>3184</v>
      </c>
      <c r="R79" s="137">
        <v>0.1833333</v>
      </c>
      <c r="S79" s="137">
        <v>0.8</v>
      </c>
      <c r="T79" s="137">
        <v>0.98333329999999997</v>
      </c>
      <c r="V79" s="143" t="s">
        <v>776</v>
      </c>
      <c r="W79" s="143" t="s">
        <v>777</v>
      </c>
      <c r="X79" s="143" t="s">
        <v>680</v>
      </c>
      <c r="Y79" s="143">
        <v>3094</v>
      </c>
      <c r="Z79" s="137" t="s">
        <v>3184</v>
      </c>
      <c r="AA79" s="137" t="s">
        <v>3184</v>
      </c>
      <c r="AB79" s="137" t="s">
        <v>3184</v>
      </c>
      <c r="AC79" s="137" t="s">
        <v>3184</v>
      </c>
      <c r="AD79" s="137" t="s">
        <v>3185</v>
      </c>
      <c r="AE79" s="137" t="s">
        <v>3185</v>
      </c>
      <c r="AF79" s="137" t="s">
        <v>3184</v>
      </c>
      <c r="AG79" s="137" t="s">
        <v>3184</v>
      </c>
      <c r="AH79" s="137" t="s">
        <v>3184</v>
      </c>
      <c r="AI79" s="137" t="s">
        <v>3184</v>
      </c>
      <c r="AJ79" s="137" t="s">
        <v>3184</v>
      </c>
      <c r="AK79" s="137">
        <v>0.81818179999999996</v>
      </c>
      <c r="AM79" s="143" t="s">
        <v>776</v>
      </c>
      <c r="AN79" s="143" t="s">
        <v>777</v>
      </c>
      <c r="AO79" s="143">
        <v>1</v>
      </c>
      <c r="AP79" s="143">
        <v>3094</v>
      </c>
      <c r="AQ79" s="137"/>
      <c r="AR79" s="137"/>
      <c r="AS79" s="137"/>
      <c r="AT79" s="137"/>
      <c r="AU79" s="137"/>
      <c r="AV79" s="137"/>
      <c r="AW79" s="137"/>
      <c r="AX79" s="189">
        <v>0.98750000000000004</v>
      </c>
      <c r="AY79" s="189">
        <v>0.98750000000000004</v>
      </c>
      <c r="AZ79" s="78" t="s">
        <v>3184</v>
      </c>
      <c r="BB79" s="143" t="s">
        <v>776</v>
      </c>
      <c r="BC79" s="143" t="s">
        <v>777</v>
      </c>
      <c r="BD79" s="143" t="s">
        <v>680</v>
      </c>
      <c r="BE79" s="143">
        <v>3094</v>
      </c>
      <c r="BF79" s="137"/>
      <c r="BG79" s="137"/>
      <c r="BH79" s="137"/>
      <c r="BI79" s="137"/>
      <c r="BJ79" s="137"/>
      <c r="BK79" s="137"/>
      <c r="BL79" s="137"/>
      <c r="BM79" s="137"/>
      <c r="BN79" s="137"/>
      <c r="BO79" s="137"/>
      <c r="BP79" s="137"/>
      <c r="BQ79" s="137"/>
      <c r="BR79" s="137" t="s">
        <v>3184</v>
      </c>
      <c r="BS79" s="137" t="s">
        <v>3184</v>
      </c>
      <c r="BT79" s="189" t="s">
        <v>3184</v>
      </c>
      <c r="BU79" s="189">
        <v>1</v>
      </c>
      <c r="BV79" s="78" t="s">
        <v>3184</v>
      </c>
      <c r="BX79" s="143" t="s">
        <v>776</v>
      </c>
      <c r="BY79" s="143" t="s">
        <v>777</v>
      </c>
      <c r="BZ79" s="143" t="s">
        <v>680</v>
      </c>
      <c r="CA79" s="143">
        <v>3094</v>
      </c>
      <c r="CC79" s="137"/>
      <c r="CD79" s="137"/>
      <c r="CE79" s="137"/>
      <c r="CF79" s="189"/>
      <c r="CG79" s="189"/>
    </row>
    <row r="80" spans="1:85" x14ac:dyDescent="0.25">
      <c r="A80" s="143" t="s">
        <v>776</v>
      </c>
      <c r="B80" s="143" t="s">
        <v>777</v>
      </c>
      <c r="C80" s="143" t="s">
        <v>680</v>
      </c>
      <c r="D80" s="143">
        <v>3172</v>
      </c>
      <c r="E80" s="354">
        <v>0.4</v>
      </c>
      <c r="F80" s="354">
        <v>0.6</v>
      </c>
      <c r="G80" s="354">
        <v>1</v>
      </c>
      <c r="H80" s="78" t="s">
        <v>3184</v>
      </c>
      <c r="J80" s="143" t="s">
        <v>776</v>
      </c>
      <c r="K80" s="143" t="s">
        <v>777</v>
      </c>
      <c r="L80" s="143" t="s">
        <v>680</v>
      </c>
      <c r="M80" s="143">
        <v>3172</v>
      </c>
      <c r="N80" s="137">
        <v>0.16363639999999999</v>
      </c>
      <c r="O80" s="137">
        <v>0.8</v>
      </c>
      <c r="P80" s="265">
        <v>0.9636363</v>
      </c>
      <c r="Q80" s="137" t="s">
        <v>3184</v>
      </c>
      <c r="R80" s="137">
        <v>0.2</v>
      </c>
      <c r="S80" s="137">
        <v>0.8</v>
      </c>
      <c r="T80" s="137">
        <v>1</v>
      </c>
      <c r="V80" s="143" t="s">
        <v>776</v>
      </c>
      <c r="W80" s="143" t="s">
        <v>777</v>
      </c>
      <c r="X80" s="143" t="s">
        <v>680</v>
      </c>
      <c r="Y80" s="143">
        <v>3172</v>
      </c>
      <c r="Z80" s="137" t="s">
        <v>3184</v>
      </c>
      <c r="AA80" s="137" t="s">
        <v>3184</v>
      </c>
      <c r="AB80" s="137" t="s">
        <v>3184</v>
      </c>
      <c r="AC80" s="137" t="s">
        <v>3184</v>
      </c>
      <c r="AD80" s="137" t="s">
        <v>3185</v>
      </c>
      <c r="AE80" s="137" t="s">
        <v>3185</v>
      </c>
      <c r="AF80" s="137" t="s">
        <v>3184</v>
      </c>
      <c r="AG80" s="137" t="s">
        <v>3184</v>
      </c>
      <c r="AH80" s="137" t="s">
        <v>3184</v>
      </c>
      <c r="AI80" s="137" t="s">
        <v>3184</v>
      </c>
      <c r="AJ80" s="137" t="s">
        <v>3184</v>
      </c>
      <c r="AK80" s="137">
        <v>0.81818179999999996</v>
      </c>
      <c r="AM80" s="143" t="s">
        <v>776</v>
      </c>
      <c r="AN80" s="143" t="s">
        <v>777</v>
      </c>
      <c r="AO80" s="143">
        <v>1</v>
      </c>
      <c r="AP80" s="143">
        <v>3172</v>
      </c>
      <c r="AQ80" s="137"/>
      <c r="AR80" s="137"/>
      <c r="AS80" s="137"/>
      <c r="AT80" s="137"/>
      <c r="AU80" s="137"/>
      <c r="AV80" s="137"/>
      <c r="AW80" s="137"/>
      <c r="AX80" s="189">
        <v>0.98750000000000004</v>
      </c>
      <c r="AY80" s="189">
        <v>0.98750000000000004</v>
      </c>
      <c r="AZ80" s="78" t="s">
        <v>3184</v>
      </c>
      <c r="BB80" s="143" t="s">
        <v>776</v>
      </c>
      <c r="BC80" s="143" t="s">
        <v>777</v>
      </c>
      <c r="BD80" s="143" t="s">
        <v>680</v>
      </c>
      <c r="BE80" s="143">
        <v>3172</v>
      </c>
      <c r="BF80" s="137"/>
      <c r="BG80" s="137"/>
      <c r="BH80" s="137"/>
      <c r="BI80" s="137"/>
      <c r="BJ80" s="137"/>
      <c r="BK80" s="137"/>
      <c r="BL80" s="137"/>
      <c r="BM80" s="137"/>
      <c r="BN80" s="137"/>
      <c r="BO80" s="137"/>
      <c r="BP80" s="137"/>
      <c r="BQ80" s="137"/>
      <c r="BR80" s="137" t="s">
        <v>3184</v>
      </c>
      <c r="BS80" s="137" t="s">
        <v>3184</v>
      </c>
      <c r="BT80" s="189" t="s">
        <v>3184</v>
      </c>
      <c r="BU80" s="189">
        <v>1</v>
      </c>
      <c r="BV80" s="78" t="s">
        <v>3184</v>
      </c>
      <c r="BX80" s="143" t="s">
        <v>776</v>
      </c>
      <c r="BY80" s="143" t="s">
        <v>777</v>
      </c>
      <c r="BZ80" s="143" t="s">
        <v>680</v>
      </c>
      <c r="CA80" s="143">
        <v>3172</v>
      </c>
      <c r="CC80" s="137"/>
      <c r="CD80" s="137"/>
      <c r="CE80" s="137"/>
      <c r="CF80" s="189"/>
      <c r="CG80" s="189"/>
    </row>
    <row r="81" spans="1:86" x14ac:dyDescent="0.25">
      <c r="A81" s="143" t="s">
        <v>776</v>
      </c>
      <c r="B81" s="143" t="s">
        <v>777</v>
      </c>
      <c r="C81" s="143" t="s">
        <v>680</v>
      </c>
      <c r="D81" s="143">
        <v>3941</v>
      </c>
      <c r="E81" s="354">
        <v>0.4</v>
      </c>
      <c r="F81" s="354">
        <v>0.6</v>
      </c>
      <c r="G81" s="354">
        <v>1</v>
      </c>
      <c r="H81" s="78" t="s">
        <v>3184</v>
      </c>
      <c r="J81" s="143" t="s">
        <v>776</v>
      </c>
      <c r="K81" s="143" t="s">
        <v>777</v>
      </c>
      <c r="L81" s="143" t="s">
        <v>680</v>
      </c>
      <c r="M81" s="143">
        <v>3941</v>
      </c>
      <c r="N81" s="137">
        <v>0.16363639999999999</v>
      </c>
      <c r="O81" s="137">
        <v>0.66666669999999995</v>
      </c>
      <c r="P81" s="265">
        <v>0.83030300000000001</v>
      </c>
      <c r="Q81" s="137" t="s">
        <v>3185</v>
      </c>
      <c r="R81" s="137">
        <v>0.1833333</v>
      </c>
      <c r="S81" s="137">
        <v>0.74545450000000002</v>
      </c>
      <c r="T81" s="137">
        <v>0.9287879</v>
      </c>
      <c r="V81" s="143" t="s">
        <v>776</v>
      </c>
      <c r="W81" s="143" t="s">
        <v>777</v>
      </c>
      <c r="X81" s="143" t="s">
        <v>680</v>
      </c>
      <c r="Y81" s="143">
        <v>3941</v>
      </c>
      <c r="Z81" s="137" t="s">
        <v>3184</v>
      </c>
      <c r="AA81" s="137" t="s">
        <v>3184</v>
      </c>
      <c r="AB81" s="137" t="s">
        <v>3184</v>
      </c>
      <c r="AC81" s="137" t="s">
        <v>3184</v>
      </c>
      <c r="AD81" s="137" t="s">
        <v>3185</v>
      </c>
      <c r="AE81" s="137" t="s">
        <v>3185</v>
      </c>
      <c r="AF81" s="137" t="s">
        <v>3184</v>
      </c>
      <c r="AG81" s="137" t="s">
        <v>3184</v>
      </c>
      <c r="AH81" s="137" t="s">
        <v>3184</v>
      </c>
      <c r="AI81" s="137" t="s">
        <v>3184</v>
      </c>
      <c r="AJ81" s="137" t="s">
        <v>3184</v>
      </c>
      <c r="AK81" s="137">
        <v>0.81818179999999996</v>
      </c>
      <c r="AM81" s="143" t="s">
        <v>776</v>
      </c>
      <c r="AN81" s="143" t="s">
        <v>777</v>
      </c>
      <c r="AO81" s="143">
        <v>1</v>
      </c>
      <c r="AP81" s="143">
        <v>3941</v>
      </c>
      <c r="AQ81" s="137"/>
      <c r="AR81" s="137"/>
      <c r="AS81" s="137"/>
      <c r="AT81" s="137"/>
      <c r="AU81" s="137"/>
      <c r="AV81" s="137"/>
      <c r="AW81" s="137"/>
      <c r="AX81" s="189">
        <v>0.9</v>
      </c>
      <c r="AY81" s="189">
        <v>0.9</v>
      </c>
      <c r="AZ81" s="78" t="s">
        <v>3185</v>
      </c>
      <c r="BB81" s="143" t="s">
        <v>776</v>
      </c>
      <c r="BC81" s="143" t="s">
        <v>777</v>
      </c>
      <c r="BD81" s="143" t="s">
        <v>680</v>
      </c>
      <c r="BE81" s="143">
        <v>3941</v>
      </c>
      <c r="BF81" s="137"/>
      <c r="BG81" s="137"/>
      <c r="BH81" s="137"/>
      <c r="BI81" s="137"/>
      <c r="BJ81" s="137"/>
      <c r="BK81" s="137"/>
      <c r="BL81" s="137"/>
      <c r="BM81" s="137"/>
      <c r="BN81" s="137"/>
      <c r="BO81" s="137"/>
      <c r="BP81" s="137"/>
      <c r="BQ81" s="137"/>
      <c r="BR81" s="137" t="s">
        <v>3184</v>
      </c>
      <c r="BS81" s="137" t="s">
        <v>3184</v>
      </c>
      <c r="BT81" s="189" t="s">
        <v>3184</v>
      </c>
      <c r="BU81" s="189">
        <v>1</v>
      </c>
      <c r="BV81" s="78" t="s">
        <v>3184</v>
      </c>
      <c r="BX81" s="143" t="s">
        <v>776</v>
      </c>
      <c r="BY81" s="143" t="s">
        <v>777</v>
      </c>
      <c r="BZ81" s="143" t="s">
        <v>680</v>
      </c>
      <c r="CA81" s="143">
        <v>3941</v>
      </c>
      <c r="CC81" s="137"/>
      <c r="CD81" s="137"/>
      <c r="CE81" s="137"/>
      <c r="CF81" s="189"/>
      <c r="CG81" s="189"/>
    </row>
    <row r="82" spans="1:86" x14ac:dyDescent="0.25">
      <c r="A82" s="143" t="s">
        <v>776</v>
      </c>
      <c r="B82" s="143" t="s">
        <v>777</v>
      </c>
      <c r="C82" s="143" t="s">
        <v>680</v>
      </c>
      <c r="D82" s="143">
        <v>3944</v>
      </c>
      <c r="E82" s="354">
        <v>0.4</v>
      </c>
      <c r="F82" s="354">
        <v>0.6</v>
      </c>
      <c r="G82" s="354">
        <v>1</v>
      </c>
      <c r="H82" s="78" t="s">
        <v>3184</v>
      </c>
      <c r="J82" s="143" t="s">
        <v>776</v>
      </c>
      <c r="K82" s="143" t="s">
        <v>777</v>
      </c>
      <c r="L82" s="143" t="s">
        <v>680</v>
      </c>
      <c r="M82" s="143">
        <v>3944</v>
      </c>
      <c r="N82" s="137">
        <v>0.14545449999999999</v>
      </c>
      <c r="O82" s="137">
        <v>0.58181819999999995</v>
      </c>
      <c r="P82" s="265">
        <v>0.72727269999999999</v>
      </c>
      <c r="Q82" s="137" t="s">
        <v>3185</v>
      </c>
      <c r="R82" s="137">
        <v>0.2</v>
      </c>
      <c r="S82" s="137">
        <v>0.68051950000000005</v>
      </c>
      <c r="T82" s="137">
        <v>0.88051950000000001</v>
      </c>
      <c r="V82" s="143" t="s">
        <v>776</v>
      </c>
      <c r="W82" s="143" t="s">
        <v>777</v>
      </c>
      <c r="X82" s="143" t="s">
        <v>680</v>
      </c>
      <c r="Y82" s="143">
        <v>3944</v>
      </c>
      <c r="Z82" s="137" t="s">
        <v>3184</v>
      </c>
      <c r="AA82" s="137" t="s">
        <v>3184</v>
      </c>
      <c r="AB82" s="137" t="s">
        <v>3185</v>
      </c>
      <c r="AC82" s="137" t="s">
        <v>3184</v>
      </c>
      <c r="AD82" s="137" t="s">
        <v>3185</v>
      </c>
      <c r="AE82" s="137" t="s">
        <v>3185</v>
      </c>
      <c r="AF82" s="137" t="s">
        <v>3184</v>
      </c>
      <c r="AG82" s="137" t="s">
        <v>3184</v>
      </c>
      <c r="AH82" s="137" t="s">
        <v>3184</v>
      </c>
      <c r="AI82" s="137" t="s">
        <v>3184</v>
      </c>
      <c r="AJ82" s="137" t="s">
        <v>3184</v>
      </c>
      <c r="AK82" s="137">
        <v>0.72727269999999999</v>
      </c>
      <c r="AM82" s="143" t="s">
        <v>776</v>
      </c>
      <c r="AN82" s="143" t="s">
        <v>777</v>
      </c>
      <c r="AO82" s="143">
        <v>1</v>
      </c>
      <c r="AP82" s="143">
        <v>3944</v>
      </c>
      <c r="AQ82" s="137"/>
      <c r="AR82" s="137"/>
      <c r="AS82" s="137"/>
      <c r="AT82" s="137"/>
      <c r="AU82" s="137"/>
      <c r="AV82" s="137"/>
      <c r="AW82" s="137"/>
      <c r="AX82" s="189">
        <v>0.92500000000000004</v>
      </c>
      <c r="AY82" s="189">
        <v>0.92500000000000004</v>
      </c>
      <c r="AZ82" s="78" t="s">
        <v>3185</v>
      </c>
      <c r="BB82" s="143" t="s">
        <v>776</v>
      </c>
      <c r="BC82" s="143" t="s">
        <v>777</v>
      </c>
      <c r="BD82" s="143" t="s">
        <v>680</v>
      </c>
      <c r="BE82" s="143">
        <v>3944</v>
      </c>
      <c r="BF82" s="137"/>
      <c r="BG82" s="137"/>
      <c r="BH82" s="137"/>
      <c r="BI82" s="137"/>
      <c r="BJ82" s="137"/>
      <c r="BK82" s="137"/>
      <c r="BL82" s="137"/>
      <c r="BM82" s="137"/>
      <c r="BN82" s="137"/>
      <c r="BO82" s="137"/>
      <c r="BP82" s="137"/>
      <c r="BQ82" s="137"/>
      <c r="BR82" s="137" t="s">
        <v>3184</v>
      </c>
      <c r="BS82" s="137" t="s">
        <v>3184</v>
      </c>
      <c r="BT82" s="189" t="s">
        <v>3184</v>
      </c>
      <c r="BU82" s="189">
        <v>1</v>
      </c>
      <c r="BV82" s="78" t="s">
        <v>3184</v>
      </c>
      <c r="BX82" s="143" t="s">
        <v>776</v>
      </c>
      <c r="BY82" s="143" t="s">
        <v>777</v>
      </c>
      <c r="BZ82" s="143" t="s">
        <v>680</v>
      </c>
      <c r="CA82" s="143">
        <v>3944</v>
      </c>
      <c r="CC82" s="137"/>
      <c r="CD82" s="137"/>
      <c r="CE82" s="137"/>
      <c r="CF82" s="189"/>
      <c r="CG82" s="189"/>
    </row>
    <row r="83" spans="1:86" x14ac:dyDescent="0.25">
      <c r="A83" s="143" t="s">
        <v>778</v>
      </c>
      <c r="B83" s="143" t="s">
        <v>766</v>
      </c>
      <c r="C83" s="143" t="s">
        <v>680</v>
      </c>
      <c r="D83" s="143">
        <v>2648</v>
      </c>
      <c r="E83" s="354">
        <v>0.3922078</v>
      </c>
      <c r="F83" s="354">
        <v>0.6</v>
      </c>
      <c r="G83" s="354">
        <v>0.99220779999999997</v>
      </c>
      <c r="H83" s="78" t="s">
        <v>3185</v>
      </c>
      <c r="J83" s="143" t="s">
        <v>778</v>
      </c>
      <c r="K83" s="143" t="s">
        <v>766</v>
      </c>
      <c r="L83" s="143" t="s">
        <v>680</v>
      </c>
      <c r="M83" s="143">
        <v>2648</v>
      </c>
      <c r="N83" s="137">
        <v>0.12727269999999999</v>
      </c>
      <c r="O83" s="137">
        <v>0.48969699999999999</v>
      </c>
      <c r="P83" s="265">
        <v>0.61696969999999995</v>
      </c>
      <c r="Q83" s="137" t="s">
        <v>3185</v>
      </c>
      <c r="R83" s="137">
        <v>0.1666667</v>
      </c>
      <c r="S83" s="137">
        <v>6.6666699999999995E-2</v>
      </c>
      <c r="T83" s="137">
        <v>0.23333329999999999</v>
      </c>
      <c r="V83" s="143" t="s">
        <v>778</v>
      </c>
      <c r="W83" s="143" t="s">
        <v>766</v>
      </c>
      <c r="X83" s="143" t="s">
        <v>680</v>
      </c>
      <c r="Y83" s="143">
        <v>2648</v>
      </c>
      <c r="Z83" s="137" t="s">
        <v>3184</v>
      </c>
      <c r="AA83" s="137" t="s">
        <v>3184</v>
      </c>
      <c r="AB83" s="137" t="s">
        <v>3184</v>
      </c>
      <c r="AC83" s="137" t="s">
        <v>3184</v>
      </c>
      <c r="AD83" s="137" t="s">
        <v>3185</v>
      </c>
      <c r="AE83" s="137" t="s">
        <v>3185</v>
      </c>
      <c r="AF83" s="137" t="s">
        <v>3184</v>
      </c>
      <c r="AG83" s="137" t="s">
        <v>3184</v>
      </c>
      <c r="AH83" s="137" t="s">
        <v>3184</v>
      </c>
      <c r="AI83" s="137" t="s">
        <v>3184</v>
      </c>
      <c r="AJ83" s="137" t="s">
        <v>3185</v>
      </c>
      <c r="AK83" s="137">
        <v>0.72727269999999999</v>
      </c>
      <c r="AM83" s="143" t="s">
        <v>778</v>
      </c>
      <c r="AN83" s="143" t="s">
        <v>766</v>
      </c>
      <c r="AO83" s="143">
        <v>1</v>
      </c>
      <c r="AP83" s="143">
        <v>2648</v>
      </c>
      <c r="AQ83" s="137"/>
      <c r="AR83" s="137"/>
      <c r="AS83" s="137"/>
      <c r="AT83" s="137"/>
      <c r="AU83" s="137"/>
      <c r="AV83" s="137"/>
      <c r="AW83" s="137"/>
      <c r="AX83" s="189">
        <v>0.91249999999999998</v>
      </c>
      <c r="AY83" s="189">
        <v>0.91249999999999998</v>
      </c>
      <c r="AZ83" s="78" t="s">
        <v>3185</v>
      </c>
      <c r="BB83" s="143" t="s">
        <v>778</v>
      </c>
      <c r="BC83" s="143" t="s">
        <v>766</v>
      </c>
      <c r="BD83" s="143" t="s">
        <v>680</v>
      </c>
      <c r="BE83" s="143">
        <v>2648</v>
      </c>
      <c r="BF83" s="137"/>
      <c r="BG83" s="137"/>
      <c r="BH83" s="137"/>
      <c r="BI83" s="137"/>
      <c r="BJ83" s="137"/>
      <c r="BK83" s="137"/>
      <c r="BL83" s="137"/>
      <c r="BM83" s="137"/>
      <c r="BN83" s="137"/>
      <c r="BO83" s="137"/>
      <c r="BP83" s="137"/>
      <c r="BQ83" s="137"/>
      <c r="BR83" s="137" t="s">
        <v>3184</v>
      </c>
      <c r="BS83" s="137" t="s">
        <v>3185</v>
      </c>
      <c r="BT83" s="189" t="s">
        <v>3184</v>
      </c>
      <c r="BU83" s="189">
        <v>0.66666669999999995</v>
      </c>
      <c r="BV83" s="78" t="s">
        <v>3185</v>
      </c>
      <c r="BX83" s="143" t="s">
        <v>778</v>
      </c>
      <c r="BY83" s="143" t="s">
        <v>766</v>
      </c>
      <c r="BZ83" s="143" t="s">
        <v>680</v>
      </c>
      <c r="CA83" s="143">
        <v>2648</v>
      </c>
      <c r="CC83" s="137"/>
      <c r="CD83" s="137"/>
      <c r="CE83" s="137"/>
      <c r="CF83" s="189"/>
      <c r="CG83" s="189"/>
    </row>
    <row r="84" spans="1:86" x14ac:dyDescent="0.25">
      <c r="A84" s="143" t="s">
        <v>778</v>
      </c>
      <c r="B84" s="143" t="s">
        <v>766</v>
      </c>
      <c r="C84" s="143" t="s">
        <v>680</v>
      </c>
      <c r="D84" s="143">
        <v>2649</v>
      </c>
      <c r="E84" s="354">
        <v>0.3558441</v>
      </c>
      <c r="F84" s="354">
        <v>0.6</v>
      </c>
      <c r="G84" s="354">
        <v>0.95584420000000003</v>
      </c>
      <c r="H84" s="78" t="s">
        <v>3185</v>
      </c>
      <c r="J84" s="143" t="s">
        <v>778</v>
      </c>
      <c r="K84" s="143" t="s">
        <v>766</v>
      </c>
      <c r="L84" s="143" t="s">
        <v>680</v>
      </c>
      <c r="M84" s="143">
        <v>2649</v>
      </c>
      <c r="N84" s="137">
        <v>0.18181820000000001</v>
      </c>
      <c r="O84" s="137">
        <v>0.23515150000000001</v>
      </c>
      <c r="P84" s="265">
        <v>0.4169697</v>
      </c>
      <c r="Q84" s="137" t="s">
        <v>3185</v>
      </c>
      <c r="R84" s="137">
        <v>0.1666667</v>
      </c>
      <c r="S84" s="137">
        <v>0.6</v>
      </c>
      <c r="T84" s="137">
        <v>0.76666670000000003</v>
      </c>
      <c r="V84" s="143" t="s">
        <v>778</v>
      </c>
      <c r="W84" s="143" t="s">
        <v>766</v>
      </c>
      <c r="X84" s="143" t="s">
        <v>680</v>
      </c>
      <c r="Y84" s="143">
        <v>2649</v>
      </c>
      <c r="Z84" s="137" t="s">
        <v>3184</v>
      </c>
      <c r="AA84" s="137" t="s">
        <v>3184</v>
      </c>
      <c r="AB84" s="137" t="s">
        <v>3184</v>
      </c>
      <c r="AC84" s="137" t="s">
        <v>3185</v>
      </c>
      <c r="AD84" s="137" t="s">
        <v>3185</v>
      </c>
      <c r="AE84" s="137" t="s">
        <v>3185</v>
      </c>
      <c r="AF84" s="137" t="s">
        <v>3184</v>
      </c>
      <c r="AG84" s="137" t="s">
        <v>3184</v>
      </c>
      <c r="AH84" s="137" t="s">
        <v>3184</v>
      </c>
      <c r="AI84" s="137" t="s">
        <v>3184</v>
      </c>
      <c r="AJ84" s="137" t="s">
        <v>3185</v>
      </c>
      <c r="AK84" s="137">
        <v>0.63636360000000003</v>
      </c>
      <c r="AM84" s="143" t="s">
        <v>778</v>
      </c>
      <c r="AN84" s="143" t="s">
        <v>766</v>
      </c>
      <c r="AO84" s="143">
        <v>1</v>
      </c>
      <c r="AP84" s="143">
        <v>2649</v>
      </c>
      <c r="AQ84" s="137"/>
      <c r="AR84" s="137"/>
      <c r="AS84" s="137"/>
      <c r="AT84" s="137"/>
      <c r="AU84" s="137"/>
      <c r="AV84" s="137"/>
      <c r="AW84" s="137"/>
      <c r="AX84" s="189">
        <v>0.75</v>
      </c>
      <c r="AY84" s="189">
        <v>0.75</v>
      </c>
      <c r="AZ84" s="78" t="s">
        <v>3185</v>
      </c>
      <c r="BB84" s="143" t="s">
        <v>778</v>
      </c>
      <c r="BC84" s="143" t="s">
        <v>766</v>
      </c>
      <c r="BD84" s="143" t="s">
        <v>680</v>
      </c>
      <c r="BE84" s="143">
        <v>2649</v>
      </c>
      <c r="BF84" s="137"/>
      <c r="BG84" s="137"/>
      <c r="BH84" s="137"/>
      <c r="BI84" s="137"/>
      <c r="BJ84" s="137"/>
      <c r="BK84" s="137"/>
      <c r="BL84" s="137"/>
      <c r="BM84" s="137"/>
      <c r="BN84" s="137"/>
      <c r="BO84" s="137"/>
      <c r="BP84" s="137"/>
      <c r="BQ84" s="137"/>
      <c r="BR84" s="137" t="s">
        <v>3185</v>
      </c>
      <c r="BS84" s="137" t="s">
        <v>3185</v>
      </c>
      <c r="BT84" s="189" t="s">
        <v>3185</v>
      </c>
      <c r="BU84" s="189">
        <v>0</v>
      </c>
      <c r="BV84" s="78" t="s">
        <v>3185</v>
      </c>
      <c r="BX84" s="143" t="s">
        <v>778</v>
      </c>
      <c r="BY84" s="143" t="s">
        <v>766</v>
      </c>
      <c r="BZ84" s="143" t="s">
        <v>680</v>
      </c>
      <c r="CA84" s="143">
        <v>2649</v>
      </c>
      <c r="CC84" s="137"/>
      <c r="CD84" s="137"/>
      <c r="CE84" s="137"/>
      <c r="CF84" s="189"/>
      <c r="CG84" s="189"/>
    </row>
    <row r="85" spans="1:86" x14ac:dyDescent="0.25">
      <c r="A85" s="143" t="s">
        <v>778</v>
      </c>
      <c r="B85" s="143" t="s">
        <v>766</v>
      </c>
      <c r="C85" s="143" t="s">
        <v>680</v>
      </c>
      <c r="D85" s="143">
        <v>2949</v>
      </c>
      <c r="E85" s="354">
        <v>0.4</v>
      </c>
      <c r="F85" s="354">
        <v>0.6</v>
      </c>
      <c r="G85" s="354">
        <v>1</v>
      </c>
      <c r="H85" s="78" t="s">
        <v>3184</v>
      </c>
      <c r="J85" s="143" t="s">
        <v>778</v>
      </c>
      <c r="K85" s="143" t="s">
        <v>766</v>
      </c>
      <c r="L85" s="143" t="s">
        <v>680</v>
      </c>
      <c r="M85" s="143">
        <v>2949</v>
      </c>
      <c r="N85" s="137">
        <v>9.0909100000000007E-2</v>
      </c>
      <c r="O85" s="137">
        <v>0.43151519999999999</v>
      </c>
      <c r="P85" s="265">
        <v>0.52242420000000001</v>
      </c>
      <c r="Q85" s="137" t="s">
        <v>3185</v>
      </c>
      <c r="R85" s="137">
        <v>0.15</v>
      </c>
      <c r="S85" s="137">
        <v>6.6666699999999995E-2</v>
      </c>
      <c r="T85" s="137">
        <v>0.21666669999999999</v>
      </c>
      <c r="V85" s="143" t="s">
        <v>778</v>
      </c>
      <c r="W85" s="143" t="s">
        <v>766</v>
      </c>
      <c r="X85" s="143" t="s">
        <v>680</v>
      </c>
      <c r="Y85" s="143">
        <v>2949</v>
      </c>
      <c r="Z85" s="137" t="s">
        <v>3184</v>
      </c>
      <c r="AA85" s="137" t="s">
        <v>3184</v>
      </c>
      <c r="AB85" s="137" t="s">
        <v>3184</v>
      </c>
      <c r="AC85" s="137" t="s">
        <v>3184</v>
      </c>
      <c r="AD85" s="137" t="s">
        <v>3185</v>
      </c>
      <c r="AE85" s="137" t="s">
        <v>3185</v>
      </c>
      <c r="AF85" s="137" t="s">
        <v>3184</v>
      </c>
      <c r="AG85" s="137" t="s">
        <v>3185</v>
      </c>
      <c r="AH85" s="137" t="s">
        <v>3185</v>
      </c>
      <c r="AI85" s="137" t="s">
        <v>3185</v>
      </c>
      <c r="AJ85" s="137" t="s">
        <v>3185</v>
      </c>
      <c r="AK85" s="137">
        <v>0.45454549999999999</v>
      </c>
      <c r="AM85" s="143" t="s">
        <v>778</v>
      </c>
      <c r="AN85" s="143" t="s">
        <v>766</v>
      </c>
      <c r="AO85" s="143">
        <v>1</v>
      </c>
      <c r="AP85" s="143">
        <v>2949</v>
      </c>
      <c r="AQ85" s="137"/>
      <c r="AR85" s="137"/>
      <c r="AS85" s="137"/>
      <c r="AT85" s="137"/>
      <c r="AU85" s="137"/>
      <c r="AV85" s="137"/>
      <c r="AW85" s="137"/>
      <c r="AX85" s="189">
        <v>0.82499999999999996</v>
      </c>
      <c r="AY85" s="189">
        <v>0.82499999999999996</v>
      </c>
      <c r="AZ85" s="78" t="s">
        <v>3185</v>
      </c>
      <c r="BB85" s="143" t="s">
        <v>778</v>
      </c>
      <c r="BC85" s="143" t="s">
        <v>766</v>
      </c>
      <c r="BD85" s="143" t="s">
        <v>680</v>
      </c>
      <c r="BE85" s="143">
        <v>2949</v>
      </c>
      <c r="BF85" s="137"/>
      <c r="BG85" s="137"/>
      <c r="BH85" s="137"/>
      <c r="BI85" s="137"/>
      <c r="BJ85" s="137"/>
      <c r="BK85" s="137"/>
      <c r="BL85" s="137"/>
      <c r="BM85" s="137"/>
      <c r="BN85" s="137"/>
      <c r="BO85" s="137"/>
      <c r="BP85" s="137"/>
      <c r="BQ85" s="137"/>
      <c r="BR85" s="137" t="s">
        <v>3185</v>
      </c>
      <c r="BS85" s="137" t="s">
        <v>3185</v>
      </c>
      <c r="BT85" s="189" t="s">
        <v>3184</v>
      </c>
      <c r="BU85" s="189">
        <v>0.3333333</v>
      </c>
      <c r="BV85" s="78" t="s">
        <v>3185</v>
      </c>
      <c r="BX85" s="143" t="s">
        <v>778</v>
      </c>
      <c r="BY85" s="143" t="s">
        <v>766</v>
      </c>
      <c r="BZ85" s="143" t="s">
        <v>680</v>
      </c>
      <c r="CA85" s="143">
        <v>2949</v>
      </c>
      <c r="CC85" s="137"/>
      <c r="CD85" s="137"/>
      <c r="CE85" s="137"/>
      <c r="CF85" s="189"/>
      <c r="CG85" s="189"/>
    </row>
    <row r="86" spans="1:86" x14ac:dyDescent="0.25">
      <c r="A86" s="143" t="s">
        <v>778</v>
      </c>
      <c r="B86" s="143" t="s">
        <v>766</v>
      </c>
      <c r="C86" s="143" t="s">
        <v>680</v>
      </c>
      <c r="D86" s="143">
        <v>3966</v>
      </c>
      <c r="E86" s="354">
        <v>0.4</v>
      </c>
      <c r="F86" s="354">
        <v>0</v>
      </c>
      <c r="G86" s="354">
        <v>0.4</v>
      </c>
      <c r="H86" s="78" t="s">
        <v>3185</v>
      </c>
      <c r="J86" s="143" t="s">
        <v>778</v>
      </c>
      <c r="K86" s="143" t="s">
        <v>766</v>
      </c>
      <c r="L86" s="143" t="s">
        <v>680</v>
      </c>
      <c r="M86" s="143">
        <v>3966</v>
      </c>
      <c r="N86" s="137">
        <v>0.16363639999999999</v>
      </c>
      <c r="O86" s="137">
        <v>0.53333339999999996</v>
      </c>
      <c r="P86" s="265">
        <v>0.69696970000000003</v>
      </c>
      <c r="Q86" s="137" t="s">
        <v>3185</v>
      </c>
      <c r="R86" s="137">
        <v>0.1666667</v>
      </c>
      <c r="S86" s="137">
        <v>0.51082249999999996</v>
      </c>
      <c r="T86" s="137">
        <v>0.67748920000000001</v>
      </c>
      <c r="V86" s="143" t="s">
        <v>778</v>
      </c>
      <c r="W86" s="143" t="s">
        <v>766</v>
      </c>
      <c r="X86" s="143" t="s">
        <v>680</v>
      </c>
      <c r="Y86" s="143">
        <v>3966</v>
      </c>
      <c r="Z86" s="137" t="s">
        <v>3184</v>
      </c>
      <c r="AA86" s="137" t="s">
        <v>3184</v>
      </c>
      <c r="AB86" s="137" t="s">
        <v>3185</v>
      </c>
      <c r="AC86" s="137" t="s">
        <v>3185</v>
      </c>
      <c r="AD86" s="137" t="s">
        <v>3185</v>
      </c>
      <c r="AE86" s="137" t="s">
        <v>3185</v>
      </c>
      <c r="AF86" s="137" t="s">
        <v>3184</v>
      </c>
      <c r="AG86" s="137" t="s">
        <v>3184</v>
      </c>
      <c r="AH86" s="137" t="s">
        <v>3184</v>
      </c>
      <c r="AI86" s="137" t="s">
        <v>3184</v>
      </c>
      <c r="AJ86" s="137" t="s">
        <v>3184</v>
      </c>
      <c r="AK86" s="137">
        <v>0.63636360000000003</v>
      </c>
      <c r="AM86" s="143" t="s">
        <v>778</v>
      </c>
      <c r="AN86" s="143" t="s">
        <v>766</v>
      </c>
      <c r="AO86" s="143">
        <v>1</v>
      </c>
      <c r="AP86" s="143">
        <v>3966</v>
      </c>
      <c r="AQ86" s="137"/>
      <c r="AR86" s="137"/>
      <c r="AS86" s="137"/>
      <c r="AT86" s="137"/>
      <c r="AU86" s="137"/>
      <c r="AV86" s="137"/>
      <c r="AW86" s="137"/>
      <c r="AX86" s="189">
        <v>0.71250000000000002</v>
      </c>
      <c r="AY86" s="189">
        <v>0.71250000000000002</v>
      </c>
      <c r="AZ86" s="78" t="s">
        <v>3185</v>
      </c>
      <c r="BB86" s="143" t="s">
        <v>778</v>
      </c>
      <c r="BC86" s="143" t="s">
        <v>766</v>
      </c>
      <c r="BD86" s="143" t="s">
        <v>680</v>
      </c>
      <c r="BE86" s="143">
        <v>3966</v>
      </c>
      <c r="BF86" s="137"/>
      <c r="BG86" s="137"/>
      <c r="BH86" s="137"/>
      <c r="BI86" s="137"/>
      <c r="BJ86" s="137"/>
      <c r="BK86" s="137"/>
      <c r="BL86" s="137"/>
      <c r="BM86" s="137"/>
      <c r="BN86" s="137"/>
      <c r="BO86" s="137"/>
      <c r="BP86" s="137"/>
      <c r="BQ86" s="137"/>
      <c r="BR86" s="137" t="s">
        <v>3185</v>
      </c>
      <c r="BS86" s="137" t="s">
        <v>3184</v>
      </c>
      <c r="BT86" s="189" t="s">
        <v>3184</v>
      </c>
      <c r="BU86" s="189">
        <v>0.66666669999999995</v>
      </c>
      <c r="BV86" s="78" t="s">
        <v>3185</v>
      </c>
      <c r="BX86" s="143" t="s">
        <v>778</v>
      </c>
      <c r="BY86" s="143" t="s">
        <v>766</v>
      </c>
      <c r="BZ86" s="143" t="s">
        <v>680</v>
      </c>
      <c r="CA86" s="143">
        <v>3966</v>
      </c>
      <c r="CC86" s="137"/>
      <c r="CD86" s="137"/>
      <c r="CE86" s="137"/>
      <c r="CF86" s="189"/>
      <c r="CG86" s="189"/>
    </row>
    <row r="87" spans="1:86" x14ac:dyDescent="0.25">
      <c r="A87" s="143" t="s">
        <v>779</v>
      </c>
      <c r="B87" s="143" t="s">
        <v>780</v>
      </c>
      <c r="C87" s="143" t="s">
        <v>680</v>
      </c>
      <c r="D87" s="143">
        <v>2576</v>
      </c>
      <c r="E87" s="354">
        <v>0.4</v>
      </c>
      <c r="F87" s="354">
        <v>0.6</v>
      </c>
      <c r="G87" s="354">
        <v>1</v>
      </c>
      <c r="H87" s="78" t="s">
        <v>3184</v>
      </c>
      <c r="J87" s="143" t="s">
        <v>779</v>
      </c>
      <c r="K87" s="143" t="s">
        <v>780</v>
      </c>
      <c r="L87" s="143" t="s">
        <v>680</v>
      </c>
      <c r="M87" s="143">
        <v>2576</v>
      </c>
      <c r="N87" s="137">
        <v>0.14545449999999999</v>
      </c>
      <c r="O87" s="137">
        <v>0.60363639999999996</v>
      </c>
      <c r="P87" s="265">
        <v>0.7490909</v>
      </c>
      <c r="Q87" s="137" t="s">
        <v>3185</v>
      </c>
      <c r="R87" s="137">
        <v>0.15</v>
      </c>
      <c r="S87" s="137">
        <v>0.2</v>
      </c>
      <c r="T87" s="137">
        <v>0.35</v>
      </c>
      <c r="V87" s="143" t="s">
        <v>779</v>
      </c>
      <c r="W87" s="143" t="s">
        <v>780</v>
      </c>
      <c r="X87" s="143" t="s">
        <v>680</v>
      </c>
      <c r="Y87" s="143">
        <v>2576</v>
      </c>
      <c r="Z87" s="137" t="s">
        <v>3185</v>
      </c>
      <c r="AA87" s="137" t="s">
        <v>3184</v>
      </c>
      <c r="AB87" s="137" t="s">
        <v>3185</v>
      </c>
      <c r="AC87" s="137" t="s">
        <v>3184</v>
      </c>
      <c r="AD87" s="137" t="s">
        <v>3185</v>
      </c>
      <c r="AE87" s="137" t="s">
        <v>3185</v>
      </c>
      <c r="AF87" s="137" t="s">
        <v>3184</v>
      </c>
      <c r="AG87" s="137" t="s">
        <v>3184</v>
      </c>
      <c r="AH87" s="137" t="s">
        <v>3184</v>
      </c>
      <c r="AI87" s="137" t="s">
        <v>3184</v>
      </c>
      <c r="AJ87" s="137" t="s">
        <v>3184</v>
      </c>
      <c r="AK87" s="137">
        <v>0.63636360000000003</v>
      </c>
      <c r="AM87" s="143" t="s">
        <v>779</v>
      </c>
      <c r="AN87" s="143" t="s">
        <v>780</v>
      </c>
      <c r="AO87" s="143">
        <v>1</v>
      </c>
      <c r="AP87" s="143">
        <v>2576</v>
      </c>
      <c r="AQ87" s="137"/>
      <c r="AR87" s="137"/>
      <c r="AS87" s="137"/>
      <c r="AT87" s="137"/>
      <c r="AU87" s="137"/>
      <c r="AV87" s="137"/>
      <c r="AW87" s="137"/>
      <c r="AX87" s="189">
        <v>0.9375</v>
      </c>
      <c r="AY87" s="189">
        <v>0.9375</v>
      </c>
      <c r="AZ87" s="78" t="s">
        <v>3185</v>
      </c>
      <c r="BB87" s="143" t="s">
        <v>779</v>
      </c>
      <c r="BC87" s="143" t="s">
        <v>780</v>
      </c>
      <c r="BD87" s="143" t="s">
        <v>680</v>
      </c>
      <c r="BE87" s="143">
        <v>2576</v>
      </c>
      <c r="BF87" s="137"/>
      <c r="BG87" s="137"/>
      <c r="BH87" s="137"/>
      <c r="BI87" s="137"/>
      <c r="BJ87" s="137"/>
      <c r="BK87" s="137"/>
      <c r="BL87" s="137"/>
      <c r="BM87" s="137"/>
      <c r="BN87" s="137"/>
      <c r="BO87" s="137"/>
      <c r="BP87" s="137"/>
      <c r="BQ87" s="137"/>
      <c r="BR87" s="137" t="s">
        <v>3184</v>
      </c>
      <c r="BS87" s="137" t="s">
        <v>3184</v>
      </c>
      <c r="BT87" s="189" t="s">
        <v>3184</v>
      </c>
      <c r="BU87" s="189">
        <v>1</v>
      </c>
      <c r="BV87" s="78" t="s">
        <v>3184</v>
      </c>
      <c r="BX87" s="143" t="s">
        <v>779</v>
      </c>
      <c r="BY87" s="143" t="s">
        <v>780</v>
      </c>
      <c r="BZ87" s="143" t="s">
        <v>680</v>
      </c>
      <c r="CA87" s="143">
        <v>2576</v>
      </c>
      <c r="CC87" s="137"/>
      <c r="CD87" s="137"/>
      <c r="CE87" s="137"/>
      <c r="CF87" s="189"/>
      <c r="CG87" s="189"/>
    </row>
    <row r="88" spans="1:86" x14ac:dyDescent="0.25">
      <c r="A88" s="143" t="s">
        <v>779</v>
      </c>
      <c r="B88" s="143" t="s">
        <v>780</v>
      </c>
      <c r="C88" s="143" t="s">
        <v>680</v>
      </c>
      <c r="D88" s="143">
        <v>3809</v>
      </c>
      <c r="E88" s="354">
        <v>0.4</v>
      </c>
      <c r="F88" s="354">
        <v>0.6</v>
      </c>
      <c r="G88" s="354">
        <v>1</v>
      </c>
      <c r="H88" s="78" t="s">
        <v>3184</v>
      </c>
      <c r="J88" s="143" t="s">
        <v>779</v>
      </c>
      <c r="K88" s="143" t="s">
        <v>780</v>
      </c>
      <c r="L88" s="143" t="s">
        <v>680</v>
      </c>
      <c r="M88" s="143">
        <v>3809</v>
      </c>
      <c r="N88" s="137">
        <v>0.2</v>
      </c>
      <c r="O88" s="137">
        <v>0.76848479999999997</v>
      </c>
      <c r="P88" s="265">
        <v>0.96848489999999998</v>
      </c>
      <c r="Q88" s="137" t="s">
        <v>3184</v>
      </c>
      <c r="R88" s="137">
        <v>0.1833333</v>
      </c>
      <c r="S88" s="137">
        <v>0.41558440000000002</v>
      </c>
      <c r="T88" s="137">
        <v>0.5989177</v>
      </c>
      <c r="V88" s="143" t="s">
        <v>779</v>
      </c>
      <c r="W88" s="143" t="s">
        <v>780</v>
      </c>
      <c r="X88" s="143" t="s">
        <v>680</v>
      </c>
      <c r="Y88" s="143">
        <v>3809</v>
      </c>
      <c r="Z88" s="137" t="s">
        <v>3184</v>
      </c>
      <c r="AA88" s="137" t="s">
        <v>3184</v>
      </c>
      <c r="AB88" s="137" t="s">
        <v>3184</v>
      </c>
      <c r="AC88" s="137" t="s">
        <v>3185</v>
      </c>
      <c r="AD88" s="137" t="s">
        <v>3185</v>
      </c>
      <c r="AE88" s="137" t="s">
        <v>3185</v>
      </c>
      <c r="AF88" s="137" t="s">
        <v>3184</v>
      </c>
      <c r="AG88" s="137" t="s">
        <v>3184</v>
      </c>
      <c r="AH88" s="137" t="s">
        <v>3184</v>
      </c>
      <c r="AI88" s="137" t="s">
        <v>3184</v>
      </c>
      <c r="AJ88" s="137" t="s">
        <v>3184</v>
      </c>
      <c r="AK88" s="137">
        <v>0.72727269999999999</v>
      </c>
      <c r="AM88" s="143" t="s">
        <v>779</v>
      </c>
      <c r="AN88" s="143" t="s">
        <v>780</v>
      </c>
      <c r="AO88" s="143">
        <v>1</v>
      </c>
      <c r="AP88" s="143">
        <v>3809</v>
      </c>
      <c r="AQ88" s="137"/>
      <c r="AR88" s="137"/>
      <c r="AS88" s="137"/>
      <c r="AT88" s="137"/>
      <c r="AU88" s="137"/>
      <c r="AV88" s="137"/>
      <c r="AW88" s="137"/>
      <c r="AX88" s="189">
        <v>0.8125</v>
      </c>
      <c r="AY88" s="189">
        <v>0.8125</v>
      </c>
      <c r="AZ88" s="78" t="s">
        <v>3185</v>
      </c>
      <c r="BB88" s="143" t="s">
        <v>779</v>
      </c>
      <c r="BC88" s="143" t="s">
        <v>780</v>
      </c>
      <c r="BD88" s="143" t="s">
        <v>680</v>
      </c>
      <c r="BE88" s="143">
        <v>3809</v>
      </c>
      <c r="BF88" s="137"/>
      <c r="BG88" s="137"/>
      <c r="BH88" s="137"/>
      <c r="BI88" s="137"/>
      <c r="BJ88" s="137"/>
      <c r="BK88" s="137"/>
      <c r="BL88" s="137"/>
      <c r="BM88" s="137"/>
      <c r="BN88" s="137"/>
      <c r="BO88" s="137"/>
      <c r="BP88" s="137"/>
      <c r="BQ88" s="137"/>
      <c r="BR88" s="137" t="s">
        <v>3184</v>
      </c>
      <c r="BS88" s="137" t="s">
        <v>3184</v>
      </c>
      <c r="BT88" s="189" t="s">
        <v>3184</v>
      </c>
      <c r="BU88" s="189">
        <v>1</v>
      </c>
      <c r="BV88" s="78" t="s">
        <v>3184</v>
      </c>
      <c r="BX88" s="143" t="s">
        <v>779</v>
      </c>
      <c r="BY88" s="143" t="s">
        <v>780</v>
      </c>
      <c r="BZ88" s="143" t="s">
        <v>680</v>
      </c>
      <c r="CA88" s="143">
        <v>3809</v>
      </c>
      <c r="CC88" s="137"/>
      <c r="CD88" s="137"/>
      <c r="CE88" s="137"/>
      <c r="CF88" s="189"/>
      <c r="CG88" s="189"/>
    </row>
    <row r="89" spans="1:86" x14ac:dyDescent="0.25">
      <c r="A89" s="143" t="s">
        <v>779</v>
      </c>
      <c r="B89" s="143" t="s">
        <v>780</v>
      </c>
      <c r="C89" s="143" t="s">
        <v>680</v>
      </c>
      <c r="D89" s="143">
        <v>3810</v>
      </c>
      <c r="E89" s="354">
        <v>0.3922078</v>
      </c>
      <c r="F89" s="354">
        <v>0.6</v>
      </c>
      <c r="G89" s="354">
        <v>0.99220779999999997</v>
      </c>
      <c r="H89" s="78" t="s">
        <v>3185</v>
      </c>
      <c r="J89" s="143" t="s">
        <v>779</v>
      </c>
      <c r="K89" s="143" t="s">
        <v>780</v>
      </c>
      <c r="L89" s="143" t="s">
        <v>680</v>
      </c>
      <c r="M89" s="143">
        <v>3810</v>
      </c>
      <c r="N89" s="137">
        <v>0.16363639999999999</v>
      </c>
      <c r="O89" s="137">
        <v>0.37171720000000003</v>
      </c>
      <c r="P89" s="265">
        <v>0.53535350000000004</v>
      </c>
      <c r="Q89" s="137" t="s">
        <v>3185</v>
      </c>
      <c r="R89" s="137">
        <v>0.15</v>
      </c>
      <c r="S89" s="137">
        <v>0</v>
      </c>
      <c r="T89" s="137">
        <v>0.15</v>
      </c>
      <c r="V89" s="143" t="s">
        <v>779</v>
      </c>
      <c r="W89" s="143" t="s">
        <v>780</v>
      </c>
      <c r="X89" s="143" t="s">
        <v>680</v>
      </c>
      <c r="Y89" s="143">
        <v>3810</v>
      </c>
      <c r="Z89" s="137" t="s">
        <v>3185</v>
      </c>
      <c r="AA89" s="137" t="s">
        <v>3184</v>
      </c>
      <c r="AB89" s="137" t="s">
        <v>3185</v>
      </c>
      <c r="AC89" s="137" t="s">
        <v>3184</v>
      </c>
      <c r="AD89" s="137" t="s">
        <v>3185</v>
      </c>
      <c r="AE89" s="137" t="s">
        <v>3185</v>
      </c>
      <c r="AF89" s="137" t="s">
        <v>3184</v>
      </c>
      <c r="AG89" s="137" t="s">
        <v>3184</v>
      </c>
      <c r="AH89" s="137" t="s">
        <v>3184</v>
      </c>
      <c r="AI89" s="137" t="s">
        <v>3184</v>
      </c>
      <c r="AJ89" s="137" t="s">
        <v>3184</v>
      </c>
      <c r="AK89" s="137">
        <v>0.63636360000000003</v>
      </c>
      <c r="AM89" s="143" t="s">
        <v>779</v>
      </c>
      <c r="AN89" s="143" t="s">
        <v>780</v>
      </c>
      <c r="AO89" s="143">
        <v>1</v>
      </c>
      <c r="AP89" s="143">
        <v>3810</v>
      </c>
      <c r="AQ89" s="137"/>
      <c r="AR89" s="137"/>
      <c r="AS89" s="137"/>
      <c r="AT89" s="137"/>
      <c r="AU89" s="137"/>
      <c r="AV89" s="137"/>
      <c r="AW89" s="137"/>
      <c r="AX89" s="189">
        <v>0.88749999999999996</v>
      </c>
      <c r="AY89" s="189">
        <v>0.88749999999999996</v>
      </c>
      <c r="AZ89" s="78" t="s">
        <v>3185</v>
      </c>
      <c r="BB89" s="143" t="s">
        <v>779</v>
      </c>
      <c r="BC89" s="143" t="s">
        <v>780</v>
      </c>
      <c r="BD89" s="143" t="s">
        <v>680</v>
      </c>
      <c r="BE89" s="143">
        <v>3810</v>
      </c>
      <c r="BF89" s="137"/>
      <c r="BG89" s="137"/>
      <c r="BH89" s="137"/>
      <c r="BI89" s="137"/>
      <c r="BJ89" s="137"/>
      <c r="BK89" s="137"/>
      <c r="BL89" s="137"/>
      <c r="BM89" s="137"/>
      <c r="BN89" s="137"/>
      <c r="BO89" s="137"/>
      <c r="BP89" s="137"/>
      <c r="BQ89" s="137"/>
      <c r="BR89" s="137" t="s">
        <v>3184</v>
      </c>
      <c r="BS89" s="137" t="s">
        <v>3184</v>
      </c>
      <c r="BT89" s="189" t="s">
        <v>3184</v>
      </c>
      <c r="BU89" s="189">
        <v>1</v>
      </c>
      <c r="BV89" s="78" t="s">
        <v>3184</v>
      </c>
      <c r="BX89" s="143" t="s">
        <v>779</v>
      </c>
      <c r="BY89" s="143" t="s">
        <v>780</v>
      </c>
      <c r="BZ89" s="143" t="s">
        <v>680</v>
      </c>
      <c r="CA89" s="143">
        <v>3810</v>
      </c>
      <c r="CC89" s="137"/>
      <c r="CD89" s="137"/>
      <c r="CE89" s="137"/>
      <c r="CF89" s="189"/>
      <c r="CG89" s="189"/>
    </row>
    <row r="90" spans="1:86" x14ac:dyDescent="0.25">
      <c r="A90" s="143" t="s">
        <v>781</v>
      </c>
      <c r="B90" s="143" t="s">
        <v>782</v>
      </c>
      <c r="C90" s="143" t="s">
        <v>731</v>
      </c>
      <c r="D90" s="143">
        <v>686</v>
      </c>
      <c r="E90" s="354">
        <v>0.36709960000000003</v>
      </c>
      <c r="F90" s="354">
        <v>0.55238100000000001</v>
      </c>
      <c r="G90" s="354">
        <v>0.91948050000000003</v>
      </c>
      <c r="H90" s="78" t="s">
        <v>3185</v>
      </c>
      <c r="J90" s="143" t="s">
        <v>781</v>
      </c>
      <c r="K90" s="143" t="s">
        <v>782</v>
      </c>
      <c r="L90" s="143" t="s">
        <v>731</v>
      </c>
      <c r="M90" s="143">
        <v>686</v>
      </c>
      <c r="N90" s="137">
        <v>0.18</v>
      </c>
      <c r="O90" s="137">
        <v>0.68363640000000003</v>
      </c>
      <c r="P90" s="265">
        <v>0.86363639999999997</v>
      </c>
      <c r="Q90" s="137" t="s">
        <v>3185</v>
      </c>
      <c r="R90" s="137">
        <v>0.15555559999999999</v>
      </c>
      <c r="S90" s="137">
        <v>0.63145739999999995</v>
      </c>
      <c r="T90" s="137">
        <v>0.78701299999999996</v>
      </c>
      <c r="V90" s="143" t="s">
        <v>781</v>
      </c>
      <c r="W90" s="143" t="s">
        <v>782</v>
      </c>
      <c r="X90" s="143" t="s">
        <v>731</v>
      </c>
      <c r="Y90" s="143">
        <v>686</v>
      </c>
      <c r="Z90" s="137" t="s">
        <v>3184</v>
      </c>
      <c r="AA90" s="137" t="s">
        <v>3184</v>
      </c>
      <c r="AB90" s="137" t="s">
        <v>3184</v>
      </c>
      <c r="AC90" s="137" t="s">
        <v>3184</v>
      </c>
      <c r="AD90" s="137" t="s">
        <v>3184</v>
      </c>
      <c r="AE90" s="137" t="s">
        <v>3184</v>
      </c>
      <c r="AF90" s="137" t="s">
        <v>3185</v>
      </c>
      <c r="AG90" s="137" t="s">
        <v>3184</v>
      </c>
      <c r="AH90" s="137" t="s">
        <v>3184</v>
      </c>
      <c r="AI90" s="137" t="s">
        <v>3184</v>
      </c>
      <c r="AJ90" s="137" t="s">
        <v>3184</v>
      </c>
      <c r="AK90" s="137">
        <v>0.90909090000000004</v>
      </c>
      <c r="AM90" s="143" t="s">
        <v>781</v>
      </c>
      <c r="AN90" s="143" t="s">
        <v>782</v>
      </c>
      <c r="AO90" s="143">
        <v>5</v>
      </c>
      <c r="AP90" s="143">
        <v>686</v>
      </c>
      <c r="AQ90" s="137">
        <v>0.98461540000000003</v>
      </c>
      <c r="AR90" s="137">
        <v>1</v>
      </c>
      <c r="AS90" s="137">
        <v>1</v>
      </c>
      <c r="AT90" s="137">
        <v>1</v>
      </c>
      <c r="AU90" s="137">
        <v>1</v>
      </c>
      <c r="AV90" s="137">
        <v>1</v>
      </c>
      <c r="AW90" s="137">
        <v>1</v>
      </c>
      <c r="AX90" s="189">
        <v>1</v>
      </c>
      <c r="AY90" s="189">
        <v>0.9956332</v>
      </c>
      <c r="AZ90" s="78" t="s">
        <v>3184</v>
      </c>
      <c r="BB90" s="143" t="s">
        <v>781</v>
      </c>
      <c r="BC90" s="143" t="s">
        <v>782</v>
      </c>
      <c r="BD90" s="143" t="s">
        <v>731</v>
      </c>
      <c r="BE90" s="143">
        <v>686</v>
      </c>
      <c r="BF90" s="137" t="s">
        <v>3184</v>
      </c>
      <c r="BG90" s="137" t="s">
        <v>3184</v>
      </c>
      <c r="BH90" s="137" t="s">
        <v>3184</v>
      </c>
      <c r="BI90" s="137" t="s">
        <v>3184</v>
      </c>
      <c r="BJ90" s="137" t="s">
        <v>3184</v>
      </c>
      <c r="BK90" s="137" t="s">
        <v>3184</v>
      </c>
      <c r="BL90" s="137" t="s">
        <v>3184</v>
      </c>
      <c r="BM90" s="137" t="s">
        <v>3184</v>
      </c>
      <c r="BN90" s="137" t="s">
        <v>3184</v>
      </c>
      <c r="BO90" s="137" t="s">
        <v>3184</v>
      </c>
      <c r="BP90" s="137"/>
      <c r="BQ90" s="137"/>
      <c r="BR90" s="137"/>
      <c r="BS90" s="137"/>
      <c r="BT90" s="189"/>
      <c r="BU90" s="189">
        <v>1</v>
      </c>
      <c r="BV90" s="78" t="s">
        <v>3184</v>
      </c>
      <c r="BX90" s="143" t="s">
        <v>781</v>
      </c>
      <c r="BY90" s="143" t="s">
        <v>782</v>
      </c>
      <c r="BZ90" s="143" t="s">
        <v>731</v>
      </c>
      <c r="CA90" s="143">
        <v>686</v>
      </c>
      <c r="CB90" s="156">
        <v>3</v>
      </c>
      <c r="CC90" s="137">
        <v>1</v>
      </c>
      <c r="CD90" s="137">
        <v>1</v>
      </c>
      <c r="CE90" s="137">
        <v>0.85</v>
      </c>
      <c r="CF90" s="189">
        <v>1</v>
      </c>
      <c r="CG90" s="189">
        <v>0.96250000000000002</v>
      </c>
      <c r="CH90" s="78" t="s">
        <v>3184</v>
      </c>
    </row>
    <row r="91" spans="1:86" x14ac:dyDescent="0.25">
      <c r="A91" s="143" t="s">
        <v>781</v>
      </c>
      <c r="B91" s="143" t="s">
        <v>782</v>
      </c>
      <c r="C91" s="143" t="s">
        <v>680</v>
      </c>
      <c r="D91" s="143">
        <v>2210</v>
      </c>
      <c r="E91" s="354">
        <v>0.4</v>
      </c>
      <c r="F91" s="354">
        <v>0.6</v>
      </c>
      <c r="G91" s="354">
        <v>1</v>
      </c>
      <c r="H91" s="78" t="s">
        <v>3184</v>
      </c>
      <c r="J91" s="143" t="s">
        <v>781</v>
      </c>
      <c r="K91" s="143" t="s">
        <v>782</v>
      </c>
      <c r="L91" s="143" t="s">
        <v>680</v>
      </c>
      <c r="M91" s="143">
        <v>2210</v>
      </c>
      <c r="N91" s="137">
        <v>0.2</v>
      </c>
      <c r="O91" s="137">
        <v>0.8</v>
      </c>
      <c r="P91" s="265">
        <v>1</v>
      </c>
      <c r="Q91" s="137" t="s">
        <v>3184</v>
      </c>
      <c r="R91" s="137">
        <v>0.2</v>
      </c>
      <c r="S91" s="137">
        <v>0.8</v>
      </c>
      <c r="T91" s="137">
        <v>1</v>
      </c>
      <c r="V91" s="143" t="s">
        <v>781</v>
      </c>
      <c r="W91" s="143" t="s">
        <v>782</v>
      </c>
      <c r="X91" s="143" t="s">
        <v>680</v>
      </c>
      <c r="Y91" s="143">
        <v>2210</v>
      </c>
      <c r="Z91" s="137" t="s">
        <v>3184</v>
      </c>
      <c r="AA91" s="137" t="s">
        <v>3184</v>
      </c>
      <c r="AB91" s="137" t="s">
        <v>3184</v>
      </c>
      <c r="AC91" s="137" t="s">
        <v>3184</v>
      </c>
      <c r="AD91" s="137" t="s">
        <v>3185</v>
      </c>
      <c r="AE91" s="137" t="s">
        <v>3185</v>
      </c>
      <c r="AF91" s="137" t="s">
        <v>3184</v>
      </c>
      <c r="AG91" s="137" t="s">
        <v>3184</v>
      </c>
      <c r="AH91" s="137" t="s">
        <v>3184</v>
      </c>
      <c r="AI91" s="137" t="s">
        <v>3184</v>
      </c>
      <c r="AJ91" s="137" t="s">
        <v>3184</v>
      </c>
      <c r="AK91" s="137">
        <v>0.81818179999999996</v>
      </c>
      <c r="AM91" s="143" t="s">
        <v>781</v>
      </c>
      <c r="AN91" s="143" t="s">
        <v>782</v>
      </c>
      <c r="AO91" s="143">
        <v>1</v>
      </c>
      <c r="AP91" s="143">
        <v>2210</v>
      </c>
      <c r="AQ91" s="137"/>
      <c r="AR91" s="137"/>
      <c r="AS91" s="137"/>
      <c r="AT91" s="137"/>
      <c r="AU91" s="137"/>
      <c r="AV91" s="137"/>
      <c r="AW91" s="137"/>
      <c r="AX91" s="189">
        <v>0.97499999999999998</v>
      </c>
      <c r="AY91" s="189">
        <v>0.97499999999999998</v>
      </c>
      <c r="AZ91" s="78" t="s">
        <v>3184</v>
      </c>
      <c r="BB91" s="143" t="s">
        <v>781</v>
      </c>
      <c r="BC91" s="143" t="s">
        <v>782</v>
      </c>
      <c r="BD91" s="143" t="s">
        <v>680</v>
      </c>
      <c r="BE91" s="143">
        <v>2210</v>
      </c>
      <c r="BF91" s="137"/>
      <c r="BG91" s="137"/>
      <c r="BH91" s="137"/>
      <c r="BI91" s="137"/>
      <c r="BJ91" s="137"/>
      <c r="BK91" s="137"/>
      <c r="BL91" s="137"/>
      <c r="BM91" s="137"/>
      <c r="BN91" s="137"/>
      <c r="BO91" s="137"/>
      <c r="BP91" s="137"/>
      <c r="BQ91" s="137"/>
      <c r="BR91" s="137" t="s">
        <v>3184</v>
      </c>
      <c r="BS91" s="137" t="s">
        <v>3184</v>
      </c>
      <c r="BT91" s="189" t="s">
        <v>3184</v>
      </c>
      <c r="BU91" s="189">
        <v>1</v>
      </c>
      <c r="BV91" s="78" t="s">
        <v>3184</v>
      </c>
      <c r="BX91" s="143" t="s">
        <v>781</v>
      </c>
      <c r="BY91" s="143" t="s">
        <v>782</v>
      </c>
      <c r="BZ91" s="143" t="s">
        <v>680</v>
      </c>
      <c r="CA91" s="143">
        <v>2210</v>
      </c>
      <c r="CC91" s="137"/>
      <c r="CD91" s="137"/>
      <c r="CE91" s="137"/>
      <c r="CF91" s="189"/>
      <c r="CG91" s="189"/>
    </row>
    <row r="92" spans="1:86" x14ac:dyDescent="0.25">
      <c r="A92" s="143" t="s">
        <v>781</v>
      </c>
      <c r="B92" s="143" t="s">
        <v>782</v>
      </c>
      <c r="C92" s="143" t="s">
        <v>680</v>
      </c>
      <c r="D92" s="143">
        <v>2368</v>
      </c>
      <c r="E92" s="354">
        <v>0.4</v>
      </c>
      <c r="F92" s="354">
        <v>0.6</v>
      </c>
      <c r="G92" s="354">
        <v>1</v>
      </c>
      <c r="H92" s="78" t="s">
        <v>3184</v>
      </c>
      <c r="J92" s="143" t="s">
        <v>781</v>
      </c>
      <c r="K92" s="143" t="s">
        <v>782</v>
      </c>
      <c r="L92" s="143" t="s">
        <v>680</v>
      </c>
      <c r="M92" s="143">
        <v>2368</v>
      </c>
      <c r="N92" s="137">
        <v>0.2</v>
      </c>
      <c r="O92" s="137">
        <v>0.77737369999999995</v>
      </c>
      <c r="P92" s="265">
        <v>0.97737370000000001</v>
      </c>
      <c r="Q92" s="137" t="s">
        <v>3184</v>
      </c>
      <c r="R92" s="137">
        <v>0.2</v>
      </c>
      <c r="S92" s="137">
        <v>0.8</v>
      </c>
      <c r="T92" s="137">
        <v>1</v>
      </c>
      <c r="V92" s="143" t="s">
        <v>781</v>
      </c>
      <c r="W92" s="143" t="s">
        <v>782</v>
      </c>
      <c r="X92" s="143" t="s">
        <v>680</v>
      </c>
      <c r="Y92" s="143">
        <v>2368</v>
      </c>
      <c r="Z92" s="137" t="s">
        <v>3184</v>
      </c>
      <c r="AA92" s="137" t="s">
        <v>3184</v>
      </c>
      <c r="AB92" s="137" t="s">
        <v>3184</v>
      </c>
      <c r="AC92" s="137" t="s">
        <v>3184</v>
      </c>
      <c r="AD92" s="137" t="s">
        <v>3185</v>
      </c>
      <c r="AE92" s="137" t="s">
        <v>3185</v>
      </c>
      <c r="AF92" s="137" t="s">
        <v>3184</v>
      </c>
      <c r="AG92" s="137" t="s">
        <v>3184</v>
      </c>
      <c r="AH92" s="137" t="s">
        <v>3184</v>
      </c>
      <c r="AI92" s="137" t="s">
        <v>3184</v>
      </c>
      <c r="AJ92" s="137" t="s">
        <v>3184</v>
      </c>
      <c r="AK92" s="137">
        <v>0.81818179999999996</v>
      </c>
      <c r="AM92" s="143" t="s">
        <v>781</v>
      </c>
      <c r="AN92" s="143" t="s">
        <v>782</v>
      </c>
      <c r="AO92" s="143">
        <v>1</v>
      </c>
      <c r="AP92" s="143">
        <v>2368</v>
      </c>
      <c r="AQ92" s="137"/>
      <c r="AR92" s="137"/>
      <c r="AS92" s="137"/>
      <c r="AT92" s="137"/>
      <c r="AU92" s="137"/>
      <c r="AV92" s="137"/>
      <c r="AW92" s="137"/>
      <c r="AX92" s="189">
        <v>0.98750000000000004</v>
      </c>
      <c r="AY92" s="189">
        <v>0.98750000000000004</v>
      </c>
      <c r="AZ92" s="78" t="s">
        <v>3184</v>
      </c>
      <c r="BB92" s="143" t="s">
        <v>781</v>
      </c>
      <c r="BC92" s="143" t="s">
        <v>782</v>
      </c>
      <c r="BD92" s="143" t="s">
        <v>680</v>
      </c>
      <c r="BE92" s="143">
        <v>2368</v>
      </c>
      <c r="BF92" s="137"/>
      <c r="BG92" s="137"/>
      <c r="BH92" s="137"/>
      <c r="BI92" s="137"/>
      <c r="BJ92" s="137"/>
      <c r="BK92" s="137"/>
      <c r="BL92" s="137"/>
      <c r="BM92" s="137"/>
      <c r="BN92" s="137"/>
      <c r="BO92" s="137"/>
      <c r="BP92" s="137"/>
      <c r="BQ92" s="137"/>
      <c r="BR92" s="137" t="s">
        <v>3184</v>
      </c>
      <c r="BS92" s="137" t="s">
        <v>3184</v>
      </c>
      <c r="BT92" s="189" t="s">
        <v>3184</v>
      </c>
      <c r="BU92" s="189">
        <v>1</v>
      </c>
      <c r="BV92" s="78" t="s">
        <v>3184</v>
      </c>
      <c r="BX92" s="143" t="s">
        <v>781</v>
      </c>
      <c r="BY92" s="143" t="s">
        <v>782</v>
      </c>
      <c r="BZ92" s="143" t="s">
        <v>680</v>
      </c>
      <c r="CA92" s="143">
        <v>2368</v>
      </c>
      <c r="CC92" s="137"/>
      <c r="CD92" s="137"/>
      <c r="CE92" s="137"/>
      <c r="CF92" s="189"/>
      <c r="CG92" s="189"/>
    </row>
    <row r="93" spans="1:86" x14ac:dyDescent="0.25">
      <c r="A93" s="143" t="s">
        <v>781</v>
      </c>
      <c r="B93" s="143" t="s">
        <v>782</v>
      </c>
      <c r="C93" s="143" t="s">
        <v>680</v>
      </c>
      <c r="D93" s="143">
        <v>2795</v>
      </c>
      <c r="E93" s="354">
        <v>0.4</v>
      </c>
      <c r="F93" s="354">
        <v>0.6</v>
      </c>
      <c r="G93" s="354">
        <v>1</v>
      </c>
      <c r="H93" s="78" t="s">
        <v>3184</v>
      </c>
      <c r="J93" s="143" t="s">
        <v>781</v>
      </c>
      <c r="K93" s="143" t="s">
        <v>782</v>
      </c>
      <c r="L93" s="143" t="s">
        <v>680</v>
      </c>
      <c r="M93" s="143">
        <v>2795</v>
      </c>
      <c r="N93" s="137">
        <v>0.16363639999999999</v>
      </c>
      <c r="O93" s="137">
        <v>0.75474750000000002</v>
      </c>
      <c r="P93" s="265">
        <v>0.91838379999999997</v>
      </c>
      <c r="Q93" s="137" t="s">
        <v>3184</v>
      </c>
      <c r="R93" s="137">
        <v>0.2</v>
      </c>
      <c r="S93" s="137">
        <v>0.73333329999999997</v>
      </c>
      <c r="T93" s="137">
        <v>0.93333330000000003</v>
      </c>
      <c r="V93" s="143" t="s">
        <v>781</v>
      </c>
      <c r="W93" s="143" t="s">
        <v>782</v>
      </c>
      <c r="X93" s="143" t="s">
        <v>680</v>
      </c>
      <c r="Y93" s="143">
        <v>2795</v>
      </c>
      <c r="Z93" s="137" t="s">
        <v>3184</v>
      </c>
      <c r="AA93" s="137" t="s">
        <v>3184</v>
      </c>
      <c r="AB93" s="137" t="s">
        <v>3184</v>
      </c>
      <c r="AC93" s="137" t="s">
        <v>3184</v>
      </c>
      <c r="AD93" s="137" t="s">
        <v>3184</v>
      </c>
      <c r="AE93" s="137" t="s">
        <v>3184</v>
      </c>
      <c r="AF93" s="137" t="s">
        <v>3184</v>
      </c>
      <c r="AG93" s="137" t="s">
        <v>3184</v>
      </c>
      <c r="AH93" s="137" t="s">
        <v>3184</v>
      </c>
      <c r="AI93" s="137" t="s">
        <v>3184</v>
      </c>
      <c r="AJ93" s="137" t="s">
        <v>3184</v>
      </c>
      <c r="AK93" s="137">
        <v>1</v>
      </c>
      <c r="AM93" s="143" t="s">
        <v>781</v>
      </c>
      <c r="AN93" s="143" t="s">
        <v>782</v>
      </c>
      <c r="AO93" s="143">
        <v>1</v>
      </c>
      <c r="AP93" s="143">
        <v>2795</v>
      </c>
      <c r="AQ93" s="137"/>
      <c r="AR93" s="137"/>
      <c r="AS93" s="137"/>
      <c r="AT93" s="137"/>
      <c r="AU93" s="137"/>
      <c r="AV93" s="137"/>
      <c r="AW93" s="137"/>
      <c r="AX93" s="189">
        <v>0.98750000000000004</v>
      </c>
      <c r="AY93" s="189">
        <v>0.98750000000000004</v>
      </c>
      <c r="AZ93" s="78" t="s">
        <v>3184</v>
      </c>
      <c r="BB93" s="143" t="s">
        <v>781</v>
      </c>
      <c r="BC93" s="143" t="s">
        <v>782</v>
      </c>
      <c r="BD93" s="143" t="s">
        <v>680</v>
      </c>
      <c r="BE93" s="143">
        <v>2795</v>
      </c>
      <c r="BF93" s="137"/>
      <c r="BG93" s="137"/>
      <c r="BH93" s="137"/>
      <c r="BI93" s="137"/>
      <c r="BJ93" s="137"/>
      <c r="BK93" s="137"/>
      <c r="BL93" s="137"/>
      <c r="BM93" s="137"/>
      <c r="BN93" s="137"/>
      <c r="BO93" s="137"/>
      <c r="BP93" s="137"/>
      <c r="BQ93" s="137"/>
      <c r="BR93" s="137" t="s">
        <v>3184</v>
      </c>
      <c r="BS93" s="137" t="s">
        <v>3184</v>
      </c>
      <c r="BT93" s="189" t="s">
        <v>3184</v>
      </c>
      <c r="BU93" s="189">
        <v>1</v>
      </c>
      <c r="BV93" s="78" t="s">
        <v>3184</v>
      </c>
      <c r="BX93" s="143" t="s">
        <v>781</v>
      </c>
      <c r="BY93" s="143" t="s">
        <v>782</v>
      </c>
      <c r="BZ93" s="143" t="s">
        <v>680</v>
      </c>
      <c r="CA93" s="143">
        <v>2795</v>
      </c>
      <c r="CC93" s="137"/>
      <c r="CD93" s="137"/>
      <c r="CE93" s="137"/>
      <c r="CF93" s="189"/>
      <c r="CG93" s="189"/>
    </row>
    <row r="94" spans="1:86" x14ac:dyDescent="0.25">
      <c r="A94" s="143" t="s">
        <v>781</v>
      </c>
      <c r="B94" s="143" t="s">
        <v>782</v>
      </c>
      <c r="C94" s="143" t="s">
        <v>680</v>
      </c>
      <c r="D94" s="143">
        <v>3868</v>
      </c>
      <c r="E94" s="354">
        <v>0.4</v>
      </c>
      <c r="F94" s="354">
        <v>0.6</v>
      </c>
      <c r="G94" s="354">
        <v>1</v>
      </c>
      <c r="H94" s="78" t="s">
        <v>3184</v>
      </c>
      <c r="J94" s="143" t="s">
        <v>781</v>
      </c>
      <c r="K94" s="143" t="s">
        <v>782</v>
      </c>
      <c r="L94" s="143" t="s">
        <v>680</v>
      </c>
      <c r="M94" s="143">
        <v>3868</v>
      </c>
      <c r="N94" s="137">
        <v>0.18181820000000001</v>
      </c>
      <c r="O94" s="137">
        <v>0.72727269999999999</v>
      </c>
      <c r="P94" s="265">
        <v>0.90909090000000004</v>
      </c>
      <c r="Q94" s="137" t="s">
        <v>3184</v>
      </c>
      <c r="R94" s="137">
        <v>0.1833333</v>
      </c>
      <c r="S94" s="137">
        <v>0.8</v>
      </c>
      <c r="T94" s="137">
        <v>0.98333329999999997</v>
      </c>
      <c r="V94" s="143" t="s">
        <v>781</v>
      </c>
      <c r="W94" s="143" t="s">
        <v>782</v>
      </c>
      <c r="X94" s="143" t="s">
        <v>680</v>
      </c>
      <c r="Y94" s="143">
        <v>3868</v>
      </c>
      <c r="Z94" s="137" t="s">
        <v>3184</v>
      </c>
      <c r="AA94" s="137" t="s">
        <v>3184</v>
      </c>
      <c r="AB94" s="137" t="s">
        <v>3184</v>
      </c>
      <c r="AC94" s="137" t="s">
        <v>3185</v>
      </c>
      <c r="AD94" s="137" t="s">
        <v>3184</v>
      </c>
      <c r="AE94" s="137" t="s">
        <v>3184</v>
      </c>
      <c r="AF94" s="137" t="s">
        <v>3184</v>
      </c>
      <c r="AG94" s="137" t="s">
        <v>3184</v>
      </c>
      <c r="AH94" s="137" t="s">
        <v>3184</v>
      </c>
      <c r="AI94" s="137" t="s">
        <v>3184</v>
      </c>
      <c r="AJ94" s="137" t="s">
        <v>3184</v>
      </c>
      <c r="AK94" s="137">
        <v>0.90909090000000004</v>
      </c>
      <c r="AM94" s="143" t="s">
        <v>781</v>
      </c>
      <c r="AN94" s="143" t="s">
        <v>782</v>
      </c>
      <c r="AO94" s="143">
        <v>1</v>
      </c>
      <c r="AP94" s="143">
        <v>3868</v>
      </c>
      <c r="AQ94" s="137"/>
      <c r="AR94" s="137"/>
      <c r="AS94" s="137"/>
      <c r="AT94" s="137"/>
      <c r="AU94" s="137"/>
      <c r="AV94" s="137"/>
      <c r="AW94" s="137"/>
      <c r="AX94" s="189">
        <v>0.97499999999999998</v>
      </c>
      <c r="AY94" s="189">
        <v>0.97499999999999998</v>
      </c>
      <c r="AZ94" s="78" t="s">
        <v>3184</v>
      </c>
      <c r="BB94" s="143" t="s">
        <v>781</v>
      </c>
      <c r="BC94" s="143" t="s">
        <v>782</v>
      </c>
      <c r="BD94" s="143" t="s">
        <v>680</v>
      </c>
      <c r="BE94" s="143">
        <v>3868</v>
      </c>
      <c r="BF94" s="137"/>
      <c r="BG94" s="137"/>
      <c r="BH94" s="137"/>
      <c r="BI94" s="137"/>
      <c r="BJ94" s="137"/>
      <c r="BK94" s="137"/>
      <c r="BL94" s="137"/>
      <c r="BM94" s="137"/>
      <c r="BN94" s="137"/>
      <c r="BO94" s="137"/>
      <c r="BP94" s="137"/>
      <c r="BQ94" s="137"/>
      <c r="BR94" s="137" t="s">
        <v>3184</v>
      </c>
      <c r="BS94" s="137" t="s">
        <v>3184</v>
      </c>
      <c r="BT94" s="189" t="s">
        <v>3184</v>
      </c>
      <c r="BU94" s="189">
        <v>1</v>
      </c>
      <c r="BV94" s="78" t="s">
        <v>3184</v>
      </c>
      <c r="BX94" s="143" t="s">
        <v>781</v>
      </c>
      <c r="BY94" s="143" t="s">
        <v>782</v>
      </c>
      <c r="BZ94" s="143" t="s">
        <v>680</v>
      </c>
      <c r="CA94" s="143">
        <v>3868</v>
      </c>
      <c r="CC94" s="137"/>
      <c r="CD94" s="137"/>
      <c r="CE94" s="137"/>
      <c r="CF94" s="189"/>
      <c r="CG94" s="189"/>
    </row>
    <row r="95" spans="1:86" x14ac:dyDescent="0.25">
      <c r="A95" s="143" t="s">
        <v>783</v>
      </c>
      <c r="B95" s="143" t="s">
        <v>772</v>
      </c>
      <c r="C95" s="143" t="s">
        <v>680</v>
      </c>
      <c r="D95" s="143">
        <v>2141</v>
      </c>
      <c r="E95" s="354">
        <v>0.39480520000000002</v>
      </c>
      <c r="F95" s="354">
        <v>0.6</v>
      </c>
      <c r="G95" s="354">
        <v>0.99480519999999995</v>
      </c>
      <c r="H95" s="78" t="s">
        <v>3185</v>
      </c>
      <c r="J95" s="143" t="s">
        <v>783</v>
      </c>
      <c r="K95" s="143" t="s">
        <v>772</v>
      </c>
      <c r="L95" s="143" t="s">
        <v>680</v>
      </c>
      <c r="M95" s="143">
        <v>2141</v>
      </c>
      <c r="N95" s="137">
        <v>0.16363639999999999</v>
      </c>
      <c r="O95" s="137">
        <v>0.45737369999999999</v>
      </c>
      <c r="P95" s="265">
        <v>0.62101010000000001</v>
      </c>
      <c r="Q95" s="137" t="s">
        <v>3185</v>
      </c>
      <c r="R95" s="137">
        <v>0.2</v>
      </c>
      <c r="S95" s="137">
        <v>0.49437229999999999</v>
      </c>
      <c r="T95" s="137">
        <v>0.69437230000000005</v>
      </c>
      <c r="V95" s="143" t="s">
        <v>783</v>
      </c>
      <c r="W95" s="143" t="s">
        <v>772</v>
      </c>
      <c r="X95" s="143" t="s">
        <v>680</v>
      </c>
      <c r="Y95" s="143">
        <v>2141</v>
      </c>
      <c r="Z95" s="137" t="s">
        <v>3185</v>
      </c>
      <c r="AA95" s="137" t="s">
        <v>3185</v>
      </c>
      <c r="AB95" s="137" t="s">
        <v>3185</v>
      </c>
      <c r="AC95" s="137" t="s">
        <v>3184</v>
      </c>
      <c r="AD95" s="137" t="s">
        <v>3185</v>
      </c>
      <c r="AE95" s="137" t="s">
        <v>3185</v>
      </c>
      <c r="AF95" s="137" t="s">
        <v>3184</v>
      </c>
      <c r="AG95" s="137" t="s">
        <v>3184</v>
      </c>
      <c r="AH95" s="137" t="s">
        <v>3184</v>
      </c>
      <c r="AI95" s="137" t="s">
        <v>3184</v>
      </c>
      <c r="AJ95" s="137" t="s">
        <v>3184</v>
      </c>
      <c r="AK95" s="137">
        <v>0.54545460000000001</v>
      </c>
      <c r="AM95" s="143" t="s">
        <v>783</v>
      </c>
      <c r="AN95" s="143" t="s">
        <v>772</v>
      </c>
      <c r="AO95" s="143">
        <v>1</v>
      </c>
      <c r="AP95" s="143">
        <v>2141</v>
      </c>
      <c r="AQ95" s="137"/>
      <c r="AR95" s="137"/>
      <c r="AS95" s="137"/>
      <c r="AT95" s="137"/>
      <c r="AU95" s="137"/>
      <c r="AV95" s="137"/>
      <c r="AW95" s="137"/>
      <c r="AX95" s="189">
        <v>0.82499999999999996</v>
      </c>
      <c r="AY95" s="189">
        <v>0.82499999999999996</v>
      </c>
      <c r="AZ95" s="78" t="s">
        <v>3185</v>
      </c>
      <c r="BB95" s="143" t="s">
        <v>783</v>
      </c>
      <c r="BC95" s="143" t="s">
        <v>772</v>
      </c>
      <c r="BD95" s="143" t="s">
        <v>680</v>
      </c>
      <c r="BE95" s="143">
        <v>2141</v>
      </c>
      <c r="BF95" s="137"/>
      <c r="BG95" s="137"/>
      <c r="BH95" s="137"/>
      <c r="BI95" s="137"/>
      <c r="BJ95" s="137"/>
      <c r="BK95" s="137"/>
      <c r="BL95" s="137"/>
      <c r="BM95" s="137"/>
      <c r="BN95" s="137"/>
      <c r="BO95" s="137"/>
      <c r="BP95" s="137"/>
      <c r="BQ95" s="137"/>
      <c r="BR95" s="137" t="s">
        <v>3184</v>
      </c>
      <c r="BS95" s="137" t="s">
        <v>3184</v>
      </c>
      <c r="BT95" s="189" t="s">
        <v>3184</v>
      </c>
      <c r="BU95" s="189">
        <v>1</v>
      </c>
      <c r="BV95" s="78" t="s">
        <v>3184</v>
      </c>
      <c r="BX95" s="143" t="s">
        <v>783</v>
      </c>
      <c r="BY95" s="143" t="s">
        <v>772</v>
      </c>
      <c r="BZ95" s="143" t="s">
        <v>680</v>
      </c>
      <c r="CA95" s="143">
        <v>2141</v>
      </c>
      <c r="CC95" s="137"/>
      <c r="CD95" s="137"/>
      <c r="CE95" s="137"/>
      <c r="CF95" s="189"/>
      <c r="CG95" s="189"/>
    </row>
    <row r="96" spans="1:86" x14ac:dyDescent="0.25">
      <c r="A96" s="143" t="s">
        <v>783</v>
      </c>
      <c r="B96" s="143" t="s">
        <v>772</v>
      </c>
      <c r="C96" s="143" t="s">
        <v>680</v>
      </c>
      <c r="D96" s="143">
        <v>2695</v>
      </c>
      <c r="E96" s="354">
        <v>0.3662338</v>
      </c>
      <c r="F96" s="354">
        <v>0.6</v>
      </c>
      <c r="G96" s="354">
        <v>0.96623380000000003</v>
      </c>
      <c r="H96" s="78" t="s">
        <v>3185</v>
      </c>
      <c r="J96" s="143" t="s">
        <v>783</v>
      </c>
      <c r="K96" s="143" t="s">
        <v>772</v>
      </c>
      <c r="L96" s="143" t="s">
        <v>680</v>
      </c>
      <c r="M96" s="143">
        <v>2695</v>
      </c>
      <c r="N96" s="137">
        <v>0.14545449999999999</v>
      </c>
      <c r="O96" s="137">
        <v>0.4993939</v>
      </c>
      <c r="P96" s="265">
        <v>0.64484850000000005</v>
      </c>
      <c r="Q96" s="137" t="s">
        <v>3185</v>
      </c>
      <c r="R96" s="137">
        <v>0.2</v>
      </c>
      <c r="S96" s="137">
        <v>0</v>
      </c>
      <c r="T96" s="137">
        <v>0.2</v>
      </c>
      <c r="V96" s="143" t="s">
        <v>783</v>
      </c>
      <c r="W96" s="143" t="s">
        <v>772</v>
      </c>
      <c r="X96" s="143" t="s">
        <v>680</v>
      </c>
      <c r="Y96" s="143">
        <v>2695</v>
      </c>
      <c r="Z96" s="137" t="s">
        <v>3184</v>
      </c>
      <c r="AA96" s="137" t="s">
        <v>3184</v>
      </c>
      <c r="AB96" s="137" t="s">
        <v>3184</v>
      </c>
      <c r="AC96" s="137" t="s">
        <v>3184</v>
      </c>
      <c r="AD96" s="137" t="s">
        <v>3185</v>
      </c>
      <c r="AE96" s="137" t="s">
        <v>3185</v>
      </c>
      <c r="AF96" s="137" t="s">
        <v>3184</v>
      </c>
      <c r="AG96" s="137" t="s">
        <v>3184</v>
      </c>
      <c r="AH96" s="137" t="s">
        <v>3184</v>
      </c>
      <c r="AI96" s="137" t="s">
        <v>3184</v>
      </c>
      <c r="AJ96" s="137" t="s">
        <v>3184</v>
      </c>
      <c r="AK96" s="137">
        <v>0.81818179999999996</v>
      </c>
      <c r="AM96" s="143" t="s">
        <v>783</v>
      </c>
      <c r="AN96" s="143" t="s">
        <v>772</v>
      </c>
      <c r="AO96" s="143">
        <v>1</v>
      </c>
      <c r="AP96" s="143">
        <v>2695</v>
      </c>
      <c r="AQ96" s="137"/>
      <c r="AR96" s="137"/>
      <c r="AS96" s="137"/>
      <c r="AT96" s="137"/>
      <c r="AU96" s="137"/>
      <c r="AV96" s="137"/>
      <c r="AW96" s="137"/>
      <c r="AX96" s="189">
        <v>0.96250000000000002</v>
      </c>
      <c r="AY96" s="189">
        <v>0.96250000000000002</v>
      </c>
      <c r="AZ96" s="78" t="s">
        <v>3184</v>
      </c>
      <c r="BB96" s="143" t="s">
        <v>783</v>
      </c>
      <c r="BC96" s="143" t="s">
        <v>772</v>
      </c>
      <c r="BD96" s="143" t="s">
        <v>680</v>
      </c>
      <c r="BE96" s="143">
        <v>2695</v>
      </c>
      <c r="BF96" s="137"/>
      <c r="BG96" s="137"/>
      <c r="BH96" s="137"/>
      <c r="BI96" s="137"/>
      <c r="BJ96" s="137"/>
      <c r="BK96" s="137"/>
      <c r="BL96" s="137"/>
      <c r="BM96" s="137"/>
      <c r="BN96" s="137"/>
      <c r="BO96" s="137"/>
      <c r="BP96" s="137"/>
      <c r="BQ96" s="137"/>
      <c r="BR96" s="137" t="s">
        <v>3184</v>
      </c>
      <c r="BS96" s="137" t="s">
        <v>3184</v>
      </c>
      <c r="BT96" s="189" t="s">
        <v>3184</v>
      </c>
      <c r="BU96" s="189">
        <v>1</v>
      </c>
      <c r="BV96" s="78" t="s">
        <v>3184</v>
      </c>
      <c r="BX96" s="143" t="s">
        <v>783</v>
      </c>
      <c r="BY96" s="143" t="s">
        <v>772</v>
      </c>
      <c r="BZ96" s="143" t="s">
        <v>680</v>
      </c>
      <c r="CA96" s="143">
        <v>2695</v>
      </c>
      <c r="CC96" s="137"/>
      <c r="CD96" s="137"/>
      <c r="CE96" s="137"/>
      <c r="CF96" s="189"/>
      <c r="CG96" s="189"/>
    </row>
    <row r="97" spans="1:85" x14ac:dyDescent="0.25">
      <c r="A97" s="143" t="s">
        <v>783</v>
      </c>
      <c r="B97" s="143" t="s">
        <v>772</v>
      </c>
      <c r="C97" s="143" t="s">
        <v>680</v>
      </c>
      <c r="D97" s="143">
        <v>2697</v>
      </c>
      <c r="E97" s="354">
        <v>0.4</v>
      </c>
      <c r="F97" s="354">
        <v>0.6</v>
      </c>
      <c r="G97" s="354">
        <v>1</v>
      </c>
      <c r="H97" s="78" t="s">
        <v>3184</v>
      </c>
      <c r="J97" s="143" t="s">
        <v>783</v>
      </c>
      <c r="K97" s="143" t="s">
        <v>772</v>
      </c>
      <c r="L97" s="143" t="s">
        <v>680</v>
      </c>
      <c r="M97" s="143">
        <v>2697</v>
      </c>
      <c r="N97" s="137">
        <v>0.16363639999999999</v>
      </c>
      <c r="O97" s="137">
        <v>0.48484850000000002</v>
      </c>
      <c r="P97" s="265">
        <v>0.64848479999999997</v>
      </c>
      <c r="Q97" s="137" t="s">
        <v>3185</v>
      </c>
      <c r="R97" s="137">
        <v>0.15</v>
      </c>
      <c r="S97" s="137">
        <v>0.6441559</v>
      </c>
      <c r="T97" s="137">
        <v>0.79415579999999997</v>
      </c>
      <c r="V97" s="143" t="s">
        <v>783</v>
      </c>
      <c r="W97" s="143" t="s">
        <v>772</v>
      </c>
      <c r="X97" s="143" t="s">
        <v>680</v>
      </c>
      <c r="Y97" s="143">
        <v>2697</v>
      </c>
      <c r="Z97" s="137" t="s">
        <v>3184</v>
      </c>
      <c r="AA97" s="137" t="s">
        <v>3184</v>
      </c>
      <c r="AB97" s="137" t="s">
        <v>3184</v>
      </c>
      <c r="AC97" s="137" t="s">
        <v>3185</v>
      </c>
      <c r="AD97" s="137" t="s">
        <v>3185</v>
      </c>
      <c r="AE97" s="137" t="s">
        <v>3185</v>
      </c>
      <c r="AF97" s="137" t="s">
        <v>3184</v>
      </c>
      <c r="AG97" s="137" t="s">
        <v>3184</v>
      </c>
      <c r="AH97" s="137" t="s">
        <v>3184</v>
      </c>
      <c r="AI97" s="137" t="s">
        <v>3184</v>
      </c>
      <c r="AJ97" s="137" t="s">
        <v>3184</v>
      </c>
      <c r="AK97" s="137">
        <v>0.72727269999999999</v>
      </c>
      <c r="AM97" s="143" t="s">
        <v>783</v>
      </c>
      <c r="AN97" s="143" t="s">
        <v>772</v>
      </c>
      <c r="AO97" s="143">
        <v>1</v>
      </c>
      <c r="AP97" s="143">
        <v>2697</v>
      </c>
      <c r="AQ97" s="137"/>
      <c r="AR97" s="137"/>
      <c r="AS97" s="137"/>
      <c r="AT97" s="137"/>
      <c r="AU97" s="137"/>
      <c r="AV97" s="137"/>
      <c r="AW97" s="137"/>
      <c r="AX97" s="189">
        <v>0.92500000000000004</v>
      </c>
      <c r="AY97" s="189">
        <v>0.92500000000000004</v>
      </c>
      <c r="AZ97" s="78" t="s">
        <v>3185</v>
      </c>
      <c r="BB97" s="143" t="s">
        <v>783</v>
      </c>
      <c r="BC97" s="143" t="s">
        <v>772</v>
      </c>
      <c r="BD97" s="143" t="s">
        <v>680</v>
      </c>
      <c r="BE97" s="143">
        <v>2697</v>
      </c>
      <c r="BF97" s="137"/>
      <c r="BG97" s="137"/>
      <c r="BH97" s="137"/>
      <c r="BI97" s="137"/>
      <c r="BJ97" s="137"/>
      <c r="BK97" s="137"/>
      <c r="BL97" s="137"/>
      <c r="BM97" s="137"/>
      <c r="BN97" s="137"/>
      <c r="BO97" s="137"/>
      <c r="BP97" s="137"/>
      <c r="BQ97" s="137"/>
      <c r="BR97" s="137" t="s">
        <v>3184</v>
      </c>
      <c r="BS97" s="137" t="s">
        <v>3184</v>
      </c>
      <c r="BT97" s="189" t="s">
        <v>3184</v>
      </c>
      <c r="BU97" s="189">
        <v>1</v>
      </c>
      <c r="BV97" s="78" t="s">
        <v>3184</v>
      </c>
      <c r="BX97" s="143" t="s">
        <v>783</v>
      </c>
      <c r="BY97" s="143" t="s">
        <v>772</v>
      </c>
      <c r="BZ97" s="143" t="s">
        <v>680</v>
      </c>
      <c r="CA97" s="143">
        <v>2697</v>
      </c>
      <c r="CC97" s="137"/>
      <c r="CD97" s="137"/>
      <c r="CE97" s="137"/>
      <c r="CF97" s="189"/>
      <c r="CG97" s="189"/>
    </row>
    <row r="98" spans="1:85" x14ac:dyDescent="0.25">
      <c r="A98" s="143" t="s">
        <v>783</v>
      </c>
      <c r="B98" s="143" t="s">
        <v>772</v>
      </c>
      <c r="C98" s="143" t="s">
        <v>680</v>
      </c>
      <c r="D98" s="143">
        <v>2699</v>
      </c>
      <c r="E98" s="354">
        <v>0.3922078</v>
      </c>
      <c r="F98" s="354">
        <v>0.6</v>
      </c>
      <c r="G98" s="354">
        <v>0.99220779999999997</v>
      </c>
      <c r="H98" s="78" t="s">
        <v>3185</v>
      </c>
      <c r="J98" s="143" t="s">
        <v>783</v>
      </c>
      <c r="K98" s="143" t="s">
        <v>772</v>
      </c>
      <c r="L98" s="143" t="s">
        <v>680</v>
      </c>
      <c r="M98" s="143">
        <v>2699</v>
      </c>
      <c r="N98" s="137">
        <v>0.12727269999999999</v>
      </c>
      <c r="O98" s="137">
        <v>0.14545449999999999</v>
      </c>
      <c r="P98" s="265">
        <v>0.27272730000000001</v>
      </c>
      <c r="Q98" s="137" t="s">
        <v>3185</v>
      </c>
      <c r="R98" s="137">
        <v>0.15</v>
      </c>
      <c r="S98" s="137">
        <v>6.6666699999999995E-2</v>
      </c>
      <c r="T98" s="137">
        <v>0.21666669999999999</v>
      </c>
      <c r="V98" s="143" t="s">
        <v>783</v>
      </c>
      <c r="W98" s="143" t="s">
        <v>772</v>
      </c>
      <c r="X98" s="143" t="s">
        <v>680</v>
      </c>
      <c r="Y98" s="143">
        <v>2699</v>
      </c>
      <c r="Z98" s="137" t="s">
        <v>3184</v>
      </c>
      <c r="AA98" s="137" t="s">
        <v>3184</v>
      </c>
      <c r="AB98" s="137" t="s">
        <v>3184</v>
      </c>
      <c r="AC98" s="137" t="s">
        <v>3184</v>
      </c>
      <c r="AD98" s="137" t="s">
        <v>3185</v>
      </c>
      <c r="AE98" s="137" t="s">
        <v>3185</v>
      </c>
      <c r="AF98" s="137" t="s">
        <v>3184</v>
      </c>
      <c r="AG98" s="137" t="s">
        <v>3184</v>
      </c>
      <c r="AH98" s="137" t="s">
        <v>3184</v>
      </c>
      <c r="AI98" s="137" t="s">
        <v>3184</v>
      </c>
      <c r="AJ98" s="137" t="s">
        <v>3185</v>
      </c>
      <c r="AK98" s="137">
        <v>0.72727269999999999</v>
      </c>
      <c r="AM98" s="143" t="s">
        <v>783</v>
      </c>
      <c r="AN98" s="143" t="s">
        <v>772</v>
      </c>
      <c r="AO98" s="143">
        <v>1</v>
      </c>
      <c r="AP98" s="143">
        <v>2699</v>
      </c>
      <c r="AQ98" s="137"/>
      <c r="AR98" s="137"/>
      <c r="AS98" s="137"/>
      <c r="AT98" s="137"/>
      <c r="AU98" s="137"/>
      <c r="AV98" s="137"/>
      <c r="AW98" s="137"/>
      <c r="AX98" s="189">
        <v>0.77500000000000002</v>
      </c>
      <c r="AY98" s="189">
        <v>0.77500000000000002</v>
      </c>
      <c r="AZ98" s="78" t="s">
        <v>3185</v>
      </c>
      <c r="BB98" s="143" t="s">
        <v>783</v>
      </c>
      <c r="BC98" s="143" t="s">
        <v>772</v>
      </c>
      <c r="BD98" s="143" t="s">
        <v>680</v>
      </c>
      <c r="BE98" s="143">
        <v>2699</v>
      </c>
      <c r="BF98" s="137"/>
      <c r="BG98" s="137"/>
      <c r="BH98" s="137"/>
      <c r="BI98" s="137"/>
      <c r="BJ98" s="137"/>
      <c r="BK98" s="137"/>
      <c r="BL98" s="137"/>
      <c r="BM98" s="137"/>
      <c r="BN98" s="137"/>
      <c r="BO98" s="137"/>
      <c r="BP98" s="137"/>
      <c r="BQ98" s="137"/>
      <c r="BR98" s="137" t="s">
        <v>3184</v>
      </c>
      <c r="BS98" s="137" t="s">
        <v>3184</v>
      </c>
      <c r="BT98" s="189" t="s">
        <v>3184</v>
      </c>
      <c r="BU98" s="189">
        <v>1</v>
      </c>
      <c r="BV98" s="78" t="s">
        <v>3184</v>
      </c>
      <c r="BX98" s="143" t="s">
        <v>783</v>
      </c>
      <c r="BY98" s="143" t="s">
        <v>772</v>
      </c>
      <c r="BZ98" s="143" t="s">
        <v>680</v>
      </c>
      <c r="CA98" s="143">
        <v>2699</v>
      </c>
      <c r="CC98" s="137"/>
      <c r="CD98" s="137"/>
      <c r="CE98" s="137"/>
      <c r="CF98" s="189"/>
      <c r="CG98" s="189"/>
    </row>
    <row r="99" spans="1:85" x14ac:dyDescent="0.25">
      <c r="A99" s="143" t="s">
        <v>783</v>
      </c>
      <c r="B99" s="143" t="s">
        <v>772</v>
      </c>
      <c r="C99" s="143" t="s">
        <v>680</v>
      </c>
      <c r="D99" s="143">
        <v>3222</v>
      </c>
      <c r="E99" s="354">
        <v>0.4</v>
      </c>
      <c r="F99" s="354">
        <v>0.6</v>
      </c>
      <c r="G99" s="354">
        <v>1</v>
      </c>
      <c r="H99" s="78" t="s">
        <v>3184</v>
      </c>
      <c r="J99" s="143" t="s">
        <v>783</v>
      </c>
      <c r="K99" s="143" t="s">
        <v>772</v>
      </c>
      <c r="L99" s="143" t="s">
        <v>680</v>
      </c>
      <c r="M99" s="143">
        <v>3222</v>
      </c>
      <c r="N99" s="137">
        <v>0.14545449999999999</v>
      </c>
      <c r="O99" s="137">
        <v>0.48484850000000002</v>
      </c>
      <c r="P99" s="265">
        <v>0.63030299999999995</v>
      </c>
      <c r="Q99" s="137" t="s">
        <v>3185</v>
      </c>
      <c r="R99" s="137">
        <v>0.1666667</v>
      </c>
      <c r="S99" s="137">
        <v>0.26666669999999998</v>
      </c>
      <c r="T99" s="137">
        <v>0.43333329999999998</v>
      </c>
      <c r="V99" s="143" t="s">
        <v>783</v>
      </c>
      <c r="W99" s="143" t="s">
        <v>772</v>
      </c>
      <c r="X99" s="143" t="s">
        <v>680</v>
      </c>
      <c r="Y99" s="143">
        <v>3222</v>
      </c>
      <c r="Z99" s="137" t="s">
        <v>3184</v>
      </c>
      <c r="AA99" s="137" t="s">
        <v>3184</v>
      </c>
      <c r="AB99" s="137" t="s">
        <v>3184</v>
      </c>
      <c r="AC99" s="137" t="s">
        <v>3184</v>
      </c>
      <c r="AD99" s="137" t="s">
        <v>3185</v>
      </c>
      <c r="AE99" s="137" t="s">
        <v>3185</v>
      </c>
      <c r="AF99" s="137" t="s">
        <v>3184</v>
      </c>
      <c r="AG99" s="137" t="s">
        <v>3184</v>
      </c>
      <c r="AH99" s="137" t="s">
        <v>3184</v>
      </c>
      <c r="AI99" s="137" t="s">
        <v>3184</v>
      </c>
      <c r="AJ99" s="137" t="s">
        <v>3184</v>
      </c>
      <c r="AK99" s="137">
        <v>0.81818179999999996</v>
      </c>
      <c r="AM99" s="143" t="s">
        <v>783</v>
      </c>
      <c r="AN99" s="143" t="s">
        <v>772</v>
      </c>
      <c r="AO99" s="143">
        <v>1</v>
      </c>
      <c r="AP99" s="143">
        <v>3222</v>
      </c>
      <c r="AQ99" s="137"/>
      <c r="AR99" s="137"/>
      <c r="AS99" s="137"/>
      <c r="AT99" s="137"/>
      <c r="AU99" s="137"/>
      <c r="AV99" s="137"/>
      <c r="AW99" s="137"/>
      <c r="AX99" s="189">
        <v>0.88749999999999996</v>
      </c>
      <c r="AY99" s="189">
        <v>0.88749999999999996</v>
      </c>
      <c r="AZ99" s="78" t="s">
        <v>3185</v>
      </c>
      <c r="BB99" s="143" t="s">
        <v>783</v>
      </c>
      <c r="BC99" s="143" t="s">
        <v>772</v>
      </c>
      <c r="BD99" s="143" t="s">
        <v>680</v>
      </c>
      <c r="BE99" s="143">
        <v>3222</v>
      </c>
      <c r="BF99" s="137"/>
      <c r="BG99" s="137"/>
      <c r="BH99" s="137"/>
      <c r="BI99" s="137"/>
      <c r="BJ99" s="137"/>
      <c r="BK99" s="137"/>
      <c r="BL99" s="137"/>
      <c r="BM99" s="137"/>
      <c r="BN99" s="137"/>
      <c r="BO99" s="137"/>
      <c r="BP99" s="137"/>
      <c r="BQ99" s="137"/>
      <c r="BR99" s="137" t="s">
        <v>3184</v>
      </c>
      <c r="BS99" s="137" t="s">
        <v>3184</v>
      </c>
      <c r="BT99" s="189" t="s">
        <v>3184</v>
      </c>
      <c r="BU99" s="189">
        <v>1</v>
      </c>
      <c r="BV99" s="78" t="s">
        <v>3184</v>
      </c>
      <c r="BX99" s="143" t="s">
        <v>783</v>
      </c>
      <c r="BY99" s="143" t="s">
        <v>772</v>
      </c>
      <c r="BZ99" s="143" t="s">
        <v>680</v>
      </c>
      <c r="CA99" s="143">
        <v>3222</v>
      </c>
      <c r="CC99" s="137"/>
      <c r="CD99" s="137"/>
      <c r="CE99" s="137"/>
      <c r="CF99" s="189"/>
      <c r="CG99" s="189"/>
    </row>
    <row r="100" spans="1:85" x14ac:dyDescent="0.25">
      <c r="A100" s="143" t="s">
        <v>783</v>
      </c>
      <c r="B100" s="143" t="s">
        <v>772</v>
      </c>
      <c r="C100" s="143" t="s">
        <v>680</v>
      </c>
      <c r="D100" s="143">
        <v>3449</v>
      </c>
      <c r="E100" s="354">
        <v>0.4</v>
      </c>
      <c r="F100" s="354">
        <v>0.6</v>
      </c>
      <c r="G100" s="354">
        <v>1</v>
      </c>
      <c r="H100" s="78" t="s">
        <v>3184</v>
      </c>
      <c r="J100" s="143" t="s">
        <v>783</v>
      </c>
      <c r="K100" s="143" t="s">
        <v>772</v>
      </c>
      <c r="L100" s="143" t="s">
        <v>680</v>
      </c>
      <c r="M100" s="143">
        <v>3449</v>
      </c>
      <c r="N100" s="137">
        <v>0.2</v>
      </c>
      <c r="O100" s="137">
        <v>0.58181819999999995</v>
      </c>
      <c r="P100" s="265">
        <v>0.78181820000000002</v>
      </c>
      <c r="Q100" s="137" t="s">
        <v>3185</v>
      </c>
      <c r="R100" s="137">
        <v>0.1666667</v>
      </c>
      <c r="S100" s="137">
        <v>0.55584420000000001</v>
      </c>
      <c r="T100" s="137">
        <v>0.72251080000000001</v>
      </c>
      <c r="V100" s="143" t="s">
        <v>783</v>
      </c>
      <c r="W100" s="143" t="s">
        <v>772</v>
      </c>
      <c r="X100" s="143" t="s">
        <v>680</v>
      </c>
      <c r="Y100" s="143">
        <v>3449</v>
      </c>
      <c r="Z100" s="137" t="s">
        <v>3184</v>
      </c>
      <c r="AA100" s="137" t="s">
        <v>3185</v>
      </c>
      <c r="AB100" s="137" t="s">
        <v>3184</v>
      </c>
      <c r="AC100" s="137" t="s">
        <v>3185</v>
      </c>
      <c r="AD100" s="137" t="s">
        <v>3185</v>
      </c>
      <c r="AE100" s="137" t="s">
        <v>3185</v>
      </c>
      <c r="AF100" s="137" t="s">
        <v>3184</v>
      </c>
      <c r="AG100" s="137" t="s">
        <v>3184</v>
      </c>
      <c r="AH100" s="137" t="s">
        <v>3184</v>
      </c>
      <c r="AI100" s="137" t="s">
        <v>3184</v>
      </c>
      <c r="AJ100" s="137" t="s">
        <v>3185</v>
      </c>
      <c r="AK100" s="137">
        <v>0.54545460000000001</v>
      </c>
      <c r="AM100" s="143" t="s">
        <v>783</v>
      </c>
      <c r="AN100" s="143" t="s">
        <v>772</v>
      </c>
      <c r="AO100" s="143">
        <v>1</v>
      </c>
      <c r="AP100" s="143">
        <v>3449</v>
      </c>
      <c r="AQ100" s="137"/>
      <c r="AR100" s="137"/>
      <c r="AS100" s="137"/>
      <c r="AT100" s="137"/>
      <c r="AU100" s="137"/>
      <c r="AV100" s="137"/>
      <c r="AW100" s="137"/>
      <c r="AX100" s="189">
        <v>0.85</v>
      </c>
      <c r="AY100" s="189">
        <v>0.85</v>
      </c>
      <c r="AZ100" s="78" t="s">
        <v>3185</v>
      </c>
      <c r="BB100" s="143" t="s">
        <v>783</v>
      </c>
      <c r="BC100" s="143" t="s">
        <v>772</v>
      </c>
      <c r="BD100" s="143" t="s">
        <v>680</v>
      </c>
      <c r="BE100" s="143">
        <v>3449</v>
      </c>
      <c r="BF100" s="137"/>
      <c r="BG100" s="137"/>
      <c r="BH100" s="137"/>
      <c r="BI100" s="137"/>
      <c r="BJ100" s="137"/>
      <c r="BK100" s="137"/>
      <c r="BL100" s="137"/>
      <c r="BM100" s="137"/>
      <c r="BN100" s="137"/>
      <c r="BO100" s="137"/>
      <c r="BP100" s="137"/>
      <c r="BQ100" s="137"/>
      <c r="BR100" s="137" t="s">
        <v>3184</v>
      </c>
      <c r="BS100" s="137" t="s">
        <v>3184</v>
      </c>
      <c r="BT100" s="189" t="s">
        <v>3184</v>
      </c>
      <c r="BU100" s="189">
        <v>1</v>
      </c>
      <c r="BV100" s="78" t="s">
        <v>3184</v>
      </c>
      <c r="BX100" s="143" t="s">
        <v>783</v>
      </c>
      <c r="BY100" s="143" t="s">
        <v>772</v>
      </c>
      <c r="BZ100" s="143" t="s">
        <v>680</v>
      </c>
      <c r="CA100" s="143">
        <v>3449</v>
      </c>
      <c r="CC100" s="137"/>
      <c r="CD100" s="137"/>
      <c r="CE100" s="137"/>
      <c r="CF100" s="189"/>
      <c r="CG100" s="189"/>
    </row>
    <row r="101" spans="1:85" x14ac:dyDescent="0.25">
      <c r="A101" s="143" t="s">
        <v>783</v>
      </c>
      <c r="B101" s="143" t="s">
        <v>772</v>
      </c>
      <c r="C101" s="143" t="s">
        <v>680</v>
      </c>
      <c r="D101" s="143">
        <v>3764</v>
      </c>
      <c r="E101" s="354">
        <v>0.4</v>
      </c>
      <c r="F101" s="354">
        <v>0.6</v>
      </c>
      <c r="G101" s="354">
        <v>1</v>
      </c>
      <c r="H101" s="78" t="s">
        <v>3184</v>
      </c>
      <c r="J101" s="143" t="s">
        <v>783</v>
      </c>
      <c r="K101" s="143" t="s">
        <v>772</v>
      </c>
      <c r="L101" s="143" t="s">
        <v>680</v>
      </c>
      <c r="M101" s="143">
        <v>3764</v>
      </c>
      <c r="N101" s="137">
        <v>0.14545449999999999</v>
      </c>
      <c r="O101" s="137">
        <v>0.43636360000000002</v>
      </c>
      <c r="P101" s="265">
        <v>0.58181819999999995</v>
      </c>
      <c r="Q101" s="137" t="s">
        <v>3185</v>
      </c>
      <c r="R101" s="137">
        <v>0.1833333</v>
      </c>
      <c r="S101" s="137">
        <v>0.73333329999999997</v>
      </c>
      <c r="T101" s="137">
        <v>0.91666669999999995</v>
      </c>
      <c r="V101" s="143" t="s">
        <v>783</v>
      </c>
      <c r="W101" s="143" t="s">
        <v>772</v>
      </c>
      <c r="X101" s="143" t="s">
        <v>680</v>
      </c>
      <c r="Y101" s="143">
        <v>3764</v>
      </c>
      <c r="Z101" s="137" t="s">
        <v>3184</v>
      </c>
      <c r="AA101" s="137" t="s">
        <v>3184</v>
      </c>
      <c r="AB101" s="137" t="s">
        <v>3184</v>
      </c>
      <c r="AC101" s="137" t="s">
        <v>3184</v>
      </c>
      <c r="AD101" s="137" t="s">
        <v>3185</v>
      </c>
      <c r="AE101" s="137" t="s">
        <v>3185</v>
      </c>
      <c r="AF101" s="137" t="s">
        <v>3184</v>
      </c>
      <c r="AG101" s="137" t="s">
        <v>3184</v>
      </c>
      <c r="AH101" s="137" t="s">
        <v>3184</v>
      </c>
      <c r="AI101" s="137" t="s">
        <v>3184</v>
      </c>
      <c r="AJ101" s="137" t="s">
        <v>3184</v>
      </c>
      <c r="AK101" s="137">
        <v>0.81818179999999996</v>
      </c>
      <c r="AM101" s="143" t="s">
        <v>783</v>
      </c>
      <c r="AN101" s="143" t="s">
        <v>772</v>
      </c>
      <c r="AO101" s="143">
        <v>1</v>
      </c>
      <c r="AP101" s="143">
        <v>3764</v>
      </c>
      <c r="AQ101" s="137"/>
      <c r="AR101" s="137"/>
      <c r="AS101" s="137"/>
      <c r="AT101" s="137"/>
      <c r="AU101" s="137"/>
      <c r="AV101" s="137"/>
      <c r="AW101" s="137"/>
      <c r="AX101" s="189">
        <v>0.88749999999999996</v>
      </c>
      <c r="AY101" s="189">
        <v>0.88749999999999996</v>
      </c>
      <c r="AZ101" s="78" t="s">
        <v>3185</v>
      </c>
      <c r="BB101" s="143" t="s">
        <v>783</v>
      </c>
      <c r="BC101" s="143" t="s">
        <v>772</v>
      </c>
      <c r="BD101" s="143" t="s">
        <v>680</v>
      </c>
      <c r="BE101" s="143">
        <v>3764</v>
      </c>
      <c r="BF101" s="137"/>
      <c r="BG101" s="137"/>
      <c r="BH101" s="137"/>
      <c r="BI101" s="137"/>
      <c r="BJ101" s="137"/>
      <c r="BK101" s="137"/>
      <c r="BL101" s="137"/>
      <c r="BM101" s="137"/>
      <c r="BN101" s="137"/>
      <c r="BO101" s="137"/>
      <c r="BP101" s="137"/>
      <c r="BQ101" s="137"/>
      <c r="BR101" s="137" t="s">
        <v>3184</v>
      </c>
      <c r="BS101" s="137" t="s">
        <v>3184</v>
      </c>
      <c r="BT101" s="189" t="s">
        <v>3184</v>
      </c>
      <c r="BU101" s="189">
        <v>1</v>
      </c>
      <c r="BV101" s="78" t="s">
        <v>3184</v>
      </c>
      <c r="BX101" s="143" t="s">
        <v>783</v>
      </c>
      <c r="BY101" s="143" t="s">
        <v>772</v>
      </c>
      <c r="BZ101" s="143" t="s">
        <v>680</v>
      </c>
      <c r="CA101" s="143">
        <v>3764</v>
      </c>
      <c r="CC101" s="137"/>
      <c r="CD101" s="137"/>
      <c r="CE101" s="137"/>
      <c r="CF101" s="189"/>
      <c r="CG101" s="189"/>
    </row>
    <row r="102" spans="1:85" x14ac:dyDescent="0.25">
      <c r="A102" s="143" t="s">
        <v>784</v>
      </c>
      <c r="B102" s="143" t="s">
        <v>768</v>
      </c>
      <c r="C102" s="143" t="s">
        <v>680</v>
      </c>
      <c r="D102" s="143">
        <v>3705</v>
      </c>
      <c r="E102" s="354">
        <v>0.4</v>
      </c>
      <c r="F102" s="354">
        <v>0.6</v>
      </c>
      <c r="G102" s="354">
        <v>1</v>
      </c>
      <c r="H102" s="78" t="s">
        <v>3184</v>
      </c>
      <c r="J102" s="143" t="s">
        <v>784</v>
      </c>
      <c r="K102" s="143" t="s">
        <v>768</v>
      </c>
      <c r="L102" s="143" t="s">
        <v>680</v>
      </c>
      <c r="M102" s="143">
        <v>3705</v>
      </c>
      <c r="N102" s="137">
        <v>0.16363639999999999</v>
      </c>
      <c r="O102" s="137">
        <v>0.43151519999999999</v>
      </c>
      <c r="P102" s="265">
        <v>0.59515150000000006</v>
      </c>
      <c r="Q102" s="137" t="s">
        <v>3185</v>
      </c>
      <c r="R102" s="137">
        <v>0.2</v>
      </c>
      <c r="S102" s="137">
        <v>0.56796539999999995</v>
      </c>
      <c r="T102" s="137">
        <v>0.76796540000000002</v>
      </c>
      <c r="V102" s="143" t="s">
        <v>784</v>
      </c>
      <c r="W102" s="143" t="s">
        <v>768</v>
      </c>
      <c r="X102" s="143" t="s">
        <v>680</v>
      </c>
      <c r="Y102" s="143">
        <v>3705</v>
      </c>
      <c r="Z102" s="137" t="s">
        <v>3185</v>
      </c>
      <c r="AA102" s="137" t="s">
        <v>3184</v>
      </c>
      <c r="AB102" s="137" t="s">
        <v>3184</v>
      </c>
      <c r="AC102" s="137" t="s">
        <v>3185</v>
      </c>
      <c r="AD102" s="137" t="s">
        <v>3185</v>
      </c>
      <c r="AE102" s="137" t="s">
        <v>3185</v>
      </c>
      <c r="AF102" s="137" t="s">
        <v>3184</v>
      </c>
      <c r="AG102" s="137" t="s">
        <v>3184</v>
      </c>
      <c r="AH102" s="137" t="s">
        <v>3184</v>
      </c>
      <c r="AI102" s="137" t="s">
        <v>3184</v>
      </c>
      <c r="AJ102" s="137" t="s">
        <v>3184</v>
      </c>
      <c r="AK102" s="137">
        <v>0.63636360000000003</v>
      </c>
      <c r="AM102" s="143" t="s">
        <v>784</v>
      </c>
      <c r="AN102" s="143" t="s">
        <v>768</v>
      </c>
      <c r="AO102" s="143">
        <v>1</v>
      </c>
      <c r="AP102" s="143">
        <v>3705</v>
      </c>
      <c r="AQ102" s="137"/>
      <c r="AR102" s="137"/>
      <c r="AS102" s="137"/>
      <c r="AT102" s="137"/>
      <c r="AU102" s="137"/>
      <c r="AV102" s="137"/>
      <c r="AW102" s="137"/>
      <c r="AX102" s="189">
        <v>0.92500000000000004</v>
      </c>
      <c r="AY102" s="189">
        <v>0.92500000000000004</v>
      </c>
      <c r="AZ102" s="78" t="s">
        <v>3185</v>
      </c>
      <c r="BB102" s="143" t="s">
        <v>784</v>
      </c>
      <c r="BC102" s="143" t="s">
        <v>768</v>
      </c>
      <c r="BD102" s="143" t="s">
        <v>680</v>
      </c>
      <c r="BE102" s="143">
        <v>3705</v>
      </c>
      <c r="BF102" s="137"/>
      <c r="BG102" s="137"/>
      <c r="BH102" s="137"/>
      <c r="BI102" s="137"/>
      <c r="BJ102" s="137"/>
      <c r="BK102" s="137"/>
      <c r="BL102" s="137"/>
      <c r="BM102" s="137"/>
      <c r="BN102" s="137"/>
      <c r="BO102" s="137"/>
      <c r="BP102" s="137"/>
      <c r="BQ102" s="137"/>
      <c r="BR102" s="137" t="s">
        <v>3184</v>
      </c>
      <c r="BS102" s="137" t="s">
        <v>3184</v>
      </c>
      <c r="BT102" s="189" t="s">
        <v>3185</v>
      </c>
      <c r="BU102" s="189">
        <v>0.66666669999999995</v>
      </c>
      <c r="BV102" s="78" t="s">
        <v>3185</v>
      </c>
      <c r="BX102" s="143" t="s">
        <v>784</v>
      </c>
      <c r="BY102" s="143" t="s">
        <v>768</v>
      </c>
      <c r="BZ102" s="143" t="s">
        <v>680</v>
      </c>
      <c r="CA102" s="143">
        <v>3705</v>
      </c>
      <c r="CC102" s="137"/>
      <c r="CD102" s="137"/>
      <c r="CE102" s="137"/>
      <c r="CF102" s="189"/>
      <c r="CG102" s="189"/>
    </row>
    <row r="103" spans="1:85" x14ac:dyDescent="0.25">
      <c r="A103" s="143" t="s">
        <v>784</v>
      </c>
      <c r="B103" s="143" t="s">
        <v>768</v>
      </c>
      <c r="C103" s="143" t="s">
        <v>680</v>
      </c>
      <c r="D103" s="143">
        <v>4337</v>
      </c>
      <c r="E103" s="354">
        <v>0.4</v>
      </c>
      <c r="F103" s="354">
        <v>0.6</v>
      </c>
      <c r="G103" s="354">
        <v>1</v>
      </c>
      <c r="H103" s="78" t="s">
        <v>3184</v>
      </c>
      <c r="J103" s="143" t="s">
        <v>784</v>
      </c>
      <c r="K103" s="143" t="s">
        <v>768</v>
      </c>
      <c r="L103" s="143" t="s">
        <v>680</v>
      </c>
      <c r="M103" s="143">
        <v>4337</v>
      </c>
      <c r="N103" s="137">
        <v>0.2</v>
      </c>
      <c r="O103" s="137">
        <v>0.49858590000000003</v>
      </c>
      <c r="P103" s="265">
        <v>0.69858589999999998</v>
      </c>
      <c r="Q103" s="137" t="s">
        <v>3185</v>
      </c>
      <c r="R103" s="137">
        <v>0.1666667</v>
      </c>
      <c r="S103" s="137">
        <v>0.3038961</v>
      </c>
      <c r="T103" s="137">
        <v>0.4705628</v>
      </c>
      <c r="V103" s="143" t="s">
        <v>784</v>
      </c>
      <c r="W103" s="143" t="s">
        <v>768</v>
      </c>
      <c r="X103" s="143" t="s">
        <v>680</v>
      </c>
      <c r="Y103" s="143">
        <v>4337</v>
      </c>
      <c r="Z103" s="137" t="s">
        <v>3184</v>
      </c>
      <c r="AA103" s="137" t="s">
        <v>3184</v>
      </c>
      <c r="AB103" s="137" t="s">
        <v>3184</v>
      </c>
      <c r="AC103" s="137" t="s">
        <v>3185</v>
      </c>
      <c r="AD103" s="137" t="s">
        <v>3185</v>
      </c>
      <c r="AE103" s="137" t="s">
        <v>3185</v>
      </c>
      <c r="AF103" s="137" t="s">
        <v>3184</v>
      </c>
      <c r="AG103" s="137" t="s">
        <v>3184</v>
      </c>
      <c r="AH103" s="137" t="s">
        <v>3184</v>
      </c>
      <c r="AI103" s="137" t="s">
        <v>3184</v>
      </c>
      <c r="AJ103" s="137" t="s">
        <v>3184</v>
      </c>
      <c r="AK103" s="137">
        <v>0.72727269999999999</v>
      </c>
      <c r="AM103" s="143" t="s">
        <v>784</v>
      </c>
      <c r="AN103" s="143" t="s">
        <v>768</v>
      </c>
      <c r="AO103" s="143">
        <v>1</v>
      </c>
      <c r="AP103" s="143">
        <v>4337</v>
      </c>
      <c r="AQ103" s="137"/>
      <c r="AR103" s="137"/>
      <c r="AS103" s="137"/>
      <c r="AT103" s="137"/>
      <c r="AU103" s="137"/>
      <c r="AV103" s="137"/>
      <c r="AW103" s="137"/>
      <c r="AX103" s="189">
        <v>0.9</v>
      </c>
      <c r="AY103" s="189">
        <v>0.9</v>
      </c>
      <c r="AZ103" s="78" t="s">
        <v>3185</v>
      </c>
      <c r="BB103" s="143" t="s">
        <v>784</v>
      </c>
      <c r="BC103" s="143" t="s">
        <v>768</v>
      </c>
      <c r="BD103" s="143" t="s">
        <v>680</v>
      </c>
      <c r="BE103" s="143">
        <v>4337</v>
      </c>
      <c r="BF103" s="137"/>
      <c r="BG103" s="137"/>
      <c r="BH103" s="137"/>
      <c r="BI103" s="137"/>
      <c r="BJ103" s="137"/>
      <c r="BK103" s="137"/>
      <c r="BL103" s="137"/>
      <c r="BM103" s="137"/>
      <c r="BN103" s="137"/>
      <c r="BO103" s="137"/>
      <c r="BP103" s="137"/>
      <c r="BQ103" s="137"/>
      <c r="BR103" s="137" t="s">
        <v>3184</v>
      </c>
      <c r="BS103" s="137" t="s">
        <v>3184</v>
      </c>
      <c r="BT103" s="189" t="s">
        <v>3185</v>
      </c>
      <c r="BU103" s="189">
        <v>0.66666669999999995</v>
      </c>
      <c r="BV103" s="78" t="s">
        <v>3185</v>
      </c>
      <c r="BX103" s="143" t="s">
        <v>784</v>
      </c>
      <c r="BY103" s="143" t="s">
        <v>768</v>
      </c>
      <c r="BZ103" s="143" t="s">
        <v>680</v>
      </c>
      <c r="CA103" s="143">
        <v>4337</v>
      </c>
      <c r="CC103" s="137"/>
      <c r="CD103" s="137"/>
      <c r="CE103" s="137"/>
      <c r="CF103" s="189"/>
      <c r="CG103" s="189"/>
    </row>
    <row r="104" spans="1:85" x14ac:dyDescent="0.25">
      <c r="A104" s="143" t="s">
        <v>784</v>
      </c>
      <c r="B104" s="143" t="s">
        <v>768</v>
      </c>
      <c r="C104" s="143" t="s">
        <v>680</v>
      </c>
      <c r="D104" s="143">
        <v>4343</v>
      </c>
      <c r="E104" s="354">
        <v>0.3922078</v>
      </c>
      <c r="F104" s="354">
        <v>0.6</v>
      </c>
      <c r="G104" s="354">
        <v>0.99220779999999997</v>
      </c>
      <c r="H104" s="78" t="s">
        <v>3185</v>
      </c>
      <c r="J104" s="143" t="s">
        <v>784</v>
      </c>
      <c r="K104" s="143" t="s">
        <v>768</v>
      </c>
      <c r="L104" s="143" t="s">
        <v>680</v>
      </c>
      <c r="M104" s="143">
        <v>4343</v>
      </c>
      <c r="N104" s="137">
        <v>0.2</v>
      </c>
      <c r="O104" s="137">
        <v>0.20202020000000001</v>
      </c>
      <c r="P104" s="265">
        <v>0.40202019999999999</v>
      </c>
      <c r="Q104" s="137" t="s">
        <v>3185</v>
      </c>
      <c r="R104" s="137">
        <v>0.1833333</v>
      </c>
      <c r="S104" s="137">
        <v>0</v>
      </c>
      <c r="T104" s="137">
        <v>0.1833333</v>
      </c>
      <c r="V104" s="143" t="s">
        <v>784</v>
      </c>
      <c r="W104" s="143" t="s">
        <v>768</v>
      </c>
      <c r="X104" s="143" t="s">
        <v>680</v>
      </c>
      <c r="Y104" s="143">
        <v>4343</v>
      </c>
      <c r="Z104" s="137" t="s">
        <v>3184</v>
      </c>
      <c r="AA104" s="137" t="s">
        <v>3185</v>
      </c>
      <c r="AB104" s="137" t="s">
        <v>3185</v>
      </c>
      <c r="AC104" s="137" t="s">
        <v>3184</v>
      </c>
      <c r="AD104" s="137" t="s">
        <v>3185</v>
      </c>
      <c r="AE104" s="137" t="s">
        <v>3185</v>
      </c>
      <c r="AF104" s="137" t="s">
        <v>3184</v>
      </c>
      <c r="AG104" s="137" t="s">
        <v>3184</v>
      </c>
      <c r="AH104" s="137" t="s">
        <v>3184</v>
      </c>
      <c r="AI104" s="137" t="s">
        <v>3184</v>
      </c>
      <c r="AJ104" s="137" t="s">
        <v>3184</v>
      </c>
      <c r="AK104" s="137">
        <v>0.63636360000000003</v>
      </c>
      <c r="AM104" s="143" t="s">
        <v>784</v>
      </c>
      <c r="AN104" s="143" t="s">
        <v>768</v>
      </c>
      <c r="AO104" s="143">
        <v>1</v>
      </c>
      <c r="AP104" s="143">
        <v>4343</v>
      </c>
      <c r="AQ104" s="137"/>
      <c r="AR104" s="137"/>
      <c r="AS104" s="137"/>
      <c r="AT104" s="137"/>
      <c r="AU104" s="137"/>
      <c r="AV104" s="137"/>
      <c r="AW104" s="137"/>
      <c r="AX104" s="189">
        <v>0.95</v>
      </c>
      <c r="AY104" s="189">
        <v>0.95</v>
      </c>
      <c r="AZ104" s="78" t="s">
        <v>3185</v>
      </c>
      <c r="BB104" s="143" t="s">
        <v>784</v>
      </c>
      <c r="BC104" s="143" t="s">
        <v>768</v>
      </c>
      <c r="BD104" s="143" t="s">
        <v>680</v>
      </c>
      <c r="BE104" s="143">
        <v>4343</v>
      </c>
      <c r="BF104" s="137"/>
      <c r="BG104" s="137"/>
      <c r="BH104" s="137"/>
      <c r="BI104" s="137"/>
      <c r="BJ104" s="137"/>
      <c r="BK104" s="137"/>
      <c r="BL104" s="137"/>
      <c r="BM104" s="137"/>
      <c r="BN104" s="137"/>
      <c r="BO104" s="137"/>
      <c r="BP104" s="137"/>
      <c r="BQ104" s="137"/>
      <c r="BR104" s="137" t="s">
        <v>3184</v>
      </c>
      <c r="BS104" s="137" t="s">
        <v>3184</v>
      </c>
      <c r="BT104" s="189" t="s">
        <v>3185</v>
      </c>
      <c r="BU104" s="189">
        <v>0.66666669999999995</v>
      </c>
      <c r="BV104" s="78" t="s">
        <v>3185</v>
      </c>
      <c r="BX104" s="143" t="s">
        <v>784</v>
      </c>
      <c r="BY104" s="143" t="s">
        <v>768</v>
      </c>
      <c r="BZ104" s="143" t="s">
        <v>680</v>
      </c>
      <c r="CA104" s="143">
        <v>4343</v>
      </c>
      <c r="CC104" s="137"/>
      <c r="CD104" s="137"/>
      <c r="CE104" s="137"/>
      <c r="CF104" s="189"/>
      <c r="CG104" s="189"/>
    </row>
    <row r="105" spans="1:85" x14ac:dyDescent="0.25">
      <c r="A105" s="143" t="s">
        <v>784</v>
      </c>
      <c r="B105" s="143" t="s">
        <v>768</v>
      </c>
      <c r="C105" s="143" t="s">
        <v>680</v>
      </c>
      <c r="D105" s="143">
        <v>4344</v>
      </c>
      <c r="E105" s="354">
        <v>0.4</v>
      </c>
      <c r="F105" s="354">
        <v>0.6</v>
      </c>
      <c r="G105" s="354">
        <v>1</v>
      </c>
      <c r="H105" s="78" t="s">
        <v>3184</v>
      </c>
      <c r="J105" s="143" t="s">
        <v>784</v>
      </c>
      <c r="K105" s="143" t="s">
        <v>768</v>
      </c>
      <c r="L105" s="143" t="s">
        <v>680</v>
      </c>
      <c r="M105" s="143">
        <v>4344</v>
      </c>
      <c r="N105" s="137">
        <v>0.16363639999999999</v>
      </c>
      <c r="O105" s="137">
        <v>0.37090909999999999</v>
      </c>
      <c r="P105" s="265">
        <v>0.53454550000000001</v>
      </c>
      <c r="Q105" s="137" t="s">
        <v>3185</v>
      </c>
      <c r="R105" s="137">
        <v>0.1666667</v>
      </c>
      <c r="S105" s="137">
        <v>0.17835500000000001</v>
      </c>
      <c r="T105" s="137">
        <v>0.34502159999999998</v>
      </c>
      <c r="V105" s="143" t="s">
        <v>784</v>
      </c>
      <c r="W105" s="143" t="s">
        <v>768</v>
      </c>
      <c r="X105" s="143" t="s">
        <v>680</v>
      </c>
      <c r="Y105" s="143">
        <v>4344</v>
      </c>
      <c r="Z105" s="137" t="s">
        <v>3185</v>
      </c>
      <c r="AA105" s="137" t="s">
        <v>3184</v>
      </c>
      <c r="AB105" s="137" t="s">
        <v>3184</v>
      </c>
      <c r="AC105" s="137" t="s">
        <v>3184</v>
      </c>
      <c r="AD105" s="137" t="s">
        <v>3185</v>
      </c>
      <c r="AE105" s="137" t="s">
        <v>3185</v>
      </c>
      <c r="AF105" s="137" t="s">
        <v>3184</v>
      </c>
      <c r="AG105" s="137" t="s">
        <v>3184</v>
      </c>
      <c r="AH105" s="137" t="s">
        <v>3184</v>
      </c>
      <c r="AI105" s="137" t="s">
        <v>3184</v>
      </c>
      <c r="AJ105" s="137" t="s">
        <v>3184</v>
      </c>
      <c r="AK105" s="137">
        <v>0.72727269999999999</v>
      </c>
      <c r="AM105" s="143" t="s">
        <v>784</v>
      </c>
      <c r="AN105" s="143" t="s">
        <v>768</v>
      </c>
      <c r="AO105" s="143">
        <v>1</v>
      </c>
      <c r="AP105" s="143">
        <v>4344</v>
      </c>
      <c r="AQ105" s="137"/>
      <c r="AR105" s="137"/>
      <c r="AS105" s="137"/>
      <c r="AT105" s="137"/>
      <c r="AU105" s="137"/>
      <c r="AV105" s="137"/>
      <c r="AW105" s="137"/>
      <c r="AX105" s="189">
        <v>0.96250000000000002</v>
      </c>
      <c r="AY105" s="189">
        <v>0.96250000000000002</v>
      </c>
      <c r="AZ105" s="78" t="s">
        <v>3184</v>
      </c>
      <c r="BB105" s="143" t="s">
        <v>784</v>
      </c>
      <c r="BC105" s="143" t="s">
        <v>768</v>
      </c>
      <c r="BD105" s="143" t="s">
        <v>680</v>
      </c>
      <c r="BE105" s="143">
        <v>4344</v>
      </c>
      <c r="BF105" s="137"/>
      <c r="BG105" s="137"/>
      <c r="BH105" s="137"/>
      <c r="BI105" s="137"/>
      <c r="BJ105" s="137"/>
      <c r="BK105" s="137"/>
      <c r="BL105" s="137"/>
      <c r="BM105" s="137"/>
      <c r="BN105" s="137"/>
      <c r="BO105" s="137"/>
      <c r="BP105" s="137"/>
      <c r="BQ105" s="137"/>
      <c r="BR105" s="137" t="s">
        <v>3184</v>
      </c>
      <c r="BS105" s="137" t="s">
        <v>3184</v>
      </c>
      <c r="BT105" s="189" t="s">
        <v>3185</v>
      </c>
      <c r="BU105" s="189">
        <v>0.66666669999999995</v>
      </c>
      <c r="BV105" s="78" t="s">
        <v>3185</v>
      </c>
      <c r="BX105" s="143" t="s">
        <v>784</v>
      </c>
      <c r="BY105" s="143" t="s">
        <v>768</v>
      </c>
      <c r="BZ105" s="143" t="s">
        <v>680</v>
      </c>
      <c r="CA105" s="143">
        <v>4344</v>
      </c>
      <c r="CC105" s="137"/>
      <c r="CD105" s="137"/>
      <c r="CE105" s="137"/>
      <c r="CF105" s="189"/>
      <c r="CG105" s="189"/>
    </row>
    <row r="106" spans="1:85" x14ac:dyDescent="0.25">
      <c r="A106" s="143" t="s">
        <v>784</v>
      </c>
      <c r="B106" s="143" t="s">
        <v>768</v>
      </c>
      <c r="C106" s="143" t="s">
        <v>680</v>
      </c>
      <c r="D106" s="143">
        <v>4345</v>
      </c>
      <c r="E106" s="354">
        <v>0.39740259999999999</v>
      </c>
      <c r="F106" s="354">
        <v>0.6</v>
      </c>
      <c r="G106" s="354">
        <v>0.99740260000000003</v>
      </c>
      <c r="H106" s="78" t="s">
        <v>3185</v>
      </c>
      <c r="J106" s="143" t="s">
        <v>784</v>
      </c>
      <c r="K106" s="143" t="s">
        <v>768</v>
      </c>
      <c r="L106" s="143" t="s">
        <v>680</v>
      </c>
      <c r="M106" s="143">
        <v>4345</v>
      </c>
      <c r="N106" s="137">
        <v>0.16363639999999999</v>
      </c>
      <c r="O106" s="137">
        <v>0.47757579999999999</v>
      </c>
      <c r="P106" s="265">
        <v>0.64121209999999995</v>
      </c>
      <c r="Q106" s="137" t="s">
        <v>3185</v>
      </c>
      <c r="R106" s="137">
        <v>0.13333329999999999</v>
      </c>
      <c r="S106" s="137">
        <v>0.46580090000000002</v>
      </c>
      <c r="T106" s="137">
        <v>0.59913419999999995</v>
      </c>
      <c r="V106" s="143" t="s">
        <v>784</v>
      </c>
      <c r="W106" s="143" t="s">
        <v>768</v>
      </c>
      <c r="X106" s="143" t="s">
        <v>680</v>
      </c>
      <c r="Y106" s="143">
        <v>4345</v>
      </c>
      <c r="Z106" s="137" t="s">
        <v>3184</v>
      </c>
      <c r="AA106" s="137" t="s">
        <v>3185</v>
      </c>
      <c r="AB106" s="137" t="s">
        <v>3184</v>
      </c>
      <c r="AC106" s="137" t="s">
        <v>3184</v>
      </c>
      <c r="AD106" s="137" t="s">
        <v>3185</v>
      </c>
      <c r="AE106" s="137" t="s">
        <v>3185</v>
      </c>
      <c r="AF106" s="137" t="s">
        <v>3184</v>
      </c>
      <c r="AG106" s="137" t="s">
        <v>3184</v>
      </c>
      <c r="AH106" s="137" t="s">
        <v>3184</v>
      </c>
      <c r="AI106" s="137" t="s">
        <v>3184</v>
      </c>
      <c r="AJ106" s="137" t="s">
        <v>3184</v>
      </c>
      <c r="AK106" s="137">
        <v>0.72727269999999999</v>
      </c>
      <c r="AM106" s="143" t="s">
        <v>784</v>
      </c>
      <c r="AN106" s="143" t="s">
        <v>768</v>
      </c>
      <c r="AO106" s="143">
        <v>1</v>
      </c>
      <c r="AP106" s="143">
        <v>4345</v>
      </c>
      <c r="AQ106" s="137"/>
      <c r="AR106" s="137"/>
      <c r="AS106" s="137"/>
      <c r="AT106" s="137"/>
      <c r="AU106" s="137"/>
      <c r="AV106" s="137"/>
      <c r="AW106" s="137"/>
      <c r="AX106" s="189">
        <v>0.91249999999999998</v>
      </c>
      <c r="AY106" s="189">
        <v>0.91249999999999998</v>
      </c>
      <c r="AZ106" s="78" t="s">
        <v>3185</v>
      </c>
      <c r="BB106" s="143" t="s">
        <v>784</v>
      </c>
      <c r="BC106" s="143" t="s">
        <v>768</v>
      </c>
      <c r="BD106" s="143" t="s">
        <v>680</v>
      </c>
      <c r="BE106" s="143">
        <v>4345</v>
      </c>
      <c r="BF106" s="137"/>
      <c r="BG106" s="137"/>
      <c r="BH106" s="137"/>
      <c r="BI106" s="137"/>
      <c r="BJ106" s="137"/>
      <c r="BK106" s="137"/>
      <c r="BL106" s="137"/>
      <c r="BM106" s="137"/>
      <c r="BN106" s="137"/>
      <c r="BO106" s="137"/>
      <c r="BP106" s="137"/>
      <c r="BQ106" s="137"/>
      <c r="BR106" s="137" t="s">
        <v>3184</v>
      </c>
      <c r="BS106" s="137" t="s">
        <v>3184</v>
      </c>
      <c r="BT106" s="189" t="s">
        <v>3185</v>
      </c>
      <c r="BU106" s="189">
        <v>0.66666669999999995</v>
      </c>
      <c r="BV106" s="78" t="s">
        <v>3185</v>
      </c>
      <c r="BX106" s="143" t="s">
        <v>784</v>
      </c>
      <c r="BY106" s="143" t="s">
        <v>768</v>
      </c>
      <c r="BZ106" s="143" t="s">
        <v>680</v>
      </c>
      <c r="CA106" s="143">
        <v>4345</v>
      </c>
      <c r="CC106" s="137"/>
      <c r="CD106" s="137"/>
      <c r="CE106" s="137"/>
      <c r="CF106" s="189"/>
      <c r="CG106" s="189"/>
    </row>
    <row r="107" spans="1:85" x14ac:dyDescent="0.25">
      <c r="A107" s="143" t="s">
        <v>785</v>
      </c>
      <c r="B107" s="143" t="s">
        <v>772</v>
      </c>
      <c r="C107" s="143" t="s">
        <v>680</v>
      </c>
      <c r="D107" s="143">
        <v>281</v>
      </c>
      <c r="E107" s="354">
        <v>0.4</v>
      </c>
      <c r="F107" s="354">
        <v>0.6</v>
      </c>
      <c r="G107" s="354">
        <v>1</v>
      </c>
      <c r="H107" s="78" t="s">
        <v>3184</v>
      </c>
      <c r="J107" s="143" t="s">
        <v>785</v>
      </c>
      <c r="K107" s="143" t="s">
        <v>772</v>
      </c>
      <c r="L107" s="143" t="s">
        <v>680</v>
      </c>
      <c r="M107" s="143">
        <v>281</v>
      </c>
      <c r="N107" s="137">
        <v>0.16363639999999999</v>
      </c>
      <c r="O107" s="137">
        <v>0.4331313</v>
      </c>
      <c r="P107" s="265">
        <v>0.59676770000000001</v>
      </c>
      <c r="Q107" s="137" t="s">
        <v>3185</v>
      </c>
      <c r="R107" s="137">
        <v>0.13333329999999999</v>
      </c>
      <c r="S107" s="137">
        <v>0</v>
      </c>
      <c r="T107" s="137">
        <v>0.13333329999999999</v>
      </c>
      <c r="V107" s="143" t="s">
        <v>785</v>
      </c>
      <c r="W107" s="143" t="s">
        <v>772</v>
      </c>
      <c r="X107" s="143" t="s">
        <v>680</v>
      </c>
      <c r="Y107" s="143">
        <v>281</v>
      </c>
      <c r="Z107" s="137" t="s">
        <v>3185</v>
      </c>
      <c r="AA107" s="137" t="s">
        <v>3184</v>
      </c>
      <c r="AB107" s="137" t="s">
        <v>3185</v>
      </c>
      <c r="AC107" s="137" t="s">
        <v>3185</v>
      </c>
      <c r="AD107" s="137" t="s">
        <v>3185</v>
      </c>
      <c r="AE107" s="137" t="s">
        <v>3185</v>
      </c>
      <c r="AF107" s="137" t="s">
        <v>3185</v>
      </c>
      <c r="AG107" s="137" t="s">
        <v>3184</v>
      </c>
      <c r="AH107" s="137" t="s">
        <v>3184</v>
      </c>
      <c r="AI107" s="137" t="s">
        <v>3184</v>
      </c>
      <c r="AJ107" s="137" t="s">
        <v>3184</v>
      </c>
      <c r="AK107" s="137">
        <v>0.45454549999999999</v>
      </c>
      <c r="AM107" s="143" t="s">
        <v>785</v>
      </c>
      <c r="AN107" s="143" t="s">
        <v>772</v>
      </c>
      <c r="AO107" s="143">
        <v>1</v>
      </c>
      <c r="AP107" s="143">
        <v>281</v>
      </c>
      <c r="AQ107" s="137"/>
      <c r="AR107" s="137"/>
      <c r="AS107" s="137"/>
      <c r="AT107" s="137"/>
      <c r="AU107" s="137"/>
      <c r="AV107" s="137"/>
      <c r="AW107" s="137"/>
      <c r="AX107" s="189">
        <v>0.73750000000000004</v>
      </c>
      <c r="AY107" s="189">
        <v>0.73750000000000004</v>
      </c>
      <c r="AZ107" s="78" t="s">
        <v>3185</v>
      </c>
      <c r="BB107" s="143" t="s">
        <v>785</v>
      </c>
      <c r="BC107" s="143" t="s">
        <v>772</v>
      </c>
      <c r="BD107" s="143" t="s">
        <v>680</v>
      </c>
      <c r="BE107" s="143">
        <v>281</v>
      </c>
      <c r="BF107" s="137"/>
      <c r="BG107" s="137"/>
      <c r="BH107" s="137"/>
      <c r="BI107" s="137"/>
      <c r="BJ107" s="137"/>
      <c r="BK107" s="137"/>
      <c r="BL107" s="137"/>
      <c r="BM107" s="137"/>
      <c r="BN107" s="137"/>
      <c r="BO107" s="137"/>
      <c r="BP107" s="137"/>
      <c r="BQ107" s="137"/>
      <c r="BR107" s="137" t="s">
        <v>3184</v>
      </c>
      <c r="BS107" s="137" t="s">
        <v>3184</v>
      </c>
      <c r="BT107" s="189" t="s">
        <v>3184</v>
      </c>
      <c r="BU107" s="189">
        <v>1</v>
      </c>
      <c r="BV107" s="78" t="s">
        <v>3184</v>
      </c>
      <c r="BX107" s="143" t="s">
        <v>785</v>
      </c>
      <c r="BY107" s="143" t="s">
        <v>772</v>
      </c>
      <c r="BZ107" s="143" t="s">
        <v>680</v>
      </c>
      <c r="CA107" s="143">
        <v>281</v>
      </c>
      <c r="CC107" s="137"/>
      <c r="CD107" s="137"/>
      <c r="CE107" s="137"/>
      <c r="CF107" s="189"/>
      <c r="CG107" s="189"/>
    </row>
    <row r="108" spans="1:85" x14ac:dyDescent="0.25">
      <c r="A108" s="143" t="s">
        <v>785</v>
      </c>
      <c r="B108" s="143" t="s">
        <v>772</v>
      </c>
      <c r="C108" s="143" t="s">
        <v>680</v>
      </c>
      <c r="D108" s="143">
        <v>2475</v>
      </c>
      <c r="E108" s="354">
        <v>0.4</v>
      </c>
      <c r="F108" s="354">
        <v>0.6</v>
      </c>
      <c r="G108" s="354">
        <v>1</v>
      </c>
      <c r="H108" s="78" t="s">
        <v>3184</v>
      </c>
      <c r="J108" s="143" t="s">
        <v>785</v>
      </c>
      <c r="K108" s="143" t="s">
        <v>772</v>
      </c>
      <c r="L108" s="143" t="s">
        <v>680</v>
      </c>
      <c r="M108" s="143">
        <v>2475</v>
      </c>
      <c r="N108" s="137">
        <v>0.18181820000000001</v>
      </c>
      <c r="O108" s="137">
        <v>0.72</v>
      </c>
      <c r="P108" s="265">
        <v>0.90181820000000001</v>
      </c>
      <c r="Q108" s="137" t="s">
        <v>3184</v>
      </c>
      <c r="R108" s="137">
        <v>0.1833333</v>
      </c>
      <c r="S108" s="137">
        <v>0.2</v>
      </c>
      <c r="T108" s="137">
        <v>0.38333329999999999</v>
      </c>
      <c r="V108" s="143" t="s">
        <v>785</v>
      </c>
      <c r="W108" s="143" t="s">
        <v>772</v>
      </c>
      <c r="X108" s="143" t="s">
        <v>680</v>
      </c>
      <c r="Y108" s="143">
        <v>2475</v>
      </c>
      <c r="Z108" s="137" t="s">
        <v>3184</v>
      </c>
      <c r="AA108" s="137" t="s">
        <v>3184</v>
      </c>
      <c r="AB108" s="137" t="s">
        <v>3184</v>
      </c>
      <c r="AC108" s="137" t="s">
        <v>3184</v>
      </c>
      <c r="AD108" s="137" t="s">
        <v>3185</v>
      </c>
      <c r="AE108" s="137" t="s">
        <v>3185</v>
      </c>
      <c r="AF108" s="137" t="s">
        <v>3184</v>
      </c>
      <c r="AG108" s="137" t="s">
        <v>3185</v>
      </c>
      <c r="AH108" s="137" t="s">
        <v>3184</v>
      </c>
      <c r="AI108" s="137" t="s">
        <v>3184</v>
      </c>
      <c r="AJ108" s="137" t="s">
        <v>3184</v>
      </c>
      <c r="AK108" s="137">
        <v>0.72727269999999999</v>
      </c>
      <c r="AM108" s="143" t="s">
        <v>785</v>
      </c>
      <c r="AN108" s="143" t="s">
        <v>772</v>
      </c>
      <c r="AO108" s="143">
        <v>1</v>
      </c>
      <c r="AP108" s="143">
        <v>2475</v>
      </c>
      <c r="AQ108" s="137"/>
      <c r="AR108" s="137"/>
      <c r="AS108" s="137"/>
      <c r="AT108" s="137"/>
      <c r="AU108" s="137"/>
      <c r="AV108" s="137"/>
      <c r="AW108" s="137"/>
      <c r="AX108" s="189">
        <v>0.98750000000000004</v>
      </c>
      <c r="AY108" s="189">
        <v>0.98750000000000004</v>
      </c>
      <c r="AZ108" s="78" t="s">
        <v>3184</v>
      </c>
      <c r="BB108" s="143" t="s">
        <v>785</v>
      </c>
      <c r="BC108" s="143" t="s">
        <v>772</v>
      </c>
      <c r="BD108" s="143" t="s">
        <v>680</v>
      </c>
      <c r="BE108" s="143">
        <v>2475</v>
      </c>
      <c r="BF108" s="137"/>
      <c r="BG108" s="137"/>
      <c r="BH108" s="137"/>
      <c r="BI108" s="137"/>
      <c r="BJ108" s="137"/>
      <c r="BK108" s="137"/>
      <c r="BL108" s="137"/>
      <c r="BM108" s="137"/>
      <c r="BN108" s="137"/>
      <c r="BO108" s="137"/>
      <c r="BP108" s="137"/>
      <c r="BQ108" s="137"/>
      <c r="BR108" s="137" t="s">
        <v>3184</v>
      </c>
      <c r="BS108" s="137" t="s">
        <v>3185</v>
      </c>
      <c r="BT108" s="189" t="s">
        <v>3184</v>
      </c>
      <c r="BU108" s="189">
        <v>0.66666669999999995</v>
      </c>
      <c r="BV108" s="78" t="s">
        <v>3185</v>
      </c>
      <c r="BX108" s="143" t="s">
        <v>785</v>
      </c>
      <c r="BY108" s="143" t="s">
        <v>772</v>
      </c>
      <c r="BZ108" s="143" t="s">
        <v>680</v>
      </c>
      <c r="CA108" s="143">
        <v>2475</v>
      </c>
      <c r="CC108" s="137"/>
      <c r="CD108" s="137"/>
      <c r="CE108" s="137"/>
      <c r="CF108" s="189"/>
      <c r="CG108" s="189"/>
    </row>
    <row r="109" spans="1:85" x14ac:dyDescent="0.25">
      <c r="A109" s="143" t="s">
        <v>785</v>
      </c>
      <c r="B109" s="143" t="s">
        <v>772</v>
      </c>
      <c r="C109" s="143" t="s">
        <v>680</v>
      </c>
      <c r="D109" s="143">
        <v>2540</v>
      </c>
      <c r="E109" s="354">
        <v>0.39740259999999999</v>
      </c>
      <c r="F109" s="354">
        <v>0.6</v>
      </c>
      <c r="G109" s="354">
        <v>0.99740260000000003</v>
      </c>
      <c r="H109" s="78" t="s">
        <v>3185</v>
      </c>
      <c r="J109" s="143" t="s">
        <v>785</v>
      </c>
      <c r="K109" s="143" t="s">
        <v>772</v>
      </c>
      <c r="L109" s="143" t="s">
        <v>680</v>
      </c>
      <c r="M109" s="143">
        <v>2540</v>
      </c>
      <c r="N109" s="137">
        <v>0.12727269999999999</v>
      </c>
      <c r="O109" s="137">
        <v>0.50909090000000001</v>
      </c>
      <c r="P109" s="265">
        <v>0.63636360000000003</v>
      </c>
      <c r="Q109" s="137" t="s">
        <v>3185</v>
      </c>
      <c r="R109" s="137">
        <v>0.15</v>
      </c>
      <c r="S109" s="137">
        <v>6.6666699999999995E-2</v>
      </c>
      <c r="T109" s="137">
        <v>0.21666669999999999</v>
      </c>
      <c r="V109" s="143" t="s">
        <v>785</v>
      </c>
      <c r="W109" s="143" t="s">
        <v>772</v>
      </c>
      <c r="X109" s="143" t="s">
        <v>680</v>
      </c>
      <c r="Y109" s="143">
        <v>2540</v>
      </c>
      <c r="Z109" s="137" t="s">
        <v>3184</v>
      </c>
      <c r="AA109" s="137" t="s">
        <v>3184</v>
      </c>
      <c r="AB109" s="137" t="s">
        <v>3184</v>
      </c>
      <c r="AC109" s="137" t="s">
        <v>3184</v>
      </c>
      <c r="AD109" s="137" t="s">
        <v>3185</v>
      </c>
      <c r="AE109" s="137" t="s">
        <v>3185</v>
      </c>
      <c r="AF109" s="137" t="s">
        <v>3184</v>
      </c>
      <c r="AG109" s="137" t="s">
        <v>3184</v>
      </c>
      <c r="AH109" s="137" t="s">
        <v>3184</v>
      </c>
      <c r="AI109" s="137" t="s">
        <v>3184</v>
      </c>
      <c r="AJ109" s="137" t="s">
        <v>3185</v>
      </c>
      <c r="AK109" s="137">
        <v>0.72727269999999999</v>
      </c>
      <c r="AM109" s="143" t="s">
        <v>785</v>
      </c>
      <c r="AN109" s="143" t="s">
        <v>772</v>
      </c>
      <c r="AO109" s="143">
        <v>1</v>
      </c>
      <c r="AP109" s="143">
        <v>2540</v>
      </c>
      <c r="AQ109" s="137"/>
      <c r="AR109" s="137"/>
      <c r="AS109" s="137"/>
      <c r="AT109" s="137"/>
      <c r="AU109" s="137"/>
      <c r="AV109" s="137"/>
      <c r="AW109" s="137"/>
      <c r="AX109" s="189">
        <v>0.82499999999999996</v>
      </c>
      <c r="AY109" s="189">
        <v>0.82499999999999996</v>
      </c>
      <c r="AZ109" s="78" t="s">
        <v>3185</v>
      </c>
      <c r="BB109" s="143" t="s">
        <v>785</v>
      </c>
      <c r="BC109" s="143" t="s">
        <v>772</v>
      </c>
      <c r="BD109" s="143" t="s">
        <v>680</v>
      </c>
      <c r="BE109" s="143">
        <v>2540</v>
      </c>
      <c r="BF109" s="137"/>
      <c r="BG109" s="137"/>
      <c r="BH109" s="137"/>
      <c r="BI109" s="137"/>
      <c r="BJ109" s="137"/>
      <c r="BK109" s="137"/>
      <c r="BL109" s="137"/>
      <c r="BM109" s="137"/>
      <c r="BN109" s="137"/>
      <c r="BO109" s="137"/>
      <c r="BP109" s="137"/>
      <c r="BQ109" s="137"/>
      <c r="BR109" s="137" t="s">
        <v>3184</v>
      </c>
      <c r="BS109" s="137" t="s">
        <v>3185</v>
      </c>
      <c r="BT109" s="189" t="s">
        <v>3184</v>
      </c>
      <c r="BU109" s="189">
        <v>0.66666669999999995</v>
      </c>
      <c r="BV109" s="78" t="s">
        <v>3185</v>
      </c>
      <c r="BX109" s="143" t="s">
        <v>785</v>
      </c>
      <c r="BY109" s="143" t="s">
        <v>772</v>
      </c>
      <c r="BZ109" s="143" t="s">
        <v>680</v>
      </c>
      <c r="CA109" s="143">
        <v>2540</v>
      </c>
      <c r="CC109" s="137"/>
      <c r="CD109" s="137"/>
      <c r="CE109" s="137"/>
      <c r="CF109" s="189"/>
      <c r="CG109" s="189"/>
    </row>
    <row r="110" spans="1:85" x14ac:dyDescent="0.25">
      <c r="A110" s="143" t="s">
        <v>785</v>
      </c>
      <c r="B110" s="143" t="s">
        <v>772</v>
      </c>
      <c r="C110" s="143" t="s">
        <v>680</v>
      </c>
      <c r="D110" s="143">
        <v>2981</v>
      </c>
      <c r="E110" s="354">
        <v>0.4</v>
      </c>
      <c r="F110" s="354">
        <v>0.6</v>
      </c>
      <c r="G110" s="354">
        <v>1</v>
      </c>
      <c r="H110" s="78" t="s">
        <v>3184</v>
      </c>
      <c r="J110" s="143" t="s">
        <v>785</v>
      </c>
      <c r="K110" s="143" t="s">
        <v>772</v>
      </c>
      <c r="L110" s="143" t="s">
        <v>680</v>
      </c>
      <c r="M110" s="143">
        <v>2981</v>
      </c>
      <c r="N110" s="137">
        <v>0.2</v>
      </c>
      <c r="O110" s="137">
        <v>0.50909090000000001</v>
      </c>
      <c r="P110" s="265">
        <v>0.70909089999999997</v>
      </c>
      <c r="Q110" s="137" t="s">
        <v>3185</v>
      </c>
      <c r="R110" s="137">
        <v>0.2</v>
      </c>
      <c r="S110" s="137">
        <v>0.22510820000000001</v>
      </c>
      <c r="T110" s="137">
        <v>0.42510819999999999</v>
      </c>
      <c r="V110" s="143" t="s">
        <v>785</v>
      </c>
      <c r="W110" s="143" t="s">
        <v>772</v>
      </c>
      <c r="X110" s="143" t="s">
        <v>680</v>
      </c>
      <c r="Y110" s="143">
        <v>2981</v>
      </c>
      <c r="Z110" s="137" t="s">
        <v>3184</v>
      </c>
      <c r="AA110" s="137" t="s">
        <v>3184</v>
      </c>
      <c r="AB110" s="137" t="s">
        <v>3184</v>
      </c>
      <c r="AC110" s="137" t="s">
        <v>3184</v>
      </c>
      <c r="AD110" s="137" t="s">
        <v>3185</v>
      </c>
      <c r="AE110" s="137" t="s">
        <v>3185</v>
      </c>
      <c r="AF110" s="137" t="s">
        <v>3184</v>
      </c>
      <c r="AG110" s="137" t="s">
        <v>3184</v>
      </c>
      <c r="AH110" s="137" t="s">
        <v>3184</v>
      </c>
      <c r="AI110" s="137" t="s">
        <v>3184</v>
      </c>
      <c r="AJ110" s="137" t="s">
        <v>3185</v>
      </c>
      <c r="AK110" s="137">
        <v>0.72727269999999999</v>
      </c>
      <c r="AM110" s="143" t="s">
        <v>785</v>
      </c>
      <c r="AN110" s="143" t="s">
        <v>772</v>
      </c>
      <c r="AO110" s="143">
        <v>1</v>
      </c>
      <c r="AP110" s="143">
        <v>2981</v>
      </c>
      <c r="AQ110" s="137"/>
      <c r="AR110" s="137"/>
      <c r="AS110" s="137"/>
      <c r="AT110" s="137"/>
      <c r="AU110" s="137"/>
      <c r="AV110" s="137"/>
      <c r="AW110" s="137"/>
      <c r="AX110" s="189">
        <v>0.9375</v>
      </c>
      <c r="AY110" s="189">
        <v>0.9375</v>
      </c>
      <c r="AZ110" s="78" t="s">
        <v>3185</v>
      </c>
      <c r="BB110" s="143" t="s">
        <v>785</v>
      </c>
      <c r="BC110" s="143" t="s">
        <v>772</v>
      </c>
      <c r="BD110" s="143" t="s">
        <v>680</v>
      </c>
      <c r="BE110" s="143">
        <v>2981</v>
      </c>
      <c r="BF110" s="137"/>
      <c r="BG110" s="137"/>
      <c r="BH110" s="137"/>
      <c r="BI110" s="137"/>
      <c r="BJ110" s="137"/>
      <c r="BK110" s="137"/>
      <c r="BL110" s="137"/>
      <c r="BM110" s="137"/>
      <c r="BN110" s="137"/>
      <c r="BO110" s="137"/>
      <c r="BP110" s="137"/>
      <c r="BQ110" s="137"/>
      <c r="BR110" s="137" t="s">
        <v>3184</v>
      </c>
      <c r="BS110" s="137" t="s">
        <v>3185</v>
      </c>
      <c r="BT110" s="189" t="s">
        <v>3184</v>
      </c>
      <c r="BU110" s="189">
        <v>0.66666669999999995</v>
      </c>
      <c r="BV110" s="78" t="s">
        <v>3185</v>
      </c>
      <c r="BX110" s="143" t="s">
        <v>785</v>
      </c>
      <c r="BY110" s="143" t="s">
        <v>772</v>
      </c>
      <c r="BZ110" s="143" t="s">
        <v>680</v>
      </c>
      <c r="CA110" s="143">
        <v>2981</v>
      </c>
      <c r="CC110" s="137"/>
      <c r="CD110" s="137"/>
      <c r="CE110" s="137"/>
      <c r="CF110" s="189"/>
      <c r="CG110" s="189"/>
    </row>
    <row r="111" spans="1:85" x14ac:dyDescent="0.25">
      <c r="A111" s="143" t="s">
        <v>786</v>
      </c>
      <c r="B111" s="143" t="s">
        <v>787</v>
      </c>
      <c r="C111" s="143" t="s">
        <v>680</v>
      </c>
      <c r="D111" s="143">
        <v>2286</v>
      </c>
      <c r="E111" s="354">
        <v>0.4</v>
      </c>
      <c r="F111" s="354">
        <v>0.6</v>
      </c>
      <c r="G111" s="354">
        <v>1</v>
      </c>
      <c r="H111" s="78" t="s">
        <v>3184</v>
      </c>
      <c r="J111" s="143" t="s">
        <v>786</v>
      </c>
      <c r="K111" s="143" t="s">
        <v>787</v>
      </c>
      <c r="L111" s="143" t="s">
        <v>680</v>
      </c>
      <c r="M111" s="143">
        <v>2286</v>
      </c>
      <c r="N111" s="137">
        <v>0.16363639999999999</v>
      </c>
      <c r="O111" s="137">
        <v>0.36363640000000003</v>
      </c>
      <c r="P111" s="265">
        <v>0.52727270000000004</v>
      </c>
      <c r="Q111" s="137" t="s">
        <v>3185</v>
      </c>
      <c r="R111" s="137">
        <v>0.1666667</v>
      </c>
      <c r="S111" s="137">
        <v>0.13333329999999999</v>
      </c>
      <c r="T111" s="137">
        <v>0.3</v>
      </c>
      <c r="V111" s="143" t="s">
        <v>786</v>
      </c>
      <c r="W111" s="143" t="s">
        <v>787</v>
      </c>
      <c r="X111" s="143" t="s">
        <v>680</v>
      </c>
      <c r="Y111" s="143">
        <v>2286</v>
      </c>
      <c r="Z111" s="137" t="s">
        <v>3185</v>
      </c>
      <c r="AA111" s="137" t="s">
        <v>3184</v>
      </c>
      <c r="AB111" s="137" t="s">
        <v>3184</v>
      </c>
      <c r="AC111" s="137" t="s">
        <v>3184</v>
      </c>
      <c r="AD111" s="137" t="s">
        <v>3185</v>
      </c>
      <c r="AE111" s="137" t="s">
        <v>3185</v>
      </c>
      <c r="AF111" s="137" t="s">
        <v>3184</v>
      </c>
      <c r="AG111" s="137" t="s">
        <v>3184</v>
      </c>
      <c r="AH111" s="137" t="s">
        <v>3184</v>
      </c>
      <c r="AI111" s="137" t="s">
        <v>3184</v>
      </c>
      <c r="AJ111" s="137" t="s">
        <v>3184</v>
      </c>
      <c r="AK111" s="137">
        <v>0.72727269999999999</v>
      </c>
      <c r="AM111" s="143" t="s">
        <v>786</v>
      </c>
      <c r="AN111" s="143" t="s">
        <v>787</v>
      </c>
      <c r="AO111" s="143">
        <v>1</v>
      </c>
      <c r="AP111" s="143">
        <v>2286</v>
      </c>
      <c r="AQ111" s="137"/>
      <c r="AR111" s="137"/>
      <c r="AS111" s="137"/>
      <c r="AT111" s="137"/>
      <c r="AU111" s="137"/>
      <c r="AV111" s="137"/>
      <c r="AW111" s="137"/>
      <c r="AX111" s="189">
        <v>0.85</v>
      </c>
      <c r="AY111" s="189">
        <v>0.85</v>
      </c>
      <c r="AZ111" s="78" t="s">
        <v>3185</v>
      </c>
      <c r="BB111" s="143" t="s">
        <v>786</v>
      </c>
      <c r="BC111" s="143" t="s">
        <v>787</v>
      </c>
      <c r="BD111" s="143" t="s">
        <v>680</v>
      </c>
      <c r="BE111" s="143">
        <v>2286</v>
      </c>
      <c r="BF111" s="137"/>
      <c r="BG111" s="137"/>
      <c r="BH111" s="137"/>
      <c r="BI111" s="137"/>
      <c r="BJ111" s="137"/>
      <c r="BK111" s="137"/>
      <c r="BL111" s="137"/>
      <c r="BM111" s="137"/>
      <c r="BN111" s="137"/>
      <c r="BO111" s="137"/>
      <c r="BP111" s="137"/>
      <c r="BQ111" s="137"/>
      <c r="BR111" s="137" t="s">
        <v>3184</v>
      </c>
      <c r="BS111" s="137" t="s">
        <v>3184</v>
      </c>
      <c r="BT111" s="189" t="s">
        <v>3184</v>
      </c>
      <c r="BU111" s="189">
        <v>1</v>
      </c>
      <c r="BV111" s="78" t="s">
        <v>3184</v>
      </c>
      <c r="BX111" s="143" t="s">
        <v>786</v>
      </c>
      <c r="BY111" s="143" t="s">
        <v>787</v>
      </c>
      <c r="BZ111" s="143" t="s">
        <v>680</v>
      </c>
      <c r="CA111" s="143">
        <v>2286</v>
      </c>
      <c r="CC111" s="137"/>
      <c r="CD111" s="137"/>
      <c r="CE111" s="137"/>
      <c r="CF111" s="189"/>
      <c r="CG111" s="189"/>
    </row>
    <row r="112" spans="1:85" x14ac:dyDescent="0.25">
      <c r="A112" s="143" t="s">
        <v>786</v>
      </c>
      <c r="B112" s="143" t="s">
        <v>787</v>
      </c>
      <c r="C112" s="143" t="s">
        <v>680</v>
      </c>
      <c r="D112" s="143">
        <v>2867</v>
      </c>
      <c r="E112" s="354">
        <v>0.4</v>
      </c>
      <c r="F112" s="354">
        <v>0.6</v>
      </c>
      <c r="G112" s="354">
        <v>1</v>
      </c>
      <c r="H112" s="78" t="s">
        <v>3184</v>
      </c>
      <c r="J112" s="143" t="s">
        <v>786</v>
      </c>
      <c r="K112" s="143" t="s">
        <v>787</v>
      </c>
      <c r="L112" s="143" t="s">
        <v>680</v>
      </c>
      <c r="M112" s="143">
        <v>2867</v>
      </c>
      <c r="N112" s="137">
        <v>0.14545449999999999</v>
      </c>
      <c r="O112" s="137">
        <v>0.60282829999999998</v>
      </c>
      <c r="P112" s="265">
        <v>0.74828280000000003</v>
      </c>
      <c r="Q112" s="137" t="s">
        <v>3185</v>
      </c>
      <c r="R112" s="137">
        <v>0.13333329999999999</v>
      </c>
      <c r="S112" s="137">
        <v>0.28571429999999998</v>
      </c>
      <c r="T112" s="137">
        <v>0.41904760000000002</v>
      </c>
      <c r="V112" s="143" t="s">
        <v>786</v>
      </c>
      <c r="W112" s="143" t="s">
        <v>787</v>
      </c>
      <c r="X112" s="143" t="s">
        <v>680</v>
      </c>
      <c r="Y112" s="143">
        <v>2867</v>
      </c>
      <c r="Z112" s="137" t="s">
        <v>3185</v>
      </c>
      <c r="AA112" s="137" t="s">
        <v>3184</v>
      </c>
      <c r="AB112" s="137" t="s">
        <v>3185</v>
      </c>
      <c r="AC112" s="137" t="s">
        <v>3184</v>
      </c>
      <c r="AD112" s="137" t="s">
        <v>3185</v>
      </c>
      <c r="AE112" s="137" t="s">
        <v>3185</v>
      </c>
      <c r="AF112" s="137" t="s">
        <v>3185</v>
      </c>
      <c r="AG112" s="137" t="s">
        <v>3184</v>
      </c>
      <c r="AH112" s="137" t="s">
        <v>3184</v>
      </c>
      <c r="AI112" s="137" t="s">
        <v>3184</v>
      </c>
      <c r="AJ112" s="137" t="s">
        <v>3184</v>
      </c>
      <c r="AK112" s="137">
        <v>0.54545460000000001</v>
      </c>
      <c r="AM112" s="143" t="s">
        <v>786</v>
      </c>
      <c r="AN112" s="143" t="s">
        <v>787</v>
      </c>
      <c r="AO112" s="143">
        <v>1</v>
      </c>
      <c r="AP112" s="143">
        <v>2867</v>
      </c>
      <c r="AQ112" s="137"/>
      <c r="AR112" s="137"/>
      <c r="AS112" s="137"/>
      <c r="AT112" s="137"/>
      <c r="AU112" s="137"/>
      <c r="AV112" s="137"/>
      <c r="AW112" s="137"/>
      <c r="AX112" s="189">
        <v>0.875</v>
      </c>
      <c r="AY112" s="189">
        <v>0.875</v>
      </c>
      <c r="AZ112" s="78" t="s">
        <v>3185</v>
      </c>
      <c r="BB112" s="143" t="s">
        <v>786</v>
      </c>
      <c r="BC112" s="143" t="s">
        <v>787</v>
      </c>
      <c r="BD112" s="143" t="s">
        <v>680</v>
      </c>
      <c r="BE112" s="143">
        <v>2867</v>
      </c>
      <c r="BF112" s="137"/>
      <c r="BG112" s="137"/>
      <c r="BH112" s="137"/>
      <c r="BI112" s="137"/>
      <c r="BJ112" s="137"/>
      <c r="BK112" s="137"/>
      <c r="BL112" s="137"/>
      <c r="BM112" s="137"/>
      <c r="BN112" s="137"/>
      <c r="BO112" s="137"/>
      <c r="BP112" s="137"/>
      <c r="BQ112" s="137"/>
      <c r="BR112" s="137" t="s">
        <v>3184</v>
      </c>
      <c r="BS112" s="137" t="s">
        <v>3184</v>
      </c>
      <c r="BT112" s="189" t="s">
        <v>3184</v>
      </c>
      <c r="BU112" s="189">
        <v>1</v>
      </c>
      <c r="BV112" s="78" t="s">
        <v>3184</v>
      </c>
      <c r="BX112" s="143" t="s">
        <v>786</v>
      </c>
      <c r="BY112" s="143" t="s">
        <v>787</v>
      </c>
      <c r="BZ112" s="143" t="s">
        <v>680</v>
      </c>
      <c r="CA112" s="143">
        <v>2867</v>
      </c>
      <c r="CC112" s="137"/>
      <c r="CD112" s="137"/>
      <c r="CE112" s="137"/>
      <c r="CF112" s="189"/>
      <c r="CG112" s="189"/>
    </row>
    <row r="113" spans="1:86" x14ac:dyDescent="0.25">
      <c r="A113" s="143" t="s">
        <v>786</v>
      </c>
      <c r="B113" s="143" t="s">
        <v>787</v>
      </c>
      <c r="C113" s="143" t="s">
        <v>680</v>
      </c>
      <c r="D113" s="143">
        <v>2868</v>
      </c>
      <c r="E113" s="354">
        <v>0.4</v>
      </c>
      <c r="F113" s="354">
        <v>0.6</v>
      </c>
      <c r="G113" s="354">
        <v>1</v>
      </c>
      <c r="H113" s="78" t="s">
        <v>3184</v>
      </c>
      <c r="J113" s="143" t="s">
        <v>786</v>
      </c>
      <c r="K113" s="143" t="s">
        <v>787</v>
      </c>
      <c r="L113" s="143" t="s">
        <v>680</v>
      </c>
      <c r="M113" s="143">
        <v>2868</v>
      </c>
      <c r="N113" s="137">
        <v>0.1090909</v>
      </c>
      <c r="O113" s="137">
        <v>0.43636360000000002</v>
      </c>
      <c r="P113" s="265">
        <v>0.54545460000000001</v>
      </c>
      <c r="Q113" s="137" t="s">
        <v>3185</v>
      </c>
      <c r="R113" s="137">
        <v>8.3333299999999999E-2</v>
      </c>
      <c r="S113" s="137">
        <v>0.35671000000000003</v>
      </c>
      <c r="T113" s="137">
        <v>0.44004330000000003</v>
      </c>
      <c r="V113" s="143" t="s">
        <v>786</v>
      </c>
      <c r="W113" s="143" t="s">
        <v>787</v>
      </c>
      <c r="X113" s="143" t="s">
        <v>680</v>
      </c>
      <c r="Y113" s="143">
        <v>2868</v>
      </c>
      <c r="Z113" s="137" t="s">
        <v>3184</v>
      </c>
      <c r="AA113" s="137" t="s">
        <v>3185</v>
      </c>
      <c r="AB113" s="137" t="s">
        <v>3184</v>
      </c>
      <c r="AC113" s="137" t="s">
        <v>3184</v>
      </c>
      <c r="AD113" s="137" t="s">
        <v>3185</v>
      </c>
      <c r="AE113" s="137" t="s">
        <v>3185</v>
      </c>
      <c r="AF113" s="137" t="s">
        <v>3184</v>
      </c>
      <c r="AG113" s="137" t="s">
        <v>3184</v>
      </c>
      <c r="AH113" s="137" t="s">
        <v>3184</v>
      </c>
      <c r="AI113" s="137" t="s">
        <v>3184</v>
      </c>
      <c r="AJ113" s="137" t="s">
        <v>3184</v>
      </c>
      <c r="AK113" s="137">
        <v>0.72727269999999999</v>
      </c>
      <c r="AM113" s="143" t="s">
        <v>786</v>
      </c>
      <c r="AN113" s="143" t="s">
        <v>787</v>
      </c>
      <c r="AO113" s="143">
        <v>1</v>
      </c>
      <c r="AP113" s="143">
        <v>2868</v>
      </c>
      <c r="AQ113" s="137"/>
      <c r="AR113" s="137"/>
      <c r="AS113" s="137"/>
      <c r="AT113" s="137"/>
      <c r="AU113" s="137"/>
      <c r="AV113" s="137"/>
      <c r="AW113" s="137"/>
      <c r="AX113" s="189">
        <v>0.86250000000000004</v>
      </c>
      <c r="AY113" s="189">
        <v>0.86250000000000004</v>
      </c>
      <c r="AZ113" s="78" t="s">
        <v>3185</v>
      </c>
      <c r="BB113" s="143" t="s">
        <v>786</v>
      </c>
      <c r="BC113" s="143" t="s">
        <v>787</v>
      </c>
      <c r="BD113" s="143" t="s">
        <v>680</v>
      </c>
      <c r="BE113" s="143">
        <v>2868</v>
      </c>
      <c r="BF113" s="137"/>
      <c r="BG113" s="137"/>
      <c r="BH113" s="137"/>
      <c r="BI113" s="137"/>
      <c r="BJ113" s="137"/>
      <c r="BK113" s="137"/>
      <c r="BL113" s="137"/>
      <c r="BM113" s="137"/>
      <c r="BN113" s="137"/>
      <c r="BO113" s="137"/>
      <c r="BP113" s="137"/>
      <c r="BQ113" s="137"/>
      <c r="BR113" s="137" t="s">
        <v>3184</v>
      </c>
      <c r="BS113" s="137" t="s">
        <v>3184</v>
      </c>
      <c r="BT113" s="189" t="s">
        <v>3184</v>
      </c>
      <c r="BU113" s="189">
        <v>1</v>
      </c>
      <c r="BV113" s="78" t="s">
        <v>3184</v>
      </c>
      <c r="BX113" s="143" t="s">
        <v>786</v>
      </c>
      <c r="BY113" s="143" t="s">
        <v>787</v>
      </c>
      <c r="BZ113" s="143" t="s">
        <v>680</v>
      </c>
      <c r="CA113" s="143">
        <v>2868</v>
      </c>
      <c r="CC113" s="137"/>
      <c r="CD113" s="137"/>
      <c r="CE113" s="137"/>
      <c r="CF113" s="189"/>
      <c r="CG113" s="189"/>
    </row>
    <row r="114" spans="1:86" x14ac:dyDescent="0.25">
      <c r="A114" s="143" t="s">
        <v>786</v>
      </c>
      <c r="B114" s="143" t="s">
        <v>787</v>
      </c>
      <c r="C114" s="143" t="s">
        <v>680</v>
      </c>
      <c r="D114" s="143">
        <v>4660</v>
      </c>
      <c r="E114" s="354">
        <v>0.4</v>
      </c>
      <c r="F114" s="354">
        <v>0.6</v>
      </c>
      <c r="G114" s="354">
        <v>1</v>
      </c>
      <c r="H114" s="78" t="s">
        <v>3184</v>
      </c>
      <c r="J114" s="143" t="s">
        <v>786</v>
      </c>
      <c r="K114" s="143" t="s">
        <v>787</v>
      </c>
      <c r="L114" s="143" t="s">
        <v>680</v>
      </c>
      <c r="M114" s="143">
        <v>4660</v>
      </c>
      <c r="N114" s="137">
        <v>0.12727269999999999</v>
      </c>
      <c r="O114" s="137">
        <v>0.1713131</v>
      </c>
      <c r="P114" s="265">
        <v>0.29858590000000002</v>
      </c>
      <c r="Q114" s="137" t="s">
        <v>3185</v>
      </c>
      <c r="R114" s="137">
        <v>0.1</v>
      </c>
      <c r="S114" s="137">
        <v>0.3333333</v>
      </c>
      <c r="T114" s="137">
        <v>0.43333329999999998</v>
      </c>
      <c r="V114" s="143" t="s">
        <v>786</v>
      </c>
      <c r="W114" s="143" t="s">
        <v>787</v>
      </c>
      <c r="X114" s="143" t="s">
        <v>680</v>
      </c>
      <c r="Y114" s="143">
        <v>4660</v>
      </c>
      <c r="Z114" s="137" t="s">
        <v>3185</v>
      </c>
      <c r="AA114" s="137" t="s">
        <v>3184</v>
      </c>
      <c r="AB114" s="137" t="s">
        <v>3184</v>
      </c>
      <c r="AC114" s="137" t="s">
        <v>3184</v>
      </c>
      <c r="AD114" s="137" t="s">
        <v>3185</v>
      </c>
      <c r="AE114" s="137" t="s">
        <v>3185</v>
      </c>
      <c r="AF114" s="137" t="s">
        <v>3184</v>
      </c>
      <c r="AG114" s="137" t="s">
        <v>3184</v>
      </c>
      <c r="AH114" s="137" t="s">
        <v>3184</v>
      </c>
      <c r="AI114" s="137" t="s">
        <v>3185</v>
      </c>
      <c r="AJ114" s="137" t="s">
        <v>3184</v>
      </c>
      <c r="AK114" s="137">
        <v>0.63636360000000003</v>
      </c>
      <c r="AM114" s="143" t="s">
        <v>786</v>
      </c>
      <c r="AN114" s="143" t="s">
        <v>787</v>
      </c>
      <c r="AO114" s="143">
        <v>1</v>
      </c>
      <c r="AP114" s="143">
        <v>4660</v>
      </c>
      <c r="AQ114" s="137"/>
      <c r="AR114" s="137"/>
      <c r="AS114" s="137"/>
      <c r="AT114" s="137"/>
      <c r="AU114" s="137"/>
      <c r="AV114" s="137"/>
      <c r="AW114" s="137"/>
      <c r="AX114" s="189">
        <v>0.76249999999999996</v>
      </c>
      <c r="AY114" s="189">
        <v>0.76249999999999996</v>
      </c>
      <c r="AZ114" s="78" t="s">
        <v>3185</v>
      </c>
      <c r="BB114" s="143" t="s">
        <v>786</v>
      </c>
      <c r="BC114" s="143" t="s">
        <v>787</v>
      </c>
      <c r="BD114" s="143" t="s">
        <v>680</v>
      </c>
      <c r="BE114" s="143">
        <v>4660</v>
      </c>
      <c r="BF114" s="137"/>
      <c r="BG114" s="137"/>
      <c r="BH114" s="137"/>
      <c r="BI114" s="137"/>
      <c r="BJ114" s="137"/>
      <c r="BK114" s="137"/>
      <c r="BL114" s="137"/>
      <c r="BM114" s="137"/>
      <c r="BN114" s="137"/>
      <c r="BO114" s="137"/>
      <c r="BP114" s="137"/>
      <c r="BQ114" s="137"/>
      <c r="BR114" s="137" t="s">
        <v>3184</v>
      </c>
      <c r="BS114" s="137" t="s">
        <v>3184</v>
      </c>
      <c r="BT114" s="189" t="s">
        <v>3184</v>
      </c>
      <c r="BU114" s="189">
        <v>1</v>
      </c>
      <c r="BV114" s="78" t="s">
        <v>3184</v>
      </c>
      <c r="BX114" s="143" t="s">
        <v>786</v>
      </c>
      <c r="BY114" s="143" t="s">
        <v>787</v>
      </c>
      <c r="BZ114" s="143" t="s">
        <v>680</v>
      </c>
      <c r="CA114" s="143">
        <v>4660</v>
      </c>
      <c r="CC114" s="137"/>
      <c r="CD114" s="137"/>
      <c r="CE114" s="137"/>
      <c r="CF114" s="189"/>
      <c r="CG114" s="189"/>
    </row>
    <row r="115" spans="1:86" x14ac:dyDescent="0.25">
      <c r="A115" s="143" t="s">
        <v>786</v>
      </c>
      <c r="B115" s="143" t="s">
        <v>787</v>
      </c>
      <c r="C115" s="143" t="s">
        <v>680</v>
      </c>
      <c r="D115" s="143">
        <v>9375</v>
      </c>
      <c r="E115" s="354">
        <v>0.39740259999999999</v>
      </c>
      <c r="F115" s="354">
        <v>0.6</v>
      </c>
      <c r="G115" s="354">
        <v>0.99740260000000003</v>
      </c>
      <c r="H115" s="78" t="s">
        <v>3185</v>
      </c>
      <c r="J115" s="143" t="s">
        <v>786</v>
      </c>
      <c r="K115" s="143" t="s">
        <v>787</v>
      </c>
      <c r="L115" s="143" t="s">
        <v>680</v>
      </c>
      <c r="M115" s="143">
        <v>9375</v>
      </c>
      <c r="N115" s="137">
        <v>0.12727269999999999</v>
      </c>
      <c r="O115" s="137">
        <v>0.4993939</v>
      </c>
      <c r="P115" s="265">
        <v>0.62666670000000002</v>
      </c>
      <c r="Q115" s="137" t="s">
        <v>3185</v>
      </c>
      <c r="R115" s="137">
        <v>0.15</v>
      </c>
      <c r="S115" s="137">
        <v>0.1099567</v>
      </c>
      <c r="T115" s="137">
        <v>0.25995669999999999</v>
      </c>
      <c r="V115" s="143" t="s">
        <v>786</v>
      </c>
      <c r="W115" s="143" t="s">
        <v>787</v>
      </c>
      <c r="X115" s="143" t="s">
        <v>680</v>
      </c>
      <c r="Y115" s="143">
        <v>9375</v>
      </c>
      <c r="Z115" s="137" t="s">
        <v>3185</v>
      </c>
      <c r="AA115" s="137" t="s">
        <v>3185</v>
      </c>
      <c r="AB115" s="137" t="s">
        <v>3184</v>
      </c>
      <c r="AC115" s="137" t="s">
        <v>3184</v>
      </c>
      <c r="AD115" s="137" t="s">
        <v>3185</v>
      </c>
      <c r="AE115" s="137" t="s">
        <v>3185</v>
      </c>
      <c r="AF115" s="137" t="s">
        <v>3184</v>
      </c>
      <c r="AG115" s="137" t="s">
        <v>3184</v>
      </c>
      <c r="AH115" s="137" t="s">
        <v>3184</v>
      </c>
      <c r="AI115" s="137" t="s">
        <v>3184</v>
      </c>
      <c r="AJ115" s="137" t="s">
        <v>3184</v>
      </c>
      <c r="AK115" s="137">
        <v>0.63636360000000003</v>
      </c>
      <c r="AM115" s="143" t="s">
        <v>786</v>
      </c>
      <c r="AN115" s="143" t="s">
        <v>787</v>
      </c>
      <c r="AO115" s="143">
        <v>1</v>
      </c>
      <c r="AP115" s="143">
        <v>9375</v>
      </c>
      <c r="AQ115" s="137"/>
      <c r="AR115" s="137"/>
      <c r="AS115" s="137"/>
      <c r="AT115" s="137"/>
      <c r="AU115" s="137"/>
      <c r="AV115" s="137"/>
      <c r="AW115" s="137"/>
      <c r="AX115" s="189">
        <v>0.77500000000000002</v>
      </c>
      <c r="AY115" s="189">
        <v>0.77500000000000002</v>
      </c>
      <c r="AZ115" s="78" t="s">
        <v>3185</v>
      </c>
      <c r="BB115" s="143" t="s">
        <v>786</v>
      </c>
      <c r="BC115" s="143" t="s">
        <v>787</v>
      </c>
      <c r="BD115" s="143" t="s">
        <v>680</v>
      </c>
      <c r="BE115" s="143">
        <v>9375</v>
      </c>
      <c r="BF115" s="137"/>
      <c r="BG115" s="137"/>
      <c r="BH115" s="137"/>
      <c r="BI115" s="137"/>
      <c r="BJ115" s="137"/>
      <c r="BK115" s="137"/>
      <c r="BL115" s="137"/>
      <c r="BM115" s="137"/>
      <c r="BN115" s="137"/>
      <c r="BO115" s="137"/>
      <c r="BP115" s="137"/>
      <c r="BQ115" s="137"/>
      <c r="BR115" s="137" t="s">
        <v>3184</v>
      </c>
      <c r="BS115" s="137" t="s">
        <v>3184</v>
      </c>
      <c r="BT115" s="189" t="s">
        <v>3185</v>
      </c>
      <c r="BU115" s="189">
        <v>0.66666669999999995</v>
      </c>
      <c r="BV115" s="78" t="s">
        <v>3185</v>
      </c>
      <c r="BX115" s="143" t="s">
        <v>786</v>
      </c>
      <c r="BY115" s="143" t="s">
        <v>787</v>
      </c>
      <c r="BZ115" s="143" t="s">
        <v>680</v>
      </c>
      <c r="CA115" s="143">
        <v>9375</v>
      </c>
      <c r="CC115" s="137"/>
      <c r="CD115" s="137"/>
      <c r="CE115" s="137"/>
      <c r="CF115" s="189"/>
      <c r="CG115" s="189"/>
    </row>
    <row r="116" spans="1:86" x14ac:dyDescent="0.25">
      <c r="A116" s="143" t="s">
        <v>786</v>
      </c>
      <c r="B116" s="143" t="s">
        <v>787</v>
      </c>
      <c r="C116" s="143" t="s">
        <v>680</v>
      </c>
      <c r="D116" s="143">
        <v>10038</v>
      </c>
      <c r="E116" s="354">
        <v>0.39740259999999999</v>
      </c>
      <c r="F116" s="354">
        <v>0.6</v>
      </c>
      <c r="G116" s="354">
        <v>0.99740260000000003</v>
      </c>
      <c r="H116" s="78" t="s">
        <v>3185</v>
      </c>
      <c r="J116" s="143" t="s">
        <v>786</v>
      </c>
      <c r="K116" s="143" t="s">
        <v>787</v>
      </c>
      <c r="L116" s="143" t="s">
        <v>680</v>
      </c>
      <c r="M116" s="143">
        <v>10038</v>
      </c>
      <c r="N116" s="137">
        <v>0.18181820000000001</v>
      </c>
      <c r="O116" s="137">
        <v>0.6545455</v>
      </c>
      <c r="P116" s="265">
        <v>0.83636359999999998</v>
      </c>
      <c r="Q116" s="137" t="s">
        <v>3185</v>
      </c>
      <c r="R116" s="137">
        <v>0.2</v>
      </c>
      <c r="S116" s="137">
        <v>0.3333333</v>
      </c>
      <c r="T116" s="137">
        <v>0.53333339999999996</v>
      </c>
      <c r="V116" s="143" t="s">
        <v>786</v>
      </c>
      <c r="W116" s="143" t="s">
        <v>787</v>
      </c>
      <c r="X116" s="143" t="s">
        <v>680</v>
      </c>
      <c r="Y116" s="143">
        <v>10038</v>
      </c>
      <c r="Z116" s="137" t="s">
        <v>3184</v>
      </c>
      <c r="AA116" s="137" t="s">
        <v>3184</v>
      </c>
      <c r="AB116" s="137" t="s">
        <v>3184</v>
      </c>
      <c r="AC116" s="137" t="s">
        <v>3184</v>
      </c>
      <c r="AD116" s="137" t="s">
        <v>3185</v>
      </c>
      <c r="AE116" s="137" t="s">
        <v>3185</v>
      </c>
      <c r="AF116" s="137" t="s">
        <v>3184</v>
      </c>
      <c r="AG116" s="137" t="s">
        <v>3184</v>
      </c>
      <c r="AH116" s="137" t="s">
        <v>3184</v>
      </c>
      <c r="AI116" s="137" t="s">
        <v>3184</v>
      </c>
      <c r="AJ116" s="137" t="s">
        <v>3184</v>
      </c>
      <c r="AK116" s="137">
        <v>0.81818179999999996</v>
      </c>
      <c r="AM116" s="143" t="s">
        <v>786</v>
      </c>
      <c r="AN116" s="143" t="s">
        <v>787</v>
      </c>
      <c r="AO116" s="143">
        <v>1</v>
      </c>
      <c r="AP116" s="143">
        <v>10038</v>
      </c>
      <c r="AQ116" s="137"/>
      <c r="AR116" s="137"/>
      <c r="AS116" s="137"/>
      <c r="AT116" s="137"/>
      <c r="AU116" s="137"/>
      <c r="AV116" s="137"/>
      <c r="AW116" s="137"/>
      <c r="AX116" s="189">
        <v>0.88749999999999996</v>
      </c>
      <c r="AY116" s="189">
        <v>0.88749999999999996</v>
      </c>
      <c r="AZ116" s="78" t="s">
        <v>3185</v>
      </c>
      <c r="BB116" s="143" t="s">
        <v>786</v>
      </c>
      <c r="BC116" s="143" t="s">
        <v>787</v>
      </c>
      <c r="BD116" s="143" t="s">
        <v>680</v>
      </c>
      <c r="BE116" s="143">
        <v>10038</v>
      </c>
      <c r="BF116" s="137"/>
      <c r="BG116" s="137"/>
      <c r="BH116" s="137"/>
      <c r="BI116" s="137"/>
      <c r="BJ116" s="137"/>
      <c r="BK116" s="137"/>
      <c r="BL116" s="137"/>
      <c r="BM116" s="137"/>
      <c r="BN116" s="137"/>
      <c r="BO116" s="137"/>
      <c r="BP116" s="137"/>
      <c r="BQ116" s="137"/>
      <c r="BR116" s="137" t="s">
        <v>3184</v>
      </c>
      <c r="BS116" s="137" t="s">
        <v>3184</v>
      </c>
      <c r="BT116" s="189" t="s">
        <v>3184</v>
      </c>
      <c r="BU116" s="189">
        <v>1</v>
      </c>
      <c r="BV116" s="78" t="s">
        <v>3184</v>
      </c>
      <c r="BX116" s="143" t="s">
        <v>786</v>
      </c>
      <c r="BY116" s="143" t="s">
        <v>787</v>
      </c>
      <c r="BZ116" s="143" t="s">
        <v>680</v>
      </c>
      <c r="CA116" s="143">
        <v>10038</v>
      </c>
      <c r="CC116" s="137"/>
      <c r="CD116" s="137"/>
      <c r="CE116" s="137"/>
      <c r="CF116" s="189"/>
      <c r="CG116" s="189"/>
    </row>
    <row r="117" spans="1:86" x14ac:dyDescent="0.25">
      <c r="A117" s="143" t="s">
        <v>788</v>
      </c>
      <c r="B117" s="143" t="s">
        <v>766</v>
      </c>
      <c r="C117" s="143" t="s">
        <v>731</v>
      </c>
      <c r="D117" s="143">
        <v>61</v>
      </c>
      <c r="E117" s="354">
        <v>0.31539889999999998</v>
      </c>
      <c r="F117" s="354">
        <v>0.47619050000000002</v>
      </c>
      <c r="G117" s="354">
        <v>0.7915894</v>
      </c>
      <c r="H117" s="78" t="s">
        <v>3185</v>
      </c>
      <c r="J117" s="143" t="s">
        <v>788</v>
      </c>
      <c r="K117" s="143" t="s">
        <v>766</v>
      </c>
      <c r="L117" s="143" t="s">
        <v>731</v>
      </c>
      <c r="M117" s="143">
        <v>61</v>
      </c>
      <c r="N117" s="137">
        <v>0.18</v>
      </c>
      <c r="O117" s="137">
        <v>0.72</v>
      </c>
      <c r="P117" s="265">
        <v>0.9</v>
      </c>
      <c r="Q117" s="137" t="s">
        <v>3185</v>
      </c>
      <c r="R117" s="137">
        <v>0.13888890000000001</v>
      </c>
      <c r="S117" s="137">
        <v>0.53333339999999996</v>
      </c>
      <c r="T117" s="137">
        <v>0.67222219999999999</v>
      </c>
      <c r="V117" s="143" t="s">
        <v>788</v>
      </c>
      <c r="W117" s="143" t="s">
        <v>766</v>
      </c>
      <c r="X117" s="143" t="s">
        <v>731</v>
      </c>
      <c r="Y117" s="143">
        <v>61</v>
      </c>
      <c r="Z117" s="137" t="s">
        <v>3184</v>
      </c>
      <c r="AA117" s="137" t="s">
        <v>3184</v>
      </c>
      <c r="AB117" s="137" t="s">
        <v>3184</v>
      </c>
      <c r="AC117" s="137" t="s">
        <v>3184</v>
      </c>
      <c r="AD117" s="137" t="s">
        <v>3184</v>
      </c>
      <c r="AE117" s="137" t="s">
        <v>3184</v>
      </c>
      <c r="AF117" s="137" t="s">
        <v>3184</v>
      </c>
      <c r="AG117" s="137" t="s">
        <v>3184</v>
      </c>
      <c r="AH117" s="137" t="s">
        <v>3184</v>
      </c>
      <c r="AI117" s="137" t="s">
        <v>3184</v>
      </c>
      <c r="AJ117" s="137" t="s">
        <v>3184</v>
      </c>
      <c r="AK117" s="137">
        <v>1</v>
      </c>
      <c r="AM117" s="143" t="s">
        <v>788</v>
      </c>
      <c r="AN117" s="143" t="s">
        <v>766</v>
      </c>
      <c r="AO117" s="143">
        <v>5</v>
      </c>
      <c r="AP117" s="143">
        <v>61</v>
      </c>
      <c r="AQ117" s="137">
        <v>0.96923079999999995</v>
      </c>
      <c r="AR117" s="137">
        <v>0.8</v>
      </c>
      <c r="AS117" s="137">
        <v>0.9473684</v>
      </c>
      <c r="AT117" s="137">
        <v>0.95454539999999999</v>
      </c>
      <c r="AU117" s="137">
        <v>1</v>
      </c>
      <c r="AV117" s="137">
        <v>1</v>
      </c>
      <c r="AW117" s="137">
        <v>0.90909090000000004</v>
      </c>
      <c r="AX117" s="189">
        <v>1</v>
      </c>
      <c r="AY117" s="189">
        <v>0.9475983</v>
      </c>
      <c r="AZ117" s="78" t="s">
        <v>3185</v>
      </c>
      <c r="BB117" s="143" t="s">
        <v>788</v>
      </c>
      <c r="BC117" s="143" t="s">
        <v>766</v>
      </c>
      <c r="BD117" s="143" t="s">
        <v>731</v>
      </c>
      <c r="BE117" s="143">
        <v>61</v>
      </c>
      <c r="BF117" s="137" t="s">
        <v>3184</v>
      </c>
      <c r="BG117" s="137" t="s">
        <v>3184</v>
      </c>
      <c r="BH117" s="137" t="s">
        <v>3184</v>
      </c>
      <c r="BI117" s="137" t="s">
        <v>3184</v>
      </c>
      <c r="BJ117" s="137" t="s">
        <v>3185</v>
      </c>
      <c r="BK117" s="137" t="s">
        <v>3185</v>
      </c>
      <c r="BL117" s="137" t="s">
        <v>3184</v>
      </c>
      <c r="BM117" s="137" t="s">
        <v>3184</v>
      </c>
      <c r="BN117" s="137" t="s">
        <v>3184</v>
      </c>
      <c r="BO117" s="137" t="s">
        <v>3184</v>
      </c>
      <c r="BP117" s="137"/>
      <c r="BQ117" s="137"/>
      <c r="BR117" s="137"/>
      <c r="BS117" s="137"/>
      <c r="BT117" s="189"/>
      <c r="BU117" s="189">
        <v>0.8</v>
      </c>
      <c r="BV117" s="78" t="s">
        <v>3185</v>
      </c>
      <c r="BX117" s="143" t="s">
        <v>788</v>
      </c>
      <c r="BY117" s="143" t="s">
        <v>766</v>
      </c>
      <c r="BZ117" s="143" t="s">
        <v>731</v>
      </c>
      <c r="CA117" s="143">
        <v>61</v>
      </c>
      <c r="CB117" s="156">
        <v>3</v>
      </c>
      <c r="CC117" s="137">
        <v>1</v>
      </c>
      <c r="CD117" s="137">
        <v>1</v>
      </c>
      <c r="CE117" s="137">
        <v>0.375</v>
      </c>
      <c r="CF117" s="189">
        <v>1</v>
      </c>
      <c r="CG117" s="189">
        <v>0.84375</v>
      </c>
      <c r="CH117" s="78" t="s">
        <v>3185</v>
      </c>
    </row>
    <row r="118" spans="1:86" x14ac:dyDescent="0.25">
      <c r="A118" s="143" t="s">
        <v>788</v>
      </c>
      <c r="B118" s="143" t="s">
        <v>766</v>
      </c>
      <c r="C118" s="143" t="s">
        <v>680</v>
      </c>
      <c r="D118" s="143">
        <v>2336</v>
      </c>
      <c r="E118" s="354">
        <v>0.3402597</v>
      </c>
      <c r="F118" s="354">
        <v>0.6</v>
      </c>
      <c r="G118" s="354">
        <v>0.94025979999999998</v>
      </c>
      <c r="H118" s="78" t="s">
        <v>3185</v>
      </c>
      <c r="J118" s="143" t="s">
        <v>788</v>
      </c>
      <c r="K118" s="143" t="s">
        <v>766</v>
      </c>
      <c r="L118" s="143" t="s">
        <v>680</v>
      </c>
      <c r="M118" s="143">
        <v>2336</v>
      </c>
      <c r="N118" s="137">
        <v>0.1090909</v>
      </c>
      <c r="O118" s="137">
        <v>0.21818180000000001</v>
      </c>
      <c r="P118" s="265">
        <v>0.32727270000000003</v>
      </c>
      <c r="Q118" s="137" t="s">
        <v>3185</v>
      </c>
      <c r="R118" s="137">
        <v>0.1666667</v>
      </c>
      <c r="S118" s="137">
        <v>0.66666669999999995</v>
      </c>
      <c r="T118" s="137">
        <v>0.83333330000000005</v>
      </c>
      <c r="V118" s="143" t="s">
        <v>788</v>
      </c>
      <c r="W118" s="143" t="s">
        <v>766</v>
      </c>
      <c r="X118" s="143" t="s">
        <v>680</v>
      </c>
      <c r="Y118" s="143">
        <v>2336</v>
      </c>
      <c r="Z118" s="137" t="s">
        <v>3185</v>
      </c>
      <c r="AA118" s="137" t="s">
        <v>3184</v>
      </c>
      <c r="AB118" s="137" t="s">
        <v>3184</v>
      </c>
      <c r="AC118" s="137" t="s">
        <v>3184</v>
      </c>
      <c r="AD118" s="137" t="s">
        <v>3185</v>
      </c>
      <c r="AE118" s="137" t="s">
        <v>3185</v>
      </c>
      <c r="AF118" s="137" t="s">
        <v>3184</v>
      </c>
      <c r="AG118" s="137" t="s">
        <v>3184</v>
      </c>
      <c r="AH118" s="137" t="s">
        <v>3185</v>
      </c>
      <c r="AI118" s="137" t="s">
        <v>3184</v>
      </c>
      <c r="AJ118" s="137" t="s">
        <v>3185</v>
      </c>
      <c r="AK118" s="137">
        <v>0.54545460000000001</v>
      </c>
      <c r="AM118" s="143" t="s">
        <v>788</v>
      </c>
      <c r="AN118" s="143" t="s">
        <v>766</v>
      </c>
      <c r="AO118" s="143">
        <v>1</v>
      </c>
      <c r="AP118" s="143">
        <v>2336</v>
      </c>
      <c r="AQ118" s="137"/>
      <c r="AR118" s="137"/>
      <c r="AS118" s="137"/>
      <c r="AT118" s="137"/>
      <c r="AU118" s="137"/>
      <c r="AV118" s="137"/>
      <c r="AW118" s="137"/>
      <c r="AX118" s="189">
        <v>0.6875</v>
      </c>
      <c r="AY118" s="189">
        <v>0.6875</v>
      </c>
      <c r="AZ118" s="78" t="s">
        <v>3185</v>
      </c>
      <c r="BB118" s="143" t="s">
        <v>788</v>
      </c>
      <c r="BC118" s="143" t="s">
        <v>766</v>
      </c>
      <c r="BD118" s="143" t="s">
        <v>680</v>
      </c>
      <c r="BE118" s="143">
        <v>2336</v>
      </c>
      <c r="BF118" s="137"/>
      <c r="BG118" s="137"/>
      <c r="BH118" s="137"/>
      <c r="BI118" s="137"/>
      <c r="BJ118" s="137"/>
      <c r="BK118" s="137"/>
      <c r="BL118" s="137"/>
      <c r="BM118" s="137"/>
      <c r="BN118" s="137"/>
      <c r="BO118" s="137"/>
      <c r="BP118" s="137"/>
      <c r="BQ118" s="137"/>
      <c r="BR118" s="137" t="s">
        <v>3185</v>
      </c>
      <c r="BS118" s="137" t="s">
        <v>3185</v>
      </c>
      <c r="BT118" s="189" t="s">
        <v>3185</v>
      </c>
      <c r="BU118" s="189">
        <v>0</v>
      </c>
      <c r="BV118" s="78" t="s">
        <v>3185</v>
      </c>
      <c r="BX118" s="143" t="s">
        <v>788</v>
      </c>
      <c r="BY118" s="143" t="s">
        <v>766</v>
      </c>
      <c r="BZ118" s="143" t="s">
        <v>680</v>
      </c>
      <c r="CA118" s="143">
        <v>2336</v>
      </c>
      <c r="CC118" s="137"/>
      <c r="CD118" s="137"/>
      <c r="CE118" s="137"/>
      <c r="CF118" s="189"/>
      <c r="CG118" s="189"/>
    </row>
    <row r="119" spans="1:86" x14ac:dyDescent="0.25">
      <c r="A119" s="143" t="s">
        <v>788</v>
      </c>
      <c r="B119" s="143" t="s">
        <v>766</v>
      </c>
      <c r="C119" s="143" t="s">
        <v>680</v>
      </c>
      <c r="D119" s="143">
        <v>2341</v>
      </c>
      <c r="E119" s="354">
        <v>0.37922080000000002</v>
      </c>
      <c r="F119" s="354">
        <v>0.6</v>
      </c>
      <c r="G119" s="354">
        <v>0.9792208</v>
      </c>
      <c r="H119" s="78" t="s">
        <v>3185</v>
      </c>
      <c r="J119" s="143" t="s">
        <v>788</v>
      </c>
      <c r="K119" s="143" t="s">
        <v>766</v>
      </c>
      <c r="L119" s="143" t="s">
        <v>680</v>
      </c>
      <c r="M119" s="143">
        <v>2341</v>
      </c>
      <c r="N119" s="137">
        <v>3.6363600000000003E-2</v>
      </c>
      <c r="O119" s="137">
        <v>0.38545459999999998</v>
      </c>
      <c r="P119" s="265">
        <v>0.42181819999999998</v>
      </c>
      <c r="Q119" s="137" t="s">
        <v>3185</v>
      </c>
      <c r="R119" s="137">
        <v>0.1666667</v>
      </c>
      <c r="S119" s="137">
        <v>0.20086580000000001</v>
      </c>
      <c r="T119" s="137">
        <v>0.36753249999999998</v>
      </c>
      <c r="V119" s="143" t="s">
        <v>788</v>
      </c>
      <c r="W119" s="143" t="s">
        <v>766</v>
      </c>
      <c r="X119" s="143" t="s">
        <v>680</v>
      </c>
      <c r="Y119" s="143">
        <v>2341</v>
      </c>
      <c r="Z119" s="137" t="s">
        <v>3184</v>
      </c>
      <c r="AA119" s="137" t="s">
        <v>3184</v>
      </c>
      <c r="AB119" s="137" t="s">
        <v>3184</v>
      </c>
      <c r="AC119" s="137" t="s">
        <v>3184</v>
      </c>
      <c r="AD119" s="137" t="s">
        <v>3185</v>
      </c>
      <c r="AE119" s="137" t="s">
        <v>3185</v>
      </c>
      <c r="AF119" s="137" t="s">
        <v>3184</v>
      </c>
      <c r="AG119" s="137" t="s">
        <v>3185</v>
      </c>
      <c r="AH119" s="137" t="s">
        <v>3184</v>
      </c>
      <c r="AI119" s="137" t="s">
        <v>3184</v>
      </c>
      <c r="AJ119" s="137" t="s">
        <v>3184</v>
      </c>
      <c r="AK119" s="137">
        <v>0.72727269999999999</v>
      </c>
      <c r="AM119" s="143" t="s">
        <v>788</v>
      </c>
      <c r="AN119" s="143" t="s">
        <v>766</v>
      </c>
      <c r="AO119" s="143">
        <v>1</v>
      </c>
      <c r="AP119" s="143">
        <v>2341</v>
      </c>
      <c r="AQ119" s="137"/>
      <c r="AR119" s="137"/>
      <c r="AS119" s="137"/>
      <c r="AT119" s="137"/>
      <c r="AU119" s="137"/>
      <c r="AV119" s="137"/>
      <c r="AW119" s="137"/>
      <c r="AX119" s="189">
        <v>0.85</v>
      </c>
      <c r="AY119" s="189">
        <v>0.85</v>
      </c>
      <c r="AZ119" s="78" t="s">
        <v>3185</v>
      </c>
      <c r="BB119" s="143" t="s">
        <v>788</v>
      </c>
      <c r="BC119" s="143" t="s">
        <v>766</v>
      </c>
      <c r="BD119" s="143" t="s">
        <v>680</v>
      </c>
      <c r="BE119" s="143">
        <v>2341</v>
      </c>
      <c r="BF119" s="137"/>
      <c r="BG119" s="137"/>
      <c r="BH119" s="137"/>
      <c r="BI119" s="137"/>
      <c r="BJ119" s="137"/>
      <c r="BK119" s="137"/>
      <c r="BL119" s="137"/>
      <c r="BM119" s="137"/>
      <c r="BN119" s="137"/>
      <c r="BO119" s="137"/>
      <c r="BP119" s="137"/>
      <c r="BQ119" s="137"/>
      <c r="BR119" s="137" t="s">
        <v>3184</v>
      </c>
      <c r="BS119" s="137" t="s">
        <v>3184</v>
      </c>
      <c r="BT119" s="189" t="s">
        <v>3184</v>
      </c>
      <c r="BU119" s="189">
        <v>1</v>
      </c>
      <c r="BV119" s="78" t="s">
        <v>3184</v>
      </c>
      <c r="BX119" s="143" t="s">
        <v>788</v>
      </c>
      <c r="BY119" s="143" t="s">
        <v>766</v>
      </c>
      <c r="BZ119" s="143" t="s">
        <v>680</v>
      </c>
      <c r="CA119" s="143">
        <v>2341</v>
      </c>
      <c r="CC119" s="137"/>
      <c r="CD119" s="137"/>
      <c r="CE119" s="137"/>
      <c r="CF119" s="189"/>
      <c r="CG119" s="189"/>
    </row>
    <row r="120" spans="1:86" x14ac:dyDescent="0.25">
      <c r="A120" s="143" t="s">
        <v>788</v>
      </c>
      <c r="B120" s="143" t="s">
        <v>766</v>
      </c>
      <c r="C120" s="143" t="s">
        <v>680</v>
      </c>
      <c r="D120" s="143">
        <v>2770</v>
      </c>
      <c r="E120" s="354">
        <v>0.38961040000000002</v>
      </c>
      <c r="F120" s="354">
        <v>0.3</v>
      </c>
      <c r="G120" s="354">
        <v>0.68961039999999996</v>
      </c>
      <c r="H120" s="78" t="s">
        <v>3185</v>
      </c>
      <c r="J120" s="143" t="s">
        <v>788</v>
      </c>
      <c r="K120" s="143" t="s">
        <v>766</v>
      </c>
      <c r="L120" s="143" t="s">
        <v>680</v>
      </c>
      <c r="M120" s="143">
        <v>2770</v>
      </c>
      <c r="N120" s="137">
        <v>7.2727299999999995E-2</v>
      </c>
      <c r="O120" s="137">
        <v>0.29090909999999998</v>
      </c>
      <c r="P120" s="265">
        <v>0.36363640000000003</v>
      </c>
      <c r="Q120" s="137" t="s">
        <v>3185</v>
      </c>
      <c r="R120" s="137">
        <v>0.1</v>
      </c>
      <c r="S120" s="137">
        <v>0.26666669999999998</v>
      </c>
      <c r="T120" s="137">
        <v>0.36666670000000001</v>
      </c>
      <c r="V120" s="143" t="s">
        <v>788</v>
      </c>
      <c r="W120" s="143" t="s">
        <v>766</v>
      </c>
      <c r="X120" s="143" t="s">
        <v>680</v>
      </c>
      <c r="Y120" s="143">
        <v>2770</v>
      </c>
      <c r="Z120" s="137" t="s">
        <v>3184</v>
      </c>
      <c r="AA120" s="137" t="s">
        <v>3184</v>
      </c>
      <c r="AB120" s="137" t="s">
        <v>3184</v>
      </c>
      <c r="AC120" s="137" t="s">
        <v>3184</v>
      </c>
      <c r="AD120" s="137" t="s">
        <v>3185</v>
      </c>
      <c r="AE120" s="137" t="s">
        <v>3185</v>
      </c>
      <c r="AF120" s="137" t="s">
        <v>3184</v>
      </c>
      <c r="AG120" s="137" t="s">
        <v>3184</v>
      </c>
      <c r="AH120" s="137" t="s">
        <v>3184</v>
      </c>
      <c r="AI120" s="137" t="s">
        <v>3184</v>
      </c>
      <c r="AJ120" s="137" t="s">
        <v>3184</v>
      </c>
      <c r="AK120" s="137">
        <v>0.81818179999999996</v>
      </c>
      <c r="AM120" s="143" t="s">
        <v>788</v>
      </c>
      <c r="AN120" s="143" t="s">
        <v>766</v>
      </c>
      <c r="AO120" s="143">
        <v>1</v>
      </c>
      <c r="AP120" s="143">
        <v>2770</v>
      </c>
      <c r="AQ120" s="137"/>
      <c r="AR120" s="137"/>
      <c r="AS120" s="137"/>
      <c r="AT120" s="137"/>
      <c r="AU120" s="137"/>
      <c r="AV120" s="137"/>
      <c r="AW120" s="137"/>
      <c r="AX120" s="189">
        <v>0.77500000000000002</v>
      </c>
      <c r="AY120" s="189">
        <v>0.77500000000000002</v>
      </c>
      <c r="AZ120" s="78" t="s">
        <v>3185</v>
      </c>
      <c r="BB120" s="143" t="s">
        <v>788</v>
      </c>
      <c r="BC120" s="143" t="s">
        <v>766</v>
      </c>
      <c r="BD120" s="143" t="s">
        <v>680</v>
      </c>
      <c r="BE120" s="143">
        <v>2770</v>
      </c>
      <c r="BF120" s="137"/>
      <c r="BG120" s="137"/>
      <c r="BH120" s="137"/>
      <c r="BI120" s="137"/>
      <c r="BJ120" s="137"/>
      <c r="BK120" s="137"/>
      <c r="BL120" s="137"/>
      <c r="BM120" s="137"/>
      <c r="BN120" s="137"/>
      <c r="BO120" s="137"/>
      <c r="BP120" s="137"/>
      <c r="BQ120" s="137"/>
      <c r="BR120" s="137" t="s">
        <v>3184</v>
      </c>
      <c r="BS120" s="137" t="s">
        <v>3184</v>
      </c>
      <c r="BT120" s="189" t="s">
        <v>3184</v>
      </c>
      <c r="BU120" s="189">
        <v>1</v>
      </c>
      <c r="BV120" s="78" t="s">
        <v>3184</v>
      </c>
      <c r="BX120" s="143" t="s">
        <v>788</v>
      </c>
      <c r="BY120" s="143" t="s">
        <v>766</v>
      </c>
      <c r="BZ120" s="143" t="s">
        <v>680</v>
      </c>
      <c r="CA120" s="143">
        <v>2770</v>
      </c>
      <c r="CC120" s="137"/>
      <c r="CD120" s="137"/>
      <c r="CE120" s="137"/>
      <c r="CF120" s="189"/>
      <c r="CG120" s="189"/>
    </row>
    <row r="121" spans="1:86" x14ac:dyDescent="0.25">
      <c r="A121" s="143" t="s">
        <v>788</v>
      </c>
      <c r="B121" s="143" t="s">
        <v>766</v>
      </c>
      <c r="C121" s="143" t="s">
        <v>680</v>
      </c>
      <c r="D121" s="143">
        <v>2790</v>
      </c>
      <c r="E121" s="354">
        <v>0.4</v>
      </c>
      <c r="F121" s="354">
        <v>0.6</v>
      </c>
      <c r="G121" s="354">
        <v>1</v>
      </c>
      <c r="H121" s="78" t="s">
        <v>3184</v>
      </c>
      <c r="J121" s="143" t="s">
        <v>788</v>
      </c>
      <c r="K121" s="143" t="s">
        <v>766</v>
      </c>
      <c r="L121" s="143" t="s">
        <v>680</v>
      </c>
      <c r="M121" s="143">
        <v>2790</v>
      </c>
      <c r="N121" s="137">
        <v>0.18181820000000001</v>
      </c>
      <c r="O121" s="137">
        <v>0.6545455</v>
      </c>
      <c r="P121" s="265">
        <v>0.83636359999999998</v>
      </c>
      <c r="Q121" s="137" t="s">
        <v>3185</v>
      </c>
      <c r="R121" s="137">
        <v>0.1666667</v>
      </c>
      <c r="S121" s="137">
        <v>0.3333333</v>
      </c>
      <c r="T121" s="137">
        <v>0.5</v>
      </c>
      <c r="V121" s="143" t="s">
        <v>788</v>
      </c>
      <c r="W121" s="143" t="s">
        <v>766</v>
      </c>
      <c r="X121" s="143" t="s">
        <v>680</v>
      </c>
      <c r="Y121" s="143">
        <v>2790</v>
      </c>
      <c r="Z121" s="137" t="s">
        <v>3184</v>
      </c>
      <c r="AA121" s="137" t="s">
        <v>3184</v>
      </c>
      <c r="AB121" s="137" t="s">
        <v>3184</v>
      </c>
      <c r="AC121" s="137" t="s">
        <v>3184</v>
      </c>
      <c r="AD121" s="137" t="s">
        <v>3185</v>
      </c>
      <c r="AE121" s="137" t="s">
        <v>3185</v>
      </c>
      <c r="AF121" s="137" t="s">
        <v>3184</v>
      </c>
      <c r="AG121" s="137" t="s">
        <v>3184</v>
      </c>
      <c r="AH121" s="137" t="s">
        <v>3184</v>
      </c>
      <c r="AI121" s="137" t="s">
        <v>3184</v>
      </c>
      <c r="AJ121" s="137" t="s">
        <v>3184</v>
      </c>
      <c r="AK121" s="137">
        <v>0.81818179999999996</v>
      </c>
      <c r="AM121" s="143" t="s">
        <v>788</v>
      </c>
      <c r="AN121" s="143" t="s">
        <v>766</v>
      </c>
      <c r="AO121" s="143">
        <v>1</v>
      </c>
      <c r="AP121" s="143">
        <v>2790</v>
      </c>
      <c r="AQ121" s="137"/>
      <c r="AR121" s="137"/>
      <c r="AS121" s="137"/>
      <c r="AT121" s="137"/>
      <c r="AU121" s="137"/>
      <c r="AV121" s="137"/>
      <c r="AW121" s="137"/>
      <c r="AX121" s="189">
        <v>0.6</v>
      </c>
      <c r="AY121" s="189">
        <v>0.6</v>
      </c>
      <c r="AZ121" s="78" t="s">
        <v>3185</v>
      </c>
      <c r="BB121" s="143" t="s">
        <v>788</v>
      </c>
      <c r="BC121" s="143" t="s">
        <v>766</v>
      </c>
      <c r="BD121" s="143" t="s">
        <v>680</v>
      </c>
      <c r="BE121" s="143">
        <v>2790</v>
      </c>
      <c r="BF121" s="137"/>
      <c r="BG121" s="137"/>
      <c r="BH121" s="137"/>
      <c r="BI121" s="137"/>
      <c r="BJ121" s="137"/>
      <c r="BK121" s="137"/>
      <c r="BL121" s="137"/>
      <c r="BM121" s="137"/>
      <c r="BN121" s="137"/>
      <c r="BO121" s="137"/>
      <c r="BP121" s="137"/>
      <c r="BQ121" s="137"/>
      <c r="BR121" s="137" t="s">
        <v>3185</v>
      </c>
      <c r="BS121" s="137" t="s">
        <v>3184</v>
      </c>
      <c r="BT121" s="189" t="s">
        <v>3184</v>
      </c>
      <c r="BU121" s="189">
        <v>0.66666669999999995</v>
      </c>
      <c r="BV121" s="78" t="s">
        <v>3185</v>
      </c>
      <c r="BX121" s="143" t="s">
        <v>788</v>
      </c>
      <c r="BY121" s="143" t="s">
        <v>766</v>
      </c>
      <c r="BZ121" s="143" t="s">
        <v>680</v>
      </c>
      <c r="CA121" s="143">
        <v>2790</v>
      </c>
      <c r="CC121" s="137"/>
      <c r="CD121" s="137"/>
      <c r="CE121" s="137"/>
      <c r="CF121" s="189"/>
      <c r="CG121" s="189"/>
    </row>
    <row r="122" spans="1:86" x14ac:dyDescent="0.25">
      <c r="A122" s="143" t="s">
        <v>788</v>
      </c>
      <c r="B122" s="143" t="s">
        <v>766</v>
      </c>
      <c r="C122" s="143" t="s">
        <v>680</v>
      </c>
      <c r="D122" s="143">
        <v>2967</v>
      </c>
      <c r="E122" s="354">
        <v>0.4</v>
      </c>
      <c r="F122" s="354">
        <v>0.3</v>
      </c>
      <c r="G122" s="354">
        <v>0.7</v>
      </c>
      <c r="H122" s="78" t="s">
        <v>3185</v>
      </c>
      <c r="J122" s="143" t="s">
        <v>788</v>
      </c>
      <c r="K122" s="143" t="s">
        <v>766</v>
      </c>
      <c r="L122" s="143" t="s">
        <v>680</v>
      </c>
      <c r="M122" s="143">
        <v>2967</v>
      </c>
      <c r="N122" s="137">
        <v>1.8181800000000001E-2</v>
      </c>
      <c r="O122" s="137">
        <v>0.16969699999999999</v>
      </c>
      <c r="P122" s="265">
        <v>0.18787880000000001</v>
      </c>
      <c r="Q122" s="137" t="s">
        <v>3185</v>
      </c>
      <c r="R122" s="137">
        <v>0.1833333</v>
      </c>
      <c r="S122" s="137">
        <v>0</v>
      </c>
      <c r="T122" s="137">
        <v>0.1833333</v>
      </c>
      <c r="V122" s="143" t="s">
        <v>788</v>
      </c>
      <c r="W122" s="143" t="s">
        <v>766</v>
      </c>
      <c r="X122" s="143" t="s">
        <v>680</v>
      </c>
      <c r="Y122" s="143">
        <v>2967</v>
      </c>
      <c r="Z122" s="137" t="s">
        <v>3184</v>
      </c>
      <c r="AA122" s="137" t="s">
        <v>3184</v>
      </c>
      <c r="AB122" s="137" t="s">
        <v>3185</v>
      </c>
      <c r="AC122" s="137" t="s">
        <v>3185</v>
      </c>
      <c r="AD122" s="137" t="s">
        <v>3185</v>
      </c>
      <c r="AE122" s="137" t="s">
        <v>3185</v>
      </c>
      <c r="AF122" s="137" t="s">
        <v>3184</v>
      </c>
      <c r="AG122" s="137" t="s">
        <v>3185</v>
      </c>
      <c r="AH122" s="137" t="s">
        <v>3185</v>
      </c>
      <c r="AI122" s="137" t="s">
        <v>3184</v>
      </c>
      <c r="AJ122" s="137" t="s">
        <v>3185</v>
      </c>
      <c r="AK122" s="137">
        <v>0.36363640000000003</v>
      </c>
      <c r="AM122" s="143" t="s">
        <v>788</v>
      </c>
      <c r="AN122" s="143" t="s">
        <v>766</v>
      </c>
      <c r="AO122" s="143">
        <v>1</v>
      </c>
      <c r="AP122" s="143">
        <v>2967</v>
      </c>
      <c r="AQ122" s="137"/>
      <c r="AR122" s="137"/>
      <c r="AS122" s="137"/>
      <c r="AT122" s="137"/>
      <c r="AU122" s="137"/>
      <c r="AV122" s="137"/>
      <c r="AW122" s="137"/>
      <c r="AX122" s="189">
        <v>0.26250000000000001</v>
      </c>
      <c r="AY122" s="189">
        <v>0.26250000000000001</v>
      </c>
      <c r="AZ122" s="78" t="s">
        <v>3185</v>
      </c>
      <c r="BB122" s="143" t="s">
        <v>788</v>
      </c>
      <c r="BC122" s="143" t="s">
        <v>766</v>
      </c>
      <c r="BD122" s="143" t="s">
        <v>680</v>
      </c>
      <c r="BE122" s="143">
        <v>2967</v>
      </c>
      <c r="BF122" s="137"/>
      <c r="BG122" s="137"/>
      <c r="BH122" s="137"/>
      <c r="BI122" s="137"/>
      <c r="BJ122" s="137"/>
      <c r="BK122" s="137"/>
      <c r="BL122" s="137"/>
      <c r="BM122" s="137"/>
      <c r="BN122" s="137"/>
      <c r="BO122" s="137"/>
      <c r="BP122" s="137"/>
      <c r="BQ122" s="137"/>
      <c r="BR122" s="137" t="s">
        <v>3184</v>
      </c>
      <c r="BS122" s="137" t="s">
        <v>3184</v>
      </c>
      <c r="BT122" s="189" t="s">
        <v>3184</v>
      </c>
      <c r="BU122" s="189">
        <v>1</v>
      </c>
      <c r="BV122" s="78" t="s">
        <v>3184</v>
      </c>
      <c r="BX122" s="143" t="s">
        <v>788</v>
      </c>
      <c r="BY122" s="143" t="s">
        <v>766</v>
      </c>
      <c r="BZ122" s="143" t="s">
        <v>680</v>
      </c>
      <c r="CA122" s="143">
        <v>2967</v>
      </c>
      <c r="CC122" s="137"/>
      <c r="CD122" s="137"/>
      <c r="CE122" s="137"/>
      <c r="CF122" s="189"/>
      <c r="CG122" s="189"/>
    </row>
    <row r="123" spans="1:86" x14ac:dyDescent="0.25">
      <c r="A123" s="143" t="s">
        <v>789</v>
      </c>
      <c r="B123" s="143" t="s">
        <v>790</v>
      </c>
      <c r="C123" s="143" t="s">
        <v>680</v>
      </c>
      <c r="D123" s="143">
        <v>2229</v>
      </c>
      <c r="E123" s="354">
        <v>0.4</v>
      </c>
      <c r="F123" s="354">
        <v>0.6</v>
      </c>
      <c r="G123" s="354">
        <v>1</v>
      </c>
      <c r="H123" s="78" t="s">
        <v>3184</v>
      </c>
      <c r="J123" s="143" t="s">
        <v>789</v>
      </c>
      <c r="K123" s="143" t="s">
        <v>790</v>
      </c>
      <c r="L123" s="143" t="s">
        <v>680</v>
      </c>
      <c r="M123" s="143">
        <v>2229</v>
      </c>
      <c r="N123" s="137">
        <v>0.16363639999999999</v>
      </c>
      <c r="O123" s="137">
        <v>0.71353540000000004</v>
      </c>
      <c r="P123" s="265">
        <v>0.8771717</v>
      </c>
      <c r="Q123" s="137" t="s">
        <v>3185</v>
      </c>
      <c r="R123" s="137">
        <v>0.1833333</v>
      </c>
      <c r="S123" s="137">
        <v>0.62770559999999997</v>
      </c>
      <c r="T123" s="137">
        <v>0.81103899999999995</v>
      </c>
      <c r="V123" s="143" t="s">
        <v>789</v>
      </c>
      <c r="W123" s="143" t="s">
        <v>790</v>
      </c>
      <c r="X123" s="143" t="s">
        <v>680</v>
      </c>
      <c r="Y123" s="143">
        <v>2229</v>
      </c>
      <c r="Z123" s="137" t="s">
        <v>3185</v>
      </c>
      <c r="AA123" s="137" t="s">
        <v>3184</v>
      </c>
      <c r="AB123" s="137" t="s">
        <v>3184</v>
      </c>
      <c r="AC123" s="137" t="s">
        <v>3184</v>
      </c>
      <c r="AD123" s="137" t="s">
        <v>3185</v>
      </c>
      <c r="AE123" s="137" t="s">
        <v>3185</v>
      </c>
      <c r="AF123" s="137" t="s">
        <v>3184</v>
      </c>
      <c r="AG123" s="137" t="s">
        <v>3184</v>
      </c>
      <c r="AH123" s="137" t="s">
        <v>3184</v>
      </c>
      <c r="AI123" s="137" t="s">
        <v>3184</v>
      </c>
      <c r="AJ123" s="137" t="s">
        <v>3184</v>
      </c>
      <c r="AK123" s="137">
        <v>0.72727269999999999</v>
      </c>
      <c r="AM123" s="143" t="s">
        <v>789</v>
      </c>
      <c r="AN123" s="143" t="s">
        <v>790</v>
      </c>
      <c r="AO123" s="143">
        <v>1</v>
      </c>
      <c r="AP123" s="143">
        <v>2229</v>
      </c>
      <c r="AQ123" s="137"/>
      <c r="AR123" s="137"/>
      <c r="AS123" s="137"/>
      <c r="AT123" s="137"/>
      <c r="AU123" s="137"/>
      <c r="AV123" s="137"/>
      <c r="AW123" s="137"/>
      <c r="AX123" s="189">
        <v>0.95</v>
      </c>
      <c r="AY123" s="189">
        <v>0.95</v>
      </c>
      <c r="AZ123" s="78" t="s">
        <v>3185</v>
      </c>
      <c r="BB123" s="143" t="s">
        <v>789</v>
      </c>
      <c r="BC123" s="143" t="s">
        <v>790</v>
      </c>
      <c r="BD123" s="143" t="s">
        <v>680</v>
      </c>
      <c r="BE123" s="143">
        <v>2229</v>
      </c>
      <c r="BF123" s="137"/>
      <c r="BG123" s="137"/>
      <c r="BH123" s="137"/>
      <c r="BI123" s="137"/>
      <c r="BJ123" s="137"/>
      <c r="BK123" s="137"/>
      <c r="BL123" s="137"/>
      <c r="BM123" s="137"/>
      <c r="BN123" s="137"/>
      <c r="BO123" s="137"/>
      <c r="BP123" s="137"/>
      <c r="BQ123" s="137"/>
      <c r="BR123" s="137" t="s">
        <v>3184</v>
      </c>
      <c r="BS123" s="137" t="s">
        <v>3184</v>
      </c>
      <c r="BT123" s="189" t="s">
        <v>3184</v>
      </c>
      <c r="BU123" s="189">
        <v>1</v>
      </c>
      <c r="BV123" s="78" t="s">
        <v>3184</v>
      </c>
      <c r="BX123" s="143" t="s">
        <v>789</v>
      </c>
      <c r="BY123" s="143" t="s">
        <v>790</v>
      </c>
      <c r="BZ123" s="143" t="s">
        <v>680</v>
      </c>
      <c r="CA123" s="143">
        <v>2229</v>
      </c>
      <c r="CC123" s="137"/>
      <c r="CD123" s="137"/>
      <c r="CE123" s="137"/>
      <c r="CF123" s="189"/>
      <c r="CG123" s="189"/>
    </row>
    <row r="124" spans="1:86" x14ac:dyDescent="0.25">
      <c r="A124" s="143" t="s">
        <v>789</v>
      </c>
      <c r="B124" s="143" t="s">
        <v>790</v>
      </c>
      <c r="C124" s="143" t="s">
        <v>680</v>
      </c>
      <c r="D124" s="143">
        <v>2331</v>
      </c>
      <c r="E124" s="354">
        <v>0.4</v>
      </c>
      <c r="F124" s="354">
        <v>0.6</v>
      </c>
      <c r="G124" s="354">
        <v>1</v>
      </c>
      <c r="H124" s="78" t="s">
        <v>3184</v>
      </c>
      <c r="J124" s="143" t="s">
        <v>789</v>
      </c>
      <c r="K124" s="143" t="s">
        <v>790</v>
      </c>
      <c r="L124" s="143" t="s">
        <v>680</v>
      </c>
      <c r="M124" s="143">
        <v>2331</v>
      </c>
      <c r="N124" s="137">
        <v>0.16363639999999999</v>
      </c>
      <c r="O124" s="137">
        <v>0.63676770000000005</v>
      </c>
      <c r="P124" s="265">
        <v>0.80040409999999995</v>
      </c>
      <c r="Q124" s="137" t="s">
        <v>3185</v>
      </c>
      <c r="R124" s="137">
        <v>0.2</v>
      </c>
      <c r="S124" s="137">
        <v>0.8</v>
      </c>
      <c r="T124" s="137">
        <v>1</v>
      </c>
      <c r="V124" s="143" t="s">
        <v>789</v>
      </c>
      <c r="W124" s="143" t="s">
        <v>790</v>
      </c>
      <c r="X124" s="143" t="s">
        <v>680</v>
      </c>
      <c r="Y124" s="143">
        <v>2331</v>
      </c>
      <c r="Z124" s="137" t="s">
        <v>3184</v>
      </c>
      <c r="AA124" s="137" t="s">
        <v>3184</v>
      </c>
      <c r="AB124" s="137" t="s">
        <v>3184</v>
      </c>
      <c r="AC124" s="137" t="s">
        <v>3184</v>
      </c>
      <c r="AD124" s="137" t="s">
        <v>3185</v>
      </c>
      <c r="AE124" s="137" t="s">
        <v>3185</v>
      </c>
      <c r="AF124" s="137" t="s">
        <v>3184</v>
      </c>
      <c r="AG124" s="137" t="s">
        <v>3184</v>
      </c>
      <c r="AH124" s="137" t="s">
        <v>3184</v>
      </c>
      <c r="AI124" s="137" t="s">
        <v>3184</v>
      </c>
      <c r="AJ124" s="137" t="s">
        <v>3184</v>
      </c>
      <c r="AK124" s="137">
        <v>0.81818179999999996</v>
      </c>
      <c r="AM124" s="143" t="s">
        <v>789</v>
      </c>
      <c r="AN124" s="143" t="s">
        <v>790</v>
      </c>
      <c r="AO124" s="143">
        <v>1</v>
      </c>
      <c r="AP124" s="143">
        <v>2331</v>
      </c>
      <c r="AQ124" s="137"/>
      <c r="AR124" s="137"/>
      <c r="AS124" s="137"/>
      <c r="AT124" s="137"/>
      <c r="AU124" s="137"/>
      <c r="AV124" s="137"/>
      <c r="AW124" s="137"/>
      <c r="AX124" s="189">
        <v>0.96250000000000002</v>
      </c>
      <c r="AY124" s="189">
        <v>0.96250000000000002</v>
      </c>
      <c r="AZ124" s="78" t="s">
        <v>3184</v>
      </c>
      <c r="BB124" s="143" t="s">
        <v>789</v>
      </c>
      <c r="BC124" s="143" t="s">
        <v>790</v>
      </c>
      <c r="BD124" s="143" t="s">
        <v>680</v>
      </c>
      <c r="BE124" s="143">
        <v>2331</v>
      </c>
      <c r="BF124" s="137"/>
      <c r="BG124" s="137"/>
      <c r="BH124" s="137"/>
      <c r="BI124" s="137"/>
      <c r="BJ124" s="137"/>
      <c r="BK124" s="137"/>
      <c r="BL124" s="137"/>
      <c r="BM124" s="137"/>
      <c r="BN124" s="137"/>
      <c r="BO124" s="137"/>
      <c r="BP124" s="137"/>
      <c r="BQ124" s="137"/>
      <c r="BR124" s="137" t="s">
        <v>3184</v>
      </c>
      <c r="BS124" s="137" t="s">
        <v>3184</v>
      </c>
      <c r="BT124" s="189" t="s">
        <v>3184</v>
      </c>
      <c r="BU124" s="189">
        <v>1</v>
      </c>
      <c r="BV124" s="78" t="s">
        <v>3184</v>
      </c>
      <c r="BX124" s="143" t="s">
        <v>789</v>
      </c>
      <c r="BY124" s="143" t="s">
        <v>790</v>
      </c>
      <c r="BZ124" s="143" t="s">
        <v>680</v>
      </c>
      <c r="CA124" s="143">
        <v>2331</v>
      </c>
      <c r="CC124" s="137"/>
      <c r="CD124" s="137"/>
      <c r="CE124" s="137"/>
      <c r="CF124" s="189"/>
      <c r="CG124" s="189"/>
    </row>
    <row r="125" spans="1:86" x14ac:dyDescent="0.25">
      <c r="A125" s="143" t="s">
        <v>789</v>
      </c>
      <c r="B125" s="143" t="s">
        <v>790</v>
      </c>
      <c r="C125" s="143" t="s">
        <v>680</v>
      </c>
      <c r="D125" s="143">
        <v>3186</v>
      </c>
      <c r="E125" s="354">
        <v>0.4</v>
      </c>
      <c r="F125" s="354">
        <v>0.6</v>
      </c>
      <c r="G125" s="354">
        <v>1</v>
      </c>
      <c r="H125" s="78" t="s">
        <v>3184</v>
      </c>
      <c r="J125" s="143" t="s">
        <v>789</v>
      </c>
      <c r="K125" s="143" t="s">
        <v>790</v>
      </c>
      <c r="L125" s="143" t="s">
        <v>680</v>
      </c>
      <c r="M125" s="143">
        <v>3186</v>
      </c>
      <c r="N125" s="137">
        <v>0.18181820000000001</v>
      </c>
      <c r="O125" s="137">
        <v>0.63595959999999996</v>
      </c>
      <c r="P125" s="265">
        <v>0.8177778</v>
      </c>
      <c r="Q125" s="137" t="s">
        <v>3185</v>
      </c>
      <c r="R125" s="137">
        <v>0.1666667</v>
      </c>
      <c r="S125" s="137">
        <v>0.66666669999999995</v>
      </c>
      <c r="T125" s="137">
        <v>0.83333330000000005</v>
      </c>
      <c r="V125" s="143" t="s">
        <v>789</v>
      </c>
      <c r="W125" s="143" t="s">
        <v>790</v>
      </c>
      <c r="X125" s="143" t="s">
        <v>680</v>
      </c>
      <c r="Y125" s="143">
        <v>3186</v>
      </c>
      <c r="Z125" s="137" t="s">
        <v>3184</v>
      </c>
      <c r="AA125" s="137" t="s">
        <v>3184</v>
      </c>
      <c r="AB125" s="137" t="s">
        <v>3184</v>
      </c>
      <c r="AC125" s="137" t="s">
        <v>3184</v>
      </c>
      <c r="AD125" s="137" t="s">
        <v>3185</v>
      </c>
      <c r="AE125" s="137" t="s">
        <v>3185</v>
      </c>
      <c r="AF125" s="137" t="s">
        <v>3184</v>
      </c>
      <c r="AG125" s="137" t="s">
        <v>3184</v>
      </c>
      <c r="AH125" s="137" t="s">
        <v>3184</v>
      </c>
      <c r="AI125" s="137" t="s">
        <v>3184</v>
      </c>
      <c r="AJ125" s="137" t="s">
        <v>3184</v>
      </c>
      <c r="AK125" s="137">
        <v>0.81818179999999996</v>
      </c>
      <c r="AM125" s="143" t="s">
        <v>789</v>
      </c>
      <c r="AN125" s="143" t="s">
        <v>790</v>
      </c>
      <c r="AO125" s="143">
        <v>1</v>
      </c>
      <c r="AP125" s="143">
        <v>3186</v>
      </c>
      <c r="AQ125" s="137"/>
      <c r="AR125" s="137"/>
      <c r="AS125" s="137"/>
      <c r="AT125" s="137"/>
      <c r="AU125" s="137"/>
      <c r="AV125" s="137"/>
      <c r="AW125" s="137"/>
      <c r="AX125" s="189">
        <v>0.98750000000000004</v>
      </c>
      <c r="AY125" s="189">
        <v>0.98750000000000004</v>
      </c>
      <c r="AZ125" s="78" t="s">
        <v>3184</v>
      </c>
      <c r="BB125" s="143" t="s">
        <v>789</v>
      </c>
      <c r="BC125" s="143" t="s">
        <v>790</v>
      </c>
      <c r="BD125" s="143" t="s">
        <v>680</v>
      </c>
      <c r="BE125" s="143">
        <v>3186</v>
      </c>
      <c r="BF125" s="137"/>
      <c r="BG125" s="137"/>
      <c r="BH125" s="137"/>
      <c r="BI125" s="137"/>
      <c r="BJ125" s="137"/>
      <c r="BK125" s="137"/>
      <c r="BL125" s="137"/>
      <c r="BM125" s="137"/>
      <c r="BN125" s="137"/>
      <c r="BO125" s="137"/>
      <c r="BP125" s="137"/>
      <c r="BQ125" s="137"/>
      <c r="BR125" s="137" t="s">
        <v>3184</v>
      </c>
      <c r="BS125" s="137" t="s">
        <v>3185</v>
      </c>
      <c r="BT125" s="189" t="s">
        <v>3184</v>
      </c>
      <c r="BU125" s="189">
        <v>0.66666669999999995</v>
      </c>
      <c r="BV125" s="78" t="s">
        <v>3185</v>
      </c>
      <c r="BX125" s="143" t="s">
        <v>789</v>
      </c>
      <c r="BY125" s="143" t="s">
        <v>790</v>
      </c>
      <c r="BZ125" s="143" t="s">
        <v>680</v>
      </c>
      <c r="CA125" s="143">
        <v>3186</v>
      </c>
      <c r="CC125" s="137"/>
      <c r="CD125" s="137"/>
      <c r="CE125" s="137"/>
      <c r="CF125" s="189"/>
      <c r="CG125" s="189"/>
    </row>
    <row r="126" spans="1:86" x14ac:dyDescent="0.25">
      <c r="A126" s="143" t="s">
        <v>789</v>
      </c>
      <c r="B126" s="143" t="s">
        <v>790</v>
      </c>
      <c r="C126" s="143" t="s">
        <v>680</v>
      </c>
      <c r="D126" s="143">
        <v>3387</v>
      </c>
      <c r="E126" s="354">
        <v>0.4</v>
      </c>
      <c r="F126" s="354">
        <v>0.6</v>
      </c>
      <c r="G126" s="354">
        <v>1</v>
      </c>
      <c r="H126" s="78" t="s">
        <v>3184</v>
      </c>
      <c r="J126" s="143" t="s">
        <v>789</v>
      </c>
      <c r="K126" s="143" t="s">
        <v>790</v>
      </c>
      <c r="L126" s="143" t="s">
        <v>680</v>
      </c>
      <c r="M126" s="143">
        <v>3387</v>
      </c>
      <c r="N126" s="137">
        <v>0.18181820000000001</v>
      </c>
      <c r="O126" s="137">
        <v>0.68767679999999998</v>
      </c>
      <c r="P126" s="265">
        <v>0.86949500000000002</v>
      </c>
      <c r="Q126" s="137" t="s">
        <v>3185</v>
      </c>
      <c r="R126" s="137">
        <v>0.2</v>
      </c>
      <c r="S126" s="137">
        <v>0.6</v>
      </c>
      <c r="T126" s="137">
        <v>0.8</v>
      </c>
      <c r="V126" s="143" t="s">
        <v>789</v>
      </c>
      <c r="W126" s="143" t="s">
        <v>790</v>
      </c>
      <c r="X126" s="143" t="s">
        <v>680</v>
      </c>
      <c r="Y126" s="143">
        <v>3387</v>
      </c>
      <c r="Z126" s="137" t="s">
        <v>3185</v>
      </c>
      <c r="AA126" s="137" t="s">
        <v>3184</v>
      </c>
      <c r="AB126" s="137" t="s">
        <v>3184</v>
      </c>
      <c r="AC126" s="137" t="s">
        <v>3184</v>
      </c>
      <c r="AD126" s="137" t="s">
        <v>3185</v>
      </c>
      <c r="AE126" s="137" t="s">
        <v>3185</v>
      </c>
      <c r="AF126" s="137" t="s">
        <v>3184</v>
      </c>
      <c r="AG126" s="137" t="s">
        <v>3184</v>
      </c>
      <c r="AH126" s="137" t="s">
        <v>3184</v>
      </c>
      <c r="AI126" s="137" t="s">
        <v>3184</v>
      </c>
      <c r="AJ126" s="137" t="s">
        <v>3184</v>
      </c>
      <c r="AK126" s="137">
        <v>0.72727269999999999</v>
      </c>
      <c r="AM126" s="143" t="s">
        <v>789</v>
      </c>
      <c r="AN126" s="143" t="s">
        <v>790</v>
      </c>
      <c r="AO126" s="143">
        <v>1</v>
      </c>
      <c r="AP126" s="143">
        <v>3387</v>
      </c>
      <c r="AQ126" s="137"/>
      <c r="AR126" s="137"/>
      <c r="AS126" s="137"/>
      <c r="AT126" s="137"/>
      <c r="AU126" s="137"/>
      <c r="AV126" s="137"/>
      <c r="AW126" s="137"/>
      <c r="AX126" s="189">
        <v>0.96250000000000002</v>
      </c>
      <c r="AY126" s="189">
        <v>0.96250000000000002</v>
      </c>
      <c r="AZ126" s="78" t="s">
        <v>3184</v>
      </c>
      <c r="BB126" s="143" t="s">
        <v>789</v>
      </c>
      <c r="BC126" s="143" t="s">
        <v>790</v>
      </c>
      <c r="BD126" s="143" t="s">
        <v>680</v>
      </c>
      <c r="BE126" s="143">
        <v>3387</v>
      </c>
      <c r="BF126" s="137"/>
      <c r="BG126" s="137"/>
      <c r="BH126" s="137"/>
      <c r="BI126" s="137"/>
      <c r="BJ126" s="137"/>
      <c r="BK126" s="137"/>
      <c r="BL126" s="137"/>
      <c r="BM126" s="137"/>
      <c r="BN126" s="137"/>
      <c r="BO126" s="137"/>
      <c r="BP126" s="137"/>
      <c r="BQ126" s="137"/>
      <c r="BR126" s="137" t="s">
        <v>3184</v>
      </c>
      <c r="BS126" s="137" t="s">
        <v>3184</v>
      </c>
      <c r="BT126" s="189" t="s">
        <v>3184</v>
      </c>
      <c r="BU126" s="189">
        <v>1</v>
      </c>
      <c r="BV126" s="78" t="s">
        <v>3184</v>
      </c>
      <c r="BX126" s="143" t="s">
        <v>789</v>
      </c>
      <c r="BY126" s="143" t="s">
        <v>790</v>
      </c>
      <c r="BZ126" s="143" t="s">
        <v>680</v>
      </c>
      <c r="CA126" s="143">
        <v>3387</v>
      </c>
      <c r="CC126" s="137"/>
      <c r="CD126" s="137"/>
      <c r="CE126" s="137"/>
      <c r="CF126" s="189"/>
      <c r="CG126" s="189"/>
    </row>
    <row r="127" spans="1:86" x14ac:dyDescent="0.25">
      <c r="A127" s="143" t="s">
        <v>789</v>
      </c>
      <c r="B127" s="143" t="s">
        <v>790</v>
      </c>
      <c r="C127" s="143" t="s">
        <v>680</v>
      </c>
      <c r="D127" s="143">
        <v>3791</v>
      </c>
      <c r="E127" s="354">
        <v>0.4</v>
      </c>
      <c r="F127" s="354">
        <v>0.6</v>
      </c>
      <c r="G127" s="354">
        <v>1</v>
      </c>
      <c r="H127" s="78" t="s">
        <v>3184</v>
      </c>
      <c r="J127" s="143" t="s">
        <v>789</v>
      </c>
      <c r="K127" s="143" t="s">
        <v>790</v>
      </c>
      <c r="L127" s="143" t="s">
        <v>680</v>
      </c>
      <c r="M127" s="143">
        <v>3791</v>
      </c>
      <c r="N127" s="137">
        <v>0.18181820000000001</v>
      </c>
      <c r="O127" s="137">
        <v>0.45656560000000002</v>
      </c>
      <c r="P127" s="265">
        <v>0.6383839</v>
      </c>
      <c r="Q127" s="137" t="s">
        <v>3185</v>
      </c>
      <c r="R127" s="137">
        <v>0.1833333</v>
      </c>
      <c r="S127" s="137">
        <v>0.73333329999999997</v>
      </c>
      <c r="T127" s="137">
        <v>0.91666669999999995</v>
      </c>
      <c r="V127" s="143" t="s">
        <v>789</v>
      </c>
      <c r="W127" s="143" t="s">
        <v>790</v>
      </c>
      <c r="X127" s="143" t="s">
        <v>680</v>
      </c>
      <c r="Y127" s="143">
        <v>3791</v>
      </c>
      <c r="Z127" s="137" t="s">
        <v>3185</v>
      </c>
      <c r="AA127" s="137" t="s">
        <v>3184</v>
      </c>
      <c r="AB127" s="137" t="s">
        <v>3184</v>
      </c>
      <c r="AC127" s="137" t="s">
        <v>3184</v>
      </c>
      <c r="AD127" s="137" t="s">
        <v>3185</v>
      </c>
      <c r="AE127" s="137" t="s">
        <v>3185</v>
      </c>
      <c r="AF127" s="137" t="s">
        <v>3184</v>
      </c>
      <c r="AG127" s="137" t="s">
        <v>3184</v>
      </c>
      <c r="AH127" s="137" t="s">
        <v>3184</v>
      </c>
      <c r="AI127" s="137" t="s">
        <v>3184</v>
      </c>
      <c r="AJ127" s="137" t="s">
        <v>3184</v>
      </c>
      <c r="AK127" s="137">
        <v>0.72727269999999999</v>
      </c>
      <c r="AM127" s="143" t="s">
        <v>789</v>
      </c>
      <c r="AN127" s="143" t="s">
        <v>790</v>
      </c>
      <c r="AO127" s="143">
        <v>1</v>
      </c>
      <c r="AP127" s="143">
        <v>3791</v>
      </c>
      <c r="AQ127" s="137"/>
      <c r="AR127" s="137"/>
      <c r="AS127" s="137"/>
      <c r="AT127" s="137"/>
      <c r="AU127" s="137"/>
      <c r="AV127" s="137"/>
      <c r="AW127" s="137"/>
      <c r="AX127" s="189">
        <v>0.9375</v>
      </c>
      <c r="AY127" s="189">
        <v>0.9375</v>
      </c>
      <c r="AZ127" s="78" t="s">
        <v>3185</v>
      </c>
      <c r="BB127" s="143" t="s">
        <v>789</v>
      </c>
      <c r="BC127" s="143" t="s">
        <v>790</v>
      </c>
      <c r="BD127" s="143" t="s">
        <v>680</v>
      </c>
      <c r="BE127" s="143">
        <v>3791</v>
      </c>
      <c r="BF127" s="137"/>
      <c r="BG127" s="137"/>
      <c r="BH127" s="137"/>
      <c r="BI127" s="137"/>
      <c r="BJ127" s="137"/>
      <c r="BK127" s="137"/>
      <c r="BL127" s="137"/>
      <c r="BM127" s="137"/>
      <c r="BN127" s="137"/>
      <c r="BO127" s="137"/>
      <c r="BP127" s="137"/>
      <c r="BQ127" s="137"/>
      <c r="BR127" s="137" t="s">
        <v>3184</v>
      </c>
      <c r="BS127" s="137" t="s">
        <v>3184</v>
      </c>
      <c r="BT127" s="189" t="s">
        <v>3184</v>
      </c>
      <c r="BU127" s="189">
        <v>1</v>
      </c>
      <c r="BV127" s="78" t="s">
        <v>3184</v>
      </c>
      <c r="BX127" s="143" t="s">
        <v>789</v>
      </c>
      <c r="BY127" s="143" t="s">
        <v>790</v>
      </c>
      <c r="BZ127" s="143" t="s">
        <v>680</v>
      </c>
      <c r="CA127" s="143">
        <v>3791</v>
      </c>
      <c r="CC127" s="137"/>
      <c r="CD127" s="137"/>
      <c r="CE127" s="137"/>
      <c r="CF127" s="189"/>
      <c r="CG127" s="189"/>
    </row>
    <row r="128" spans="1:86" x14ac:dyDescent="0.25">
      <c r="A128" s="143" t="s">
        <v>791</v>
      </c>
      <c r="B128" s="143" t="s">
        <v>790</v>
      </c>
      <c r="C128" s="143" t="s">
        <v>680</v>
      </c>
      <c r="D128" s="143">
        <v>2241</v>
      </c>
      <c r="E128" s="354">
        <v>0.4</v>
      </c>
      <c r="F128" s="354">
        <v>0.6</v>
      </c>
      <c r="G128" s="354">
        <v>1</v>
      </c>
      <c r="H128" s="78" t="s">
        <v>3184</v>
      </c>
      <c r="J128" s="143" t="s">
        <v>791</v>
      </c>
      <c r="K128" s="252" t="s">
        <v>790</v>
      </c>
      <c r="L128" s="143" t="s">
        <v>680</v>
      </c>
      <c r="M128" s="143">
        <v>2241</v>
      </c>
      <c r="N128" s="137">
        <v>9.0909100000000007E-2</v>
      </c>
      <c r="O128" s="137">
        <v>0.23030300000000001</v>
      </c>
      <c r="P128" s="265">
        <v>0.3212121</v>
      </c>
      <c r="Q128" s="137" t="s">
        <v>3185</v>
      </c>
      <c r="R128" s="137">
        <v>0.13333329999999999</v>
      </c>
      <c r="S128" s="137">
        <v>0</v>
      </c>
      <c r="T128" s="137">
        <v>0.13333329999999999</v>
      </c>
      <c r="V128" s="143" t="s">
        <v>791</v>
      </c>
      <c r="W128" s="143" t="s">
        <v>790</v>
      </c>
      <c r="X128" s="143" t="s">
        <v>680</v>
      </c>
      <c r="Y128" s="143">
        <v>2241</v>
      </c>
      <c r="Z128" s="137" t="s">
        <v>3184</v>
      </c>
      <c r="AA128" s="137" t="s">
        <v>3184</v>
      </c>
      <c r="AB128" s="137" t="s">
        <v>3185</v>
      </c>
      <c r="AC128" s="137" t="s">
        <v>3184</v>
      </c>
      <c r="AD128" s="137" t="s">
        <v>3185</v>
      </c>
      <c r="AE128" s="137" t="s">
        <v>3185</v>
      </c>
      <c r="AF128" s="137" t="s">
        <v>3184</v>
      </c>
      <c r="AG128" s="137" t="s">
        <v>3184</v>
      </c>
      <c r="AH128" s="137" t="s">
        <v>3184</v>
      </c>
      <c r="AI128" s="137" t="s">
        <v>3184</v>
      </c>
      <c r="AJ128" s="137" t="s">
        <v>3185</v>
      </c>
      <c r="AK128" s="137">
        <v>0.63636360000000003</v>
      </c>
      <c r="AM128" s="143" t="s">
        <v>791</v>
      </c>
      <c r="AN128" s="143" t="s">
        <v>790</v>
      </c>
      <c r="AO128" s="143">
        <v>1</v>
      </c>
      <c r="AP128" s="143">
        <v>2241</v>
      </c>
      <c r="AQ128" s="137"/>
      <c r="AR128" s="137"/>
      <c r="AS128" s="137"/>
      <c r="AT128" s="137"/>
      <c r="AU128" s="137"/>
      <c r="AV128" s="137"/>
      <c r="AW128" s="137"/>
      <c r="AX128" s="189">
        <v>0.78749999999999998</v>
      </c>
      <c r="AY128" s="189">
        <v>0.78749999999999998</v>
      </c>
      <c r="AZ128" s="78" t="s">
        <v>3185</v>
      </c>
      <c r="BB128" s="143" t="s">
        <v>791</v>
      </c>
      <c r="BC128" s="143" t="s">
        <v>790</v>
      </c>
      <c r="BD128" s="143" t="s">
        <v>680</v>
      </c>
      <c r="BE128" s="143">
        <v>2241</v>
      </c>
      <c r="BF128" s="137"/>
      <c r="BG128" s="137"/>
      <c r="BH128" s="137"/>
      <c r="BI128" s="137"/>
      <c r="BJ128" s="137"/>
      <c r="BK128" s="137"/>
      <c r="BL128" s="137"/>
      <c r="BM128" s="137"/>
      <c r="BN128" s="137"/>
      <c r="BO128" s="137"/>
      <c r="BP128" s="137"/>
      <c r="BQ128" s="137"/>
      <c r="BR128" s="137" t="s">
        <v>3185</v>
      </c>
      <c r="BS128" s="137" t="s">
        <v>3185</v>
      </c>
      <c r="BT128" s="189" t="s">
        <v>3185</v>
      </c>
      <c r="BU128" s="189">
        <v>0</v>
      </c>
      <c r="BV128" s="78" t="s">
        <v>3185</v>
      </c>
      <c r="BX128" s="143" t="s">
        <v>791</v>
      </c>
      <c r="BY128" s="143" t="s">
        <v>790</v>
      </c>
      <c r="BZ128" s="143" t="s">
        <v>680</v>
      </c>
      <c r="CA128" s="143">
        <v>2241</v>
      </c>
      <c r="CC128" s="137"/>
      <c r="CD128" s="137"/>
      <c r="CE128" s="137"/>
      <c r="CF128" s="189"/>
      <c r="CG128" s="189"/>
    </row>
    <row r="129" spans="1:85" x14ac:dyDescent="0.25">
      <c r="A129" s="143" t="s">
        <v>791</v>
      </c>
      <c r="B129" s="143" t="s">
        <v>790</v>
      </c>
      <c r="C129" s="143" t="s">
        <v>680</v>
      </c>
      <c r="D129" s="143">
        <v>2246</v>
      </c>
      <c r="E129" s="354">
        <v>0.39740259999999999</v>
      </c>
      <c r="F129" s="354">
        <v>0.3</v>
      </c>
      <c r="G129" s="354">
        <v>0.69740259999999998</v>
      </c>
      <c r="H129" s="78" t="s">
        <v>3185</v>
      </c>
      <c r="J129" s="143" t="s">
        <v>791</v>
      </c>
      <c r="K129" s="252" t="s">
        <v>790</v>
      </c>
      <c r="L129" s="143" t="s">
        <v>680</v>
      </c>
      <c r="M129" s="143">
        <v>2246</v>
      </c>
      <c r="N129" s="137">
        <v>9.0909100000000007E-2</v>
      </c>
      <c r="O129" s="137">
        <v>7.9191899999999996E-2</v>
      </c>
      <c r="P129" s="265">
        <v>0.170101</v>
      </c>
      <c r="Q129" s="137" t="s">
        <v>3185</v>
      </c>
      <c r="R129" s="137">
        <v>0.1166667</v>
      </c>
      <c r="S129" s="137">
        <v>4.5021600000000002E-2</v>
      </c>
      <c r="T129" s="137">
        <v>0.16168830000000001</v>
      </c>
      <c r="V129" s="143" t="s">
        <v>791</v>
      </c>
      <c r="W129" s="143" t="s">
        <v>790</v>
      </c>
      <c r="X129" s="143" t="s">
        <v>680</v>
      </c>
      <c r="Y129" s="143">
        <v>2246</v>
      </c>
      <c r="Z129" s="137" t="s">
        <v>3184</v>
      </c>
      <c r="AA129" s="137" t="s">
        <v>3184</v>
      </c>
      <c r="AB129" s="137" t="s">
        <v>3184</v>
      </c>
      <c r="AC129" s="137" t="s">
        <v>3184</v>
      </c>
      <c r="AD129" s="137" t="s">
        <v>3185</v>
      </c>
      <c r="AE129" s="137" t="s">
        <v>3185</v>
      </c>
      <c r="AF129" s="137" t="s">
        <v>3184</v>
      </c>
      <c r="AG129" s="137" t="s">
        <v>3185</v>
      </c>
      <c r="AH129" s="137" t="s">
        <v>3185</v>
      </c>
      <c r="AI129" s="137" t="s">
        <v>3184</v>
      </c>
      <c r="AJ129" s="137" t="s">
        <v>3185</v>
      </c>
      <c r="AK129" s="137">
        <v>0.54545460000000001</v>
      </c>
      <c r="AM129" s="143" t="s">
        <v>791</v>
      </c>
      <c r="AN129" s="143" t="s">
        <v>790</v>
      </c>
      <c r="AO129" s="143">
        <v>1</v>
      </c>
      <c r="AP129" s="143">
        <v>2246</v>
      </c>
      <c r="AQ129" s="137"/>
      <c r="AR129" s="137"/>
      <c r="AS129" s="137"/>
      <c r="AT129" s="137"/>
      <c r="AU129" s="137"/>
      <c r="AV129" s="137"/>
      <c r="AW129" s="137"/>
      <c r="AX129" s="189">
        <v>0.86250000000000004</v>
      </c>
      <c r="AY129" s="189">
        <v>0.86250000000000004</v>
      </c>
      <c r="AZ129" s="78" t="s">
        <v>3185</v>
      </c>
      <c r="BB129" s="143" t="s">
        <v>791</v>
      </c>
      <c r="BC129" s="143" t="s">
        <v>790</v>
      </c>
      <c r="BD129" s="143" t="s">
        <v>680</v>
      </c>
      <c r="BE129" s="143">
        <v>2246</v>
      </c>
      <c r="BF129" s="137"/>
      <c r="BG129" s="137"/>
      <c r="BH129" s="137"/>
      <c r="BI129" s="137"/>
      <c r="BJ129" s="137"/>
      <c r="BK129" s="137"/>
      <c r="BL129" s="137"/>
      <c r="BM129" s="137"/>
      <c r="BN129" s="137"/>
      <c r="BO129" s="137"/>
      <c r="BP129" s="137"/>
      <c r="BQ129" s="137"/>
      <c r="BR129" s="137" t="s">
        <v>3185</v>
      </c>
      <c r="BS129" s="137" t="s">
        <v>3185</v>
      </c>
      <c r="BT129" s="189" t="s">
        <v>3185</v>
      </c>
      <c r="BU129" s="189">
        <v>0</v>
      </c>
      <c r="BV129" s="78" t="s">
        <v>3185</v>
      </c>
      <c r="BX129" s="143" t="s">
        <v>791</v>
      </c>
      <c r="BY129" s="143" t="s">
        <v>790</v>
      </c>
      <c r="BZ129" s="143" t="s">
        <v>680</v>
      </c>
      <c r="CA129" s="143">
        <v>2246</v>
      </c>
      <c r="CC129" s="137"/>
      <c r="CD129" s="137"/>
      <c r="CE129" s="137"/>
      <c r="CF129" s="189"/>
      <c r="CG129" s="189"/>
    </row>
    <row r="130" spans="1:85" x14ac:dyDescent="0.25">
      <c r="A130" s="143" t="s">
        <v>791</v>
      </c>
      <c r="B130" s="143" t="s">
        <v>790</v>
      </c>
      <c r="C130" s="143" t="s">
        <v>680</v>
      </c>
      <c r="D130" s="143">
        <v>2248</v>
      </c>
      <c r="E130" s="354">
        <v>0.4</v>
      </c>
      <c r="F130" s="354">
        <v>0.6</v>
      </c>
      <c r="G130" s="354">
        <v>1</v>
      </c>
      <c r="H130" s="78" t="s">
        <v>3184</v>
      </c>
      <c r="J130" s="143" t="s">
        <v>791</v>
      </c>
      <c r="K130" s="252" t="s">
        <v>790</v>
      </c>
      <c r="L130" s="143" t="s">
        <v>680</v>
      </c>
      <c r="M130" s="143">
        <v>2248</v>
      </c>
      <c r="N130" s="137">
        <v>9.0909100000000007E-2</v>
      </c>
      <c r="O130" s="137">
        <v>0.54626260000000004</v>
      </c>
      <c r="P130" s="265">
        <v>0.63717170000000001</v>
      </c>
      <c r="Q130" s="137" t="s">
        <v>3185</v>
      </c>
      <c r="R130" s="137">
        <v>0.15</v>
      </c>
      <c r="S130" s="137">
        <v>0.6</v>
      </c>
      <c r="T130" s="137">
        <v>0.75</v>
      </c>
      <c r="V130" s="143" t="s">
        <v>791</v>
      </c>
      <c r="W130" s="143" t="s">
        <v>790</v>
      </c>
      <c r="X130" s="143" t="s">
        <v>680</v>
      </c>
      <c r="Y130" s="143">
        <v>2248</v>
      </c>
      <c r="Z130" s="137" t="s">
        <v>3184</v>
      </c>
      <c r="AA130" s="137" t="s">
        <v>3184</v>
      </c>
      <c r="AB130" s="137" t="s">
        <v>3184</v>
      </c>
      <c r="AC130" s="137" t="s">
        <v>3184</v>
      </c>
      <c r="AD130" s="137" t="s">
        <v>3185</v>
      </c>
      <c r="AE130" s="137" t="s">
        <v>3185</v>
      </c>
      <c r="AF130" s="137" t="s">
        <v>3184</v>
      </c>
      <c r="AG130" s="137" t="s">
        <v>3184</v>
      </c>
      <c r="AH130" s="137" t="s">
        <v>3184</v>
      </c>
      <c r="AI130" s="137" t="s">
        <v>3184</v>
      </c>
      <c r="AJ130" s="137" t="s">
        <v>3184</v>
      </c>
      <c r="AK130" s="137">
        <v>0.81818179999999996</v>
      </c>
      <c r="AM130" s="143" t="s">
        <v>791</v>
      </c>
      <c r="AN130" s="143" t="s">
        <v>790</v>
      </c>
      <c r="AO130" s="143">
        <v>1</v>
      </c>
      <c r="AP130" s="143">
        <v>2248</v>
      </c>
      <c r="AQ130" s="137"/>
      <c r="AR130" s="137"/>
      <c r="AS130" s="137"/>
      <c r="AT130" s="137"/>
      <c r="AU130" s="137"/>
      <c r="AV130" s="137"/>
      <c r="AW130" s="137"/>
      <c r="AX130" s="189">
        <v>0.88749999999999996</v>
      </c>
      <c r="AY130" s="189">
        <v>0.88749999999999996</v>
      </c>
      <c r="AZ130" s="78" t="s">
        <v>3185</v>
      </c>
      <c r="BB130" s="143" t="s">
        <v>791</v>
      </c>
      <c r="BC130" s="143" t="s">
        <v>790</v>
      </c>
      <c r="BD130" s="143" t="s">
        <v>680</v>
      </c>
      <c r="BE130" s="143">
        <v>2248</v>
      </c>
      <c r="BF130" s="137"/>
      <c r="BG130" s="137"/>
      <c r="BH130" s="137"/>
      <c r="BI130" s="137"/>
      <c r="BJ130" s="137"/>
      <c r="BK130" s="137"/>
      <c r="BL130" s="137"/>
      <c r="BM130" s="137"/>
      <c r="BN130" s="137"/>
      <c r="BO130" s="137"/>
      <c r="BP130" s="137"/>
      <c r="BQ130" s="137"/>
      <c r="BR130" s="137" t="s">
        <v>3184</v>
      </c>
      <c r="BS130" s="137" t="s">
        <v>3185</v>
      </c>
      <c r="BT130" s="189" t="s">
        <v>3185</v>
      </c>
      <c r="BU130" s="189">
        <v>0.3333333</v>
      </c>
      <c r="BV130" s="78" t="s">
        <v>3185</v>
      </c>
      <c r="BX130" s="143" t="s">
        <v>791</v>
      </c>
      <c r="BY130" s="143" t="s">
        <v>790</v>
      </c>
      <c r="BZ130" s="143" t="s">
        <v>680</v>
      </c>
      <c r="CA130" s="143">
        <v>2248</v>
      </c>
      <c r="CC130" s="137"/>
      <c r="CD130" s="137"/>
      <c r="CE130" s="137"/>
      <c r="CF130" s="189"/>
      <c r="CG130" s="189"/>
    </row>
    <row r="131" spans="1:85" x14ac:dyDescent="0.25">
      <c r="A131" s="143" t="s">
        <v>791</v>
      </c>
      <c r="B131" s="143" t="s">
        <v>790</v>
      </c>
      <c r="C131" s="143" t="s">
        <v>680</v>
      </c>
      <c r="D131" s="143">
        <v>2852</v>
      </c>
      <c r="E131" s="354">
        <v>0.24935070000000001</v>
      </c>
      <c r="F131" s="354">
        <v>0.6</v>
      </c>
      <c r="G131" s="354">
        <v>0.84935070000000001</v>
      </c>
      <c r="H131" s="78" t="s">
        <v>3185</v>
      </c>
      <c r="J131" s="143" t="s">
        <v>791</v>
      </c>
      <c r="K131" s="252" t="s">
        <v>790</v>
      </c>
      <c r="L131" s="143" t="s">
        <v>680</v>
      </c>
      <c r="M131" s="143">
        <v>2852</v>
      </c>
      <c r="N131" s="137">
        <v>7.2727299999999995E-2</v>
      </c>
      <c r="O131" s="137">
        <v>0.1179798</v>
      </c>
      <c r="P131" s="265">
        <v>0.19070709999999999</v>
      </c>
      <c r="Q131" s="137" t="s">
        <v>3185</v>
      </c>
      <c r="R131" s="137">
        <v>3.3333300000000003E-2</v>
      </c>
      <c r="S131" s="137">
        <v>0</v>
      </c>
      <c r="T131" s="137">
        <v>3.3333300000000003E-2</v>
      </c>
      <c r="V131" s="143" t="s">
        <v>791</v>
      </c>
      <c r="W131" s="143" t="s">
        <v>790</v>
      </c>
      <c r="X131" s="143" t="s">
        <v>680</v>
      </c>
      <c r="Y131" s="143">
        <v>2852</v>
      </c>
      <c r="Z131" s="137" t="s">
        <v>3184</v>
      </c>
      <c r="AA131" s="137" t="s">
        <v>3184</v>
      </c>
      <c r="AB131" s="137" t="s">
        <v>3184</v>
      </c>
      <c r="AC131" s="137" t="s">
        <v>3184</v>
      </c>
      <c r="AD131" s="137" t="s">
        <v>3185</v>
      </c>
      <c r="AE131" s="137" t="s">
        <v>3185</v>
      </c>
      <c r="AF131" s="137" t="s">
        <v>3184</v>
      </c>
      <c r="AG131" s="137" t="s">
        <v>3185</v>
      </c>
      <c r="AH131" s="137" t="s">
        <v>3185</v>
      </c>
      <c r="AI131" s="137" t="s">
        <v>3184</v>
      </c>
      <c r="AJ131" s="137" t="s">
        <v>3185</v>
      </c>
      <c r="AK131" s="137">
        <v>0.54545460000000001</v>
      </c>
      <c r="AM131" s="143" t="s">
        <v>791</v>
      </c>
      <c r="AN131" s="143" t="s">
        <v>790</v>
      </c>
      <c r="AO131" s="143">
        <v>1</v>
      </c>
      <c r="AP131" s="143">
        <v>2852</v>
      </c>
      <c r="AQ131" s="137"/>
      <c r="AR131" s="137"/>
      <c r="AS131" s="137"/>
      <c r="AT131" s="137"/>
      <c r="AU131" s="137"/>
      <c r="AV131" s="137"/>
      <c r="AW131" s="137"/>
      <c r="AX131" s="189">
        <v>0.76249999999999996</v>
      </c>
      <c r="AY131" s="189">
        <v>0.76249999999999996</v>
      </c>
      <c r="AZ131" s="78" t="s">
        <v>3185</v>
      </c>
      <c r="BB131" s="143" t="s">
        <v>791</v>
      </c>
      <c r="BC131" s="143" t="s">
        <v>790</v>
      </c>
      <c r="BD131" s="143" t="s">
        <v>680</v>
      </c>
      <c r="BE131" s="143">
        <v>2852</v>
      </c>
      <c r="BF131" s="137"/>
      <c r="BG131" s="137"/>
      <c r="BH131" s="137"/>
      <c r="BI131" s="137"/>
      <c r="BJ131" s="137"/>
      <c r="BK131" s="137"/>
      <c r="BL131" s="137"/>
      <c r="BM131" s="137"/>
      <c r="BN131" s="137"/>
      <c r="BO131" s="137"/>
      <c r="BP131" s="137"/>
      <c r="BQ131" s="137"/>
      <c r="BR131" s="137" t="s">
        <v>3185</v>
      </c>
      <c r="BS131" s="137" t="s">
        <v>3185</v>
      </c>
      <c r="BT131" s="189" t="s">
        <v>3185</v>
      </c>
      <c r="BU131" s="189">
        <v>0</v>
      </c>
      <c r="BV131" s="78" t="s">
        <v>3185</v>
      </c>
      <c r="BX131" s="143" t="s">
        <v>791</v>
      </c>
      <c r="BY131" s="143" t="s">
        <v>790</v>
      </c>
      <c r="BZ131" s="143" t="s">
        <v>680</v>
      </c>
      <c r="CA131" s="143">
        <v>2852</v>
      </c>
      <c r="CC131" s="137"/>
      <c r="CD131" s="137"/>
      <c r="CE131" s="137"/>
      <c r="CF131" s="189"/>
      <c r="CG131" s="189"/>
    </row>
    <row r="132" spans="1:85" x14ac:dyDescent="0.25">
      <c r="A132" s="143" t="s">
        <v>791</v>
      </c>
      <c r="B132" s="143" t="s">
        <v>790</v>
      </c>
      <c r="C132" s="143" t="s">
        <v>680</v>
      </c>
      <c r="D132" s="143">
        <v>3841</v>
      </c>
      <c r="E132" s="354">
        <v>0.4</v>
      </c>
      <c r="F132" s="354">
        <v>0.6</v>
      </c>
      <c r="G132" s="354">
        <v>1</v>
      </c>
      <c r="H132" s="78" t="s">
        <v>3184</v>
      </c>
      <c r="J132" s="143" t="s">
        <v>791</v>
      </c>
      <c r="K132" s="252" t="s">
        <v>790</v>
      </c>
      <c r="L132" s="143" t="s">
        <v>680</v>
      </c>
      <c r="M132" s="143">
        <v>3841</v>
      </c>
      <c r="N132" s="137">
        <v>0.14545449999999999</v>
      </c>
      <c r="O132" s="137">
        <v>0.46464650000000002</v>
      </c>
      <c r="P132" s="265">
        <v>0.610101</v>
      </c>
      <c r="Q132" s="137" t="s">
        <v>3185</v>
      </c>
      <c r="R132" s="137">
        <v>0.13333329999999999</v>
      </c>
      <c r="S132" s="137">
        <v>0</v>
      </c>
      <c r="T132" s="137">
        <v>0.13333329999999999</v>
      </c>
      <c r="V132" s="143" t="s">
        <v>791</v>
      </c>
      <c r="W132" s="143" t="s">
        <v>790</v>
      </c>
      <c r="X132" s="143" t="s">
        <v>680</v>
      </c>
      <c r="Y132" s="143">
        <v>3841</v>
      </c>
      <c r="Z132" s="137" t="s">
        <v>3184</v>
      </c>
      <c r="AA132" s="137" t="s">
        <v>3184</v>
      </c>
      <c r="AB132" s="137" t="s">
        <v>3184</v>
      </c>
      <c r="AC132" s="137" t="s">
        <v>3184</v>
      </c>
      <c r="AD132" s="137" t="s">
        <v>3185</v>
      </c>
      <c r="AE132" s="137" t="s">
        <v>3185</v>
      </c>
      <c r="AF132" s="137" t="s">
        <v>3184</v>
      </c>
      <c r="AG132" s="137" t="s">
        <v>3185</v>
      </c>
      <c r="AH132" s="137" t="s">
        <v>3184</v>
      </c>
      <c r="AI132" s="137" t="s">
        <v>3184</v>
      </c>
      <c r="AJ132" s="137" t="s">
        <v>3185</v>
      </c>
      <c r="AK132" s="137">
        <v>0.63636360000000003</v>
      </c>
      <c r="AM132" s="143" t="s">
        <v>791</v>
      </c>
      <c r="AN132" s="143" t="s">
        <v>790</v>
      </c>
      <c r="AO132" s="143">
        <v>1</v>
      </c>
      <c r="AP132" s="143">
        <v>3841</v>
      </c>
      <c r="AQ132" s="137"/>
      <c r="AR132" s="137"/>
      <c r="AS132" s="137"/>
      <c r="AT132" s="137"/>
      <c r="AU132" s="137"/>
      <c r="AV132" s="137"/>
      <c r="AW132" s="137"/>
      <c r="AX132" s="189">
        <v>0.72499999999999998</v>
      </c>
      <c r="AY132" s="189">
        <v>0.72499999999999998</v>
      </c>
      <c r="AZ132" s="78" t="s">
        <v>3185</v>
      </c>
      <c r="BB132" s="143" t="s">
        <v>791</v>
      </c>
      <c r="BC132" s="143" t="s">
        <v>790</v>
      </c>
      <c r="BD132" s="143" t="s">
        <v>680</v>
      </c>
      <c r="BE132" s="143">
        <v>3841</v>
      </c>
      <c r="BF132" s="137"/>
      <c r="BG132" s="137"/>
      <c r="BH132" s="137"/>
      <c r="BI132" s="137"/>
      <c r="BJ132" s="137"/>
      <c r="BK132" s="137"/>
      <c r="BL132" s="137"/>
      <c r="BM132" s="137"/>
      <c r="BN132" s="137"/>
      <c r="BO132" s="137"/>
      <c r="BP132" s="137"/>
      <c r="BQ132" s="137"/>
      <c r="BR132" s="137" t="s">
        <v>3185</v>
      </c>
      <c r="BS132" s="137" t="s">
        <v>3184</v>
      </c>
      <c r="BT132" s="189" t="s">
        <v>3184</v>
      </c>
      <c r="BU132" s="189">
        <v>0.66666669999999995</v>
      </c>
      <c r="BV132" s="78" t="s">
        <v>3185</v>
      </c>
      <c r="BX132" s="143" t="s">
        <v>791</v>
      </c>
      <c r="BY132" s="143" t="s">
        <v>790</v>
      </c>
      <c r="BZ132" s="143" t="s">
        <v>680</v>
      </c>
      <c r="CA132" s="143">
        <v>3841</v>
      </c>
      <c r="CC132" s="137"/>
      <c r="CD132" s="137"/>
      <c r="CE132" s="137"/>
      <c r="CF132" s="189"/>
      <c r="CG132" s="189"/>
    </row>
    <row r="133" spans="1:85" x14ac:dyDescent="0.25">
      <c r="A133" s="143" t="s">
        <v>791</v>
      </c>
      <c r="B133" s="143" t="s">
        <v>790</v>
      </c>
      <c r="C133" s="143" t="s">
        <v>680</v>
      </c>
      <c r="D133" s="143">
        <v>3845</v>
      </c>
      <c r="E133" s="354">
        <v>0.4</v>
      </c>
      <c r="F133" s="354">
        <v>0.6</v>
      </c>
      <c r="G133" s="354">
        <v>1</v>
      </c>
      <c r="H133" s="78" t="s">
        <v>3184</v>
      </c>
      <c r="J133" s="143" t="s">
        <v>791</v>
      </c>
      <c r="K133" s="252" t="s">
        <v>790</v>
      </c>
      <c r="L133" s="143" t="s">
        <v>680</v>
      </c>
      <c r="M133" s="143">
        <v>3845</v>
      </c>
      <c r="N133" s="137">
        <v>7.2727299999999995E-2</v>
      </c>
      <c r="O133" s="137">
        <v>0.14545449999999999</v>
      </c>
      <c r="P133" s="265">
        <v>0.21818180000000001</v>
      </c>
      <c r="Q133" s="137" t="s">
        <v>3185</v>
      </c>
      <c r="R133" s="137">
        <v>0.1</v>
      </c>
      <c r="S133" s="137">
        <v>6.6666699999999995E-2</v>
      </c>
      <c r="T133" s="137">
        <v>0.1666667</v>
      </c>
      <c r="V133" s="143" t="s">
        <v>791</v>
      </c>
      <c r="W133" s="143" t="s">
        <v>790</v>
      </c>
      <c r="X133" s="143" t="s">
        <v>680</v>
      </c>
      <c r="Y133" s="143">
        <v>3845</v>
      </c>
      <c r="Z133" s="137" t="s">
        <v>3184</v>
      </c>
      <c r="AA133" s="137" t="s">
        <v>3184</v>
      </c>
      <c r="AB133" s="137" t="s">
        <v>3184</v>
      </c>
      <c r="AC133" s="137" t="s">
        <v>3184</v>
      </c>
      <c r="AD133" s="137" t="s">
        <v>3185</v>
      </c>
      <c r="AE133" s="137" t="s">
        <v>3185</v>
      </c>
      <c r="AF133" s="137" t="s">
        <v>3184</v>
      </c>
      <c r="AG133" s="137" t="s">
        <v>3185</v>
      </c>
      <c r="AH133" s="137" t="s">
        <v>3184</v>
      </c>
      <c r="AI133" s="137" t="s">
        <v>3184</v>
      </c>
      <c r="AJ133" s="137" t="s">
        <v>3185</v>
      </c>
      <c r="AK133" s="137">
        <v>0.63636360000000003</v>
      </c>
      <c r="AM133" s="143" t="s">
        <v>791</v>
      </c>
      <c r="AN133" s="143" t="s">
        <v>790</v>
      </c>
      <c r="AO133" s="143">
        <v>1</v>
      </c>
      <c r="AP133" s="143">
        <v>3845</v>
      </c>
      <c r="AQ133" s="137"/>
      <c r="AR133" s="137"/>
      <c r="AS133" s="137"/>
      <c r="AT133" s="137"/>
      <c r="AU133" s="137"/>
      <c r="AV133" s="137"/>
      <c r="AW133" s="137"/>
      <c r="AX133" s="189">
        <v>0.95</v>
      </c>
      <c r="AY133" s="189">
        <v>0.95</v>
      </c>
      <c r="AZ133" s="78" t="s">
        <v>3185</v>
      </c>
      <c r="BB133" s="143" t="s">
        <v>791</v>
      </c>
      <c r="BC133" s="143" t="s">
        <v>790</v>
      </c>
      <c r="BD133" s="143" t="s">
        <v>680</v>
      </c>
      <c r="BE133" s="143">
        <v>3845</v>
      </c>
      <c r="BF133" s="137"/>
      <c r="BG133" s="137"/>
      <c r="BH133" s="137"/>
      <c r="BI133" s="137"/>
      <c r="BJ133" s="137"/>
      <c r="BK133" s="137"/>
      <c r="BL133" s="137"/>
      <c r="BM133" s="137"/>
      <c r="BN133" s="137"/>
      <c r="BO133" s="137"/>
      <c r="BP133" s="137"/>
      <c r="BQ133" s="137"/>
      <c r="BR133" s="137" t="s">
        <v>3185</v>
      </c>
      <c r="BS133" s="137" t="s">
        <v>3184</v>
      </c>
      <c r="BT133" s="189" t="s">
        <v>3184</v>
      </c>
      <c r="BU133" s="189">
        <v>0.66666669999999995</v>
      </c>
      <c r="BV133" s="78" t="s">
        <v>3185</v>
      </c>
      <c r="BX133" s="143" t="s">
        <v>791</v>
      </c>
      <c r="BY133" s="143" t="s">
        <v>790</v>
      </c>
      <c r="BZ133" s="143" t="s">
        <v>680</v>
      </c>
      <c r="CA133" s="143">
        <v>3845</v>
      </c>
      <c r="CC133" s="137"/>
      <c r="CD133" s="137"/>
      <c r="CE133" s="137"/>
      <c r="CF133" s="189"/>
      <c r="CG133" s="189"/>
    </row>
    <row r="134" spans="1:85" x14ac:dyDescent="0.25">
      <c r="A134" s="143" t="s">
        <v>792</v>
      </c>
      <c r="B134" s="143" t="s">
        <v>758</v>
      </c>
      <c r="C134" s="143" t="s">
        <v>680</v>
      </c>
      <c r="D134" s="143">
        <v>4213</v>
      </c>
      <c r="E134" s="354">
        <v>0.3922078</v>
      </c>
      <c r="F134" s="354">
        <v>0.3</v>
      </c>
      <c r="G134" s="354">
        <v>0.69220780000000004</v>
      </c>
      <c r="H134" s="78" t="s">
        <v>3185</v>
      </c>
      <c r="J134" s="143" t="s">
        <v>792</v>
      </c>
      <c r="K134" s="252" t="s">
        <v>758</v>
      </c>
      <c r="L134" s="143" t="s">
        <v>680</v>
      </c>
      <c r="M134" s="143">
        <v>4213</v>
      </c>
      <c r="N134" s="137">
        <v>0.12727269999999999</v>
      </c>
      <c r="O134" s="137">
        <v>0.38303029999999999</v>
      </c>
      <c r="P134" s="265">
        <v>0.51030299999999995</v>
      </c>
      <c r="Q134" s="137" t="s">
        <v>3185</v>
      </c>
      <c r="R134" s="137">
        <v>0.15</v>
      </c>
      <c r="S134" s="137">
        <v>6.6666699999999995E-2</v>
      </c>
      <c r="T134" s="137">
        <v>0.21666669999999999</v>
      </c>
      <c r="V134" s="143" t="s">
        <v>792</v>
      </c>
      <c r="W134" s="143" t="s">
        <v>758</v>
      </c>
      <c r="X134" s="143" t="s">
        <v>680</v>
      </c>
      <c r="Y134" s="143">
        <v>4213</v>
      </c>
      <c r="Z134" s="137" t="s">
        <v>3185</v>
      </c>
      <c r="AA134" s="137" t="s">
        <v>3184</v>
      </c>
      <c r="AB134" s="137" t="s">
        <v>3184</v>
      </c>
      <c r="AC134" s="137" t="s">
        <v>3185</v>
      </c>
      <c r="AD134" s="137" t="s">
        <v>3185</v>
      </c>
      <c r="AE134" s="137" t="s">
        <v>3185</v>
      </c>
      <c r="AF134" s="137" t="s">
        <v>3184</v>
      </c>
      <c r="AG134" s="137" t="s">
        <v>3184</v>
      </c>
      <c r="AH134" s="137" t="s">
        <v>3184</v>
      </c>
      <c r="AI134" s="137" t="s">
        <v>3184</v>
      </c>
      <c r="AJ134" s="137" t="s">
        <v>3185</v>
      </c>
      <c r="AK134" s="137">
        <v>0.54545460000000001</v>
      </c>
      <c r="AM134" s="143" t="s">
        <v>792</v>
      </c>
      <c r="AN134" s="143" t="s">
        <v>758</v>
      </c>
      <c r="AO134" s="143">
        <v>1</v>
      </c>
      <c r="AP134" s="143">
        <v>4213</v>
      </c>
      <c r="AQ134" s="137"/>
      <c r="AR134" s="137"/>
      <c r="AS134" s="137"/>
      <c r="AT134" s="137"/>
      <c r="AU134" s="137"/>
      <c r="AV134" s="137"/>
      <c r="AW134" s="137"/>
      <c r="AX134" s="189">
        <v>0.85</v>
      </c>
      <c r="AY134" s="189">
        <v>0.85</v>
      </c>
      <c r="AZ134" s="78" t="s">
        <v>3185</v>
      </c>
      <c r="BB134" s="143" t="s">
        <v>792</v>
      </c>
      <c r="BC134" s="143" t="s">
        <v>758</v>
      </c>
      <c r="BD134" s="143" t="s">
        <v>680</v>
      </c>
      <c r="BE134" s="143">
        <v>4213</v>
      </c>
      <c r="BF134" s="137"/>
      <c r="BG134" s="137"/>
      <c r="BH134" s="137"/>
      <c r="BI134" s="137"/>
      <c r="BJ134" s="137"/>
      <c r="BK134" s="137"/>
      <c r="BL134" s="137"/>
      <c r="BM134" s="137"/>
      <c r="BN134" s="137"/>
      <c r="BO134" s="137"/>
      <c r="BP134" s="137"/>
      <c r="BQ134" s="137"/>
      <c r="BR134" s="137" t="s">
        <v>3184</v>
      </c>
      <c r="BS134" s="137" t="s">
        <v>3184</v>
      </c>
      <c r="BT134" s="189" t="s">
        <v>3184</v>
      </c>
      <c r="BU134" s="189">
        <v>1</v>
      </c>
      <c r="BV134" s="78" t="s">
        <v>3184</v>
      </c>
      <c r="BX134" s="143" t="s">
        <v>792</v>
      </c>
      <c r="BY134" s="143" t="s">
        <v>758</v>
      </c>
      <c r="BZ134" s="143" t="s">
        <v>680</v>
      </c>
      <c r="CA134" s="143">
        <v>4213</v>
      </c>
      <c r="CC134" s="137"/>
      <c r="CD134" s="137"/>
      <c r="CE134" s="137"/>
      <c r="CF134" s="189"/>
      <c r="CG134" s="189"/>
    </row>
    <row r="135" spans="1:85" x14ac:dyDescent="0.25">
      <c r="A135" s="143" t="s">
        <v>792</v>
      </c>
      <c r="B135" s="143" t="s">
        <v>758</v>
      </c>
      <c r="C135" s="143" t="s">
        <v>680</v>
      </c>
      <c r="D135" s="143">
        <v>4217</v>
      </c>
      <c r="E135" s="354">
        <v>0.4</v>
      </c>
      <c r="F135" s="354">
        <v>0.6</v>
      </c>
      <c r="G135" s="354">
        <v>1</v>
      </c>
      <c r="H135" s="78" t="s">
        <v>3184</v>
      </c>
      <c r="J135" s="143" t="s">
        <v>792</v>
      </c>
      <c r="K135" s="143" t="s">
        <v>758</v>
      </c>
      <c r="L135" s="143" t="s">
        <v>680</v>
      </c>
      <c r="M135" s="143">
        <v>4217</v>
      </c>
      <c r="N135" s="137">
        <v>0.18181820000000001</v>
      </c>
      <c r="O135" s="137">
        <v>0.56565659999999995</v>
      </c>
      <c r="P135" s="265">
        <v>0.74747470000000005</v>
      </c>
      <c r="Q135" s="137" t="s">
        <v>3185</v>
      </c>
      <c r="R135" s="137">
        <v>0.1166667</v>
      </c>
      <c r="S135" s="137">
        <v>0.4</v>
      </c>
      <c r="T135" s="137">
        <v>0.51666670000000003</v>
      </c>
      <c r="V135" s="143" t="s">
        <v>792</v>
      </c>
      <c r="W135" s="143" t="s">
        <v>758</v>
      </c>
      <c r="X135" s="143" t="s">
        <v>680</v>
      </c>
      <c r="Y135" s="143">
        <v>4217</v>
      </c>
      <c r="Z135" s="137" t="s">
        <v>3185</v>
      </c>
      <c r="AA135" s="137" t="s">
        <v>3184</v>
      </c>
      <c r="AB135" s="137" t="s">
        <v>3184</v>
      </c>
      <c r="AC135" s="137" t="s">
        <v>3184</v>
      </c>
      <c r="AD135" s="137" t="s">
        <v>3185</v>
      </c>
      <c r="AE135" s="137" t="s">
        <v>3185</v>
      </c>
      <c r="AF135" s="137" t="s">
        <v>3184</v>
      </c>
      <c r="AG135" s="137" t="s">
        <v>3184</v>
      </c>
      <c r="AH135" s="137" t="s">
        <v>3184</v>
      </c>
      <c r="AI135" s="137" t="s">
        <v>3184</v>
      </c>
      <c r="AJ135" s="137" t="s">
        <v>3184</v>
      </c>
      <c r="AK135" s="137">
        <v>0.72727269999999999</v>
      </c>
      <c r="AM135" s="143" t="s">
        <v>792</v>
      </c>
      <c r="AN135" s="143" t="s">
        <v>758</v>
      </c>
      <c r="AO135" s="143">
        <v>1</v>
      </c>
      <c r="AP135" s="143">
        <v>4217</v>
      </c>
      <c r="AQ135" s="137"/>
      <c r="AR135" s="137"/>
      <c r="AS135" s="137"/>
      <c r="AT135" s="137"/>
      <c r="AU135" s="137"/>
      <c r="AV135" s="137"/>
      <c r="AW135" s="137"/>
      <c r="AX135" s="189">
        <v>0.8125</v>
      </c>
      <c r="AY135" s="189">
        <v>0.8125</v>
      </c>
      <c r="AZ135" s="78" t="s">
        <v>3185</v>
      </c>
      <c r="BB135" s="143" t="s">
        <v>792</v>
      </c>
      <c r="BC135" s="143" t="s">
        <v>758</v>
      </c>
      <c r="BD135" s="143" t="s">
        <v>680</v>
      </c>
      <c r="BE135" s="143">
        <v>4217</v>
      </c>
      <c r="BF135" s="137"/>
      <c r="BG135" s="137"/>
      <c r="BH135" s="137"/>
      <c r="BI135" s="137"/>
      <c r="BJ135" s="137"/>
      <c r="BK135" s="137"/>
      <c r="BL135" s="137"/>
      <c r="BM135" s="137"/>
      <c r="BN135" s="137"/>
      <c r="BO135" s="137"/>
      <c r="BP135" s="137"/>
      <c r="BQ135" s="137"/>
      <c r="BR135" s="137" t="s">
        <v>3185</v>
      </c>
      <c r="BS135" s="137" t="s">
        <v>3185</v>
      </c>
      <c r="BT135" s="189" t="s">
        <v>3184</v>
      </c>
      <c r="BU135" s="189">
        <v>0.3333333</v>
      </c>
      <c r="BV135" s="78" t="s">
        <v>3185</v>
      </c>
      <c r="BX135" s="143" t="s">
        <v>792</v>
      </c>
      <c r="BY135" s="143" t="s">
        <v>758</v>
      </c>
      <c r="BZ135" s="143" t="s">
        <v>680</v>
      </c>
      <c r="CA135" s="143">
        <v>4217</v>
      </c>
      <c r="CC135" s="137"/>
      <c r="CD135" s="137"/>
      <c r="CE135" s="137"/>
      <c r="CF135" s="189"/>
      <c r="CG135" s="189"/>
    </row>
    <row r="136" spans="1:85" x14ac:dyDescent="0.25">
      <c r="A136" s="143" t="s">
        <v>792</v>
      </c>
      <c r="B136" s="143" t="s">
        <v>758</v>
      </c>
      <c r="C136" s="143" t="s">
        <v>680</v>
      </c>
      <c r="D136" s="143">
        <v>4219</v>
      </c>
      <c r="E136" s="354">
        <v>0.4</v>
      </c>
      <c r="F136" s="354">
        <v>0.6</v>
      </c>
      <c r="G136" s="354">
        <v>1</v>
      </c>
      <c r="H136" s="78" t="s">
        <v>3184</v>
      </c>
      <c r="J136" s="143" t="s">
        <v>792</v>
      </c>
      <c r="K136" s="143" t="s">
        <v>758</v>
      </c>
      <c r="L136" s="143" t="s">
        <v>680</v>
      </c>
      <c r="M136" s="143">
        <v>4219</v>
      </c>
      <c r="N136" s="137">
        <v>0.1090909</v>
      </c>
      <c r="O136" s="137">
        <v>0.28121210000000002</v>
      </c>
      <c r="P136" s="265">
        <v>0.39030300000000001</v>
      </c>
      <c r="Q136" s="137" t="s">
        <v>3185</v>
      </c>
      <c r="R136" s="137">
        <v>0.1166667</v>
      </c>
      <c r="S136" s="137">
        <v>0.25627709999999998</v>
      </c>
      <c r="T136" s="137">
        <v>0.37294369999999999</v>
      </c>
      <c r="V136" s="143" t="s">
        <v>792</v>
      </c>
      <c r="W136" s="143" t="s">
        <v>758</v>
      </c>
      <c r="X136" s="143" t="s">
        <v>680</v>
      </c>
      <c r="Y136" s="143">
        <v>4219</v>
      </c>
      <c r="Z136" s="137" t="s">
        <v>3185</v>
      </c>
      <c r="AA136" s="137" t="s">
        <v>3184</v>
      </c>
      <c r="AB136" s="137" t="s">
        <v>3184</v>
      </c>
      <c r="AC136" s="137" t="s">
        <v>3184</v>
      </c>
      <c r="AD136" s="137" t="s">
        <v>3185</v>
      </c>
      <c r="AE136" s="137" t="s">
        <v>3185</v>
      </c>
      <c r="AF136" s="137" t="s">
        <v>3184</v>
      </c>
      <c r="AG136" s="137" t="s">
        <v>3184</v>
      </c>
      <c r="AH136" s="137" t="s">
        <v>3184</v>
      </c>
      <c r="AI136" s="137" t="s">
        <v>3184</v>
      </c>
      <c r="AJ136" s="137" t="s">
        <v>3184</v>
      </c>
      <c r="AK136" s="137">
        <v>0.72727269999999999</v>
      </c>
      <c r="AM136" s="143" t="s">
        <v>792</v>
      </c>
      <c r="AN136" s="143" t="s">
        <v>758</v>
      </c>
      <c r="AO136" s="143">
        <v>1</v>
      </c>
      <c r="AP136" s="143">
        <v>4219</v>
      </c>
      <c r="AQ136" s="137"/>
      <c r="AR136" s="137"/>
      <c r="AS136" s="137"/>
      <c r="AT136" s="137"/>
      <c r="AU136" s="137"/>
      <c r="AV136" s="137"/>
      <c r="AW136" s="137"/>
      <c r="AX136" s="189">
        <v>0.85</v>
      </c>
      <c r="AY136" s="189">
        <v>0.85</v>
      </c>
      <c r="AZ136" s="78" t="s">
        <v>3185</v>
      </c>
      <c r="BB136" s="143" t="s">
        <v>792</v>
      </c>
      <c r="BC136" s="143" t="s">
        <v>758</v>
      </c>
      <c r="BD136" s="143" t="s">
        <v>680</v>
      </c>
      <c r="BE136" s="143">
        <v>4219</v>
      </c>
      <c r="BF136" s="137"/>
      <c r="BG136" s="137"/>
      <c r="BH136" s="137"/>
      <c r="BI136" s="137"/>
      <c r="BJ136" s="137"/>
      <c r="BK136" s="137"/>
      <c r="BL136" s="137"/>
      <c r="BM136" s="137"/>
      <c r="BN136" s="137"/>
      <c r="BO136" s="137"/>
      <c r="BP136" s="137"/>
      <c r="BQ136" s="137"/>
      <c r="BR136" s="137" t="s">
        <v>3184</v>
      </c>
      <c r="BS136" s="137" t="s">
        <v>3184</v>
      </c>
      <c r="BT136" s="189" t="s">
        <v>3184</v>
      </c>
      <c r="BU136" s="189">
        <v>1</v>
      </c>
      <c r="BV136" s="78" t="s">
        <v>3184</v>
      </c>
      <c r="BX136" s="143" t="s">
        <v>792</v>
      </c>
      <c r="BY136" s="143" t="s">
        <v>758</v>
      </c>
      <c r="BZ136" s="143" t="s">
        <v>680</v>
      </c>
      <c r="CA136" s="143">
        <v>4219</v>
      </c>
      <c r="CC136" s="137"/>
      <c r="CD136" s="137"/>
      <c r="CE136" s="137"/>
      <c r="CF136" s="189"/>
      <c r="CG136" s="189"/>
    </row>
    <row r="137" spans="1:85" x14ac:dyDescent="0.25">
      <c r="A137" s="143" t="s">
        <v>792</v>
      </c>
      <c r="B137" s="143" t="s">
        <v>758</v>
      </c>
      <c r="C137" s="143" t="s">
        <v>680</v>
      </c>
      <c r="D137" s="143">
        <v>4229</v>
      </c>
      <c r="E137" s="354">
        <v>0.39480520000000002</v>
      </c>
      <c r="F137" s="354">
        <v>0.6</v>
      </c>
      <c r="G137" s="354">
        <v>0.99480519999999995</v>
      </c>
      <c r="H137" s="78" t="s">
        <v>3185</v>
      </c>
      <c r="J137" s="143" t="s">
        <v>792</v>
      </c>
      <c r="K137" s="143" t="s">
        <v>758</v>
      </c>
      <c r="L137" s="143" t="s">
        <v>680</v>
      </c>
      <c r="M137" s="143">
        <v>4229</v>
      </c>
      <c r="N137" s="137">
        <v>0.16363639999999999</v>
      </c>
      <c r="O137" s="137">
        <v>0.45979799999999998</v>
      </c>
      <c r="P137" s="265">
        <v>0.62343440000000006</v>
      </c>
      <c r="Q137" s="137" t="s">
        <v>3185</v>
      </c>
      <c r="R137" s="137">
        <v>0.1</v>
      </c>
      <c r="S137" s="137">
        <v>0</v>
      </c>
      <c r="T137" s="137">
        <v>0.1</v>
      </c>
      <c r="V137" s="143" t="s">
        <v>792</v>
      </c>
      <c r="W137" s="143" t="s">
        <v>758</v>
      </c>
      <c r="X137" s="143" t="s">
        <v>680</v>
      </c>
      <c r="Y137" s="143">
        <v>4229</v>
      </c>
      <c r="Z137" s="137" t="s">
        <v>3185</v>
      </c>
      <c r="AA137" s="137" t="s">
        <v>3184</v>
      </c>
      <c r="AB137" s="137" t="s">
        <v>3185</v>
      </c>
      <c r="AC137" s="137" t="s">
        <v>3184</v>
      </c>
      <c r="AD137" s="137" t="s">
        <v>3185</v>
      </c>
      <c r="AE137" s="137" t="s">
        <v>3185</v>
      </c>
      <c r="AF137" s="137" t="s">
        <v>3184</v>
      </c>
      <c r="AG137" s="137" t="s">
        <v>3184</v>
      </c>
      <c r="AH137" s="137" t="s">
        <v>3184</v>
      </c>
      <c r="AI137" s="137" t="s">
        <v>3184</v>
      </c>
      <c r="AJ137" s="137" t="s">
        <v>3184</v>
      </c>
      <c r="AK137" s="137">
        <v>0.63636360000000003</v>
      </c>
      <c r="AM137" s="143" t="s">
        <v>792</v>
      </c>
      <c r="AN137" s="143" t="s">
        <v>758</v>
      </c>
      <c r="AO137" s="143">
        <v>1</v>
      </c>
      <c r="AP137" s="143">
        <v>4229</v>
      </c>
      <c r="AQ137" s="137"/>
      <c r="AR137" s="137"/>
      <c r="AS137" s="137"/>
      <c r="AT137" s="137"/>
      <c r="AU137" s="137"/>
      <c r="AV137" s="137"/>
      <c r="AW137" s="137"/>
      <c r="AX137" s="189">
        <v>0.73750000000000004</v>
      </c>
      <c r="AY137" s="189">
        <v>0.73750000000000004</v>
      </c>
      <c r="AZ137" s="78" t="s">
        <v>3185</v>
      </c>
      <c r="BB137" s="143" t="s">
        <v>792</v>
      </c>
      <c r="BC137" s="143" t="s">
        <v>758</v>
      </c>
      <c r="BD137" s="143" t="s">
        <v>680</v>
      </c>
      <c r="BE137" s="143">
        <v>4229</v>
      </c>
      <c r="BF137" s="137"/>
      <c r="BG137" s="137"/>
      <c r="BH137" s="137"/>
      <c r="BI137" s="137"/>
      <c r="BJ137" s="137"/>
      <c r="BK137" s="137"/>
      <c r="BL137" s="137"/>
      <c r="BM137" s="137"/>
      <c r="BN137" s="137"/>
      <c r="BO137" s="137"/>
      <c r="BP137" s="137"/>
      <c r="BQ137" s="137"/>
      <c r="BR137" s="137" t="s">
        <v>3185</v>
      </c>
      <c r="BS137" s="137" t="s">
        <v>3185</v>
      </c>
      <c r="BT137" s="189" t="s">
        <v>3185</v>
      </c>
      <c r="BU137" s="189">
        <v>0</v>
      </c>
      <c r="BV137" s="78" t="s">
        <v>3185</v>
      </c>
      <c r="BX137" s="143" t="s">
        <v>792</v>
      </c>
      <c r="BY137" s="143" t="s">
        <v>758</v>
      </c>
      <c r="BZ137" s="143" t="s">
        <v>680</v>
      </c>
      <c r="CA137" s="143">
        <v>4229</v>
      </c>
      <c r="CC137" s="137"/>
      <c r="CD137" s="137"/>
      <c r="CE137" s="137"/>
      <c r="CF137" s="189"/>
      <c r="CG137" s="189"/>
    </row>
    <row r="138" spans="1:85" x14ac:dyDescent="0.25">
      <c r="A138" s="143" t="s">
        <v>793</v>
      </c>
      <c r="B138" s="143" t="s">
        <v>794</v>
      </c>
      <c r="C138" s="143" t="s">
        <v>680</v>
      </c>
      <c r="D138" s="143">
        <v>3859</v>
      </c>
      <c r="E138" s="354">
        <v>0.39480520000000002</v>
      </c>
      <c r="F138" s="354">
        <v>0.6</v>
      </c>
      <c r="G138" s="354">
        <v>0.99480519999999995</v>
      </c>
      <c r="H138" s="78" t="s">
        <v>3185</v>
      </c>
      <c r="J138" s="143" t="s">
        <v>793</v>
      </c>
      <c r="K138" s="143" t="s">
        <v>794</v>
      </c>
      <c r="L138" s="143" t="s">
        <v>680</v>
      </c>
      <c r="M138" s="143">
        <v>3859</v>
      </c>
      <c r="N138" s="137">
        <v>0.12727269999999999</v>
      </c>
      <c r="O138" s="137">
        <v>0.55353529999999995</v>
      </c>
      <c r="P138" s="265">
        <v>0.68080810000000003</v>
      </c>
      <c r="Q138" s="137" t="s">
        <v>3185</v>
      </c>
      <c r="R138" s="137">
        <v>0.15</v>
      </c>
      <c r="S138" s="137">
        <v>0.6</v>
      </c>
      <c r="T138" s="137">
        <v>0.75</v>
      </c>
      <c r="V138" s="143" t="s">
        <v>793</v>
      </c>
      <c r="W138" s="143" t="s">
        <v>794</v>
      </c>
      <c r="X138" s="143" t="s">
        <v>680</v>
      </c>
      <c r="Y138" s="143">
        <v>3859</v>
      </c>
      <c r="Z138" s="137" t="s">
        <v>3184</v>
      </c>
      <c r="AA138" s="137" t="s">
        <v>3185</v>
      </c>
      <c r="AB138" s="137" t="s">
        <v>3184</v>
      </c>
      <c r="AC138" s="137" t="s">
        <v>3184</v>
      </c>
      <c r="AD138" s="137" t="s">
        <v>3185</v>
      </c>
      <c r="AE138" s="137" t="s">
        <v>3185</v>
      </c>
      <c r="AF138" s="137" t="s">
        <v>3184</v>
      </c>
      <c r="AG138" s="137" t="s">
        <v>3184</v>
      </c>
      <c r="AH138" s="137" t="s">
        <v>3184</v>
      </c>
      <c r="AI138" s="137" t="s">
        <v>3184</v>
      </c>
      <c r="AJ138" s="137" t="s">
        <v>3184</v>
      </c>
      <c r="AK138" s="137">
        <v>0.72727269999999999</v>
      </c>
      <c r="AM138" s="143" t="s">
        <v>793</v>
      </c>
      <c r="AN138" s="143" t="s">
        <v>794</v>
      </c>
      <c r="AO138" s="143">
        <v>1</v>
      </c>
      <c r="AP138" s="143">
        <v>3859</v>
      </c>
      <c r="AQ138" s="137"/>
      <c r="AR138" s="137"/>
      <c r="AS138" s="137"/>
      <c r="AT138" s="137"/>
      <c r="AU138" s="137"/>
      <c r="AV138" s="137"/>
      <c r="AW138" s="137"/>
      <c r="AX138" s="189">
        <v>0.85</v>
      </c>
      <c r="AY138" s="189">
        <v>0.85</v>
      </c>
      <c r="AZ138" s="78" t="s">
        <v>3185</v>
      </c>
      <c r="BB138" s="143" t="s">
        <v>793</v>
      </c>
      <c r="BC138" s="143" t="s">
        <v>794</v>
      </c>
      <c r="BD138" s="143" t="s">
        <v>680</v>
      </c>
      <c r="BE138" s="143">
        <v>3859</v>
      </c>
      <c r="BF138" s="137"/>
      <c r="BG138" s="137"/>
      <c r="BH138" s="137"/>
      <c r="BI138" s="137"/>
      <c r="BJ138" s="137"/>
      <c r="BK138" s="137"/>
      <c r="BL138" s="137"/>
      <c r="BM138" s="137"/>
      <c r="BN138" s="137"/>
      <c r="BO138" s="137"/>
      <c r="BP138" s="137"/>
      <c r="BQ138" s="137"/>
      <c r="BR138" s="137" t="s">
        <v>3184</v>
      </c>
      <c r="BS138" s="137" t="s">
        <v>3184</v>
      </c>
      <c r="BT138" s="189" t="s">
        <v>3184</v>
      </c>
      <c r="BU138" s="189">
        <v>1</v>
      </c>
      <c r="BV138" s="78" t="s">
        <v>3184</v>
      </c>
      <c r="BX138" s="143" t="s">
        <v>793</v>
      </c>
      <c r="BY138" s="143" t="s">
        <v>794</v>
      </c>
      <c r="BZ138" s="143" t="s">
        <v>680</v>
      </c>
      <c r="CA138" s="143">
        <v>3859</v>
      </c>
      <c r="CC138" s="137"/>
      <c r="CD138" s="137"/>
      <c r="CE138" s="137"/>
      <c r="CF138" s="189"/>
      <c r="CG138" s="189"/>
    </row>
    <row r="139" spans="1:85" x14ac:dyDescent="0.25">
      <c r="A139" s="143" t="s">
        <v>793</v>
      </c>
      <c r="B139" s="143" t="s">
        <v>794</v>
      </c>
      <c r="C139" s="143" t="s">
        <v>680</v>
      </c>
      <c r="D139" s="143">
        <v>3861</v>
      </c>
      <c r="E139" s="354">
        <v>0.1246753</v>
      </c>
      <c r="F139" s="354">
        <v>0.6</v>
      </c>
      <c r="G139" s="354">
        <v>0.72467539999999997</v>
      </c>
      <c r="H139" s="78" t="s">
        <v>3185</v>
      </c>
      <c r="J139" s="143" t="s">
        <v>793</v>
      </c>
      <c r="K139" s="143" t="s">
        <v>794</v>
      </c>
      <c r="L139" s="143" t="s">
        <v>680</v>
      </c>
      <c r="M139" s="143">
        <v>3861</v>
      </c>
      <c r="N139" s="137">
        <v>0.18181820000000001</v>
      </c>
      <c r="O139" s="137">
        <v>0</v>
      </c>
      <c r="P139" s="265">
        <v>0.18181820000000001</v>
      </c>
      <c r="Q139" s="137" t="s">
        <v>3185</v>
      </c>
      <c r="R139" s="137">
        <v>0.2</v>
      </c>
      <c r="S139" s="137">
        <v>0</v>
      </c>
      <c r="T139" s="137">
        <v>0.2</v>
      </c>
      <c r="V139" s="143" t="s">
        <v>793</v>
      </c>
      <c r="W139" s="143" t="s">
        <v>794</v>
      </c>
      <c r="X139" s="143" t="s">
        <v>680</v>
      </c>
      <c r="Y139" s="143">
        <v>3861</v>
      </c>
      <c r="Z139" s="137" t="s">
        <v>3184</v>
      </c>
      <c r="AA139" s="137" t="s">
        <v>3185</v>
      </c>
      <c r="AB139" s="137" t="s">
        <v>3184</v>
      </c>
      <c r="AC139" s="137" t="s">
        <v>3184</v>
      </c>
      <c r="AD139" s="137" t="s">
        <v>3185</v>
      </c>
      <c r="AE139" s="137" t="s">
        <v>3185</v>
      </c>
      <c r="AF139" s="137" t="s">
        <v>3184</v>
      </c>
      <c r="AG139" s="137" t="s">
        <v>3184</v>
      </c>
      <c r="AH139" s="137" t="s">
        <v>3184</v>
      </c>
      <c r="AI139" s="137" t="s">
        <v>3184</v>
      </c>
      <c r="AJ139" s="137" t="s">
        <v>3185</v>
      </c>
      <c r="AK139" s="137">
        <v>0.63636360000000003</v>
      </c>
      <c r="AM139" s="143" t="s">
        <v>793</v>
      </c>
      <c r="AN139" s="143" t="s">
        <v>794</v>
      </c>
      <c r="AO139" s="143">
        <v>1</v>
      </c>
      <c r="AP139" s="143">
        <v>3861</v>
      </c>
      <c r="AQ139" s="137"/>
      <c r="AR139" s="137"/>
      <c r="AS139" s="137"/>
      <c r="AT139" s="137"/>
      <c r="AU139" s="137"/>
      <c r="AV139" s="137"/>
      <c r="AW139" s="137"/>
      <c r="AX139" s="189">
        <v>0.875</v>
      </c>
      <c r="AY139" s="189">
        <v>0.875</v>
      </c>
      <c r="AZ139" s="78" t="s">
        <v>3185</v>
      </c>
      <c r="BB139" s="143" t="s">
        <v>793</v>
      </c>
      <c r="BC139" s="143" t="s">
        <v>794</v>
      </c>
      <c r="BD139" s="143" t="s">
        <v>680</v>
      </c>
      <c r="BE139" s="143">
        <v>3861</v>
      </c>
      <c r="BF139" s="137"/>
      <c r="BG139" s="137"/>
      <c r="BH139" s="137"/>
      <c r="BI139" s="137"/>
      <c r="BJ139" s="137"/>
      <c r="BK139" s="137"/>
      <c r="BL139" s="137"/>
      <c r="BM139" s="137"/>
      <c r="BN139" s="137"/>
      <c r="BO139" s="137"/>
      <c r="BP139" s="137"/>
      <c r="BQ139" s="137"/>
      <c r="BR139" s="137" t="s">
        <v>3184</v>
      </c>
      <c r="BS139" s="137" t="s">
        <v>3184</v>
      </c>
      <c r="BT139" s="189" t="s">
        <v>3184</v>
      </c>
      <c r="BU139" s="189">
        <v>1</v>
      </c>
      <c r="BV139" s="78" t="s">
        <v>3184</v>
      </c>
      <c r="BX139" s="143" t="s">
        <v>793</v>
      </c>
      <c r="BY139" s="143" t="s">
        <v>794</v>
      </c>
      <c r="BZ139" s="143" t="s">
        <v>680</v>
      </c>
      <c r="CA139" s="143">
        <v>3861</v>
      </c>
      <c r="CC139" s="137"/>
      <c r="CD139" s="137"/>
      <c r="CE139" s="137"/>
      <c r="CF139" s="189"/>
      <c r="CG139" s="189"/>
    </row>
    <row r="140" spans="1:85" x14ac:dyDescent="0.25">
      <c r="A140" s="143" t="s">
        <v>793</v>
      </c>
      <c r="B140" s="143" t="s">
        <v>794</v>
      </c>
      <c r="C140" s="143" t="s">
        <v>680</v>
      </c>
      <c r="D140" s="143">
        <v>3862</v>
      </c>
      <c r="E140" s="354">
        <v>0.4</v>
      </c>
      <c r="F140" s="354">
        <v>0.6</v>
      </c>
      <c r="G140" s="354">
        <v>1</v>
      </c>
      <c r="H140" s="78" t="s">
        <v>3184</v>
      </c>
      <c r="J140" s="143" t="s">
        <v>793</v>
      </c>
      <c r="K140" s="143" t="s">
        <v>794</v>
      </c>
      <c r="L140" s="143" t="s">
        <v>680</v>
      </c>
      <c r="M140" s="143">
        <v>3862</v>
      </c>
      <c r="N140" s="137">
        <v>0.16363639999999999</v>
      </c>
      <c r="O140" s="137">
        <v>0.7490909</v>
      </c>
      <c r="P140" s="265">
        <v>0.91272730000000002</v>
      </c>
      <c r="Q140" s="137" t="s">
        <v>3184</v>
      </c>
      <c r="R140" s="137">
        <v>0.1833333</v>
      </c>
      <c r="S140" s="137">
        <v>0.73333329999999997</v>
      </c>
      <c r="T140" s="137">
        <v>0.91666669999999995</v>
      </c>
      <c r="V140" s="143" t="s">
        <v>793</v>
      </c>
      <c r="W140" s="143" t="s">
        <v>794</v>
      </c>
      <c r="X140" s="143" t="s">
        <v>680</v>
      </c>
      <c r="Y140" s="143">
        <v>3862</v>
      </c>
      <c r="Z140" s="137" t="s">
        <v>3184</v>
      </c>
      <c r="AA140" s="137" t="s">
        <v>3184</v>
      </c>
      <c r="AB140" s="137" t="s">
        <v>3184</v>
      </c>
      <c r="AC140" s="137" t="s">
        <v>3184</v>
      </c>
      <c r="AD140" s="137" t="s">
        <v>3185</v>
      </c>
      <c r="AE140" s="137" t="s">
        <v>3185</v>
      </c>
      <c r="AF140" s="137" t="s">
        <v>3184</v>
      </c>
      <c r="AG140" s="137" t="s">
        <v>3184</v>
      </c>
      <c r="AH140" s="137" t="s">
        <v>3184</v>
      </c>
      <c r="AI140" s="137" t="s">
        <v>3184</v>
      </c>
      <c r="AJ140" s="137" t="s">
        <v>3184</v>
      </c>
      <c r="AK140" s="137">
        <v>0.81818179999999996</v>
      </c>
      <c r="AM140" s="143" t="s">
        <v>793</v>
      </c>
      <c r="AN140" s="143" t="s">
        <v>794</v>
      </c>
      <c r="AO140" s="143">
        <v>1</v>
      </c>
      <c r="AP140" s="143">
        <v>3862</v>
      </c>
      <c r="AQ140" s="137"/>
      <c r="AR140" s="137"/>
      <c r="AS140" s="137"/>
      <c r="AT140" s="137"/>
      <c r="AU140" s="137"/>
      <c r="AV140" s="137"/>
      <c r="AW140" s="137"/>
      <c r="AX140" s="189">
        <v>0.95</v>
      </c>
      <c r="AY140" s="189">
        <v>0.95</v>
      </c>
      <c r="AZ140" s="78" t="s">
        <v>3185</v>
      </c>
      <c r="BB140" s="143" t="s">
        <v>793</v>
      </c>
      <c r="BC140" s="143" t="s">
        <v>794</v>
      </c>
      <c r="BD140" s="143" t="s">
        <v>680</v>
      </c>
      <c r="BE140" s="143">
        <v>3862</v>
      </c>
      <c r="BF140" s="137"/>
      <c r="BG140" s="137"/>
      <c r="BH140" s="137"/>
      <c r="BI140" s="137"/>
      <c r="BJ140" s="137"/>
      <c r="BK140" s="137"/>
      <c r="BL140" s="137"/>
      <c r="BM140" s="137"/>
      <c r="BN140" s="137"/>
      <c r="BO140" s="137"/>
      <c r="BP140" s="137"/>
      <c r="BQ140" s="137"/>
      <c r="BR140" s="137" t="s">
        <v>3184</v>
      </c>
      <c r="BS140" s="137" t="s">
        <v>3184</v>
      </c>
      <c r="BT140" s="189" t="s">
        <v>3184</v>
      </c>
      <c r="BU140" s="189">
        <v>1</v>
      </c>
      <c r="BV140" s="78" t="s">
        <v>3184</v>
      </c>
      <c r="BX140" s="143" t="s">
        <v>793</v>
      </c>
      <c r="BY140" s="143" t="s">
        <v>794</v>
      </c>
      <c r="BZ140" s="143" t="s">
        <v>680</v>
      </c>
      <c r="CA140" s="143">
        <v>3862</v>
      </c>
      <c r="CC140" s="137"/>
      <c r="CD140" s="137"/>
      <c r="CE140" s="137"/>
      <c r="CF140" s="189"/>
      <c r="CG140" s="189"/>
    </row>
    <row r="141" spans="1:85" x14ac:dyDescent="0.25">
      <c r="A141" s="143" t="s">
        <v>793</v>
      </c>
      <c r="B141" s="143" t="s">
        <v>794</v>
      </c>
      <c r="C141" s="143" t="s">
        <v>680</v>
      </c>
      <c r="D141" s="143">
        <v>3950</v>
      </c>
      <c r="E141" s="354">
        <v>0.39740259999999999</v>
      </c>
      <c r="F141" s="354">
        <v>0.6</v>
      </c>
      <c r="G141" s="354">
        <v>0.99740260000000003</v>
      </c>
      <c r="H141" s="78" t="s">
        <v>3185</v>
      </c>
      <c r="J141" s="143" t="s">
        <v>793</v>
      </c>
      <c r="K141" s="143" t="s">
        <v>794</v>
      </c>
      <c r="L141" s="143" t="s">
        <v>680</v>
      </c>
      <c r="M141" s="143">
        <v>3950</v>
      </c>
      <c r="N141" s="137">
        <v>0.2</v>
      </c>
      <c r="O141" s="137">
        <v>0.59878790000000004</v>
      </c>
      <c r="P141" s="265">
        <v>0.7987879</v>
      </c>
      <c r="Q141" s="137" t="s">
        <v>3185</v>
      </c>
      <c r="R141" s="137">
        <v>0.2</v>
      </c>
      <c r="S141" s="137">
        <v>0.18874460000000001</v>
      </c>
      <c r="T141" s="137">
        <v>0.3887446</v>
      </c>
      <c r="V141" s="143" t="s">
        <v>793</v>
      </c>
      <c r="W141" s="143" t="s">
        <v>794</v>
      </c>
      <c r="X141" s="143" t="s">
        <v>680</v>
      </c>
      <c r="Y141" s="143">
        <v>3950</v>
      </c>
      <c r="Z141" s="137" t="s">
        <v>3184</v>
      </c>
      <c r="AA141" s="137" t="s">
        <v>3184</v>
      </c>
      <c r="AB141" s="137" t="s">
        <v>3184</v>
      </c>
      <c r="AC141" s="137" t="s">
        <v>3184</v>
      </c>
      <c r="AD141" s="137" t="s">
        <v>3185</v>
      </c>
      <c r="AE141" s="137" t="s">
        <v>3185</v>
      </c>
      <c r="AF141" s="137" t="s">
        <v>3184</v>
      </c>
      <c r="AG141" s="137" t="s">
        <v>3184</v>
      </c>
      <c r="AH141" s="137" t="s">
        <v>3184</v>
      </c>
      <c r="AI141" s="137" t="s">
        <v>3184</v>
      </c>
      <c r="AJ141" s="137" t="s">
        <v>3184</v>
      </c>
      <c r="AK141" s="137">
        <v>0.81818179999999996</v>
      </c>
      <c r="AM141" s="143" t="s">
        <v>793</v>
      </c>
      <c r="AN141" s="143" t="s">
        <v>794</v>
      </c>
      <c r="AO141" s="143">
        <v>1</v>
      </c>
      <c r="AP141" s="143">
        <v>3950</v>
      </c>
      <c r="AQ141" s="137"/>
      <c r="AR141" s="137"/>
      <c r="AS141" s="137"/>
      <c r="AT141" s="137"/>
      <c r="AU141" s="137"/>
      <c r="AV141" s="137"/>
      <c r="AW141" s="137"/>
      <c r="AX141" s="189">
        <v>0.9375</v>
      </c>
      <c r="AY141" s="189">
        <v>0.9375</v>
      </c>
      <c r="AZ141" s="78" t="s">
        <v>3185</v>
      </c>
      <c r="BB141" s="143" t="s">
        <v>793</v>
      </c>
      <c r="BC141" s="143" t="s">
        <v>794</v>
      </c>
      <c r="BD141" s="143" t="s">
        <v>680</v>
      </c>
      <c r="BE141" s="143">
        <v>3950</v>
      </c>
      <c r="BF141" s="137"/>
      <c r="BG141" s="137"/>
      <c r="BH141" s="137"/>
      <c r="BI141" s="137"/>
      <c r="BJ141" s="137"/>
      <c r="BK141" s="137"/>
      <c r="BL141" s="137"/>
      <c r="BM141" s="137"/>
      <c r="BN141" s="137"/>
      <c r="BO141" s="137"/>
      <c r="BP141" s="137"/>
      <c r="BQ141" s="137"/>
      <c r="BR141" s="137" t="s">
        <v>3184</v>
      </c>
      <c r="BS141" s="137" t="s">
        <v>3184</v>
      </c>
      <c r="BT141" s="189" t="s">
        <v>3184</v>
      </c>
      <c r="BU141" s="189">
        <v>1</v>
      </c>
      <c r="BV141" s="78" t="s">
        <v>3184</v>
      </c>
      <c r="BX141" s="143" t="s">
        <v>793</v>
      </c>
      <c r="BY141" s="143" t="s">
        <v>794</v>
      </c>
      <c r="BZ141" s="143" t="s">
        <v>680</v>
      </c>
      <c r="CA141" s="143">
        <v>3950</v>
      </c>
      <c r="CC141" s="137"/>
      <c r="CD141" s="137"/>
      <c r="CE141" s="137"/>
      <c r="CF141" s="189"/>
      <c r="CG141" s="189"/>
    </row>
    <row r="142" spans="1:85" x14ac:dyDescent="0.25">
      <c r="A142" s="143" t="s">
        <v>793</v>
      </c>
      <c r="B142" s="143" t="s">
        <v>794</v>
      </c>
      <c r="C142" s="143" t="s">
        <v>680</v>
      </c>
      <c r="D142" s="143">
        <v>4103</v>
      </c>
      <c r="E142" s="354">
        <v>0.2935065</v>
      </c>
      <c r="F142" s="354">
        <v>0.6</v>
      </c>
      <c r="G142" s="354">
        <v>0.89350649999999998</v>
      </c>
      <c r="H142" s="78" t="s">
        <v>3185</v>
      </c>
      <c r="J142" s="143" t="s">
        <v>793</v>
      </c>
      <c r="K142" s="143" t="s">
        <v>794</v>
      </c>
      <c r="L142" s="143" t="s">
        <v>680</v>
      </c>
      <c r="M142" s="143">
        <v>4103</v>
      </c>
      <c r="N142" s="137">
        <v>9.0909100000000007E-2</v>
      </c>
      <c r="O142" s="137">
        <v>0.41777779999999998</v>
      </c>
      <c r="P142" s="265">
        <v>0.50868679999999999</v>
      </c>
      <c r="Q142" s="137" t="s">
        <v>3185</v>
      </c>
      <c r="R142" s="137">
        <v>0.1666667</v>
      </c>
      <c r="S142" s="137">
        <v>0.6</v>
      </c>
      <c r="T142" s="137">
        <v>0.76666670000000003</v>
      </c>
      <c r="V142" s="143" t="s">
        <v>793</v>
      </c>
      <c r="W142" s="143" t="s">
        <v>794</v>
      </c>
      <c r="X142" s="143" t="s">
        <v>680</v>
      </c>
      <c r="Y142" s="143">
        <v>4103</v>
      </c>
      <c r="Z142" s="137" t="s">
        <v>3185</v>
      </c>
      <c r="AA142" s="137" t="s">
        <v>3185</v>
      </c>
      <c r="AB142" s="137" t="s">
        <v>3184</v>
      </c>
      <c r="AC142" s="137" t="s">
        <v>3184</v>
      </c>
      <c r="AD142" s="137" t="s">
        <v>3185</v>
      </c>
      <c r="AE142" s="137" t="s">
        <v>3185</v>
      </c>
      <c r="AF142" s="137" t="s">
        <v>3184</v>
      </c>
      <c r="AG142" s="137" t="s">
        <v>3184</v>
      </c>
      <c r="AH142" s="137" t="s">
        <v>3184</v>
      </c>
      <c r="AI142" s="137" t="s">
        <v>3184</v>
      </c>
      <c r="AJ142" s="137" t="s">
        <v>3184</v>
      </c>
      <c r="AK142" s="137">
        <v>0.63636360000000003</v>
      </c>
      <c r="AM142" s="143" t="s">
        <v>793</v>
      </c>
      <c r="AN142" s="143" t="s">
        <v>794</v>
      </c>
      <c r="AO142" s="143">
        <v>1</v>
      </c>
      <c r="AP142" s="143">
        <v>4103</v>
      </c>
      <c r="AQ142" s="137"/>
      <c r="AR142" s="137"/>
      <c r="AS142" s="137"/>
      <c r="AT142" s="137"/>
      <c r="AU142" s="137"/>
      <c r="AV142" s="137"/>
      <c r="AW142" s="137"/>
      <c r="AX142" s="189">
        <v>0.73750000000000004</v>
      </c>
      <c r="AY142" s="189">
        <v>0.73750000000000004</v>
      </c>
      <c r="AZ142" s="78" t="s">
        <v>3185</v>
      </c>
      <c r="BB142" s="143" t="s">
        <v>793</v>
      </c>
      <c r="BC142" s="143" t="s">
        <v>794</v>
      </c>
      <c r="BD142" s="143" t="s">
        <v>680</v>
      </c>
      <c r="BE142" s="143">
        <v>4103</v>
      </c>
      <c r="BF142" s="137"/>
      <c r="BG142" s="137"/>
      <c r="BH142" s="137"/>
      <c r="BI142" s="137"/>
      <c r="BJ142" s="137"/>
      <c r="BK142" s="137"/>
      <c r="BL142" s="137"/>
      <c r="BM142" s="137"/>
      <c r="BN142" s="137"/>
      <c r="BO142" s="137"/>
      <c r="BP142" s="137"/>
      <c r="BQ142" s="137"/>
      <c r="BR142" s="137" t="s">
        <v>3184</v>
      </c>
      <c r="BS142" s="137" t="s">
        <v>3184</v>
      </c>
      <c r="BT142" s="189" t="s">
        <v>3184</v>
      </c>
      <c r="BU142" s="189">
        <v>1</v>
      </c>
      <c r="BV142" s="78" t="s">
        <v>3184</v>
      </c>
      <c r="BX142" s="143" t="s">
        <v>793</v>
      </c>
      <c r="BY142" s="143" t="s">
        <v>794</v>
      </c>
      <c r="BZ142" s="143" t="s">
        <v>680</v>
      </c>
      <c r="CA142" s="143">
        <v>4103</v>
      </c>
      <c r="CC142" s="137"/>
      <c r="CD142" s="137"/>
      <c r="CE142" s="137"/>
      <c r="CF142" s="189"/>
      <c r="CG142" s="189"/>
    </row>
    <row r="143" spans="1:85" x14ac:dyDescent="0.25">
      <c r="A143" s="143" t="s">
        <v>793</v>
      </c>
      <c r="B143" s="143" t="s">
        <v>794</v>
      </c>
      <c r="C143" s="143" t="s">
        <v>680</v>
      </c>
      <c r="D143" s="143">
        <v>4104</v>
      </c>
      <c r="E143" s="354">
        <v>0.4</v>
      </c>
      <c r="F143" s="354">
        <v>0.6</v>
      </c>
      <c r="G143" s="354">
        <v>1</v>
      </c>
      <c r="H143" s="78" t="s">
        <v>3184</v>
      </c>
      <c r="J143" s="143" t="s">
        <v>793</v>
      </c>
      <c r="K143" s="143" t="s">
        <v>794</v>
      </c>
      <c r="L143" s="143" t="s">
        <v>680</v>
      </c>
      <c r="M143" s="143">
        <v>4104</v>
      </c>
      <c r="N143" s="137">
        <v>0.14545449999999999</v>
      </c>
      <c r="O143" s="137">
        <v>0.40404040000000002</v>
      </c>
      <c r="P143" s="265">
        <v>0.54949490000000001</v>
      </c>
      <c r="Q143" s="137" t="s">
        <v>3185</v>
      </c>
      <c r="R143" s="137">
        <v>0.2</v>
      </c>
      <c r="S143" s="137">
        <v>0</v>
      </c>
      <c r="T143" s="137">
        <v>0.2</v>
      </c>
      <c r="V143" s="143" t="s">
        <v>793</v>
      </c>
      <c r="W143" s="143" t="s">
        <v>794</v>
      </c>
      <c r="X143" s="143" t="s">
        <v>680</v>
      </c>
      <c r="Y143" s="143">
        <v>4104</v>
      </c>
      <c r="Z143" s="137" t="s">
        <v>3184</v>
      </c>
      <c r="AA143" s="137" t="s">
        <v>3185</v>
      </c>
      <c r="AB143" s="137" t="s">
        <v>3184</v>
      </c>
      <c r="AC143" s="137" t="s">
        <v>3184</v>
      </c>
      <c r="AD143" s="137" t="s">
        <v>3185</v>
      </c>
      <c r="AE143" s="137" t="s">
        <v>3185</v>
      </c>
      <c r="AF143" s="137" t="s">
        <v>3184</v>
      </c>
      <c r="AG143" s="137" t="s">
        <v>3184</v>
      </c>
      <c r="AH143" s="137" t="s">
        <v>3184</v>
      </c>
      <c r="AI143" s="137" t="s">
        <v>3184</v>
      </c>
      <c r="AJ143" s="137" t="s">
        <v>3184</v>
      </c>
      <c r="AK143" s="137">
        <v>0.72727269999999999</v>
      </c>
      <c r="AM143" s="143" t="s">
        <v>793</v>
      </c>
      <c r="AN143" s="143" t="s">
        <v>794</v>
      </c>
      <c r="AO143" s="143">
        <v>1</v>
      </c>
      <c r="AP143" s="143">
        <v>4104</v>
      </c>
      <c r="AQ143" s="137"/>
      <c r="AR143" s="137"/>
      <c r="AS143" s="137"/>
      <c r="AT143" s="137"/>
      <c r="AU143" s="137"/>
      <c r="AV143" s="137"/>
      <c r="AW143" s="137"/>
      <c r="AX143" s="189">
        <v>0.95</v>
      </c>
      <c r="AY143" s="189">
        <v>0.95</v>
      </c>
      <c r="AZ143" s="78" t="s">
        <v>3185</v>
      </c>
      <c r="BB143" s="143" t="s">
        <v>793</v>
      </c>
      <c r="BC143" s="143" t="s">
        <v>794</v>
      </c>
      <c r="BD143" s="143" t="s">
        <v>680</v>
      </c>
      <c r="BE143" s="143">
        <v>4104</v>
      </c>
      <c r="BF143" s="137"/>
      <c r="BG143" s="137"/>
      <c r="BH143" s="137"/>
      <c r="BI143" s="137"/>
      <c r="BJ143" s="137"/>
      <c r="BK143" s="137"/>
      <c r="BL143" s="137"/>
      <c r="BM143" s="137"/>
      <c r="BN143" s="137"/>
      <c r="BO143" s="137"/>
      <c r="BP143" s="137"/>
      <c r="BQ143" s="137"/>
      <c r="BR143" s="137" t="s">
        <v>3184</v>
      </c>
      <c r="BS143" s="137" t="s">
        <v>3184</v>
      </c>
      <c r="BT143" s="189" t="s">
        <v>3184</v>
      </c>
      <c r="BU143" s="189">
        <v>1</v>
      </c>
      <c r="BV143" s="78" t="s">
        <v>3184</v>
      </c>
      <c r="BX143" s="143" t="s">
        <v>793</v>
      </c>
      <c r="BY143" s="143" t="s">
        <v>794</v>
      </c>
      <c r="BZ143" s="143" t="s">
        <v>680</v>
      </c>
      <c r="CA143" s="143">
        <v>4104</v>
      </c>
      <c r="CC143" s="137"/>
      <c r="CD143" s="137"/>
      <c r="CE143" s="137"/>
      <c r="CF143" s="189"/>
      <c r="CG143" s="189"/>
    </row>
    <row r="144" spans="1:85" x14ac:dyDescent="0.25">
      <c r="A144" s="143" t="s">
        <v>795</v>
      </c>
      <c r="B144" s="143" t="s">
        <v>761</v>
      </c>
      <c r="C144" s="143" t="s">
        <v>680</v>
      </c>
      <c r="D144" s="143">
        <v>1814</v>
      </c>
      <c r="E144" s="354">
        <v>0.4</v>
      </c>
      <c r="F144" s="354">
        <v>0.6</v>
      </c>
      <c r="G144" s="354">
        <v>1</v>
      </c>
      <c r="H144" s="78" t="s">
        <v>3184</v>
      </c>
      <c r="J144" s="143" t="s">
        <v>795</v>
      </c>
      <c r="K144" s="143" t="s">
        <v>761</v>
      </c>
      <c r="L144" s="143" t="s">
        <v>680</v>
      </c>
      <c r="M144" s="143">
        <v>1814</v>
      </c>
      <c r="N144" s="137">
        <v>0.16363639999999999</v>
      </c>
      <c r="O144" s="137">
        <v>0.6545455</v>
      </c>
      <c r="P144" s="265">
        <v>0.81818179999999996</v>
      </c>
      <c r="Q144" s="137" t="s">
        <v>3185</v>
      </c>
      <c r="R144" s="137">
        <v>0.2</v>
      </c>
      <c r="S144" s="137">
        <v>0.8</v>
      </c>
      <c r="T144" s="137">
        <v>1</v>
      </c>
      <c r="V144" s="143" t="s">
        <v>795</v>
      </c>
      <c r="W144" s="143" t="s">
        <v>761</v>
      </c>
      <c r="X144" s="143" t="s">
        <v>680</v>
      </c>
      <c r="Y144" s="143">
        <v>1814</v>
      </c>
      <c r="Z144" s="137" t="s">
        <v>3184</v>
      </c>
      <c r="AA144" s="137" t="s">
        <v>3184</v>
      </c>
      <c r="AB144" s="137" t="s">
        <v>3184</v>
      </c>
      <c r="AC144" s="137" t="s">
        <v>3184</v>
      </c>
      <c r="AD144" s="137" t="s">
        <v>3185</v>
      </c>
      <c r="AE144" s="137" t="s">
        <v>3185</v>
      </c>
      <c r="AF144" s="137" t="s">
        <v>3184</v>
      </c>
      <c r="AG144" s="137" t="s">
        <v>3184</v>
      </c>
      <c r="AH144" s="137" t="s">
        <v>3184</v>
      </c>
      <c r="AI144" s="137" t="s">
        <v>3184</v>
      </c>
      <c r="AJ144" s="137" t="s">
        <v>3184</v>
      </c>
      <c r="AK144" s="137">
        <v>0.81818179999999996</v>
      </c>
      <c r="AM144" s="143" t="s">
        <v>795</v>
      </c>
      <c r="AN144" s="143" t="s">
        <v>761</v>
      </c>
      <c r="AO144" s="143">
        <v>1</v>
      </c>
      <c r="AP144" s="143">
        <v>1814</v>
      </c>
      <c r="AQ144" s="137"/>
      <c r="AR144" s="137"/>
      <c r="AS144" s="137"/>
      <c r="AT144" s="137"/>
      <c r="AU144" s="137"/>
      <c r="AV144" s="137"/>
      <c r="AW144" s="137"/>
      <c r="AX144" s="189">
        <v>0.91249999999999998</v>
      </c>
      <c r="AY144" s="189">
        <v>0.91249999999999998</v>
      </c>
      <c r="AZ144" s="78" t="s">
        <v>3185</v>
      </c>
      <c r="BB144" s="143" t="s">
        <v>795</v>
      </c>
      <c r="BC144" s="143" t="s">
        <v>761</v>
      </c>
      <c r="BD144" s="143" t="s">
        <v>680</v>
      </c>
      <c r="BE144" s="143">
        <v>1814</v>
      </c>
      <c r="BF144" s="137"/>
      <c r="BG144" s="137"/>
      <c r="BH144" s="137"/>
      <c r="BI144" s="137"/>
      <c r="BJ144" s="137"/>
      <c r="BK144" s="137"/>
      <c r="BL144" s="137"/>
      <c r="BM144" s="137"/>
      <c r="BN144" s="137"/>
      <c r="BO144" s="137"/>
      <c r="BP144" s="137"/>
      <c r="BQ144" s="137"/>
      <c r="BR144" s="137" t="s">
        <v>3184</v>
      </c>
      <c r="BS144" s="137" t="s">
        <v>3184</v>
      </c>
      <c r="BT144" s="189" t="s">
        <v>3184</v>
      </c>
      <c r="BU144" s="189">
        <v>1</v>
      </c>
      <c r="BV144" s="78" t="s">
        <v>3184</v>
      </c>
      <c r="BX144" s="143" t="s">
        <v>795</v>
      </c>
      <c r="BY144" s="143" t="s">
        <v>761</v>
      </c>
      <c r="BZ144" s="143" t="s">
        <v>680</v>
      </c>
      <c r="CA144" s="143">
        <v>1814</v>
      </c>
      <c r="CC144" s="137"/>
      <c r="CD144" s="137"/>
      <c r="CE144" s="137"/>
      <c r="CF144" s="189"/>
      <c r="CG144" s="189"/>
    </row>
    <row r="145" spans="1:85" x14ac:dyDescent="0.25">
      <c r="A145" s="143" t="s">
        <v>795</v>
      </c>
      <c r="B145" s="143" t="s">
        <v>761</v>
      </c>
      <c r="C145" s="143" t="s">
        <v>680</v>
      </c>
      <c r="D145" s="143">
        <v>2349</v>
      </c>
      <c r="E145" s="354">
        <v>0.3298701</v>
      </c>
      <c r="F145" s="354">
        <v>0.3</v>
      </c>
      <c r="G145" s="354">
        <v>0.62987020000000005</v>
      </c>
      <c r="H145" s="78" t="s">
        <v>3185</v>
      </c>
      <c r="J145" s="143" t="s">
        <v>795</v>
      </c>
      <c r="K145" s="143" t="s">
        <v>761</v>
      </c>
      <c r="L145" s="143" t="s">
        <v>680</v>
      </c>
      <c r="M145" s="143">
        <v>2349</v>
      </c>
      <c r="N145" s="137">
        <v>0.14545449999999999</v>
      </c>
      <c r="O145" s="137">
        <v>0.21818180000000001</v>
      </c>
      <c r="P145" s="265">
        <v>0.36363640000000003</v>
      </c>
      <c r="Q145" s="137" t="s">
        <v>3185</v>
      </c>
      <c r="R145" s="137">
        <v>0.2</v>
      </c>
      <c r="S145" s="137">
        <v>0</v>
      </c>
      <c r="T145" s="137">
        <v>0.2</v>
      </c>
      <c r="V145" s="143" t="s">
        <v>795</v>
      </c>
      <c r="W145" s="143" t="s">
        <v>761</v>
      </c>
      <c r="X145" s="143" t="s">
        <v>680</v>
      </c>
      <c r="Y145" s="143">
        <v>2349</v>
      </c>
      <c r="Z145" s="137" t="s">
        <v>3185</v>
      </c>
      <c r="AA145" s="137" t="s">
        <v>3184</v>
      </c>
      <c r="AB145" s="137" t="s">
        <v>3184</v>
      </c>
      <c r="AC145" s="137" t="s">
        <v>3184</v>
      </c>
      <c r="AD145" s="137" t="s">
        <v>3185</v>
      </c>
      <c r="AE145" s="137" t="s">
        <v>3185</v>
      </c>
      <c r="AF145" s="137" t="s">
        <v>3184</v>
      </c>
      <c r="AG145" s="137" t="s">
        <v>3184</v>
      </c>
      <c r="AH145" s="137" t="s">
        <v>3184</v>
      </c>
      <c r="AI145" s="137" t="s">
        <v>3185</v>
      </c>
      <c r="AJ145" s="137" t="s">
        <v>3185</v>
      </c>
      <c r="AK145" s="137">
        <v>0.54545460000000001</v>
      </c>
      <c r="AM145" s="143" t="s">
        <v>795</v>
      </c>
      <c r="AN145" s="143" t="s">
        <v>761</v>
      </c>
      <c r="AO145" s="143">
        <v>1</v>
      </c>
      <c r="AP145" s="143">
        <v>2349</v>
      </c>
      <c r="AQ145" s="137"/>
      <c r="AR145" s="137"/>
      <c r="AS145" s="137"/>
      <c r="AT145" s="137"/>
      <c r="AU145" s="137"/>
      <c r="AV145" s="137"/>
      <c r="AW145" s="137"/>
      <c r="AX145" s="189">
        <v>0.82499999999999996</v>
      </c>
      <c r="AY145" s="189">
        <v>0.82499999999999996</v>
      </c>
      <c r="AZ145" s="78" t="s">
        <v>3185</v>
      </c>
      <c r="BB145" s="143" t="s">
        <v>795</v>
      </c>
      <c r="BC145" s="143" t="s">
        <v>761</v>
      </c>
      <c r="BD145" s="143" t="s">
        <v>680</v>
      </c>
      <c r="BE145" s="143">
        <v>2349</v>
      </c>
      <c r="BF145" s="137"/>
      <c r="BG145" s="137"/>
      <c r="BH145" s="137"/>
      <c r="BI145" s="137"/>
      <c r="BJ145" s="137"/>
      <c r="BK145" s="137"/>
      <c r="BL145" s="137"/>
      <c r="BM145" s="137"/>
      <c r="BN145" s="137"/>
      <c r="BO145" s="137"/>
      <c r="BP145" s="137"/>
      <c r="BQ145" s="137"/>
      <c r="BR145" s="137" t="s">
        <v>3184</v>
      </c>
      <c r="BS145" s="137" t="s">
        <v>3184</v>
      </c>
      <c r="BT145" s="189" t="s">
        <v>3184</v>
      </c>
      <c r="BU145" s="189">
        <v>1</v>
      </c>
      <c r="BV145" s="78" t="s">
        <v>3184</v>
      </c>
      <c r="BX145" s="143" t="s">
        <v>795</v>
      </c>
      <c r="BY145" s="143" t="s">
        <v>761</v>
      </c>
      <c r="BZ145" s="143" t="s">
        <v>680</v>
      </c>
      <c r="CA145" s="143">
        <v>2349</v>
      </c>
      <c r="CC145" s="137"/>
      <c r="CD145" s="137"/>
      <c r="CE145" s="137"/>
      <c r="CF145" s="189"/>
      <c r="CG145" s="189"/>
    </row>
    <row r="146" spans="1:85" x14ac:dyDescent="0.25">
      <c r="A146" s="143" t="s">
        <v>795</v>
      </c>
      <c r="B146" s="143" t="s">
        <v>761</v>
      </c>
      <c r="C146" s="143" t="s">
        <v>680</v>
      </c>
      <c r="D146" s="143">
        <v>2356</v>
      </c>
      <c r="E146" s="354">
        <v>0.4</v>
      </c>
      <c r="F146" s="354">
        <v>0.3</v>
      </c>
      <c r="G146" s="354">
        <v>0.7</v>
      </c>
      <c r="H146" s="78" t="s">
        <v>3185</v>
      </c>
      <c r="J146" s="143" t="s">
        <v>795</v>
      </c>
      <c r="K146" s="143" t="s">
        <v>761</v>
      </c>
      <c r="L146" s="143" t="s">
        <v>680</v>
      </c>
      <c r="M146" s="143">
        <v>2356</v>
      </c>
      <c r="N146" s="137">
        <v>0.16363639999999999</v>
      </c>
      <c r="O146" s="137">
        <v>0.58181819999999995</v>
      </c>
      <c r="P146" s="265">
        <v>0.74545450000000002</v>
      </c>
      <c r="Q146" s="137" t="s">
        <v>3185</v>
      </c>
      <c r="R146" s="137">
        <v>0.2</v>
      </c>
      <c r="S146" s="137">
        <v>0</v>
      </c>
      <c r="T146" s="137">
        <v>0.2</v>
      </c>
      <c r="V146" s="143" t="s">
        <v>795</v>
      </c>
      <c r="W146" s="143" t="s">
        <v>761</v>
      </c>
      <c r="X146" s="143" t="s">
        <v>680</v>
      </c>
      <c r="Y146" s="143">
        <v>2356</v>
      </c>
      <c r="Z146" s="137" t="s">
        <v>3184</v>
      </c>
      <c r="AA146" s="137" t="s">
        <v>3184</v>
      </c>
      <c r="AB146" s="137" t="s">
        <v>3184</v>
      </c>
      <c r="AC146" s="137" t="s">
        <v>3184</v>
      </c>
      <c r="AD146" s="137" t="s">
        <v>3185</v>
      </c>
      <c r="AE146" s="137" t="s">
        <v>3185</v>
      </c>
      <c r="AF146" s="137" t="s">
        <v>3184</v>
      </c>
      <c r="AG146" s="137" t="s">
        <v>3184</v>
      </c>
      <c r="AH146" s="137" t="s">
        <v>3184</v>
      </c>
      <c r="AI146" s="137" t="s">
        <v>3184</v>
      </c>
      <c r="AJ146" s="137" t="s">
        <v>3184</v>
      </c>
      <c r="AK146" s="137">
        <v>0.81818179999999996</v>
      </c>
      <c r="AM146" s="143" t="s">
        <v>795</v>
      </c>
      <c r="AN146" s="143" t="s">
        <v>761</v>
      </c>
      <c r="AO146" s="143">
        <v>1</v>
      </c>
      <c r="AP146" s="143">
        <v>2356</v>
      </c>
      <c r="AQ146" s="137"/>
      <c r="AR146" s="137"/>
      <c r="AS146" s="137"/>
      <c r="AT146" s="137"/>
      <c r="AU146" s="137"/>
      <c r="AV146" s="137"/>
      <c r="AW146" s="137"/>
      <c r="AX146" s="189">
        <v>0.95</v>
      </c>
      <c r="AY146" s="189">
        <v>0.95</v>
      </c>
      <c r="AZ146" s="78" t="s">
        <v>3185</v>
      </c>
      <c r="BB146" s="143" t="s">
        <v>795</v>
      </c>
      <c r="BC146" s="143" t="s">
        <v>761</v>
      </c>
      <c r="BD146" s="143" t="s">
        <v>680</v>
      </c>
      <c r="BE146" s="143">
        <v>2356</v>
      </c>
      <c r="BF146" s="137"/>
      <c r="BG146" s="137"/>
      <c r="BH146" s="137"/>
      <c r="BI146" s="137"/>
      <c r="BJ146" s="137"/>
      <c r="BK146" s="137"/>
      <c r="BL146" s="137"/>
      <c r="BM146" s="137"/>
      <c r="BN146" s="137"/>
      <c r="BO146" s="137"/>
      <c r="BP146" s="137"/>
      <c r="BQ146" s="137"/>
      <c r="BR146" s="137" t="s">
        <v>3184</v>
      </c>
      <c r="BS146" s="137" t="s">
        <v>3184</v>
      </c>
      <c r="BT146" s="189" t="s">
        <v>3184</v>
      </c>
      <c r="BU146" s="189">
        <v>1</v>
      </c>
      <c r="BV146" s="78" t="s">
        <v>3184</v>
      </c>
      <c r="BX146" s="143" t="s">
        <v>795</v>
      </c>
      <c r="BY146" s="143" t="s">
        <v>761</v>
      </c>
      <c r="BZ146" s="143" t="s">
        <v>680</v>
      </c>
      <c r="CA146" s="143">
        <v>2356</v>
      </c>
      <c r="CC146" s="137"/>
      <c r="CD146" s="137"/>
      <c r="CE146" s="137"/>
      <c r="CF146" s="189"/>
      <c r="CG146" s="189"/>
    </row>
    <row r="147" spans="1:85" x14ac:dyDescent="0.25">
      <c r="A147" s="143" t="s">
        <v>795</v>
      </c>
      <c r="B147" s="143" t="s">
        <v>761</v>
      </c>
      <c r="C147" s="143" t="s">
        <v>680</v>
      </c>
      <c r="D147" s="143">
        <v>2938</v>
      </c>
      <c r="E147" s="354">
        <v>0.4</v>
      </c>
      <c r="F147" s="354">
        <v>0.6</v>
      </c>
      <c r="G147" s="354">
        <v>1</v>
      </c>
      <c r="H147" s="78" t="s">
        <v>3184</v>
      </c>
      <c r="J147" s="143" t="s">
        <v>795</v>
      </c>
      <c r="K147" s="143" t="s">
        <v>761</v>
      </c>
      <c r="L147" s="143" t="s">
        <v>680</v>
      </c>
      <c r="M147" s="143">
        <v>2938</v>
      </c>
      <c r="N147" s="137">
        <v>0.16363639999999999</v>
      </c>
      <c r="O147" s="137">
        <v>0.6545455</v>
      </c>
      <c r="P147" s="265">
        <v>0.81818179999999996</v>
      </c>
      <c r="Q147" s="137" t="s">
        <v>3185</v>
      </c>
      <c r="R147" s="137">
        <v>0.2</v>
      </c>
      <c r="S147" s="137">
        <v>0.8</v>
      </c>
      <c r="T147" s="137">
        <v>1</v>
      </c>
      <c r="V147" s="143" t="s">
        <v>795</v>
      </c>
      <c r="W147" s="143" t="s">
        <v>761</v>
      </c>
      <c r="X147" s="143" t="s">
        <v>680</v>
      </c>
      <c r="Y147" s="143">
        <v>2938</v>
      </c>
      <c r="Z147" s="137" t="s">
        <v>3184</v>
      </c>
      <c r="AA147" s="137" t="s">
        <v>3184</v>
      </c>
      <c r="AB147" s="137" t="s">
        <v>3184</v>
      </c>
      <c r="AC147" s="137" t="s">
        <v>3184</v>
      </c>
      <c r="AD147" s="137" t="s">
        <v>3185</v>
      </c>
      <c r="AE147" s="137" t="s">
        <v>3185</v>
      </c>
      <c r="AF147" s="137" t="s">
        <v>3184</v>
      </c>
      <c r="AG147" s="137" t="s">
        <v>3184</v>
      </c>
      <c r="AH147" s="137" t="s">
        <v>3184</v>
      </c>
      <c r="AI147" s="137" t="s">
        <v>3184</v>
      </c>
      <c r="AJ147" s="137" t="s">
        <v>3184</v>
      </c>
      <c r="AK147" s="137">
        <v>0.81818179999999996</v>
      </c>
      <c r="AM147" s="143" t="s">
        <v>795</v>
      </c>
      <c r="AN147" s="143" t="s">
        <v>761</v>
      </c>
      <c r="AO147" s="143">
        <v>1</v>
      </c>
      <c r="AP147" s="143">
        <v>2938</v>
      </c>
      <c r="AQ147" s="137"/>
      <c r="AR147" s="137"/>
      <c r="AS147" s="137"/>
      <c r="AT147" s="137"/>
      <c r="AU147" s="137"/>
      <c r="AV147" s="137"/>
      <c r="AW147" s="137"/>
      <c r="AX147" s="189">
        <v>0.96250000000000002</v>
      </c>
      <c r="AY147" s="189">
        <v>0.96250000000000002</v>
      </c>
      <c r="AZ147" s="78" t="s">
        <v>3184</v>
      </c>
      <c r="BB147" s="143" t="s">
        <v>795</v>
      </c>
      <c r="BC147" s="143" t="s">
        <v>761</v>
      </c>
      <c r="BD147" s="143" t="s">
        <v>680</v>
      </c>
      <c r="BE147" s="143">
        <v>2938</v>
      </c>
      <c r="BF147" s="137"/>
      <c r="BG147" s="137"/>
      <c r="BH147" s="137"/>
      <c r="BI147" s="137"/>
      <c r="BJ147" s="137"/>
      <c r="BK147" s="137"/>
      <c r="BL147" s="137"/>
      <c r="BM147" s="137"/>
      <c r="BN147" s="137"/>
      <c r="BO147" s="137"/>
      <c r="BP147" s="137"/>
      <c r="BQ147" s="137"/>
      <c r="BR147" s="137" t="s">
        <v>3184</v>
      </c>
      <c r="BS147" s="137" t="s">
        <v>3184</v>
      </c>
      <c r="BT147" s="189" t="s">
        <v>3184</v>
      </c>
      <c r="BU147" s="189">
        <v>1</v>
      </c>
      <c r="BV147" s="78" t="s">
        <v>3184</v>
      </c>
      <c r="BX147" s="143" t="s">
        <v>795</v>
      </c>
      <c r="BY147" s="143" t="s">
        <v>761</v>
      </c>
      <c r="BZ147" s="143" t="s">
        <v>680</v>
      </c>
      <c r="CA147" s="143">
        <v>2938</v>
      </c>
      <c r="CC147" s="137"/>
      <c r="CD147" s="137"/>
      <c r="CE147" s="137"/>
      <c r="CF147" s="189"/>
      <c r="CG147" s="189"/>
    </row>
    <row r="148" spans="1:85" x14ac:dyDescent="0.25">
      <c r="A148" s="143" t="s">
        <v>795</v>
      </c>
      <c r="B148" s="143" t="s">
        <v>761</v>
      </c>
      <c r="C148" s="143" t="s">
        <v>680</v>
      </c>
      <c r="D148" s="143">
        <v>3282</v>
      </c>
      <c r="E148" s="354">
        <v>0.4</v>
      </c>
      <c r="F148" s="354">
        <v>0.6</v>
      </c>
      <c r="G148" s="354">
        <v>1</v>
      </c>
      <c r="H148" s="78" t="s">
        <v>3184</v>
      </c>
      <c r="J148" s="143" t="s">
        <v>795</v>
      </c>
      <c r="K148" s="143" t="s">
        <v>761</v>
      </c>
      <c r="L148" s="143" t="s">
        <v>680</v>
      </c>
      <c r="M148" s="143">
        <v>3282</v>
      </c>
      <c r="N148" s="137">
        <v>0.16363639999999999</v>
      </c>
      <c r="O148" s="137">
        <v>0.45252530000000002</v>
      </c>
      <c r="P148" s="265">
        <v>0.61616159999999998</v>
      </c>
      <c r="Q148" s="137" t="s">
        <v>3185</v>
      </c>
      <c r="R148" s="137">
        <v>0.2</v>
      </c>
      <c r="S148" s="137">
        <v>6.6666699999999995E-2</v>
      </c>
      <c r="T148" s="137">
        <v>0.26666669999999998</v>
      </c>
      <c r="V148" s="143" t="s">
        <v>795</v>
      </c>
      <c r="W148" s="143" t="s">
        <v>761</v>
      </c>
      <c r="X148" s="143" t="s">
        <v>680</v>
      </c>
      <c r="Y148" s="143">
        <v>3282</v>
      </c>
      <c r="Z148" s="137" t="s">
        <v>3185</v>
      </c>
      <c r="AA148" s="137" t="s">
        <v>3184</v>
      </c>
      <c r="AB148" s="137" t="s">
        <v>3184</v>
      </c>
      <c r="AC148" s="137" t="s">
        <v>3184</v>
      </c>
      <c r="AD148" s="137" t="s">
        <v>3185</v>
      </c>
      <c r="AE148" s="137" t="s">
        <v>3185</v>
      </c>
      <c r="AF148" s="137" t="s">
        <v>3184</v>
      </c>
      <c r="AG148" s="137" t="s">
        <v>3184</v>
      </c>
      <c r="AH148" s="137" t="s">
        <v>3184</v>
      </c>
      <c r="AI148" s="137" t="s">
        <v>3184</v>
      </c>
      <c r="AJ148" s="137" t="s">
        <v>3184</v>
      </c>
      <c r="AK148" s="137">
        <v>0.72727269999999999</v>
      </c>
      <c r="AM148" s="143" t="s">
        <v>795</v>
      </c>
      <c r="AN148" s="143" t="s">
        <v>761</v>
      </c>
      <c r="AO148" s="143">
        <v>1</v>
      </c>
      <c r="AP148" s="143">
        <v>3282</v>
      </c>
      <c r="AQ148" s="137"/>
      <c r="AR148" s="137"/>
      <c r="AS148" s="137"/>
      <c r="AT148" s="137"/>
      <c r="AU148" s="137"/>
      <c r="AV148" s="137"/>
      <c r="AW148" s="137"/>
      <c r="AX148" s="189">
        <v>0.9375</v>
      </c>
      <c r="AY148" s="189">
        <v>0.9375</v>
      </c>
      <c r="AZ148" s="78" t="s">
        <v>3185</v>
      </c>
      <c r="BB148" s="143" t="s">
        <v>795</v>
      </c>
      <c r="BC148" s="143" t="s">
        <v>761</v>
      </c>
      <c r="BD148" s="143" t="s">
        <v>680</v>
      </c>
      <c r="BE148" s="143">
        <v>3282</v>
      </c>
      <c r="BF148" s="137"/>
      <c r="BG148" s="137"/>
      <c r="BH148" s="137"/>
      <c r="BI148" s="137"/>
      <c r="BJ148" s="137"/>
      <c r="BK148" s="137"/>
      <c r="BL148" s="137"/>
      <c r="BM148" s="137"/>
      <c r="BN148" s="137"/>
      <c r="BO148" s="137"/>
      <c r="BP148" s="137"/>
      <c r="BQ148" s="137"/>
      <c r="BR148" s="137" t="s">
        <v>3184</v>
      </c>
      <c r="BS148" s="137" t="s">
        <v>3184</v>
      </c>
      <c r="BT148" s="189" t="s">
        <v>3184</v>
      </c>
      <c r="BU148" s="189">
        <v>1</v>
      </c>
      <c r="BV148" s="78" t="s">
        <v>3184</v>
      </c>
      <c r="BX148" s="143" t="s">
        <v>795</v>
      </c>
      <c r="BY148" s="143" t="s">
        <v>761</v>
      </c>
      <c r="BZ148" s="143" t="s">
        <v>680</v>
      </c>
      <c r="CA148" s="143">
        <v>3282</v>
      </c>
      <c r="CC148" s="137"/>
      <c r="CD148" s="137"/>
      <c r="CE148" s="137"/>
      <c r="CF148" s="189"/>
      <c r="CG148" s="189"/>
    </row>
    <row r="149" spans="1:85" x14ac:dyDescent="0.25">
      <c r="A149" s="143"/>
      <c r="B149" s="143"/>
      <c r="C149" s="143"/>
      <c r="D149" s="143"/>
      <c r="E149" s="354"/>
      <c r="F149" s="354"/>
      <c r="G149" s="354"/>
      <c r="J149" s="143"/>
      <c r="K149" s="143"/>
      <c r="L149" s="143"/>
      <c r="M149" s="143"/>
      <c r="N149" s="137"/>
      <c r="O149" s="137"/>
      <c r="P149" s="265"/>
      <c r="Q149" s="137"/>
      <c r="R149" s="137"/>
      <c r="S149" s="137"/>
      <c r="T149" s="137"/>
      <c r="V149" s="143"/>
      <c r="W149" s="143"/>
      <c r="X149" s="143"/>
      <c r="Y149" s="143"/>
      <c r="Z149" s="137"/>
      <c r="AA149" s="137"/>
      <c r="AB149" s="137"/>
      <c r="AC149" s="137"/>
      <c r="AD149" s="137"/>
      <c r="AE149" s="137"/>
      <c r="AF149" s="137"/>
      <c r="AG149" s="137"/>
      <c r="AH149" s="137"/>
      <c r="AI149" s="137"/>
      <c r="AJ149" s="137"/>
      <c r="AK149" s="137"/>
      <c r="AM149" s="143"/>
      <c r="AN149" s="143"/>
      <c r="AO149" s="143"/>
      <c r="AP149" s="143"/>
      <c r="AQ149" s="137"/>
      <c r="AR149" s="137"/>
      <c r="AS149" s="137"/>
      <c r="AT149" s="137"/>
      <c r="AU149" s="137"/>
      <c r="AV149" s="137"/>
      <c r="AW149" s="137"/>
      <c r="AX149" s="189"/>
      <c r="AY149" s="189"/>
      <c r="BB149" s="143"/>
      <c r="BC149" s="143"/>
      <c r="BD149" s="143"/>
      <c r="BE149" s="143"/>
      <c r="BF149" s="137"/>
      <c r="BG149" s="137"/>
      <c r="BH149" s="137"/>
      <c r="BI149" s="137"/>
      <c r="BJ149" s="137"/>
      <c r="BK149" s="137"/>
      <c r="BL149" s="137"/>
      <c r="BM149" s="137"/>
      <c r="BN149" s="137"/>
      <c r="BO149" s="137"/>
      <c r="BP149" s="137"/>
      <c r="BQ149" s="137"/>
      <c r="BR149" s="137"/>
      <c r="BS149" s="137"/>
      <c r="BT149" s="189"/>
      <c r="BU149" s="189"/>
      <c r="BX149" s="143"/>
      <c r="BY149" s="143"/>
      <c r="BZ149" s="143"/>
      <c r="CA149" s="143"/>
    </row>
    <row r="150" spans="1:85" x14ac:dyDescent="0.25">
      <c r="A150" s="143"/>
      <c r="B150" s="143"/>
      <c r="C150" s="143"/>
      <c r="D150" s="143"/>
      <c r="E150" s="354"/>
      <c r="F150" s="354"/>
      <c r="G150" s="354"/>
      <c r="J150" s="143"/>
      <c r="K150" s="143"/>
      <c r="L150" s="143"/>
      <c r="M150" s="143"/>
      <c r="N150" s="137"/>
      <c r="O150" s="137"/>
      <c r="P150" s="265"/>
      <c r="Q150" s="137"/>
      <c r="R150" s="137"/>
      <c r="S150" s="137"/>
      <c r="T150" s="137"/>
      <c r="V150" s="143"/>
      <c r="W150" s="143"/>
      <c r="X150" s="143"/>
      <c r="Y150" s="143"/>
      <c r="Z150" s="137"/>
      <c r="AA150" s="137"/>
      <c r="AB150" s="137"/>
      <c r="AC150" s="137"/>
      <c r="AD150" s="137"/>
      <c r="AE150" s="137"/>
      <c r="AF150" s="137"/>
      <c r="AG150" s="137"/>
      <c r="AH150" s="137"/>
      <c r="AI150" s="137"/>
      <c r="AJ150" s="137"/>
      <c r="AK150" s="137"/>
      <c r="AM150" s="143"/>
      <c r="AN150" s="143"/>
      <c r="AO150" s="143"/>
      <c r="AP150" s="143"/>
      <c r="AQ150" s="137"/>
      <c r="AR150" s="137"/>
      <c r="AS150" s="137"/>
      <c r="AT150" s="137"/>
      <c r="AU150" s="137"/>
      <c r="AV150" s="137"/>
      <c r="AW150" s="137"/>
      <c r="AX150" s="189"/>
      <c r="AY150" s="189"/>
      <c r="BB150" s="143"/>
      <c r="BC150" s="143"/>
      <c r="BD150" s="143"/>
      <c r="BE150" s="143"/>
      <c r="BF150" s="137"/>
      <c r="BG150" s="137"/>
      <c r="BH150" s="137"/>
      <c r="BI150" s="137"/>
      <c r="BJ150" s="137"/>
      <c r="BK150" s="137"/>
      <c r="BL150" s="137"/>
      <c r="BM150" s="137"/>
      <c r="BN150" s="137"/>
      <c r="BO150" s="137"/>
      <c r="BP150" s="137"/>
      <c r="BQ150" s="137"/>
      <c r="BR150" s="137"/>
      <c r="BS150" s="137"/>
      <c r="BT150" s="189"/>
      <c r="BU150" s="189"/>
      <c r="BX150" s="143"/>
      <c r="BY150" s="143"/>
      <c r="BZ150" s="143"/>
      <c r="CA150" s="143"/>
    </row>
    <row r="151" spans="1:85" x14ac:dyDescent="0.25">
      <c r="A151" s="143"/>
      <c r="B151" s="143"/>
      <c r="C151" s="143"/>
      <c r="D151" s="143"/>
      <c r="E151" s="354"/>
      <c r="F151" s="354"/>
      <c r="G151" s="354"/>
      <c r="J151" s="143"/>
      <c r="K151" s="143"/>
      <c r="L151" s="143"/>
      <c r="M151" s="143"/>
      <c r="N151" s="137"/>
      <c r="O151" s="137"/>
      <c r="P151" s="265"/>
      <c r="Q151" s="137"/>
      <c r="R151" s="137"/>
      <c r="S151" s="137"/>
      <c r="T151" s="137"/>
      <c r="V151" s="143"/>
      <c r="W151" s="143"/>
      <c r="X151" s="143"/>
      <c r="Y151" s="143"/>
      <c r="Z151" s="137"/>
      <c r="AA151" s="137"/>
      <c r="AB151" s="137"/>
      <c r="AC151" s="137"/>
      <c r="AD151" s="137"/>
      <c r="AE151" s="137"/>
      <c r="AF151" s="137"/>
      <c r="AG151" s="137"/>
      <c r="AH151" s="137"/>
      <c r="AI151" s="137"/>
      <c r="AJ151" s="137"/>
      <c r="AK151" s="137"/>
      <c r="AM151" s="143"/>
      <c r="AN151" s="143"/>
      <c r="AO151" s="143"/>
      <c r="AP151" s="143"/>
      <c r="AQ151" s="137"/>
      <c r="AR151" s="137"/>
      <c r="AS151" s="137"/>
      <c r="AT151" s="137"/>
      <c r="AU151" s="137"/>
      <c r="AV151" s="137"/>
      <c r="AW151" s="137"/>
      <c r="AX151" s="189"/>
      <c r="AY151" s="189"/>
      <c r="BB151" s="143"/>
      <c r="BC151" s="143"/>
      <c r="BD151" s="143"/>
      <c r="BE151" s="143"/>
      <c r="BF151" s="137"/>
      <c r="BG151" s="137"/>
      <c r="BH151" s="137"/>
      <c r="BI151" s="137"/>
      <c r="BJ151" s="137"/>
      <c r="BK151" s="137"/>
      <c r="BL151" s="137"/>
      <c r="BM151" s="137"/>
      <c r="BN151" s="137"/>
      <c r="BO151" s="137"/>
      <c r="BP151" s="137"/>
      <c r="BQ151" s="137"/>
      <c r="BR151" s="137"/>
      <c r="BS151" s="137"/>
      <c r="BT151" s="189"/>
      <c r="BU151" s="189"/>
      <c r="BX151" s="143"/>
      <c r="BY151" s="143"/>
      <c r="BZ151" s="143"/>
      <c r="CA151" s="143"/>
    </row>
    <row r="152" spans="1:85" x14ac:dyDescent="0.25">
      <c r="A152" s="143"/>
      <c r="B152" s="143"/>
      <c r="C152" s="143"/>
      <c r="D152" s="143"/>
      <c r="E152" s="354"/>
      <c r="F152" s="354"/>
      <c r="G152" s="354"/>
      <c r="J152" s="143"/>
      <c r="K152" s="143"/>
      <c r="L152" s="143"/>
      <c r="M152" s="143"/>
      <c r="N152" s="137"/>
      <c r="O152" s="137"/>
      <c r="P152" s="265"/>
      <c r="Q152" s="137"/>
      <c r="R152" s="137"/>
      <c r="S152" s="137"/>
      <c r="T152" s="137"/>
      <c r="V152" s="143"/>
      <c r="W152" s="143"/>
      <c r="X152" s="143"/>
      <c r="Y152" s="143"/>
      <c r="Z152" s="137"/>
      <c r="AA152" s="137"/>
      <c r="AB152" s="137"/>
      <c r="AC152" s="137"/>
      <c r="AD152" s="137"/>
      <c r="AE152" s="137"/>
      <c r="AF152" s="137"/>
      <c r="AG152" s="137"/>
      <c r="AH152" s="137"/>
      <c r="AI152" s="137"/>
      <c r="AJ152" s="137"/>
      <c r="AK152" s="137"/>
      <c r="AM152" s="143"/>
      <c r="AN152" s="143"/>
      <c r="AO152" s="143"/>
      <c r="AP152" s="143"/>
      <c r="AQ152" s="137"/>
      <c r="AR152" s="137"/>
      <c r="AS152" s="137"/>
      <c r="AT152" s="137"/>
      <c r="AU152" s="137"/>
      <c r="AV152" s="137"/>
      <c r="AW152" s="137"/>
      <c r="AX152" s="189"/>
      <c r="AY152" s="189"/>
      <c r="BB152" s="143"/>
      <c r="BC152" s="143"/>
      <c r="BD152" s="143"/>
      <c r="BE152" s="143"/>
      <c r="BF152" s="137"/>
      <c r="BG152" s="137"/>
      <c r="BH152" s="137"/>
      <c r="BI152" s="137"/>
      <c r="BJ152" s="137"/>
      <c r="BK152" s="137"/>
      <c r="BL152" s="137"/>
      <c r="BM152" s="137"/>
      <c r="BN152" s="137"/>
      <c r="BO152" s="137"/>
      <c r="BP152" s="137"/>
      <c r="BQ152" s="137"/>
      <c r="BR152" s="137"/>
      <c r="BS152" s="137"/>
      <c r="BT152" s="189"/>
      <c r="BU152" s="189"/>
      <c r="BX152" s="143"/>
      <c r="BY152" s="143"/>
      <c r="BZ152" s="143"/>
      <c r="CA152" s="143"/>
    </row>
    <row r="153" spans="1:85" x14ac:dyDescent="0.25">
      <c r="A153" s="143"/>
      <c r="B153" s="143"/>
      <c r="C153" s="143"/>
      <c r="D153" s="143"/>
      <c r="E153" s="354"/>
      <c r="F153" s="354"/>
      <c r="G153" s="354"/>
      <c r="J153" s="143"/>
      <c r="K153" s="143"/>
      <c r="L153" s="143"/>
      <c r="M153" s="143"/>
      <c r="N153" s="137"/>
      <c r="O153" s="137"/>
      <c r="P153" s="265"/>
      <c r="Q153" s="137"/>
      <c r="R153" s="137"/>
      <c r="S153" s="137"/>
      <c r="T153" s="137"/>
      <c r="V153" s="143"/>
      <c r="W153" s="143"/>
      <c r="X153" s="143"/>
      <c r="Y153" s="143"/>
      <c r="Z153" s="137"/>
      <c r="AA153" s="137"/>
      <c r="AB153" s="137"/>
      <c r="AC153" s="137"/>
      <c r="AD153" s="137"/>
      <c r="AE153" s="137"/>
      <c r="AF153" s="137"/>
      <c r="AG153" s="137"/>
      <c r="AH153" s="137"/>
      <c r="AI153" s="137"/>
      <c r="AJ153" s="137"/>
      <c r="AK153" s="137"/>
      <c r="AM153" s="143"/>
      <c r="AN153" s="143"/>
      <c r="AO153" s="143"/>
      <c r="AP153" s="143"/>
      <c r="AQ153" s="137"/>
      <c r="AR153" s="137"/>
      <c r="AS153" s="137"/>
      <c r="AT153" s="137"/>
      <c r="AU153" s="137"/>
      <c r="AV153" s="137"/>
      <c r="AW153" s="137"/>
      <c r="AX153" s="189"/>
      <c r="AY153" s="189"/>
      <c r="BB153" s="143"/>
      <c r="BC153" s="143"/>
      <c r="BD153" s="143"/>
      <c r="BE153" s="143"/>
      <c r="BF153" s="137"/>
      <c r="BG153" s="137"/>
      <c r="BH153" s="137"/>
      <c r="BI153" s="137"/>
      <c r="BJ153" s="137"/>
      <c r="BK153" s="137"/>
      <c r="BL153" s="137"/>
      <c r="BM153" s="137"/>
      <c r="BN153" s="137"/>
      <c r="BO153" s="137"/>
      <c r="BP153" s="137"/>
      <c r="BQ153" s="137"/>
      <c r="BR153" s="137"/>
      <c r="BS153" s="137"/>
      <c r="BT153" s="189"/>
      <c r="BU153" s="189"/>
      <c r="BX153" s="143"/>
      <c r="BY153" s="143"/>
      <c r="BZ153" s="143"/>
      <c r="CA153" s="143"/>
    </row>
    <row r="154" spans="1:85" x14ac:dyDescent="0.25">
      <c r="A154" s="143"/>
      <c r="B154" s="143"/>
      <c r="C154" s="143"/>
      <c r="D154" s="143"/>
      <c r="E154" s="354"/>
      <c r="F154" s="354"/>
      <c r="G154" s="354"/>
      <c r="J154" s="143"/>
      <c r="K154" s="143"/>
      <c r="L154" s="143"/>
      <c r="M154" s="143"/>
      <c r="N154" s="137"/>
      <c r="O154" s="137"/>
      <c r="P154" s="265"/>
      <c r="Q154" s="137"/>
      <c r="R154" s="137"/>
      <c r="S154" s="137"/>
      <c r="T154" s="137"/>
      <c r="V154" s="143"/>
      <c r="W154" s="143"/>
      <c r="X154" s="143"/>
      <c r="Y154" s="143"/>
      <c r="Z154" s="137"/>
      <c r="AA154" s="137"/>
      <c r="AB154" s="137"/>
      <c r="AC154" s="137"/>
      <c r="AD154" s="137"/>
      <c r="AE154" s="137"/>
      <c r="AF154" s="137"/>
      <c r="AG154" s="137"/>
      <c r="AH154" s="137"/>
      <c r="AI154" s="137"/>
      <c r="AJ154" s="137"/>
      <c r="AK154" s="137"/>
      <c r="AM154" s="143"/>
      <c r="AN154" s="143"/>
      <c r="AO154" s="143"/>
      <c r="AP154" s="143"/>
      <c r="AQ154" s="137"/>
      <c r="AR154" s="137"/>
      <c r="AS154" s="137"/>
      <c r="AT154" s="137"/>
      <c r="AU154" s="137"/>
      <c r="AV154" s="137"/>
      <c r="AW154" s="137"/>
      <c r="AX154" s="189"/>
      <c r="AY154" s="189"/>
      <c r="BB154" s="143"/>
      <c r="BC154" s="143"/>
      <c r="BD154" s="143"/>
      <c r="BE154" s="143"/>
      <c r="BF154" s="137"/>
      <c r="BG154" s="137"/>
      <c r="BH154" s="137"/>
      <c r="BI154" s="137"/>
      <c r="BJ154" s="137"/>
      <c r="BK154" s="137"/>
      <c r="BL154" s="137"/>
      <c r="BM154" s="137"/>
      <c r="BN154" s="137"/>
      <c r="BO154" s="137"/>
      <c r="BP154" s="137"/>
      <c r="BQ154" s="137"/>
      <c r="BR154" s="137"/>
      <c r="BS154" s="137"/>
      <c r="BT154" s="189"/>
      <c r="BU154" s="189"/>
      <c r="BX154" s="143"/>
      <c r="BY154" s="143"/>
      <c r="BZ154" s="143"/>
      <c r="CA154" s="143"/>
    </row>
    <row r="155" spans="1:85" x14ac:dyDescent="0.25">
      <c r="A155" s="143"/>
      <c r="B155" s="143"/>
      <c r="C155" s="143"/>
      <c r="D155" s="143"/>
      <c r="E155" s="354"/>
      <c r="F155" s="354"/>
      <c r="G155" s="354"/>
      <c r="J155" s="143"/>
      <c r="K155" s="143"/>
      <c r="L155" s="143"/>
      <c r="M155" s="143"/>
      <c r="N155" s="137"/>
      <c r="O155" s="137"/>
      <c r="P155" s="265"/>
      <c r="Q155" s="137"/>
      <c r="R155" s="137"/>
      <c r="S155" s="137"/>
      <c r="T155" s="137"/>
      <c r="V155" s="143"/>
      <c r="W155" s="143"/>
      <c r="X155" s="143"/>
      <c r="Y155" s="143"/>
      <c r="Z155" s="137"/>
      <c r="AA155" s="137"/>
      <c r="AB155" s="137"/>
      <c r="AC155" s="137"/>
      <c r="AD155" s="137"/>
      <c r="AE155" s="137"/>
      <c r="AF155" s="137"/>
      <c r="AG155" s="137"/>
      <c r="AH155" s="137"/>
      <c r="AI155" s="137"/>
      <c r="AJ155" s="137"/>
      <c r="AK155" s="137"/>
      <c r="AM155" s="143"/>
      <c r="AN155" s="143"/>
      <c r="AO155" s="143"/>
      <c r="AP155" s="143"/>
      <c r="AQ155" s="137"/>
      <c r="AR155" s="137"/>
      <c r="AS155" s="137"/>
      <c r="AT155" s="137"/>
      <c r="AU155" s="137"/>
      <c r="AV155" s="137"/>
      <c r="AW155" s="137"/>
      <c r="AX155" s="189"/>
      <c r="AY155" s="189"/>
      <c r="BB155" s="143"/>
      <c r="BC155" s="143"/>
      <c r="BD155" s="143"/>
      <c r="BE155" s="143"/>
      <c r="BF155" s="137"/>
      <c r="BG155" s="137"/>
      <c r="BH155" s="137"/>
      <c r="BI155" s="137"/>
      <c r="BJ155" s="137"/>
      <c r="BK155" s="137"/>
      <c r="BL155" s="137"/>
      <c r="BM155" s="137"/>
      <c r="BN155" s="137"/>
      <c r="BO155" s="137"/>
      <c r="BP155" s="137"/>
      <c r="BQ155" s="137"/>
      <c r="BR155" s="137"/>
      <c r="BS155" s="137"/>
      <c r="BT155" s="189"/>
      <c r="BU155" s="189"/>
      <c r="BX155" s="143"/>
      <c r="BY155" s="143"/>
      <c r="BZ155" s="143"/>
      <c r="CA155" s="143"/>
    </row>
    <row r="156" spans="1:85" x14ac:dyDescent="0.25">
      <c r="A156" s="143"/>
      <c r="B156" s="143"/>
      <c r="C156" s="143"/>
      <c r="D156" s="143"/>
      <c r="E156" s="354"/>
      <c r="F156" s="354"/>
      <c r="G156" s="354"/>
      <c r="J156" s="143"/>
      <c r="K156" s="143"/>
      <c r="L156" s="143"/>
      <c r="M156" s="143"/>
      <c r="N156" s="137"/>
      <c r="O156" s="137"/>
      <c r="P156" s="265"/>
      <c r="Q156" s="137"/>
      <c r="R156" s="137"/>
      <c r="S156" s="137"/>
      <c r="T156" s="137"/>
      <c r="V156" s="143"/>
      <c r="W156" s="143"/>
      <c r="X156" s="143"/>
      <c r="Y156" s="143"/>
      <c r="Z156" s="137"/>
      <c r="AA156" s="137"/>
      <c r="AB156" s="137"/>
      <c r="AC156" s="137"/>
      <c r="AD156" s="137"/>
      <c r="AE156" s="137"/>
      <c r="AF156" s="137"/>
      <c r="AG156" s="137"/>
      <c r="AH156" s="137"/>
      <c r="AI156" s="137"/>
      <c r="AJ156" s="137"/>
      <c r="AK156" s="137"/>
      <c r="AM156" s="143"/>
      <c r="AN156" s="143"/>
      <c r="AO156" s="143"/>
      <c r="AP156" s="143"/>
      <c r="AQ156" s="137"/>
      <c r="AR156" s="137"/>
      <c r="AS156" s="137"/>
      <c r="AT156" s="137"/>
      <c r="AU156" s="137"/>
      <c r="AV156" s="137"/>
      <c r="AW156" s="137"/>
      <c r="AX156" s="189"/>
      <c r="AY156" s="189"/>
      <c r="BB156" s="143"/>
      <c r="BC156" s="143"/>
      <c r="BD156" s="143"/>
      <c r="BE156" s="143"/>
      <c r="BF156" s="137"/>
      <c r="BG156" s="137"/>
      <c r="BH156" s="137"/>
      <c r="BI156" s="137"/>
      <c r="BJ156" s="137"/>
      <c r="BK156" s="137"/>
      <c r="BL156" s="137"/>
      <c r="BM156" s="137"/>
      <c r="BN156" s="137"/>
      <c r="BO156" s="137"/>
      <c r="BP156" s="137"/>
      <c r="BQ156" s="137"/>
      <c r="BR156" s="137"/>
      <c r="BS156" s="137"/>
      <c r="BT156" s="189"/>
      <c r="BU156" s="189"/>
      <c r="BX156" s="143"/>
      <c r="BY156" s="143"/>
      <c r="BZ156" s="143"/>
      <c r="CA156" s="143"/>
    </row>
    <row r="157" spans="1:85" x14ac:dyDescent="0.25">
      <c r="A157" s="143"/>
      <c r="B157" s="143"/>
      <c r="C157" s="143"/>
      <c r="D157" s="143"/>
      <c r="E157" s="354"/>
      <c r="F157" s="354"/>
      <c r="G157" s="354"/>
      <c r="J157" s="143"/>
      <c r="K157" s="143"/>
      <c r="L157" s="143"/>
      <c r="M157" s="143"/>
      <c r="N157" s="137"/>
      <c r="O157" s="137"/>
      <c r="P157" s="265"/>
      <c r="Q157" s="137"/>
      <c r="R157" s="137"/>
      <c r="S157" s="137"/>
      <c r="T157" s="137"/>
      <c r="V157" s="143"/>
      <c r="W157" s="143"/>
      <c r="X157" s="143"/>
      <c r="Y157" s="143"/>
      <c r="Z157" s="137"/>
      <c r="AA157" s="137"/>
      <c r="AB157" s="137"/>
      <c r="AC157" s="137"/>
      <c r="AD157" s="137"/>
      <c r="AE157" s="137"/>
      <c r="AF157" s="137"/>
      <c r="AG157" s="137"/>
      <c r="AH157" s="137"/>
      <c r="AI157" s="137"/>
      <c r="AJ157" s="137"/>
      <c r="AK157" s="137"/>
      <c r="AM157" s="143"/>
      <c r="AN157" s="143"/>
      <c r="AO157" s="143"/>
      <c r="AP157" s="143"/>
      <c r="AQ157" s="137"/>
      <c r="AR157" s="137"/>
      <c r="AS157" s="137"/>
      <c r="AT157" s="137"/>
      <c r="AU157" s="137"/>
      <c r="AV157" s="137"/>
      <c r="AW157" s="137"/>
      <c r="AX157" s="189"/>
      <c r="AY157" s="189"/>
      <c r="BB157" s="143"/>
      <c r="BC157" s="143"/>
      <c r="BD157" s="143"/>
      <c r="BE157" s="143"/>
      <c r="BF157" s="137"/>
      <c r="BG157" s="137"/>
      <c r="BH157" s="137"/>
      <c r="BI157" s="137"/>
      <c r="BJ157" s="137"/>
      <c r="BK157" s="137"/>
      <c r="BL157" s="137"/>
      <c r="BM157" s="137"/>
      <c r="BN157" s="137"/>
      <c r="BO157" s="137"/>
      <c r="BP157" s="137"/>
      <c r="BQ157" s="137"/>
      <c r="BR157" s="137"/>
      <c r="BS157" s="137"/>
      <c r="BT157" s="189"/>
      <c r="BU157" s="189"/>
      <c r="BX157" s="143"/>
      <c r="BY157" s="143"/>
      <c r="BZ157" s="143"/>
      <c r="CA157" s="143"/>
    </row>
    <row r="158" spans="1:85" x14ac:dyDescent="0.25">
      <c r="A158" s="143"/>
      <c r="B158" s="143"/>
      <c r="C158" s="143"/>
      <c r="D158" s="143"/>
      <c r="E158" s="354"/>
      <c r="F158" s="354"/>
      <c r="G158" s="354"/>
      <c r="J158" s="143"/>
      <c r="K158" s="143"/>
      <c r="L158" s="143"/>
      <c r="M158" s="143"/>
      <c r="N158" s="137"/>
      <c r="O158" s="137"/>
      <c r="P158" s="265"/>
      <c r="Q158" s="137"/>
      <c r="R158" s="137"/>
      <c r="S158" s="137"/>
      <c r="T158" s="137"/>
      <c r="V158" s="143"/>
      <c r="W158" s="143"/>
      <c r="X158" s="143"/>
      <c r="Y158" s="143"/>
      <c r="Z158" s="137"/>
      <c r="AA158" s="137"/>
      <c r="AB158" s="137"/>
      <c r="AC158" s="137"/>
      <c r="AD158" s="137"/>
      <c r="AE158" s="137"/>
      <c r="AF158" s="137"/>
      <c r="AG158" s="137"/>
      <c r="AH158" s="137"/>
      <c r="AI158" s="137"/>
      <c r="AJ158" s="137"/>
      <c r="AK158" s="137"/>
      <c r="AM158" s="143"/>
      <c r="AN158" s="143"/>
      <c r="AO158" s="143"/>
      <c r="AP158" s="143"/>
      <c r="AQ158" s="137"/>
      <c r="AR158" s="137"/>
      <c r="AS158" s="137"/>
      <c r="AT158" s="137"/>
      <c r="AU158" s="137"/>
      <c r="AV158" s="137"/>
      <c r="AW158" s="137"/>
      <c r="AX158" s="189"/>
      <c r="AY158" s="189"/>
      <c r="BB158" s="143"/>
      <c r="BC158" s="143"/>
      <c r="BD158" s="143"/>
      <c r="BE158" s="143"/>
      <c r="BF158" s="137"/>
      <c r="BG158" s="137"/>
      <c r="BH158" s="137"/>
      <c r="BI158" s="137"/>
      <c r="BJ158" s="137"/>
      <c r="BK158" s="137"/>
      <c r="BL158" s="137"/>
      <c r="BM158" s="137"/>
      <c r="BN158" s="137"/>
      <c r="BO158" s="137"/>
      <c r="BP158" s="137"/>
      <c r="BQ158" s="137"/>
      <c r="BR158" s="137"/>
      <c r="BS158" s="137"/>
      <c r="BT158" s="189"/>
      <c r="BU158" s="189"/>
      <c r="BX158" s="143"/>
      <c r="BY158" s="143"/>
      <c r="BZ158" s="143"/>
      <c r="CA158" s="143"/>
    </row>
    <row r="159" spans="1:85" x14ac:dyDescent="0.25">
      <c r="A159" s="143"/>
      <c r="B159" s="143"/>
      <c r="C159" s="143"/>
      <c r="D159" s="143"/>
      <c r="E159" s="354"/>
      <c r="F159" s="354"/>
      <c r="G159" s="354"/>
      <c r="J159" s="143"/>
      <c r="K159" s="143"/>
      <c r="L159" s="143"/>
      <c r="M159" s="143"/>
      <c r="N159" s="137"/>
      <c r="O159" s="137"/>
      <c r="P159" s="265"/>
      <c r="Q159" s="137"/>
      <c r="R159" s="137"/>
      <c r="S159" s="137"/>
      <c r="T159" s="137"/>
      <c r="V159" s="143"/>
      <c r="W159" s="143"/>
      <c r="X159" s="143"/>
      <c r="Y159" s="143"/>
      <c r="Z159" s="137"/>
      <c r="AA159" s="137"/>
      <c r="AB159" s="137"/>
      <c r="AC159" s="137"/>
      <c r="AD159" s="137"/>
      <c r="AE159" s="137"/>
      <c r="AF159" s="137"/>
      <c r="AG159" s="137"/>
      <c r="AH159" s="137"/>
      <c r="AI159" s="137"/>
      <c r="AJ159" s="137"/>
      <c r="AK159" s="137"/>
      <c r="AM159" s="143"/>
      <c r="AN159" s="143"/>
      <c r="AO159" s="143"/>
      <c r="AP159" s="143"/>
      <c r="AQ159" s="137"/>
      <c r="AR159" s="137"/>
      <c r="AS159" s="137"/>
      <c r="AT159" s="137"/>
      <c r="AU159" s="137"/>
      <c r="AV159" s="137"/>
      <c r="AW159" s="137"/>
      <c r="AX159" s="189"/>
      <c r="AY159" s="189"/>
      <c r="BB159" s="143"/>
      <c r="BC159" s="143"/>
      <c r="BD159" s="143"/>
      <c r="BE159" s="143"/>
      <c r="BF159" s="137"/>
      <c r="BG159" s="137"/>
      <c r="BH159" s="137"/>
      <c r="BI159" s="137"/>
      <c r="BJ159" s="137"/>
      <c r="BK159" s="137"/>
      <c r="BL159" s="137"/>
      <c r="BM159" s="137"/>
      <c r="BN159" s="137"/>
      <c r="BO159" s="137"/>
      <c r="BP159" s="137"/>
      <c r="BQ159" s="137"/>
      <c r="BR159" s="137"/>
      <c r="BS159" s="137"/>
      <c r="BT159" s="189"/>
      <c r="BU159" s="189"/>
      <c r="BX159" s="143"/>
      <c r="BY159" s="143"/>
      <c r="BZ159" s="143"/>
      <c r="CA159" s="143"/>
    </row>
    <row r="160" spans="1:85" x14ac:dyDescent="0.25">
      <c r="A160" s="143"/>
      <c r="B160" s="143"/>
      <c r="C160" s="143"/>
      <c r="D160" s="143"/>
      <c r="E160" s="354"/>
      <c r="F160" s="354"/>
      <c r="G160" s="354"/>
      <c r="J160" s="143"/>
      <c r="K160" s="143"/>
      <c r="L160" s="143"/>
      <c r="M160" s="143"/>
      <c r="N160" s="137"/>
      <c r="O160" s="137"/>
      <c r="P160" s="265"/>
      <c r="Q160" s="137"/>
      <c r="R160" s="137"/>
      <c r="S160" s="137"/>
      <c r="T160" s="137"/>
      <c r="V160" s="143"/>
      <c r="W160" s="143"/>
      <c r="X160" s="143"/>
      <c r="Y160" s="143"/>
      <c r="Z160" s="137"/>
      <c r="AA160" s="137"/>
      <c r="AB160" s="137"/>
      <c r="AC160" s="137"/>
      <c r="AD160" s="137"/>
      <c r="AE160" s="137"/>
      <c r="AF160" s="137"/>
      <c r="AG160" s="137"/>
      <c r="AH160" s="137"/>
      <c r="AI160" s="137"/>
      <c r="AJ160" s="137"/>
      <c r="AK160" s="137"/>
      <c r="AM160" s="143"/>
      <c r="AN160" s="143"/>
      <c r="AO160" s="143"/>
      <c r="AP160" s="143"/>
      <c r="AQ160" s="137"/>
      <c r="AR160" s="137"/>
      <c r="AS160" s="137"/>
      <c r="AT160" s="137"/>
      <c r="AU160" s="137"/>
      <c r="AV160" s="137"/>
      <c r="AW160" s="137"/>
      <c r="AX160" s="189"/>
      <c r="AY160" s="189"/>
      <c r="BB160" s="143"/>
      <c r="BC160" s="143"/>
      <c r="BD160" s="143"/>
      <c r="BE160" s="143"/>
      <c r="BF160" s="137"/>
      <c r="BG160" s="137"/>
      <c r="BH160" s="137"/>
      <c r="BI160" s="137"/>
      <c r="BJ160" s="137"/>
      <c r="BK160" s="137"/>
      <c r="BL160" s="137"/>
      <c r="BM160" s="137"/>
      <c r="BN160" s="137"/>
      <c r="BO160" s="137"/>
      <c r="BP160" s="137"/>
      <c r="BQ160" s="137"/>
      <c r="BR160" s="137"/>
      <c r="BS160" s="137"/>
      <c r="BT160" s="189"/>
      <c r="BU160" s="189"/>
      <c r="BX160" s="143"/>
      <c r="BY160" s="143"/>
      <c r="BZ160" s="143"/>
      <c r="CA160" s="143"/>
    </row>
    <row r="161" spans="1:79" x14ac:dyDescent="0.25">
      <c r="A161" s="143"/>
      <c r="B161" s="143"/>
      <c r="C161" s="143"/>
      <c r="D161" s="143"/>
      <c r="E161" s="354"/>
      <c r="F161" s="354"/>
      <c r="G161" s="354"/>
      <c r="J161" s="143"/>
      <c r="K161" s="143"/>
      <c r="L161" s="143"/>
      <c r="M161" s="143"/>
      <c r="N161" s="137"/>
      <c r="O161" s="137"/>
      <c r="P161" s="265"/>
      <c r="Q161" s="137"/>
      <c r="R161" s="137"/>
      <c r="S161" s="137"/>
      <c r="T161" s="137"/>
      <c r="V161" s="143"/>
      <c r="W161" s="143"/>
      <c r="X161" s="143"/>
      <c r="Y161" s="143"/>
      <c r="Z161" s="137"/>
      <c r="AA161" s="137"/>
      <c r="AB161" s="137"/>
      <c r="AC161" s="137"/>
      <c r="AD161" s="137"/>
      <c r="AE161" s="137"/>
      <c r="AF161" s="137"/>
      <c r="AG161" s="137"/>
      <c r="AH161" s="137"/>
      <c r="AI161" s="137"/>
      <c r="AJ161" s="137"/>
      <c r="AK161" s="137"/>
      <c r="AM161" s="143"/>
      <c r="AN161" s="143"/>
      <c r="AO161" s="143"/>
      <c r="AP161" s="143"/>
      <c r="AQ161" s="137"/>
      <c r="AR161" s="137"/>
      <c r="AS161" s="137"/>
      <c r="AT161" s="137"/>
      <c r="AU161" s="137"/>
      <c r="AV161" s="137"/>
      <c r="AW161" s="137"/>
      <c r="AX161" s="189"/>
      <c r="AY161" s="189"/>
      <c r="BB161" s="143"/>
      <c r="BC161" s="143"/>
      <c r="BD161" s="143"/>
      <c r="BE161" s="143"/>
      <c r="BF161" s="137"/>
      <c r="BG161" s="137"/>
      <c r="BH161" s="137"/>
      <c r="BI161" s="137"/>
      <c r="BJ161" s="137"/>
      <c r="BK161" s="137"/>
      <c r="BL161" s="137"/>
      <c r="BM161" s="137"/>
      <c r="BN161" s="137"/>
      <c r="BO161" s="137"/>
      <c r="BP161" s="137"/>
      <c r="BQ161" s="137"/>
      <c r="BR161" s="137"/>
      <c r="BS161" s="137"/>
      <c r="BT161" s="189"/>
      <c r="BU161" s="189"/>
      <c r="BX161" s="143"/>
      <c r="BY161" s="143"/>
      <c r="BZ161" s="143"/>
      <c r="CA161" s="143"/>
    </row>
    <row r="162" spans="1:79" x14ac:dyDescent="0.25">
      <c r="A162" s="143"/>
      <c r="B162" s="143"/>
      <c r="C162" s="143"/>
      <c r="D162" s="143"/>
      <c r="E162" s="354"/>
      <c r="F162" s="354"/>
      <c r="G162" s="354"/>
      <c r="J162" s="143"/>
      <c r="K162" s="143"/>
      <c r="L162" s="143"/>
      <c r="M162" s="143"/>
      <c r="N162" s="137"/>
      <c r="O162" s="137"/>
      <c r="P162" s="265"/>
      <c r="Q162" s="137"/>
      <c r="R162" s="137"/>
      <c r="S162" s="137"/>
      <c r="T162" s="137"/>
      <c r="V162" s="143"/>
      <c r="W162" s="143"/>
      <c r="X162" s="143"/>
      <c r="Y162" s="143"/>
      <c r="Z162" s="137"/>
      <c r="AA162" s="137"/>
      <c r="AB162" s="137"/>
      <c r="AC162" s="137"/>
      <c r="AD162" s="137"/>
      <c r="AE162" s="137"/>
      <c r="AF162" s="137"/>
      <c r="AG162" s="137"/>
      <c r="AH162" s="137"/>
      <c r="AI162" s="137"/>
      <c r="AJ162" s="137"/>
      <c r="AK162" s="137"/>
      <c r="AM162" s="143"/>
      <c r="AN162" s="143"/>
      <c r="AO162" s="143"/>
      <c r="AP162" s="143"/>
      <c r="AQ162" s="137"/>
      <c r="AR162" s="137"/>
      <c r="AS162" s="137"/>
      <c r="AT162" s="137"/>
      <c r="AU162" s="137"/>
      <c r="AV162" s="137"/>
      <c r="AW162" s="137"/>
      <c r="AX162" s="189"/>
      <c r="AY162" s="189"/>
      <c r="BB162" s="143"/>
      <c r="BC162" s="143"/>
      <c r="BD162" s="143"/>
      <c r="BE162" s="143"/>
      <c r="BF162" s="137"/>
      <c r="BG162" s="137"/>
      <c r="BH162" s="137"/>
      <c r="BI162" s="137"/>
      <c r="BJ162" s="137"/>
      <c r="BK162" s="137"/>
      <c r="BL162" s="137"/>
      <c r="BM162" s="137"/>
      <c r="BN162" s="137"/>
      <c r="BO162" s="137"/>
      <c r="BP162" s="137"/>
      <c r="BQ162" s="137"/>
      <c r="BR162" s="137"/>
      <c r="BS162" s="137"/>
      <c r="BT162" s="189"/>
      <c r="BU162" s="189"/>
      <c r="BX162" s="143"/>
      <c r="BY162" s="143"/>
      <c r="BZ162" s="143"/>
      <c r="CA162" s="143"/>
    </row>
    <row r="163" spans="1:79" x14ac:dyDescent="0.25">
      <c r="A163" s="143"/>
      <c r="B163" s="143"/>
      <c r="C163" s="143"/>
      <c r="D163" s="143"/>
      <c r="E163" s="354"/>
      <c r="F163" s="354"/>
      <c r="G163" s="354"/>
      <c r="J163" s="143"/>
      <c r="K163" s="143"/>
      <c r="L163" s="143"/>
      <c r="M163" s="143"/>
      <c r="N163" s="137"/>
      <c r="O163" s="137"/>
      <c r="P163" s="265"/>
      <c r="Q163" s="137"/>
      <c r="R163" s="137"/>
      <c r="S163" s="137"/>
      <c r="T163" s="137"/>
      <c r="V163" s="143"/>
      <c r="W163" s="143"/>
      <c r="X163" s="143"/>
      <c r="Y163" s="143"/>
      <c r="Z163" s="137"/>
      <c r="AA163" s="137"/>
      <c r="AB163" s="137"/>
      <c r="AC163" s="137"/>
      <c r="AD163" s="137"/>
      <c r="AE163" s="137"/>
      <c r="AF163" s="137"/>
      <c r="AG163" s="137"/>
      <c r="AH163" s="137"/>
      <c r="AI163" s="137"/>
      <c r="AJ163" s="137"/>
      <c r="AK163" s="137"/>
      <c r="AM163" s="143"/>
      <c r="AN163" s="143"/>
      <c r="AO163" s="143"/>
      <c r="AP163" s="143"/>
      <c r="AQ163" s="137"/>
      <c r="AR163" s="137"/>
      <c r="AS163" s="137"/>
      <c r="AT163" s="137"/>
      <c r="AU163" s="137"/>
      <c r="AV163" s="137"/>
      <c r="AW163" s="137"/>
      <c r="AX163" s="189"/>
      <c r="AY163" s="189"/>
      <c r="BB163" s="143"/>
      <c r="BC163" s="143"/>
      <c r="BD163" s="143"/>
      <c r="BE163" s="143"/>
      <c r="BF163" s="137"/>
      <c r="BG163" s="137"/>
      <c r="BH163" s="137"/>
      <c r="BI163" s="137"/>
      <c r="BJ163" s="137"/>
      <c r="BK163" s="137"/>
      <c r="BL163" s="137"/>
      <c r="BM163" s="137"/>
      <c r="BN163" s="137"/>
      <c r="BO163" s="137"/>
      <c r="BP163" s="137"/>
      <c r="BQ163" s="137"/>
      <c r="BR163" s="137"/>
      <c r="BS163" s="137"/>
      <c r="BT163" s="189"/>
      <c r="BU163" s="189"/>
      <c r="BX163" s="143"/>
      <c r="BY163" s="143"/>
      <c r="BZ163" s="143"/>
      <c r="CA163" s="143"/>
    </row>
    <row r="164" spans="1:79" x14ac:dyDescent="0.25">
      <c r="A164" s="143"/>
      <c r="B164" s="143"/>
      <c r="C164" s="143"/>
      <c r="D164" s="143"/>
      <c r="E164" s="354"/>
      <c r="F164" s="354"/>
      <c r="G164" s="354"/>
      <c r="J164" s="143"/>
      <c r="K164" s="143"/>
      <c r="L164" s="143"/>
      <c r="M164" s="143"/>
      <c r="N164" s="137"/>
      <c r="O164" s="137"/>
      <c r="P164" s="265"/>
      <c r="Q164" s="137"/>
      <c r="R164" s="137"/>
      <c r="S164" s="137"/>
      <c r="T164" s="137"/>
      <c r="V164" s="143"/>
      <c r="W164" s="143"/>
      <c r="X164" s="143"/>
      <c r="Y164" s="143"/>
      <c r="Z164" s="137"/>
      <c r="AA164" s="137"/>
      <c r="AB164" s="137"/>
      <c r="AC164" s="137"/>
      <c r="AD164" s="137"/>
      <c r="AE164" s="137"/>
      <c r="AF164" s="137"/>
      <c r="AG164" s="137"/>
      <c r="AH164" s="137"/>
      <c r="AI164" s="137"/>
      <c r="AJ164" s="137"/>
      <c r="AK164" s="137"/>
      <c r="AM164" s="143"/>
      <c r="AN164" s="143"/>
      <c r="AO164" s="143"/>
      <c r="AP164" s="143"/>
      <c r="AQ164" s="137"/>
      <c r="AR164" s="137"/>
      <c r="AS164" s="137"/>
      <c r="AT164" s="137"/>
      <c r="AU164" s="137"/>
      <c r="AV164" s="137"/>
      <c r="AW164" s="137"/>
      <c r="AX164" s="189"/>
      <c r="AY164" s="189"/>
      <c r="BB164" s="143"/>
      <c r="BC164" s="143"/>
      <c r="BD164" s="143"/>
      <c r="BE164" s="143"/>
      <c r="BF164" s="137"/>
      <c r="BG164" s="137"/>
      <c r="BH164" s="137"/>
      <c r="BI164" s="137"/>
      <c r="BJ164" s="137"/>
      <c r="BK164" s="137"/>
      <c r="BL164" s="137"/>
      <c r="BM164" s="137"/>
      <c r="BN164" s="137"/>
      <c r="BO164" s="137"/>
      <c r="BP164" s="137"/>
      <c r="BQ164" s="137"/>
      <c r="BR164" s="137"/>
      <c r="BS164" s="137"/>
      <c r="BT164" s="189"/>
      <c r="BU164" s="189"/>
      <c r="BX164" s="143"/>
      <c r="BY164" s="143"/>
      <c r="BZ164" s="143"/>
      <c r="CA164" s="143"/>
    </row>
    <row r="165" spans="1:79" x14ac:dyDescent="0.25">
      <c r="A165" s="143"/>
      <c r="B165" s="143"/>
      <c r="C165" s="143"/>
      <c r="D165" s="143"/>
      <c r="E165" s="354"/>
      <c r="F165" s="354"/>
      <c r="G165" s="354"/>
      <c r="J165" s="143"/>
      <c r="K165" s="143"/>
      <c r="L165" s="143"/>
      <c r="M165" s="143"/>
      <c r="N165" s="137"/>
      <c r="O165" s="137"/>
      <c r="P165" s="265"/>
      <c r="Q165" s="137"/>
      <c r="R165" s="137"/>
      <c r="S165" s="137"/>
      <c r="T165" s="137"/>
      <c r="V165" s="143"/>
      <c r="W165" s="143"/>
      <c r="X165" s="143"/>
      <c r="Y165" s="143"/>
      <c r="Z165" s="137"/>
      <c r="AA165" s="137"/>
      <c r="AB165" s="137"/>
      <c r="AC165" s="137"/>
      <c r="AD165" s="137"/>
      <c r="AE165" s="137"/>
      <c r="AF165" s="137"/>
      <c r="AG165" s="137"/>
      <c r="AH165" s="137"/>
      <c r="AI165" s="137"/>
      <c r="AJ165" s="137"/>
      <c r="AK165" s="137"/>
      <c r="AM165" s="143"/>
      <c r="AN165" s="143"/>
      <c r="AO165" s="143"/>
      <c r="AP165" s="143"/>
      <c r="AQ165" s="137"/>
      <c r="AR165" s="137"/>
      <c r="AS165" s="137"/>
      <c r="AT165" s="137"/>
      <c r="AU165" s="137"/>
      <c r="AV165" s="137"/>
      <c r="AW165" s="137"/>
      <c r="AX165" s="189"/>
      <c r="AY165" s="189"/>
      <c r="BB165" s="143"/>
      <c r="BC165" s="143"/>
      <c r="BD165" s="143"/>
      <c r="BE165" s="143"/>
      <c r="BF165" s="137"/>
      <c r="BG165" s="137"/>
      <c r="BH165" s="137"/>
      <c r="BI165" s="137"/>
      <c r="BJ165" s="137"/>
      <c r="BK165" s="137"/>
      <c r="BL165" s="137"/>
      <c r="BM165" s="137"/>
      <c r="BN165" s="137"/>
      <c r="BO165" s="137"/>
      <c r="BP165" s="137"/>
      <c r="BQ165" s="137"/>
      <c r="BR165" s="137"/>
      <c r="BS165" s="137"/>
      <c r="BT165" s="189"/>
      <c r="BU165" s="189"/>
      <c r="BX165" s="143"/>
      <c r="BY165" s="143"/>
      <c r="BZ165" s="143"/>
      <c r="CA165" s="143"/>
    </row>
    <row r="166" spans="1:79" x14ac:dyDescent="0.25">
      <c r="A166" s="143"/>
      <c r="B166" s="143"/>
      <c r="C166" s="143"/>
      <c r="D166" s="143"/>
      <c r="E166" s="354"/>
      <c r="F166" s="354"/>
      <c r="G166" s="354"/>
      <c r="J166" s="143"/>
      <c r="K166" s="143"/>
      <c r="L166" s="143"/>
      <c r="M166" s="143"/>
      <c r="N166" s="137"/>
      <c r="O166" s="137"/>
      <c r="P166" s="265"/>
      <c r="Q166" s="137"/>
      <c r="R166" s="137"/>
      <c r="S166" s="137"/>
      <c r="T166" s="137"/>
      <c r="V166" s="143"/>
      <c r="W166" s="143"/>
      <c r="X166" s="143"/>
      <c r="Y166" s="143"/>
      <c r="Z166" s="137"/>
      <c r="AA166" s="137"/>
      <c r="AB166" s="137"/>
      <c r="AC166" s="137"/>
      <c r="AD166" s="137"/>
      <c r="AE166" s="137"/>
      <c r="AF166" s="137"/>
      <c r="AG166" s="137"/>
      <c r="AH166" s="137"/>
      <c r="AI166" s="137"/>
      <c r="AJ166" s="137"/>
      <c r="AK166" s="137"/>
      <c r="AM166" s="143"/>
      <c r="AN166" s="143"/>
      <c r="AO166" s="143"/>
      <c r="AP166" s="143"/>
      <c r="AQ166" s="137"/>
      <c r="AR166" s="137"/>
      <c r="AS166" s="137"/>
      <c r="AT166" s="137"/>
      <c r="AU166" s="137"/>
      <c r="AV166" s="137"/>
      <c r="AW166" s="137"/>
      <c r="AX166" s="189"/>
      <c r="AY166" s="189"/>
      <c r="BB166" s="143"/>
      <c r="BC166" s="143"/>
      <c r="BD166" s="143"/>
      <c r="BE166" s="143"/>
      <c r="BF166" s="137"/>
      <c r="BG166" s="137"/>
      <c r="BH166" s="137"/>
      <c r="BI166" s="137"/>
      <c r="BJ166" s="137"/>
      <c r="BK166" s="137"/>
      <c r="BL166" s="137"/>
      <c r="BM166" s="137"/>
      <c r="BN166" s="137"/>
      <c r="BO166" s="137"/>
      <c r="BP166" s="137"/>
      <c r="BQ166" s="137"/>
      <c r="BR166" s="137"/>
      <c r="BS166" s="137"/>
      <c r="BT166" s="189"/>
      <c r="BU166" s="189"/>
      <c r="BX166" s="143"/>
      <c r="BY166" s="143"/>
      <c r="BZ166" s="143"/>
      <c r="CA166" s="143"/>
    </row>
    <row r="167" spans="1:79" x14ac:dyDescent="0.25">
      <c r="A167" s="143"/>
      <c r="B167" s="143"/>
      <c r="C167" s="143"/>
      <c r="D167" s="143"/>
      <c r="E167" s="354"/>
      <c r="F167" s="354"/>
      <c r="G167" s="354"/>
      <c r="J167" s="143"/>
      <c r="K167" s="143"/>
      <c r="L167" s="143"/>
      <c r="M167" s="143"/>
      <c r="N167" s="137"/>
      <c r="O167" s="137"/>
      <c r="P167" s="265"/>
      <c r="Q167" s="137"/>
      <c r="R167" s="137"/>
      <c r="S167" s="137"/>
      <c r="T167" s="137"/>
      <c r="V167" s="143"/>
      <c r="W167" s="143"/>
      <c r="X167" s="143"/>
      <c r="Y167" s="143"/>
      <c r="Z167" s="137"/>
      <c r="AA167" s="137"/>
      <c r="AB167" s="137"/>
      <c r="AC167" s="137"/>
      <c r="AD167" s="137"/>
      <c r="AE167" s="137"/>
      <c r="AF167" s="137"/>
      <c r="AG167" s="137"/>
      <c r="AH167" s="137"/>
      <c r="AI167" s="137"/>
      <c r="AJ167" s="137"/>
      <c r="AK167" s="137"/>
      <c r="AM167" s="143"/>
      <c r="AN167" s="143"/>
      <c r="AO167" s="143"/>
      <c r="AP167" s="143"/>
      <c r="AQ167" s="137"/>
      <c r="AR167" s="137"/>
      <c r="AS167" s="137"/>
      <c r="AT167" s="137"/>
      <c r="AU167" s="137"/>
      <c r="AV167" s="137"/>
      <c r="AW167" s="137"/>
      <c r="AX167" s="189"/>
      <c r="AY167" s="189"/>
      <c r="BB167" s="143"/>
      <c r="BC167" s="143"/>
      <c r="BD167" s="143"/>
      <c r="BE167" s="143"/>
      <c r="BF167" s="137"/>
      <c r="BG167" s="137"/>
      <c r="BH167" s="137"/>
      <c r="BI167" s="137"/>
      <c r="BJ167" s="137"/>
      <c r="BK167" s="137"/>
      <c r="BL167" s="137"/>
      <c r="BM167" s="137"/>
      <c r="BN167" s="137"/>
      <c r="BO167" s="137"/>
      <c r="BP167" s="137"/>
      <c r="BQ167" s="137"/>
      <c r="BR167" s="137"/>
      <c r="BS167" s="137"/>
      <c r="BT167" s="189"/>
      <c r="BU167" s="189"/>
      <c r="BX167" s="143"/>
      <c r="BY167" s="143"/>
      <c r="BZ167" s="143"/>
      <c r="CA167" s="143"/>
    </row>
    <row r="168" spans="1:79" x14ac:dyDescent="0.25">
      <c r="A168" s="143"/>
      <c r="B168" s="143"/>
      <c r="C168" s="143"/>
      <c r="D168" s="143"/>
      <c r="E168" s="354"/>
      <c r="F168" s="354"/>
      <c r="G168" s="354"/>
      <c r="J168" s="143"/>
      <c r="K168" s="143"/>
      <c r="L168" s="143"/>
      <c r="M168" s="143"/>
      <c r="N168" s="137"/>
      <c r="O168" s="137"/>
      <c r="P168" s="265"/>
      <c r="Q168" s="137"/>
      <c r="R168" s="137"/>
      <c r="S168" s="137"/>
      <c r="T168" s="137"/>
      <c r="V168" s="143"/>
      <c r="W168" s="143"/>
      <c r="X168" s="143"/>
      <c r="Y168" s="143"/>
      <c r="Z168" s="137"/>
      <c r="AA168" s="137"/>
      <c r="AB168" s="137"/>
      <c r="AC168" s="137"/>
      <c r="AD168" s="137"/>
      <c r="AE168" s="137"/>
      <c r="AF168" s="137"/>
      <c r="AG168" s="137"/>
      <c r="AH168" s="137"/>
      <c r="AI168" s="137"/>
      <c r="AJ168" s="137"/>
      <c r="AK168" s="137"/>
      <c r="AM168" s="143"/>
      <c r="AN168" s="143"/>
      <c r="AO168" s="143"/>
      <c r="AP168" s="143"/>
      <c r="AQ168" s="137"/>
      <c r="AR168" s="137"/>
      <c r="AS168" s="137"/>
      <c r="AT168" s="137"/>
      <c r="AU168" s="137"/>
      <c r="AV168" s="137"/>
      <c r="AW168" s="137"/>
      <c r="AX168" s="189"/>
      <c r="AY168" s="189"/>
      <c r="BB168" s="143"/>
      <c r="BC168" s="143"/>
      <c r="BD168" s="143"/>
      <c r="BE168" s="143"/>
      <c r="BF168" s="137"/>
      <c r="BG168" s="137"/>
      <c r="BH168" s="137"/>
      <c r="BI168" s="137"/>
      <c r="BJ168" s="137"/>
      <c r="BK168" s="137"/>
      <c r="BL168" s="137"/>
      <c r="BM168" s="137"/>
      <c r="BN168" s="137"/>
      <c r="BO168" s="137"/>
      <c r="BP168" s="137"/>
      <c r="BQ168" s="137"/>
      <c r="BR168" s="137"/>
      <c r="BS168" s="137"/>
      <c r="BT168" s="189"/>
      <c r="BU168" s="189"/>
      <c r="BX168" s="143"/>
      <c r="BY168" s="143"/>
      <c r="BZ168" s="143"/>
      <c r="CA168" s="143"/>
    </row>
    <row r="169" spans="1:79" x14ac:dyDescent="0.25">
      <c r="A169" s="143"/>
      <c r="B169" s="143"/>
      <c r="C169" s="143"/>
      <c r="D169" s="143"/>
      <c r="E169" s="354"/>
      <c r="F169" s="354"/>
      <c r="G169" s="354"/>
      <c r="J169" s="143"/>
      <c r="K169" s="143"/>
      <c r="L169" s="143"/>
      <c r="M169" s="143"/>
      <c r="N169" s="137"/>
      <c r="O169" s="137"/>
      <c r="P169" s="265"/>
      <c r="Q169" s="137"/>
      <c r="R169" s="137"/>
      <c r="S169" s="137"/>
      <c r="T169" s="137"/>
      <c r="V169" s="143"/>
      <c r="W169" s="143"/>
      <c r="X169" s="143"/>
      <c r="Y169" s="143"/>
      <c r="Z169" s="137"/>
      <c r="AA169" s="137"/>
      <c r="AB169" s="137"/>
      <c r="AC169" s="137"/>
      <c r="AD169" s="137"/>
      <c r="AE169" s="137"/>
      <c r="AF169" s="137"/>
      <c r="AG169" s="137"/>
      <c r="AH169" s="137"/>
      <c r="AI169" s="137"/>
      <c r="AJ169" s="137"/>
      <c r="AK169" s="137"/>
      <c r="AM169" s="143"/>
      <c r="AN169" s="143"/>
      <c r="AO169" s="143"/>
      <c r="AP169" s="143"/>
      <c r="AQ169" s="137"/>
      <c r="AR169" s="137"/>
      <c r="AS169" s="137"/>
      <c r="AT169" s="137"/>
      <c r="AU169" s="137"/>
      <c r="AV169" s="137"/>
      <c r="AW169" s="137"/>
      <c r="AX169" s="189"/>
      <c r="AY169" s="189"/>
      <c r="BB169" s="143"/>
      <c r="BC169" s="143"/>
      <c r="BD169" s="143"/>
      <c r="BE169" s="143"/>
      <c r="BF169" s="137"/>
      <c r="BG169" s="137"/>
      <c r="BH169" s="137"/>
      <c r="BI169" s="137"/>
      <c r="BJ169" s="137"/>
      <c r="BK169" s="137"/>
      <c r="BL169" s="137"/>
      <c r="BM169" s="137"/>
      <c r="BN169" s="137"/>
      <c r="BO169" s="137"/>
      <c r="BP169" s="137"/>
      <c r="BQ169" s="137"/>
      <c r="BR169" s="137"/>
      <c r="BS169" s="137"/>
      <c r="BT169" s="189"/>
      <c r="BU169" s="189"/>
      <c r="BX169" s="143"/>
      <c r="BY169" s="143"/>
      <c r="BZ169" s="143"/>
      <c r="CA169" s="143"/>
    </row>
    <row r="170" spans="1:79" x14ac:dyDescent="0.25">
      <c r="A170" s="143"/>
      <c r="B170" s="143"/>
      <c r="C170" s="143"/>
      <c r="D170" s="143"/>
      <c r="E170" s="354"/>
      <c r="F170" s="354"/>
      <c r="G170" s="354"/>
      <c r="J170" s="143"/>
      <c r="K170" s="143"/>
      <c r="L170" s="143"/>
      <c r="M170" s="143"/>
      <c r="N170" s="137"/>
      <c r="O170" s="137"/>
      <c r="P170" s="265"/>
      <c r="Q170" s="137"/>
      <c r="R170" s="137"/>
      <c r="S170" s="137"/>
      <c r="T170" s="137"/>
      <c r="V170" s="143"/>
      <c r="W170" s="143"/>
      <c r="X170" s="143"/>
      <c r="Y170" s="143"/>
      <c r="Z170" s="137"/>
      <c r="AA170" s="137"/>
      <c r="AB170" s="137"/>
      <c r="AC170" s="137"/>
      <c r="AD170" s="137"/>
      <c r="AE170" s="137"/>
      <c r="AF170" s="137"/>
      <c r="AG170" s="137"/>
      <c r="AH170" s="137"/>
      <c r="AI170" s="137"/>
      <c r="AJ170" s="137"/>
      <c r="AK170" s="137"/>
      <c r="AM170" s="143"/>
      <c r="AN170" s="143"/>
      <c r="AO170" s="143"/>
      <c r="AP170" s="143"/>
      <c r="AQ170" s="137"/>
      <c r="AR170" s="137"/>
      <c r="AS170" s="137"/>
      <c r="AT170" s="137"/>
      <c r="AU170" s="137"/>
      <c r="AV170" s="137"/>
      <c r="AW170" s="137"/>
      <c r="AX170" s="189"/>
      <c r="AY170" s="189"/>
      <c r="BB170" s="143"/>
      <c r="BC170" s="143"/>
      <c r="BD170" s="143"/>
      <c r="BE170" s="143"/>
      <c r="BF170" s="137"/>
      <c r="BG170" s="137"/>
      <c r="BH170" s="137"/>
      <c r="BI170" s="137"/>
      <c r="BJ170" s="137"/>
      <c r="BK170" s="137"/>
      <c r="BL170" s="137"/>
      <c r="BM170" s="137"/>
      <c r="BN170" s="137"/>
      <c r="BO170" s="137"/>
      <c r="BP170" s="137"/>
      <c r="BQ170" s="137"/>
      <c r="BR170" s="137"/>
      <c r="BS170" s="137"/>
      <c r="BT170" s="189"/>
      <c r="BU170" s="189"/>
      <c r="BX170" s="143"/>
      <c r="BY170" s="143"/>
      <c r="BZ170" s="143"/>
      <c r="CA170" s="143"/>
    </row>
    <row r="171" spans="1:79" x14ac:dyDescent="0.25">
      <c r="A171" s="143"/>
      <c r="B171" s="143"/>
      <c r="C171" s="143"/>
      <c r="D171" s="143"/>
      <c r="E171" s="354"/>
      <c r="F171" s="354"/>
      <c r="G171" s="354"/>
      <c r="J171" s="143"/>
      <c r="K171" s="143"/>
      <c r="L171" s="143"/>
      <c r="M171" s="143"/>
      <c r="N171" s="137"/>
      <c r="O171" s="137"/>
      <c r="P171" s="265"/>
      <c r="Q171" s="137"/>
      <c r="R171" s="137"/>
      <c r="S171" s="137"/>
      <c r="T171" s="137"/>
      <c r="V171" s="143"/>
      <c r="W171" s="143"/>
      <c r="X171" s="143"/>
      <c r="Y171" s="143"/>
      <c r="Z171" s="137"/>
      <c r="AA171" s="137"/>
      <c r="AB171" s="137"/>
      <c r="AC171" s="137"/>
      <c r="AD171" s="137"/>
      <c r="AE171" s="137"/>
      <c r="AF171" s="137"/>
      <c r="AG171" s="137"/>
      <c r="AH171" s="137"/>
      <c r="AI171" s="137"/>
      <c r="AJ171" s="137"/>
      <c r="AK171" s="137"/>
      <c r="AM171" s="143"/>
      <c r="AN171" s="143"/>
      <c r="AO171" s="143"/>
      <c r="AP171" s="143"/>
      <c r="AQ171" s="137"/>
      <c r="AR171" s="137"/>
      <c r="AS171" s="137"/>
      <c r="AT171" s="137"/>
      <c r="AU171" s="137"/>
      <c r="AV171" s="137"/>
      <c r="AW171" s="137"/>
      <c r="AX171" s="189"/>
      <c r="AY171" s="189"/>
      <c r="BB171" s="143"/>
      <c r="BC171" s="143"/>
      <c r="BD171" s="143"/>
      <c r="BE171" s="143"/>
      <c r="BF171" s="137"/>
      <c r="BG171" s="137"/>
      <c r="BH171" s="137"/>
      <c r="BI171" s="137"/>
      <c r="BJ171" s="137"/>
      <c r="BK171" s="137"/>
      <c r="BL171" s="137"/>
      <c r="BM171" s="137"/>
      <c r="BN171" s="137"/>
      <c r="BO171" s="137"/>
      <c r="BP171" s="137"/>
      <c r="BQ171" s="137"/>
      <c r="BR171" s="137"/>
      <c r="BS171" s="137"/>
      <c r="BT171" s="189"/>
      <c r="BU171" s="189"/>
      <c r="BX171" s="143"/>
      <c r="BY171" s="143"/>
      <c r="BZ171" s="143"/>
      <c r="CA171" s="143"/>
    </row>
    <row r="172" spans="1:79" x14ac:dyDescent="0.25">
      <c r="A172" s="143"/>
      <c r="B172" s="143"/>
      <c r="C172" s="143"/>
      <c r="D172" s="143"/>
      <c r="E172" s="354"/>
      <c r="F172" s="354"/>
      <c r="G172" s="354"/>
      <c r="J172" s="143"/>
      <c r="K172" s="143"/>
      <c r="L172" s="143"/>
      <c r="M172" s="143"/>
      <c r="N172" s="137"/>
      <c r="O172" s="137"/>
      <c r="P172" s="265"/>
      <c r="Q172" s="137"/>
      <c r="R172" s="137"/>
      <c r="S172" s="137"/>
      <c r="T172" s="137"/>
      <c r="V172" s="143"/>
      <c r="W172" s="143"/>
      <c r="X172" s="143"/>
      <c r="Y172" s="143"/>
      <c r="Z172" s="137"/>
      <c r="AA172" s="137"/>
      <c r="AB172" s="137"/>
      <c r="AC172" s="137"/>
      <c r="AD172" s="137"/>
      <c r="AE172" s="137"/>
      <c r="AF172" s="137"/>
      <c r="AG172" s="137"/>
      <c r="AH172" s="137"/>
      <c r="AI172" s="137"/>
      <c r="AJ172" s="137"/>
      <c r="AK172" s="137"/>
      <c r="AM172" s="143"/>
      <c r="AN172" s="143"/>
      <c r="AO172" s="143"/>
      <c r="AP172" s="143"/>
      <c r="AQ172" s="137"/>
      <c r="AR172" s="137"/>
      <c r="AS172" s="137"/>
      <c r="AT172" s="137"/>
      <c r="AU172" s="137"/>
      <c r="AV172" s="137"/>
      <c r="AW172" s="137"/>
      <c r="AX172" s="189"/>
      <c r="AY172" s="189"/>
      <c r="BB172" s="143"/>
      <c r="BC172" s="143"/>
      <c r="BD172" s="143"/>
      <c r="BE172" s="143"/>
      <c r="BF172" s="137"/>
      <c r="BG172" s="137"/>
      <c r="BH172" s="137"/>
      <c r="BI172" s="137"/>
      <c r="BJ172" s="137"/>
      <c r="BK172" s="137"/>
      <c r="BL172" s="137"/>
      <c r="BM172" s="137"/>
      <c r="BN172" s="137"/>
      <c r="BO172" s="137"/>
      <c r="BP172" s="137"/>
      <c r="BQ172" s="137"/>
      <c r="BR172" s="137"/>
      <c r="BS172" s="137"/>
      <c r="BT172" s="189"/>
      <c r="BU172" s="189"/>
      <c r="BX172" s="143"/>
      <c r="BY172" s="143"/>
      <c r="BZ172" s="143"/>
      <c r="CA172" s="143"/>
    </row>
    <row r="173" spans="1:79" x14ac:dyDescent="0.25">
      <c r="A173" s="143"/>
      <c r="B173" s="143"/>
      <c r="C173" s="143"/>
      <c r="D173" s="143"/>
      <c r="E173" s="354"/>
      <c r="F173" s="354"/>
      <c r="G173" s="354"/>
      <c r="J173" s="143"/>
      <c r="K173" s="143"/>
      <c r="L173" s="143"/>
      <c r="M173" s="143"/>
      <c r="N173" s="137"/>
      <c r="O173" s="137"/>
      <c r="P173" s="265"/>
      <c r="Q173" s="137"/>
      <c r="R173" s="137"/>
      <c r="S173" s="137"/>
      <c r="T173" s="137"/>
      <c r="V173" s="143"/>
      <c r="W173" s="143"/>
      <c r="X173" s="143"/>
      <c r="Y173" s="143"/>
      <c r="Z173" s="137"/>
      <c r="AA173" s="137"/>
      <c r="AB173" s="137"/>
      <c r="AC173" s="137"/>
      <c r="AD173" s="137"/>
      <c r="AE173" s="137"/>
      <c r="AF173" s="137"/>
      <c r="AG173" s="137"/>
      <c r="AH173" s="137"/>
      <c r="AI173" s="137"/>
      <c r="AJ173" s="137"/>
      <c r="AK173" s="137"/>
      <c r="AM173" s="143"/>
      <c r="AN173" s="143"/>
      <c r="AO173" s="143"/>
      <c r="AP173" s="143"/>
      <c r="AQ173" s="137"/>
      <c r="AR173" s="137"/>
      <c r="AS173" s="137"/>
      <c r="AT173" s="137"/>
      <c r="AU173" s="137"/>
      <c r="AV173" s="137"/>
      <c r="AW173" s="137"/>
      <c r="AX173" s="189"/>
      <c r="AY173" s="189"/>
      <c r="BB173" s="143"/>
      <c r="BC173" s="143"/>
      <c r="BD173" s="143"/>
      <c r="BE173" s="143"/>
      <c r="BF173" s="137"/>
      <c r="BG173" s="137"/>
      <c r="BH173" s="137"/>
      <c r="BI173" s="137"/>
      <c r="BJ173" s="137"/>
      <c r="BK173" s="137"/>
      <c r="BL173" s="137"/>
      <c r="BM173" s="137"/>
      <c r="BN173" s="137"/>
      <c r="BO173" s="137"/>
      <c r="BP173" s="137"/>
      <c r="BQ173" s="137"/>
      <c r="BR173" s="137"/>
      <c r="BS173" s="137"/>
      <c r="BT173" s="189"/>
      <c r="BU173" s="189"/>
      <c r="BX173" s="143"/>
      <c r="BY173" s="143"/>
      <c r="BZ173" s="143"/>
      <c r="CA173" s="143"/>
    </row>
    <row r="174" spans="1:79" x14ac:dyDescent="0.25">
      <c r="A174" s="143"/>
      <c r="B174" s="143"/>
      <c r="C174" s="143"/>
      <c r="D174" s="143"/>
      <c r="E174" s="354"/>
      <c r="F174" s="354"/>
      <c r="G174" s="354"/>
      <c r="J174" s="143"/>
      <c r="K174" s="143"/>
      <c r="L174" s="143"/>
      <c r="M174" s="143"/>
      <c r="N174" s="137"/>
      <c r="O174" s="137"/>
      <c r="P174" s="265"/>
      <c r="Q174" s="137"/>
      <c r="R174" s="137"/>
      <c r="S174" s="137"/>
      <c r="T174" s="137"/>
      <c r="V174" s="143"/>
      <c r="W174" s="143"/>
      <c r="X174" s="143"/>
      <c r="Y174" s="143"/>
      <c r="Z174" s="137"/>
      <c r="AA174" s="137"/>
      <c r="AB174" s="137"/>
      <c r="AC174" s="137"/>
      <c r="AD174" s="137"/>
      <c r="AE174" s="137"/>
      <c r="AF174" s="137"/>
      <c r="AG174" s="137"/>
      <c r="AH174" s="137"/>
      <c r="AI174" s="137"/>
      <c r="AJ174" s="137"/>
      <c r="AK174" s="137"/>
      <c r="AM174" s="143"/>
      <c r="AN174" s="143"/>
      <c r="AO174" s="143"/>
      <c r="AP174" s="143"/>
      <c r="AQ174" s="137"/>
      <c r="AR174" s="137"/>
      <c r="AS174" s="137"/>
      <c r="AT174" s="137"/>
      <c r="AU174" s="137"/>
      <c r="AV174" s="137"/>
      <c r="AW174" s="137"/>
      <c r="AX174" s="189"/>
      <c r="AY174" s="189"/>
      <c r="BB174" s="143"/>
      <c r="BC174" s="143"/>
      <c r="BD174" s="143"/>
      <c r="BE174" s="143"/>
      <c r="BF174" s="137"/>
      <c r="BG174" s="137"/>
      <c r="BH174" s="137"/>
      <c r="BI174" s="137"/>
      <c r="BJ174" s="137"/>
      <c r="BK174" s="137"/>
      <c r="BL174" s="137"/>
      <c r="BM174" s="137"/>
      <c r="BN174" s="137"/>
      <c r="BO174" s="137"/>
      <c r="BP174" s="137"/>
      <c r="BQ174" s="137"/>
      <c r="BR174" s="137"/>
      <c r="BS174" s="137"/>
      <c r="BT174" s="189"/>
      <c r="BU174" s="189"/>
      <c r="BX174" s="143"/>
      <c r="BY174" s="143"/>
      <c r="BZ174" s="143"/>
      <c r="CA174" s="143"/>
    </row>
    <row r="175" spans="1:79" x14ac:dyDescent="0.25">
      <c r="A175" s="143"/>
      <c r="B175" s="143"/>
      <c r="C175" s="143"/>
      <c r="D175" s="143"/>
      <c r="E175" s="354"/>
      <c r="F175" s="354"/>
      <c r="G175" s="354"/>
      <c r="J175" s="143"/>
      <c r="K175" s="143"/>
      <c r="L175" s="143"/>
      <c r="M175" s="143"/>
      <c r="N175" s="137"/>
      <c r="O175" s="137"/>
      <c r="P175" s="265"/>
      <c r="Q175" s="137"/>
      <c r="R175" s="137"/>
      <c r="S175" s="137"/>
      <c r="T175" s="137"/>
      <c r="V175" s="143"/>
      <c r="W175" s="143"/>
      <c r="X175" s="143"/>
      <c r="Y175" s="143"/>
      <c r="Z175" s="137"/>
      <c r="AA175" s="137"/>
      <c r="AB175" s="137"/>
      <c r="AC175" s="137"/>
      <c r="AD175" s="137"/>
      <c r="AE175" s="137"/>
      <c r="AF175" s="137"/>
      <c r="AG175" s="137"/>
      <c r="AH175" s="137"/>
      <c r="AI175" s="137"/>
      <c r="AJ175" s="137"/>
      <c r="AK175" s="137"/>
      <c r="AM175" s="143"/>
      <c r="AN175" s="143"/>
      <c r="AO175" s="143"/>
      <c r="AP175" s="143"/>
      <c r="AQ175" s="137"/>
      <c r="AR175" s="137"/>
      <c r="AS175" s="137"/>
      <c r="AT175" s="137"/>
      <c r="AU175" s="137"/>
      <c r="AV175" s="137"/>
      <c r="AW175" s="137"/>
      <c r="AX175" s="189"/>
      <c r="AY175" s="189"/>
      <c r="BB175" s="143"/>
      <c r="BC175" s="143"/>
      <c r="BD175" s="143"/>
      <c r="BE175" s="143"/>
      <c r="BF175" s="137"/>
      <c r="BG175" s="137"/>
      <c r="BH175" s="137"/>
      <c r="BI175" s="137"/>
      <c r="BJ175" s="137"/>
      <c r="BK175" s="137"/>
      <c r="BL175" s="137"/>
      <c r="BM175" s="137"/>
      <c r="BN175" s="137"/>
      <c r="BO175" s="137"/>
      <c r="BP175" s="137"/>
      <c r="BQ175" s="137"/>
      <c r="BR175" s="137"/>
      <c r="BS175" s="137"/>
      <c r="BT175" s="189"/>
      <c r="BU175" s="189"/>
      <c r="BX175" s="143"/>
      <c r="BY175" s="143"/>
      <c r="BZ175" s="143"/>
      <c r="CA175" s="143"/>
    </row>
    <row r="176" spans="1:79" x14ac:dyDescent="0.25">
      <c r="A176" s="143"/>
      <c r="B176" s="143"/>
      <c r="C176" s="143"/>
      <c r="D176" s="143"/>
      <c r="E176" s="354"/>
      <c r="F176" s="354"/>
      <c r="G176" s="354"/>
      <c r="J176" s="143"/>
      <c r="K176" s="143"/>
      <c r="L176" s="143"/>
      <c r="M176" s="143"/>
      <c r="N176" s="137"/>
      <c r="O176" s="137"/>
      <c r="P176" s="265"/>
      <c r="Q176" s="137"/>
      <c r="R176" s="137"/>
      <c r="S176" s="137"/>
      <c r="T176" s="137"/>
      <c r="V176" s="143"/>
      <c r="W176" s="143"/>
      <c r="X176" s="143"/>
      <c r="Y176" s="143"/>
      <c r="Z176" s="137"/>
      <c r="AA176" s="137"/>
      <c r="AB176" s="137"/>
      <c r="AC176" s="137"/>
      <c r="AD176" s="137"/>
      <c r="AE176" s="137"/>
      <c r="AF176" s="137"/>
      <c r="AG176" s="137"/>
      <c r="AH176" s="137"/>
      <c r="AI176" s="137"/>
      <c r="AJ176" s="137"/>
      <c r="AK176" s="137"/>
      <c r="AM176" s="143"/>
      <c r="AN176" s="143"/>
      <c r="AO176" s="143"/>
      <c r="AP176" s="143"/>
      <c r="AQ176" s="137"/>
      <c r="AR176" s="137"/>
      <c r="AS176" s="137"/>
      <c r="AT176" s="137"/>
      <c r="AU176" s="137"/>
      <c r="AV176" s="137"/>
      <c r="AW176" s="137"/>
      <c r="AX176" s="189"/>
      <c r="AY176" s="189"/>
      <c r="BB176" s="143"/>
      <c r="BC176" s="143"/>
      <c r="BD176" s="143"/>
      <c r="BE176" s="143"/>
      <c r="BF176" s="137"/>
      <c r="BG176" s="137"/>
      <c r="BH176" s="137"/>
      <c r="BI176" s="137"/>
      <c r="BJ176" s="137"/>
      <c r="BK176" s="137"/>
      <c r="BL176" s="137"/>
      <c r="BM176" s="137"/>
      <c r="BN176" s="137"/>
      <c r="BO176" s="137"/>
      <c r="BP176" s="137"/>
      <c r="BQ176" s="137"/>
      <c r="BR176" s="137"/>
      <c r="BS176" s="137"/>
      <c r="BT176" s="189"/>
      <c r="BU176" s="189"/>
      <c r="BX176" s="143"/>
      <c r="BY176" s="143"/>
      <c r="BZ176" s="143"/>
      <c r="CA176" s="143"/>
    </row>
    <row r="177" spans="1:79" x14ac:dyDescent="0.25">
      <c r="A177" s="143"/>
      <c r="B177" s="143"/>
      <c r="C177" s="143"/>
      <c r="D177" s="143"/>
      <c r="E177" s="354"/>
      <c r="F177" s="354"/>
      <c r="G177" s="354"/>
      <c r="J177" s="143"/>
      <c r="K177" s="143"/>
      <c r="L177" s="143"/>
      <c r="M177" s="143"/>
      <c r="N177" s="137"/>
      <c r="O177" s="137"/>
      <c r="P177" s="265"/>
      <c r="Q177" s="137"/>
      <c r="R177" s="137"/>
      <c r="S177" s="137"/>
      <c r="T177" s="137"/>
      <c r="V177" s="143"/>
      <c r="W177" s="143"/>
      <c r="X177" s="143"/>
      <c r="Y177" s="143"/>
      <c r="Z177" s="137"/>
      <c r="AA177" s="137"/>
      <c r="AB177" s="137"/>
      <c r="AC177" s="137"/>
      <c r="AD177" s="137"/>
      <c r="AE177" s="137"/>
      <c r="AF177" s="137"/>
      <c r="AG177" s="137"/>
      <c r="AH177" s="137"/>
      <c r="AI177" s="137"/>
      <c r="AJ177" s="137"/>
      <c r="AK177" s="137"/>
      <c r="AM177" s="143"/>
      <c r="AN177" s="143"/>
      <c r="AO177" s="143"/>
      <c r="AP177" s="143"/>
      <c r="AQ177" s="137"/>
      <c r="AR177" s="137"/>
      <c r="AS177" s="137"/>
      <c r="AT177" s="137"/>
      <c r="AU177" s="137"/>
      <c r="AV177" s="137"/>
      <c r="AW177" s="137"/>
      <c r="AX177" s="189"/>
      <c r="AY177" s="189"/>
      <c r="BB177" s="143"/>
      <c r="BC177" s="143"/>
      <c r="BD177" s="143"/>
      <c r="BE177" s="143"/>
      <c r="BF177" s="137"/>
      <c r="BG177" s="137"/>
      <c r="BH177" s="137"/>
      <c r="BI177" s="137"/>
      <c r="BJ177" s="137"/>
      <c r="BK177" s="137"/>
      <c r="BL177" s="137"/>
      <c r="BM177" s="137"/>
      <c r="BN177" s="137"/>
      <c r="BO177" s="137"/>
      <c r="BP177" s="137"/>
      <c r="BQ177" s="137"/>
      <c r="BR177" s="137"/>
      <c r="BS177" s="137"/>
      <c r="BT177" s="189"/>
      <c r="BU177" s="189"/>
      <c r="BX177" s="143"/>
      <c r="BY177" s="143"/>
      <c r="BZ177" s="143"/>
      <c r="CA177" s="143"/>
    </row>
    <row r="178" spans="1:79" x14ac:dyDescent="0.25">
      <c r="A178" s="143"/>
      <c r="B178" s="143"/>
      <c r="C178" s="143"/>
      <c r="D178" s="143"/>
      <c r="E178" s="354"/>
      <c r="F178" s="354"/>
      <c r="G178" s="354"/>
      <c r="J178" s="143"/>
      <c r="K178" s="143"/>
      <c r="L178" s="143"/>
      <c r="M178" s="143"/>
      <c r="N178" s="137"/>
      <c r="O178" s="137"/>
      <c r="P178" s="265"/>
      <c r="Q178" s="137"/>
      <c r="R178" s="137"/>
      <c r="S178" s="137"/>
      <c r="T178" s="137"/>
      <c r="V178" s="143"/>
      <c r="W178" s="143"/>
      <c r="X178" s="143"/>
      <c r="Y178" s="143"/>
      <c r="Z178" s="137"/>
      <c r="AA178" s="137"/>
      <c r="AB178" s="137"/>
      <c r="AC178" s="137"/>
      <c r="AD178" s="137"/>
      <c r="AE178" s="137"/>
      <c r="AF178" s="137"/>
      <c r="AG178" s="137"/>
      <c r="AH178" s="137"/>
      <c r="AI178" s="137"/>
      <c r="AJ178" s="137"/>
      <c r="AK178" s="137"/>
      <c r="AM178" s="143"/>
      <c r="AN178" s="143"/>
      <c r="AO178" s="143"/>
      <c r="AP178" s="143"/>
      <c r="AQ178" s="137"/>
      <c r="AR178" s="137"/>
      <c r="AS178" s="137"/>
      <c r="AT178" s="137"/>
      <c r="AU178" s="137"/>
      <c r="AV178" s="137"/>
      <c r="AW178" s="137"/>
      <c r="AX178" s="189"/>
      <c r="AY178" s="189"/>
      <c r="BB178" s="143"/>
      <c r="BC178" s="143"/>
      <c r="BD178" s="143"/>
      <c r="BE178" s="143"/>
      <c r="BF178" s="137"/>
      <c r="BG178" s="137"/>
      <c r="BH178" s="137"/>
      <c r="BI178" s="137"/>
      <c r="BJ178" s="137"/>
      <c r="BK178" s="137"/>
      <c r="BL178" s="137"/>
      <c r="BM178" s="137"/>
      <c r="BN178" s="137"/>
      <c r="BO178" s="137"/>
      <c r="BP178" s="137"/>
      <c r="BQ178" s="137"/>
      <c r="BR178" s="137"/>
      <c r="BS178" s="137"/>
      <c r="BT178" s="189"/>
      <c r="BU178" s="189"/>
      <c r="BX178" s="143"/>
      <c r="BY178" s="143"/>
      <c r="BZ178" s="143"/>
      <c r="CA178" s="143"/>
    </row>
    <row r="179" spans="1:79" x14ac:dyDescent="0.25">
      <c r="A179" s="143"/>
      <c r="B179" s="143"/>
      <c r="C179" s="143"/>
      <c r="D179" s="143"/>
      <c r="E179" s="354"/>
      <c r="F179" s="354"/>
      <c r="G179" s="354"/>
      <c r="J179" s="143"/>
      <c r="K179" s="143"/>
      <c r="L179" s="143"/>
      <c r="M179" s="143"/>
      <c r="N179" s="137"/>
      <c r="O179" s="137"/>
      <c r="P179" s="265"/>
      <c r="Q179" s="137"/>
      <c r="R179" s="137"/>
      <c r="S179" s="137"/>
      <c r="T179" s="137"/>
      <c r="V179" s="143"/>
      <c r="W179" s="143"/>
      <c r="X179" s="143"/>
      <c r="Y179" s="143"/>
      <c r="Z179" s="137"/>
      <c r="AA179" s="137"/>
      <c r="AB179" s="137"/>
      <c r="AC179" s="137"/>
      <c r="AD179" s="137"/>
      <c r="AE179" s="137"/>
      <c r="AF179" s="137"/>
      <c r="AG179" s="137"/>
      <c r="AH179" s="137"/>
      <c r="AI179" s="137"/>
      <c r="AJ179" s="137"/>
      <c r="AK179" s="137"/>
      <c r="AM179" s="143"/>
      <c r="AN179" s="143"/>
      <c r="AO179" s="143"/>
      <c r="AP179" s="143"/>
      <c r="AQ179" s="137"/>
      <c r="AR179" s="137"/>
      <c r="AS179" s="137"/>
      <c r="AT179" s="137"/>
      <c r="AU179" s="137"/>
      <c r="AV179" s="137"/>
      <c r="AW179" s="137"/>
      <c r="AX179" s="189"/>
      <c r="AY179" s="189"/>
      <c r="BB179" s="143"/>
      <c r="BC179" s="143"/>
      <c r="BD179" s="143"/>
      <c r="BE179" s="143"/>
      <c r="BF179" s="137"/>
      <c r="BG179" s="137"/>
      <c r="BH179" s="137"/>
      <c r="BI179" s="137"/>
      <c r="BJ179" s="137"/>
      <c r="BK179" s="137"/>
      <c r="BL179" s="137"/>
      <c r="BM179" s="137"/>
      <c r="BN179" s="137"/>
      <c r="BO179" s="137"/>
      <c r="BP179" s="137"/>
      <c r="BQ179" s="137"/>
      <c r="BR179" s="137"/>
      <c r="BS179" s="137"/>
      <c r="BT179" s="189"/>
      <c r="BU179" s="189"/>
      <c r="BX179" s="143"/>
      <c r="BY179" s="143"/>
      <c r="BZ179" s="143"/>
      <c r="CA179" s="143"/>
    </row>
    <row r="180" spans="1:79" x14ac:dyDescent="0.25">
      <c r="A180" s="143"/>
      <c r="B180" s="143"/>
      <c r="C180" s="143"/>
      <c r="D180" s="143"/>
      <c r="E180" s="354"/>
      <c r="F180" s="354"/>
      <c r="G180" s="354"/>
      <c r="J180" s="143"/>
      <c r="K180" s="143"/>
      <c r="L180" s="143"/>
      <c r="M180" s="143"/>
      <c r="N180" s="137"/>
      <c r="O180" s="137"/>
      <c r="P180" s="265"/>
      <c r="Q180" s="137"/>
      <c r="R180" s="137"/>
      <c r="S180" s="137"/>
      <c r="T180" s="137"/>
      <c r="V180" s="143"/>
      <c r="W180" s="143"/>
      <c r="X180" s="143"/>
      <c r="Y180" s="143"/>
      <c r="Z180" s="137"/>
      <c r="AA180" s="137"/>
      <c r="AB180" s="137"/>
      <c r="AC180" s="137"/>
      <c r="AD180" s="137"/>
      <c r="AE180" s="137"/>
      <c r="AF180" s="137"/>
      <c r="AG180" s="137"/>
      <c r="AH180" s="137"/>
      <c r="AI180" s="137"/>
      <c r="AJ180" s="137"/>
      <c r="AK180" s="137"/>
      <c r="AM180" s="143"/>
      <c r="AN180" s="143"/>
      <c r="AO180" s="143"/>
      <c r="AP180" s="143"/>
      <c r="AQ180" s="137"/>
      <c r="AR180" s="137"/>
      <c r="AS180" s="137"/>
      <c r="AT180" s="137"/>
      <c r="AU180" s="137"/>
      <c r="AV180" s="137"/>
      <c r="AW180" s="137"/>
      <c r="AX180" s="189"/>
      <c r="AY180" s="189"/>
      <c r="BB180" s="143"/>
      <c r="BC180" s="143"/>
      <c r="BD180" s="143"/>
      <c r="BE180" s="143"/>
      <c r="BF180" s="137"/>
      <c r="BG180" s="137"/>
      <c r="BH180" s="137"/>
      <c r="BI180" s="137"/>
      <c r="BJ180" s="137"/>
      <c r="BK180" s="137"/>
      <c r="BL180" s="137"/>
      <c r="BM180" s="137"/>
      <c r="BN180" s="137"/>
      <c r="BO180" s="137"/>
      <c r="BP180" s="137"/>
      <c r="BQ180" s="137"/>
      <c r="BR180" s="137"/>
      <c r="BS180" s="137"/>
      <c r="BT180" s="189"/>
      <c r="BU180" s="189"/>
      <c r="BX180" s="143"/>
      <c r="BY180" s="143"/>
      <c r="BZ180" s="143"/>
      <c r="CA180" s="143"/>
    </row>
    <row r="181" spans="1:79" x14ac:dyDescent="0.25">
      <c r="A181" s="143"/>
      <c r="B181" s="143"/>
      <c r="C181" s="143"/>
      <c r="D181" s="143"/>
      <c r="E181" s="354"/>
      <c r="F181" s="354"/>
      <c r="G181" s="354"/>
      <c r="J181" s="143"/>
      <c r="K181" s="143"/>
      <c r="L181" s="143"/>
      <c r="M181" s="143"/>
      <c r="N181" s="137"/>
      <c r="O181" s="137"/>
      <c r="P181" s="265"/>
      <c r="Q181" s="137"/>
      <c r="R181" s="137"/>
      <c r="S181" s="137"/>
      <c r="T181" s="137"/>
      <c r="V181" s="143"/>
      <c r="W181" s="143"/>
      <c r="X181" s="143"/>
      <c r="Y181" s="143"/>
      <c r="Z181" s="137"/>
      <c r="AA181" s="137"/>
      <c r="AB181" s="137"/>
      <c r="AC181" s="137"/>
      <c r="AD181" s="137"/>
      <c r="AE181" s="137"/>
      <c r="AF181" s="137"/>
      <c r="AG181" s="137"/>
      <c r="AH181" s="137"/>
      <c r="AI181" s="137"/>
      <c r="AJ181" s="137"/>
      <c r="AK181" s="137"/>
      <c r="AM181" s="143"/>
      <c r="AN181" s="143"/>
      <c r="AO181" s="143"/>
      <c r="AP181" s="143"/>
      <c r="AQ181" s="137"/>
      <c r="AR181" s="137"/>
      <c r="AS181" s="137"/>
      <c r="AT181" s="137"/>
      <c r="AU181" s="137"/>
      <c r="AV181" s="137"/>
      <c r="AW181" s="137"/>
      <c r="AX181" s="189"/>
      <c r="AY181" s="189"/>
      <c r="BB181" s="143"/>
      <c r="BC181" s="143"/>
      <c r="BD181" s="143"/>
      <c r="BE181" s="143"/>
      <c r="BF181" s="137"/>
      <c r="BG181" s="137"/>
      <c r="BH181" s="137"/>
      <c r="BI181" s="137"/>
      <c r="BJ181" s="137"/>
      <c r="BK181" s="137"/>
      <c r="BL181" s="137"/>
      <c r="BM181" s="137"/>
      <c r="BN181" s="137"/>
      <c r="BO181" s="137"/>
      <c r="BP181" s="137"/>
      <c r="BQ181" s="137"/>
      <c r="BR181" s="137"/>
      <c r="BS181" s="137"/>
      <c r="BT181" s="189"/>
      <c r="BU181" s="189"/>
      <c r="BX181" s="143"/>
      <c r="BY181" s="143"/>
      <c r="BZ181" s="143"/>
      <c r="CA181" s="143"/>
    </row>
    <row r="182" spans="1:79" x14ac:dyDescent="0.25">
      <c r="A182" s="143"/>
      <c r="B182" s="143"/>
      <c r="C182" s="143"/>
      <c r="D182" s="143"/>
      <c r="E182" s="354"/>
      <c r="F182" s="354"/>
      <c r="G182" s="354"/>
      <c r="J182" s="143"/>
      <c r="K182" s="143"/>
      <c r="L182" s="143"/>
      <c r="M182" s="143"/>
      <c r="N182" s="137"/>
      <c r="O182" s="137"/>
      <c r="P182" s="265"/>
      <c r="Q182" s="137"/>
      <c r="R182" s="137"/>
      <c r="S182" s="137"/>
      <c r="T182" s="137"/>
      <c r="V182" s="143"/>
      <c r="W182" s="143"/>
      <c r="X182" s="143"/>
      <c r="Y182" s="143"/>
      <c r="Z182" s="137"/>
      <c r="AA182" s="137"/>
      <c r="AB182" s="137"/>
      <c r="AC182" s="137"/>
      <c r="AD182" s="137"/>
      <c r="AE182" s="137"/>
      <c r="AF182" s="137"/>
      <c r="AG182" s="137"/>
      <c r="AH182" s="137"/>
      <c r="AI182" s="137"/>
      <c r="AJ182" s="137"/>
      <c r="AK182" s="137"/>
      <c r="AM182" s="143"/>
      <c r="AN182" s="143"/>
      <c r="AO182" s="143"/>
      <c r="AP182" s="143"/>
      <c r="AQ182" s="137"/>
      <c r="AR182" s="137"/>
      <c r="AS182" s="137"/>
      <c r="AT182" s="137"/>
      <c r="AU182" s="137"/>
      <c r="AV182" s="137"/>
      <c r="AW182" s="137"/>
      <c r="AX182" s="189"/>
      <c r="AY182" s="189"/>
      <c r="BB182" s="143"/>
      <c r="BC182" s="143"/>
      <c r="BD182" s="143"/>
      <c r="BE182" s="143"/>
      <c r="BF182" s="137"/>
      <c r="BG182" s="137"/>
      <c r="BH182" s="137"/>
      <c r="BI182" s="137"/>
      <c r="BJ182" s="137"/>
      <c r="BK182" s="137"/>
      <c r="BL182" s="137"/>
      <c r="BM182" s="137"/>
      <c r="BN182" s="137"/>
      <c r="BO182" s="137"/>
      <c r="BP182" s="137"/>
      <c r="BQ182" s="137"/>
      <c r="BR182" s="137"/>
      <c r="BS182" s="137"/>
      <c r="BT182" s="189"/>
      <c r="BU182" s="189"/>
      <c r="BX182" s="143"/>
      <c r="BY182" s="143"/>
      <c r="BZ182" s="143"/>
      <c r="CA182" s="143"/>
    </row>
    <row r="183" spans="1:79" x14ac:dyDescent="0.25">
      <c r="A183" s="143"/>
      <c r="B183" s="143"/>
      <c r="C183" s="143"/>
      <c r="D183" s="143"/>
      <c r="E183" s="354"/>
      <c r="F183" s="354"/>
      <c r="G183" s="354"/>
      <c r="J183" s="143"/>
      <c r="K183" s="143"/>
      <c r="L183" s="143"/>
      <c r="M183" s="143"/>
      <c r="N183" s="137"/>
      <c r="O183" s="137"/>
      <c r="P183" s="265"/>
      <c r="Q183" s="137"/>
      <c r="R183" s="137"/>
      <c r="S183" s="137"/>
      <c r="T183" s="137"/>
      <c r="V183" s="143"/>
      <c r="W183" s="143"/>
      <c r="X183" s="143"/>
      <c r="Y183" s="143"/>
      <c r="Z183" s="137"/>
      <c r="AA183" s="137"/>
      <c r="AB183" s="137"/>
      <c r="AC183" s="137"/>
      <c r="AD183" s="137"/>
      <c r="AE183" s="137"/>
      <c r="AF183" s="137"/>
      <c r="AG183" s="137"/>
      <c r="AH183" s="137"/>
      <c r="AI183" s="137"/>
      <c r="AJ183" s="137"/>
      <c r="AK183" s="137"/>
      <c r="AM183" s="143"/>
      <c r="AN183" s="143"/>
      <c r="AO183" s="143"/>
      <c r="AP183" s="143"/>
      <c r="AQ183" s="137"/>
      <c r="AR183" s="137"/>
      <c r="AS183" s="137"/>
      <c r="AT183" s="137"/>
      <c r="AU183" s="137"/>
      <c r="AV183" s="137"/>
      <c r="AW183" s="137"/>
      <c r="AX183" s="189"/>
      <c r="AY183" s="189"/>
      <c r="BB183" s="143"/>
      <c r="BC183" s="143"/>
      <c r="BD183" s="143"/>
      <c r="BE183" s="143"/>
      <c r="BF183" s="137"/>
      <c r="BG183" s="137"/>
      <c r="BH183" s="137"/>
      <c r="BI183" s="137"/>
      <c r="BJ183" s="137"/>
      <c r="BK183" s="137"/>
      <c r="BL183" s="137"/>
      <c r="BM183" s="137"/>
      <c r="BN183" s="137"/>
      <c r="BO183" s="137"/>
      <c r="BP183" s="137"/>
      <c r="BQ183" s="137"/>
      <c r="BR183" s="137"/>
      <c r="BS183" s="137"/>
      <c r="BT183" s="189"/>
      <c r="BU183" s="189"/>
      <c r="BX183" s="143"/>
      <c r="BY183" s="143"/>
      <c r="BZ183" s="143"/>
      <c r="CA183" s="143"/>
    </row>
    <row r="184" spans="1:79" x14ac:dyDescent="0.25">
      <c r="A184" s="143"/>
      <c r="B184" s="143"/>
      <c r="C184" s="143"/>
      <c r="D184" s="143"/>
      <c r="E184" s="354"/>
      <c r="F184" s="354"/>
      <c r="G184" s="354"/>
      <c r="J184" s="143"/>
      <c r="K184" s="143"/>
      <c r="L184" s="143"/>
      <c r="M184" s="143"/>
      <c r="N184" s="137"/>
      <c r="O184" s="137"/>
      <c r="P184" s="265"/>
      <c r="Q184" s="137"/>
      <c r="R184" s="137"/>
      <c r="S184" s="137"/>
      <c r="T184" s="137"/>
      <c r="V184" s="143"/>
      <c r="W184" s="143"/>
      <c r="X184" s="143"/>
      <c r="Y184" s="143"/>
      <c r="Z184" s="137"/>
      <c r="AA184" s="137"/>
      <c r="AB184" s="137"/>
      <c r="AC184" s="137"/>
      <c r="AD184" s="137"/>
      <c r="AE184" s="137"/>
      <c r="AF184" s="137"/>
      <c r="AG184" s="137"/>
      <c r="AH184" s="137"/>
      <c r="AI184" s="137"/>
      <c r="AJ184" s="137"/>
      <c r="AK184" s="137"/>
      <c r="AM184" s="143"/>
      <c r="AN184" s="143"/>
      <c r="AO184" s="143"/>
      <c r="AP184" s="143"/>
      <c r="AQ184" s="137"/>
      <c r="AR184" s="137"/>
      <c r="AS184" s="137"/>
      <c r="AT184" s="137"/>
      <c r="AU184" s="137"/>
      <c r="AV184" s="137"/>
      <c r="AW184" s="137"/>
      <c r="AX184" s="189"/>
      <c r="AY184" s="189"/>
      <c r="BB184" s="143"/>
      <c r="BC184" s="143"/>
      <c r="BD184" s="143"/>
      <c r="BE184" s="143"/>
      <c r="BF184" s="137"/>
      <c r="BG184" s="137"/>
      <c r="BH184" s="137"/>
      <c r="BI184" s="137"/>
      <c r="BJ184" s="137"/>
      <c r="BK184" s="137"/>
      <c r="BL184" s="137"/>
      <c r="BM184" s="137"/>
      <c r="BN184" s="137"/>
      <c r="BO184" s="137"/>
      <c r="BP184" s="137"/>
      <c r="BQ184" s="137"/>
      <c r="BR184" s="137"/>
      <c r="BS184" s="137"/>
      <c r="BT184" s="189"/>
      <c r="BU184" s="189"/>
      <c r="BX184" s="143"/>
      <c r="BY184" s="143"/>
      <c r="BZ184" s="143"/>
      <c r="CA184" s="143"/>
    </row>
    <row r="185" spans="1:79" x14ac:dyDescent="0.25">
      <c r="A185" s="143"/>
      <c r="B185" s="143"/>
      <c r="C185" s="143"/>
      <c r="D185" s="143"/>
      <c r="E185" s="354"/>
      <c r="F185" s="354"/>
      <c r="G185" s="354"/>
      <c r="J185" s="143"/>
      <c r="K185" s="143"/>
      <c r="L185" s="143"/>
      <c r="M185" s="143"/>
      <c r="N185" s="137"/>
      <c r="O185" s="137"/>
      <c r="P185" s="265"/>
      <c r="Q185" s="137"/>
      <c r="R185" s="137"/>
      <c r="S185" s="137"/>
      <c r="T185" s="137"/>
      <c r="V185" s="143"/>
      <c r="W185" s="143"/>
      <c r="X185" s="143"/>
      <c r="Y185" s="143"/>
      <c r="Z185" s="137"/>
      <c r="AA185" s="137"/>
      <c r="AB185" s="137"/>
      <c r="AC185" s="137"/>
      <c r="AD185" s="137"/>
      <c r="AE185" s="137"/>
      <c r="AF185" s="137"/>
      <c r="AG185" s="137"/>
      <c r="AH185" s="137"/>
      <c r="AI185" s="137"/>
      <c r="AJ185" s="137"/>
      <c r="AK185" s="137"/>
      <c r="AM185" s="143"/>
      <c r="AN185" s="143"/>
      <c r="AO185" s="143"/>
      <c r="AP185" s="143"/>
      <c r="AQ185" s="137"/>
      <c r="AR185" s="137"/>
      <c r="AS185" s="137"/>
      <c r="AT185" s="137"/>
      <c r="AU185" s="137"/>
      <c r="AV185" s="137"/>
      <c r="AW185" s="137"/>
      <c r="AX185" s="189"/>
      <c r="AY185" s="189"/>
      <c r="BB185" s="143"/>
      <c r="BC185" s="143"/>
      <c r="BD185" s="143"/>
      <c r="BE185" s="143"/>
      <c r="BF185" s="137"/>
      <c r="BG185" s="137"/>
      <c r="BH185" s="137"/>
      <c r="BI185" s="137"/>
      <c r="BJ185" s="137"/>
      <c r="BK185" s="137"/>
      <c r="BL185" s="137"/>
      <c r="BM185" s="137"/>
      <c r="BN185" s="137"/>
      <c r="BO185" s="137"/>
      <c r="BP185" s="137"/>
      <c r="BQ185" s="137"/>
      <c r="BR185" s="137"/>
      <c r="BS185" s="137"/>
      <c r="BT185" s="189"/>
      <c r="BU185" s="189"/>
      <c r="BX185" s="143"/>
      <c r="BY185" s="143"/>
      <c r="BZ185" s="143"/>
      <c r="CA185" s="143"/>
    </row>
    <row r="186" spans="1:79" x14ac:dyDescent="0.25">
      <c r="A186" s="143"/>
      <c r="B186" s="143"/>
      <c r="C186" s="143"/>
      <c r="D186" s="143"/>
      <c r="E186" s="354"/>
      <c r="F186" s="354"/>
      <c r="G186" s="354"/>
      <c r="J186" s="143"/>
      <c r="K186" s="143"/>
      <c r="L186" s="143"/>
      <c r="M186" s="143"/>
      <c r="N186" s="137"/>
      <c r="O186" s="137"/>
      <c r="P186" s="265"/>
      <c r="Q186" s="137"/>
      <c r="R186" s="137"/>
      <c r="S186" s="137"/>
      <c r="T186" s="137"/>
      <c r="V186" s="143"/>
      <c r="W186" s="143"/>
      <c r="X186" s="143"/>
      <c r="Y186" s="143"/>
      <c r="Z186" s="137"/>
      <c r="AA186" s="137"/>
      <c r="AB186" s="137"/>
      <c r="AC186" s="137"/>
      <c r="AD186" s="137"/>
      <c r="AE186" s="137"/>
      <c r="AF186" s="137"/>
      <c r="AG186" s="137"/>
      <c r="AH186" s="137"/>
      <c r="AI186" s="137"/>
      <c r="AJ186" s="137"/>
      <c r="AK186" s="137"/>
      <c r="AM186" s="143"/>
      <c r="AN186" s="143"/>
      <c r="AO186" s="143"/>
      <c r="AP186" s="143"/>
      <c r="AQ186" s="137"/>
      <c r="AR186" s="137"/>
      <c r="AS186" s="137"/>
      <c r="AT186" s="137"/>
      <c r="AU186" s="137"/>
      <c r="AV186" s="137"/>
      <c r="AW186" s="137"/>
      <c r="AX186" s="189"/>
      <c r="AY186" s="189"/>
      <c r="BB186" s="143"/>
      <c r="BC186" s="143"/>
      <c r="BD186" s="143"/>
      <c r="BE186" s="143"/>
      <c r="BF186" s="137"/>
      <c r="BG186" s="137"/>
      <c r="BH186" s="137"/>
      <c r="BI186" s="137"/>
      <c r="BJ186" s="137"/>
      <c r="BK186" s="137"/>
      <c r="BL186" s="137"/>
      <c r="BM186" s="137"/>
      <c r="BN186" s="137"/>
      <c r="BO186" s="137"/>
      <c r="BP186" s="137"/>
      <c r="BQ186" s="137"/>
      <c r="BR186" s="137"/>
      <c r="BS186" s="137"/>
      <c r="BT186" s="189"/>
      <c r="BU186" s="189"/>
      <c r="BX186" s="143"/>
      <c r="BY186" s="143"/>
      <c r="BZ186" s="143"/>
      <c r="CA186" s="143"/>
    </row>
    <row r="187" spans="1:79" x14ac:dyDescent="0.25">
      <c r="A187" s="143"/>
      <c r="B187" s="143"/>
      <c r="C187" s="143"/>
      <c r="D187" s="143"/>
      <c r="E187" s="354"/>
      <c r="F187" s="354"/>
      <c r="G187" s="354"/>
      <c r="J187" s="143"/>
      <c r="K187" s="143"/>
      <c r="L187" s="143"/>
      <c r="M187" s="143"/>
      <c r="N187" s="137"/>
      <c r="O187" s="137"/>
      <c r="P187" s="265"/>
      <c r="Q187" s="137"/>
      <c r="R187" s="137"/>
      <c r="S187" s="137"/>
      <c r="T187" s="137"/>
      <c r="V187" s="143"/>
      <c r="W187" s="143"/>
      <c r="X187" s="143"/>
      <c r="Y187" s="143"/>
      <c r="Z187" s="137"/>
      <c r="AA187" s="137"/>
      <c r="AB187" s="137"/>
      <c r="AC187" s="137"/>
      <c r="AD187" s="137"/>
      <c r="AE187" s="137"/>
      <c r="AF187" s="137"/>
      <c r="AG187" s="137"/>
      <c r="AH187" s="137"/>
      <c r="AI187" s="137"/>
      <c r="AJ187" s="137"/>
      <c r="AK187" s="137"/>
      <c r="AM187" s="143"/>
      <c r="AN187" s="143"/>
      <c r="AO187" s="143"/>
      <c r="AP187" s="143"/>
      <c r="AQ187" s="137"/>
      <c r="AR187" s="137"/>
      <c r="AS187" s="137"/>
      <c r="AT187" s="137"/>
      <c r="AU187" s="137"/>
      <c r="AV187" s="137"/>
      <c r="AW187" s="137"/>
      <c r="AX187" s="189"/>
      <c r="AY187" s="189"/>
      <c r="BB187" s="143"/>
      <c r="BC187" s="143"/>
      <c r="BD187" s="143"/>
      <c r="BE187" s="143"/>
      <c r="BF187" s="137"/>
      <c r="BG187" s="137"/>
      <c r="BH187" s="137"/>
      <c r="BI187" s="137"/>
      <c r="BJ187" s="137"/>
      <c r="BK187" s="137"/>
      <c r="BL187" s="137"/>
      <c r="BM187" s="137"/>
      <c r="BN187" s="137"/>
      <c r="BO187" s="137"/>
      <c r="BP187" s="137"/>
      <c r="BQ187" s="137"/>
      <c r="BR187" s="137"/>
      <c r="BS187" s="137"/>
      <c r="BT187" s="189"/>
      <c r="BU187" s="189"/>
      <c r="BX187" s="143"/>
      <c r="BY187" s="143"/>
      <c r="BZ187" s="143"/>
      <c r="CA187" s="143"/>
    </row>
    <row r="188" spans="1:79" x14ac:dyDescent="0.25">
      <c r="A188" s="143"/>
      <c r="B188" s="143"/>
      <c r="C188" s="143"/>
      <c r="D188" s="143"/>
      <c r="E188" s="360"/>
      <c r="F188" s="360"/>
      <c r="G188" s="360"/>
      <c r="J188" s="143"/>
      <c r="K188" s="143"/>
      <c r="L188" s="143"/>
      <c r="M188" s="143"/>
      <c r="N188" s="137"/>
      <c r="O188" s="137"/>
      <c r="P188" s="265"/>
      <c r="Q188" s="137"/>
      <c r="R188" s="137"/>
      <c r="S188" s="137"/>
      <c r="T188" s="137"/>
      <c r="V188" s="143"/>
      <c r="W188" s="143"/>
      <c r="X188" s="143"/>
      <c r="Y188" s="143"/>
      <c r="Z188" s="137"/>
      <c r="AA188" s="137"/>
      <c r="AB188" s="137"/>
      <c r="AC188" s="137"/>
      <c r="AD188" s="137"/>
      <c r="AE188" s="137"/>
      <c r="AF188" s="137"/>
      <c r="AG188" s="137"/>
      <c r="AH188" s="137"/>
      <c r="AI188" s="137"/>
      <c r="AJ188" s="137"/>
      <c r="AK188" s="137"/>
      <c r="AM188" s="143"/>
      <c r="AN188" s="143"/>
      <c r="AO188" s="143"/>
      <c r="AP188" s="143"/>
      <c r="AQ188" s="137"/>
      <c r="AR188" s="137"/>
      <c r="AS188" s="137"/>
      <c r="AT188" s="137"/>
      <c r="AU188" s="137"/>
      <c r="AV188" s="137"/>
      <c r="AW188" s="137"/>
      <c r="AX188" s="189"/>
      <c r="AY188" s="189"/>
      <c r="BB188" s="143"/>
      <c r="BC188" s="143"/>
      <c r="BD188" s="143"/>
      <c r="BE188" s="143"/>
      <c r="BF188" s="137"/>
      <c r="BG188" s="137"/>
      <c r="BH188" s="137"/>
      <c r="BI188" s="137"/>
      <c r="BJ188" s="137"/>
      <c r="BK188" s="137"/>
      <c r="BL188" s="137"/>
      <c r="BM188" s="137"/>
      <c r="BN188" s="137"/>
      <c r="BO188" s="137"/>
      <c r="BP188" s="137"/>
      <c r="BQ188" s="137"/>
      <c r="BR188" s="137"/>
      <c r="BS188" s="137"/>
      <c r="BT188" s="189"/>
      <c r="BU188" s="189"/>
      <c r="BX188" s="143"/>
      <c r="BY188" s="143"/>
      <c r="BZ188" s="143"/>
      <c r="CA188" s="143"/>
    </row>
    <row r="189" spans="1:79" x14ac:dyDescent="0.25">
      <c r="A189" s="143"/>
      <c r="B189" s="143"/>
      <c r="C189" s="143"/>
      <c r="D189" s="143"/>
      <c r="E189" s="354"/>
      <c r="F189" s="354"/>
      <c r="G189" s="354"/>
      <c r="J189" s="143"/>
      <c r="K189" s="143"/>
      <c r="L189" s="143"/>
      <c r="M189" s="143"/>
      <c r="N189" s="137"/>
      <c r="O189" s="137"/>
      <c r="P189" s="265"/>
      <c r="Q189" s="137"/>
      <c r="R189" s="137"/>
      <c r="S189" s="137"/>
      <c r="T189" s="137"/>
      <c r="V189" s="143"/>
      <c r="W189" s="143"/>
      <c r="X189" s="143"/>
      <c r="Y189" s="143"/>
      <c r="Z189" s="137"/>
      <c r="AA189" s="137"/>
      <c r="AB189" s="137"/>
      <c r="AC189" s="137"/>
      <c r="AD189" s="137"/>
      <c r="AE189" s="137"/>
      <c r="AF189" s="137"/>
      <c r="AG189" s="137"/>
      <c r="AH189" s="137"/>
      <c r="AI189" s="137"/>
      <c r="AJ189" s="137"/>
      <c r="AK189" s="137"/>
      <c r="AM189" s="143"/>
      <c r="AN189" s="143"/>
      <c r="AO189" s="143"/>
      <c r="AP189" s="143"/>
      <c r="AQ189" s="137"/>
      <c r="AR189" s="137"/>
      <c r="AS189" s="137"/>
      <c r="AT189" s="137"/>
      <c r="AU189" s="137"/>
      <c r="AV189" s="137"/>
      <c r="AW189" s="137"/>
      <c r="AX189" s="189"/>
      <c r="AY189" s="189"/>
      <c r="BB189" s="143"/>
      <c r="BC189" s="143"/>
      <c r="BD189" s="143"/>
      <c r="BE189" s="143"/>
      <c r="BF189" s="137"/>
      <c r="BG189" s="137"/>
      <c r="BH189" s="137"/>
      <c r="BI189" s="137"/>
      <c r="BJ189" s="137"/>
      <c r="BK189" s="137"/>
      <c r="BL189" s="137"/>
      <c r="BM189" s="137"/>
      <c r="BN189" s="137"/>
      <c r="BO189" s="137"/>
      <c r="BP189" s="137"/>
      <c r="BQ189" s="137"/>
      <c r="BR189" s="137"/>
      <c r="BS189" s="137"/>
      <c r="BT189" s="189"/>
      <c r="BU189" s="189"/>
      <c r="BX189" s="143"/>
      <c r="BY189" s="143"/>
      <c r="BZ189" s="143"/>
      <c r="CA189" s="143"/>
    </row>
    <row r="190" spans="1:79" x14ac:dyDescent="0.25">
      <c r="A190" s="143"/>
      <c r="B190" s="143"/>
      <c r="C190" s="143"/>
      <c r="D190" s="143"/>
      <c r="E190" s="354"/>
      <c r="F190" s="354"/>
      <c r="G190" s="354"/>
      <c r="J190" s="143"/>
      <c r="K190" s="143"/>
      <c r="L190" s="143"/>
      <c r="M190" s="143"/>
      <c r="N190" s="137"/>
      <c r="O190" s="137"/>
      <c r="P190" s="265"/>
      <c r="Q190" s="137"/>
      <c r="R190" s="137"/>
      <c r="S190" s="137"/>
      <c r="T190" s="137"/>
      <c r="V190" s="143"/>
      <c r="W190" s="143"/>
      <c r="X190" s="143"/>
      <c r="Y190" s="143"/>
      <c r="Z190" s="137"/>
      <c r="AA190" s="137"/>
      <c r="AB190" s="137"/>
      <c r="AC190" s="137"/>
      <c r="AD190" s="137"/>
      <c r="AE190" s="137"/>
      <c r="AF190" s="137"/>
      <c r="AG190" s="137"/>
      <c r="AH190" s="137"/>
      <c r="AI190" s="137"/>
      <c r="AJ190" s="137"/>
      <c r="AK190" s="137"/>
      <c r="AM190" s="143"/>
      <c r="AN190" s="143"/>
      <c r="AO190" s="143"/>
      <c r="AP190" s="143"/>
      <c r="AQ190" s="137"/>
      <c r="AR190" s="137"/>
      <c r="AS190" s="137"/>
      <c r="AT190" s="137"/>
      <c r="AU190" s="137"/>
      <c r="AV190" s="137"/>
      <c r="AW190" s="137"/>
      <c r="AX190" s="189"/>
      <c r="AY190" s="189"/>
      <c r="BB190" s="143"/>
      <c r="BC190" s="143"/>
      <c r="BD190" s="143"/>
      <c r="BE190" s="143"/>
      <c r="BF190" s="137"/>
      <c r="BG190" s="137"/>
      <c r="BH190" s="137"/>
      <c r="BI190" s="137"/>
      <c r="BJ190" s="137"/>
      <c r="BK190" s="137"/>
      <c r="BL190" s="137"/>
      <c r="BM190" s="137"/>
      <c r="BN190" s="137"/>
      <c r="BO190" s="137"/>
      <c r="BP190" s="137"/>
      <c r="BQ190" s="137"/>
      <c r="BR190" s="137"/>
      <c r="BS190" s="137"/>
      <c r="BT190" s="189"/>
      <c r="BU190" s="189"/>
      <c r="BX190" s="143"/>
      <c r="BY190" s="143"/>
      <c r="BZ190" s="143"/>
      <c r="CA190" s="143"/>
    </row>
    <row r="191" spans="1:79" x14ac:dyDescent="0.25">
      <c r="A191" s="143"/>
      <c r="B191" s="143"/>
      <c r="C191" s="143"/>
      <c r="D191" s="143"/>
      <c r="E191" s="354"/>
      <c r="F191" s="354"/>
      <c r="G191" s="354"/>
      <c r="J191" s="143"/>
      <c r="K191" s="143"/>
      <c r="L191" s="143"/>
      <c r="M191" s="143"/>
      <c r="N191" s="137"/>
      <c r="O191" s="137"/>
      <c r="P191" s="265"/>
      <c r="Q191" s="137"/>
      <c r="R191" s="137"/>
      <c r="S191" s="137"/>
      <c r="T191" s="137"/>
      <c r="V191" s="143"/>
      <c r="W191" s="143"/>
      <c r="X191" s="143"/>
      <c r="Y191" s="143"/>
      <c r="Z191" s="137"/>
      <c r="AA191" s="137"/>
      <c r="AB191" s="137"/>
      <c r="AC191" s="137"/>
      <c r="AD191" s="137"/>
      <c r="AE191" s="137"/>
      <c r="AF191" s="137"/>
      <c r="AG191" s="137"/>
      <c r="AH191" s="137"/>
      <c r="AI191" s="137"/>
      <c r="AJ191" s="137"/>
      <c r="AK191" s="137"/>
      <c r="AM191" s="143"/>
      <c r="AN191" s="143"/>
      <c r="AO191" s="143"/>
      <c r="AP191" s="143"/>
      <c r="AQ191" s="137"/>
      <c r="AR191" s="137"/>
      <c r="AS191" s="137"/>
      <c r="AT191" s="137"/>
      <c r="AU191" s="137"/>
      <c r="AV191" s="137"/>
      <c r="AW191" s="137"/>
      <c r="AX191" s="189"/>
      <c r="AY191" s="189"/>
      <c r="BB191" s="143"/>
      <c r="BC191" s="143"/>
      <c r="BD191" s="143"/>
      <c r="BE191" s="143"/>
      <c r="BF191" s="137"/>
      <c r="BG191" s="137"/>
      <c r="BH191" s="137"/>
      <c r="BI191" s="137"/>
      <c r="BJ191" s="137"/>
      <c r="BK191" s="137"/>
      <c r="BL191" s="137"/>
      <c r="BM191" s="137"/>
      <c r="BN191" s="137"/>
      <c r="BO191" s="137"/>
      <c r="BP191" s="137"/>
      <c r="BQ191" s="137"/>
      <c r="BR191" s="137"/>
      <c r="BS191" s="137"/>
      <c r="BT191" s="189"/>
      <c r="BU191" s="189"/>
      <c r="BX191" s="143"/>
      <c r="BY191" s="143"/>
      <c r="BZ191" s="143"/>
      <c r="CA191" s="143"/>
    </row>
    <row r="192" spans="1:79" x14ac:dyDescent="0.25">
      <c r="A192" s="143"/>
      <c r="B192" s="143"/>
      <c r="C192" s="143"/>
      <c r="D192" s="143"/>
      <c r="E192" s="354"/>
      <c r="F192" s="354"/>
      <c r="G192" s="354"/>
      <c r="J192" s="143"/>
      <c r="K192" s="143"/>
      <c r="L192" s="143"/>
      <c r="M192" s="143"/>
      <c r="N192" s="137"/>
      <c r="O192" s="137"/>
      <c r="P192" s="265"/>
      <c r="Q192" s="137"/>
      <c r="R192" s="137"/>
      <c r="S192" s="137"/>
      <c r="T192" s="137"/>
      <c r="V192" s="143"/>
      <c r="W192" s="143"/>
      <c r="X192" s="143"/>
      <c r="Y192" s="143"/>
      <c r="Z192" s="137"/>
      <c r="AA192" s="137"/>
      <c r="AB192" s="137"/>
      <c r="AC192" s="137"/>
      <c r="AD192" s="137"/>
      <c r="AE192" s="137"/>
      <c r="AF192" s="137"/>
      <c r="AG192" s="137"/>
      <c r="AH192" s="137"/>
      <c r="AI192" s="137"/>
      <c r="AJ192" s="137"/>
      <c r="AK192" s="137"/>
      <c r="AM192" s="143"/>
      <c r="AN192" s="143"/>
      <c r="AO192" s="143"/>
      <c r="AP192" s="143"/>
      <c r="AQ192" s="137"/>
      <c r="AR192" s="137"/>
      <c r="AS192" s="137"/>
      <c r="AT192" s="137"/>
      <c r="AU192" s="137"/>
      <c r="AV192" s="137"/>
      <c r="AW192" s="137"/>
      <c r="AX192" s="189"/>
      <c r="AY192" s="189"/>
      <c r="BB192" s="143"/>
      <c r="BC192" s="143"/>
      <c r="BD192" s="143"/>
      <c r="BE192" s="143"/>
      <c r="BF192" s="137"/>
      <c r="BG192" s="137"/>
      <c r="BH192" s="137"/>
      <c r="BI192" s="137"/>
      <c r="BJ192" s="137"/>
      <c r="BK192" s="137"/>
      <c r="BL192" s="137"/>
      <c r="BM192" s="137"/>
      <c r="BN192" s="137"/>
      <c r="BO192" s="137"/>
      <c r="BP192" s="137"/>
      <c r="BQ192" s="137"/>
      <c r="BR192" s="137"/>
      <c r="BS192" s="137"/>
      <c r="BT192" s="189"/>
      <c r="BU192" s="189"/>
      <c r="BX192" s="143"/>
      <c r="BY192" s="143"/>
      <c r="BZ192" s="143"/>
      <c r="CA192" s="143"/>
    </row>
    <row r="193" spans="1:79" x14ac:dyDescent="0.25">
      <c r="A193" s="143"/>
      <c r="B193" s="143"/>
      <c r="C193" s="143"/>
      <c r="D193" s="143"/>
      <c r="E193" s="354"/>
      <c r="F193" s="354"/>
      <c r="G193" s="354"/>
      <c r="J193" s="143"/>
      <c r="K193" s="143"/>
      <c r="L193" s="143"/>
      <c r="M193" s="143"/>
      <c r="N193" s="137"/>
      <c r="O193" s="137"/>
      <c r="P193" s="265"/>
      <c r="Q193" s="137"/>
      <c r="R193" s="137"/>
      <c r="S193" s="137"/>
      <c r="T193" s="137"/>
      <c r="V193" s="143"/>
      <c r="W193" s="143"/>
      <c r="X193" s="143"/>
      <c r="Y193" s="143"/>
      <c r="Z193" s="137"/>
      <c r="AA193" s="137"/>
      <c r="AB193" s="137"/>
      <c r="AC193" s="137"/>
      <c r="AD193" s="137"/>
      <c r="AE193" s="137"/>
      <c r="AF193" s="137"/>
      <c r="AG193" s="137"/>
      <c r="AH193" s="137"/>
      <c r="AI193" s="137"/>
      <c r="AJ193" s="137"/>
      <c r="AK193" s="137"/>
      <c r="AM193" s="143"/>
      <c r="AN193" s="143"/>
      <c r="AO193" s="143"/>
      <c r="AP193" s="143"/>
      <c r="AQ193" s="137"/>
      <c r="AR193" s="137"/>
      <c r="AS193" s="137"/>
      <c r="AT193" s="137"/>
      <c r="AU193" s="137"/>
      <c r="AV193" s="137"/>
      <c r="AW193" s="137"/>
      <c r="AX193" s="189"/>
      <c r="AY193" s="189"/>
      <c r="BB193" s="143"/>
      <c r="BC193" s="143"/>
      <c r="BD193" s="143"/>
      <c r="BE193" s="143"/>
      <c r="BF193" s="137"/>
      <c r="BG193" s="137"/>
      <c r="BH193" s="137"/>
      <c r="BI193" s="137"/>
      <c r="BJ193" s="137"/>
      <c r="BK193" s="137"/>
      <c r="BL193" s="137"/>
      <c r="BM193" s="137"/>
      <c r="BN193" s="137"/>
      <c r="BO193" s="137"/>
      <c r="BP193" s="137"/>
      <c r="BQ193" s="137"/>
      <c r="BR193" s="137"/>
      <c r="BS193" s="137"/>
      <c r="BT193" s="189"/>
      <c r="BU193" s="189"/>
      <c r="BX193" s="143"/>
      <c r="BY193" s="143"/>
      <c r="BZ193" s="143"/>
      <c r="CA193" s="143"/>
    </row>
    <row r="194" spans="1:79" x14ac:dyDescent="0.25">
      <c r="A194" s="143"/>
      <c r="B194" s="143"/>
      <c r="C194" s="143"/>
      <c r="D194" s="143"/>
      <c r="E194" s="354"/>
      <c r="F194" s="354"/>
      <c r="G194" s="354"/>
      <c r="J194" s="143"/>
      <c r="K194" s="143"/>
      <c r="L194" s="143"/>
      <c r="M194" s="143"/>
      <c r="N194" s="137"/>
      <c r="O194" s="137"/>
      <c r="P194" s="265"/>
      <c r="Q194" s="137"/>
      <c r="R194" s="137"/>
      <c r="S194" s="137"/>
      <c r="T194" s="137"/>
      <c r="V194" s="143"/>
      <c r="W194" s="143"/>
      <c r="X194" s="143"/>
      <c r="Y194" s="143"/>
      <c r="Z194" s="137"/>
      <c r="AA194" s="137"/>
      <c r="AB194" s="137"/>
      <c r="AC194" s="137"/>
      <c r="AD194" s="137"/>
      <c r="AE194" s="137"/>
      <c r="AF194" s="137"/>
      <c r="AG194" s="137"/>
      <c r="AH194" s="137"/>
      <c r="AI194" s="137"/>
      <c r="AJ194" s="137"/>
      <c r="AK194" s="137"/>
      <c r="AM194" s="143"/>
      <c r="AN194" s="143"/>
      <c r="AO194" s="143"/>
      <c r="AP194" s="143"/>
      <c r="AQ194" s="137"/>
      <c r="AR194" s="137"/>
      <c r="AS194" s="137"/>
      <c r="AT194" s="137"/>
      <c r="AU194" s="137"/>
      <c r="AV194" s="137"/>
      <c r="AW194" s="137"/>
      <c r="AX194" s="189"/>
      <c r="AY194" s="189"/>
      <c r="BB194" s="143"/>
      <c r="BC194" s="143"/>
      <c r="BD194" s="143"/>
      <c r="BE194" s="143"/>
      <c r="BF194" s="137"/>
      <c r="BG194" s="137"/>
      <c r="BH194" s="137"/>
      <c r="BI194" s="137"/>
      <c r="BJ194" s="137"/>
      <c r="BK194" s="137"/>
      <c r="BL194" s="137"/>
      <c r="BM194" s="137"/>
      <c r="BN194" s="137"/>
      <c r="BO194" s="137"/>
      <c r="BP194" s="137"/>
      <c r="BQ194" s="137"/>
      <c r="BR194" s="137"/>
      <c r="BS194" s="137"/>
      <c r="BT194" s="189"/>
      <c r="BU194" s="189"/>
      <c r="BX194" s="143"/>
      <c r="BY194" s="143"/>
      <c r="BZ194" s="143"/>
      <c r="CA194" s="143"/>
    </row>
    <row r="195" spans="1:79" x14ac:dyDescent="0.25">
      <c r="A195" s="143"/>
      <c r="B195" s="143"/>
      <c r="C195" s="143"/>
      <c r="D195" s="143"/>
      <c r="E195" s="354"/>
      <c r="F195" s="354"/>
      <c r="G195" s="354"/>
      <c r="J195" s="143"/>
      <c r="K195" s="143"/>
      <c r="L195" s="143"/>
      <c r="M195" s="143"/>
      <c r="N195" s="137"/>
      <c r="O195" s="137"/>
      <c r="P195" s="265"/>
      <c r="Q195" s="137"/>
      <c r="R195" s="137"/>
      <c r="S195" s="137"/>
      <c r="T195" s="137"/>
      <c r="V195" s="143"/>
      <c r="W195" s="143"/>
      <c r="X195" s="143"/>
      <c r="Y195" s="143"/>
      <c r="Z195" s="137"/>
      <c r="AA195" s="137"/>
      <c r="AB195" s="137"/>
      <c r="AC195" s="137"/>
      <c r="AD195" s="137"/>
      <c r="AE195" s="137"/>
      <c r="AF195" s="137"/>
      <c r="AG195" s="137"/>
      <c r="AH195" s="137"/>
      <c r="AI195" s="137"/>
      <c r="AJ195" s="137"/>
      <c r="AK195" s="137"/>
      <c r="AM195" s="143"/>
      <c r="AN195" s="143"/>
      <c r="AO195" s="143"/>
      <c r="AP195" s="143"/>
      <c r="AQ195" s="137"/>
      <c r="AR195" s="137"/>
      <c r="AS195" s="137"/>
      <c r="AT195" s="137"/>
      <c r="AU195" s="137"/>
      <c r="AV195" s="137"/>
      <c r="AW195" s="137"/>
      <c r="AX195" s="189"/>
      <c r="AY195" s="189"/>
      <c r="BB195" s="143"/>
      <c r="BC195" s="143"/>
      <c r="BD195" s="143"/>
      <c r="BE195" s="143"/>
      <c r="BF195" s="137"/>
      <c r="BG195" s="137"/>
      <c r="BH195" s="137"/>
      <c r="BI195" s="137"/>
      <c r="BJ195" s="137"/>
      <c r="BK195" s="137"/>
      <c r="BL195" s="137"/>
      <c r="BM195" s="137"/>
      <c r="BN195" s="137"/>
      <c r="BO195" s="137"/>
      <c r="BP195" s="137"/>
      <c r="BQ195" s="137"/>
      <c r="BR195" s="137"/>
      <c r="BS195" s="137"/>
      <c r="BT195" s="189"/>
      <c r="BU195" s="189"/>
      <c r="BX195" s="143"/>
      <c r="BY195" s="143"/>
      <c r="BZ195" s="143"/>
      <c r="CA195" s="143"/>
    </row>
    <row r="196" spans="1:79" x14ac:dyDescent="0.25">
      <c r="A196" s="143"/>
      <c r="B196" s="143"/>
      <c r="C196" s="143"/>
      <c r="D196" s="143"/>
      <c r="E196" s="354"/>
      <c r="F196" s="354"/>
      <c r="G196" s="354"/>
      <c r="J196" s="143"/>
      <c r="K196" s="143"/>
      <c r="L196" s="143"/>
      <c r="M196" s="143"/>
      <c r="N196" s="137"/>
      <c r="O196" s="137"/>
      <c r="P196" s="265"/>
      <c r="Q196" s="137"/>
      <c r="R196" s="137"/>
      <c r="S196" s="137"/>
      <c r="T196" s="137"/>
      <c r="V196" s="143"/>
      <c r="W196" s="143"/>
      <c r="X196" s="143"/>
      <c r="Y196" s="143"/>
      <c r="Z196" s="137"/>
      <c r="AA196" s="137"/>
      <c r="AB196" s="137"/>
      <c r="AC196" s="137"/>
      <c r="AD196" s="137"/>
      <c r="AE196" s="137"/>
      <c r="AF196" s="137"/>
      <c r="AG196" s="137"/>
      <c r="AH196" s="137"/>
      <c r="AI196" s="137"/>
      <c r="AJ196" s="137"/>
      <c r="AK196" s="137"/>
      <c r="AM196" s="143"/>
      <c r="AN196" s="143"/>
      <c r="AO196" s="143"/>
      <c r="AP196" s="143"/>
      <c r="AQ196" s="137"/>
      <c r="AR196" s="137"/>
      <c r="AS196" s="137"/>
      <c r="AT196" s="137"/>
      <c r="AU196" s="137"/>
      <c r="AV196" s="137"/>
      <c r="AW196" s="137"/>
      <c r="AX196" s="189"/>
      <c r="AY196" s="189"/>
      <c r="BB196" s="143"/>
      <c r="BC196" s="143"/>
      <c r="BD196" s="143"/>
      <c r="BE196" s="143"/>
      <c r="BF196" s="137"/>
      <c r="BG196" s="137"/>
      <c r="BH196" s="137"/>
      <c r="BI196" s="137"/>
      <c r="BJ196" s="137"/>
      <c r="BK196" s="137"/>
      <c r="BL196" s="137"/>
      <c r="BM196" s="137"/>
      <c r="BN196" s="137"/>
      <c r="BO196" s="137"/>
      <c r="BP196" s="137"/>
      <c r="BQ196" s="137"/>
      <c r="BR196" s="137"/>
      <c r="BS196" s="137"/>
      <c r="BT196" s="189"/>
      <c r="BU196" s="189"/>
      <c r="BX196" s="143"/>
      <c r="BY196" s="143"/>
      <c r="BZ196" s="143"/>
      <c r="CA196" s="143"/>
    </row>
    <row r="197" spans="1:79" x14ac:dyDescent="0.25">
      <c r="A197" s="143"/>
      <c r="B197" s="143"/>
      <c r="C197" s="143"/>
      <c r="D197" s="143"/>
      <c r="E197" s="354"/>
      <c r="F197" s="354"/>
      <c r="G197" s="354"/>
      <c r="J197" s="143"/>
      <c r="K197" s="143"/>
      <c r="L197" s="143"/>
      <c r="M197" s="143"/>
      <c r="N197" s="137"/>
      <c r="O197" s="137"/>
      <c r="P197" s="265"/>
      <c r="Q197" s="137"/>
      <c r="R197" s="137"/>
      <c r="S197" s="137"/>
      <c r="T197" s="137"/>
      <c r="V197" s="143"/>
      <c r="W197" s="143"/>
      <c r="X197" s="143"/>
      <c r="Y197" s="143"/>
      <c r="Z197" s="137"/>
      <c r="AA197" s="137"/>
      <c r="AB197" s="137"/>
      <c r="AC197" s="137"/>
      <c r="AD197" s="137"/>
      <c r="AE197" s="137"/>
      <c r="AF197" s="137"/>
      <c r="AG197" s="137"/>
      <c r="AH197" s="137"/>
      <c r="AI197" s="137"/>
      <c r="AJ197" s="137"/>
      <c r="AK197" s="137"/>
      <c r="AM197" s="143"/>
      <c r="AN197" s="143"/>
      <c r="AO197" s="143"/>
      <c r="AP197" s="143"/>
      <c r="AQ197" s="137"/>
      <c r="AR197" s="137"/>
      <c r="AS197" s="137"/>
      <c r="AT197" s="137"/>
      <c r="AU197" s="137"/>
      <c r="AV197" s="137"/>
      <c r="AW197" s="137"/>
      <c r="AX197" s="189"/>
      <c r="AY197" s="189"/>
      <c r="BB197" s="143"/>
      <c r="BC197" s="143"/>
      <c r="BD197" s="143"/>
      <c r="BE197" s="143"/>
      <c r="BF197" s="137"/>
      <c r="BG197" s="137"/>
      <c r="BH197" s="137"/>
      <c r="BI197" s="137"/>
      <c r="BJ197" s="137"/>
      <c r="BK197" s="137"/>
      <c r="BL197" s="137"/>
      <c r="BM197" s="137"/>
      <c r="BN197" s="137"/>
      <c r="BO197" s="137"/>
      <c r="BP197" s="137"/>
      <c r="BQ197" s="137"/>
      <c r="BR197" s="137"/>
      <c r="BS197" s="137"/>
      <c r="BT197" s="189"/>
      <c r="BU197" s="189"/>
      <c r="BX197" s="143"/>
      <c r="BY197" s="143"/>
      <c r="BZ197" s="143"/>
      <c r="CA197" s="143"/>
    </row>
    <row r="198" spans="1:79" x14ac:dyDescent="0.25">
      <c r="A198" s="143"/>
      <c r="B198" s="143"/>
      <c r="C198" s="143"/>
      <c r="D198" s="143"/>
      <c r="E198" s="354"/>
      <c r="F198" s="354"/>
      <c r="G198" s="354"/>
      <c r="J198" s="143"/>
      <c r="K198" s="143"/>
      <c r="L198" s="143"/>
      <c r="M198" s="143"/>
      <c r="N198" s="137"/>
      <c r="O198" s="137"/>
      <c r="P198" s="265"/>
      <c r="Q198" s="137"/>
      <c r="R198" s="137"/>
      <c r="S198" s="137"/>
      <c r="T198" s="137"/>
      <c r="V198" s="143"/>
      <c r="W198" s="143"/>
      <c r="X198" s="143"/>
      <c r="Y198" s="143"/>
      <c r="Z198" s="137"/>
      <c r="AA198" s="137"/>
      <c r="AB198" s="137"/>
      <c r="AC198" s="137"/>
      <c r="AD198" s="137"/>
      <c r="AE198" s="137"/>
      <c r="AF198" s="137"/>
      <c r="AG198" s="137"/>
      <c r="AH198" s="137"/>
      <c r="AI198" s="137"/>
      <c r="AJ198" s="137"/>
      <c r="AK198" s="137"/>
      <c r="AM198" s="143"/>
      <c r="AN198" s="143"/>
      <c r="AO198" s="143"/>
      <c r="AP198" s="143"/>
      <c r="AQ198" s="137"/>
      <c r="AR198" s="137"/>
      <c r="AS198" s="137"/>
      <c r="AT198" s="137"/>
      <c r="AU198" s="137"/>
      <c r="AV198" s="137"/>
      <c r="AW198" s="137"/>
      <c r="AX198" s="189"/>
      <c r="AY198" s="189"/>
      <c r="BB198" s="143"/>
      <c r="BC198" s="143"/>
      <c r="BD198" s="143"/>
      <c r="BE198" s="143"/>
      <c r="BF198" s="137"/>
      <c r="BG198" s="137"/>
      <c r="BH198" s="137"/>
      <c r="BI198" s="137"/>
      <c r="BJ198" s="137"/>
      <c r="BK198" s="137"/>
      <c r="BL198" s="137"/>
      <c r="BM198" s="137"/>
      <c r="BN198" s="137"/>
      <c r="BO198" s="137"/>
      <c r="BP198" s="137"/>
      <c r="BQ198" s="137"/>
      <c r="BR198" s="137"/>
      <c r="BS198" s="137"/>
      <c r="BT198" s="189"/>
      <c r="BU198" s="189"/>
      <c r="BX198" s="143"/>
      <c r="BY198" s="143"/>
      <c r="BZ198" s="143"/>
      <c r="CA198" s="143"/>
    </row>
    <row r="199" spans="1:79" x14ac:dyDescent="0.25">
      <c r="A199" s="143"/>
      <c r="B199" s="143"/>
      <c r="C199" s="143"/>
      <c r="D199" s="143"/>
      <c r="E199" s="354"/>
      <c r="F199" s="354"/>
      <c r="G199" s="354"/>
      <c r="J199" s="143"/>
      <c r="K199" s="143"/>
      <c r="L199" s="143"/>
      <c r="M199" s="143"/>
      <c r="N199" s="137"/>
      <c r="O199" s="137"/>
      <c r="P199" s="265"/>
      <c r="Q199" s="137"/>
      <c r="R199" s="137"/>
      <c r="S199" s="137"/>
      <c r="T199" s="137"/>
      <c r="V199" s="143"/>
      <c r="W199" s="143"/>
      <c r="X199" s="143"/>
      <c r="Y199" s="143"/>
      <c r="Z199" s="137"/>
      <c r="AA199" s="137"/>
      <c r="AB199" s="137"/>
      <c r="AC199" s="137"/>
      <c r="AD199" s="137"/>
      <c r="AE199" s="137"/>
      <c r="AF199" s="137"/>
      <c r="AG199" s="137"/>
      <c r="AH199" s="137"/>
      <c r="AI199" s="137"/>
      <c r="AJ199" s="137"/>
      <c r="AK199" s="137"/>
      <c r="AM199" s="143"/>
      <c r="AN199" s="143"/>
      <c r="AO199" s="143"/>
      <c r="AP199" s="143"/>
      <c r="AQ199" s="137"/>
      <c r="AR199" s="137"/>
      <c r="AS199" s="137"/>
      <c r="AT199" s="137"/>
      <c r="AU199" s="137"/>
      <c r="AV199" s="137"/>
      <c r="AW199" s="137"/>
      <c r="AX199" s="189"/>
      <c r="AY199" s="189"/>
      <c r="BB199" s="143"/>
      <c r="BC199" s="143"/>
      <c r="BD199" s="143"/>
      <c r="BE199" s="143"/>
      <c r="BF199" s="137"/>
      <c r="BG199" s="137"/>
      <c r="BH199" s="137"/>
      <c r="BI199" s="137"/>
      <c r="BJ199" s="137"/>
      <c r="BK199" s="137"/>
      <c r="BL199" s="137"/>
      <c r="BM199" s="137"/>
      <c r="BN199" s="137"/>
      <c r="BO199" s="137"/>
      <c r="BP199" s="137"/>
      <c r="BQ199" s="137"/>
      <c r="BR199" s="137"/>
      <c r="BS199" s="137"/>
      <c r="BT199" s="189"/>
      <c r="BU199" s="189"/>
      <c r="BX199" s="143"/>
      <c r="BY199" s="143"/>
      <c r="BZ199" s="143"/>
      <c r="CA199" s="143"/>
    </row>
    <row r="200" spans="1:79" x14ac:dyDescent="0.25">
      <c r="A200" s="143"/>
      <c r="B200" s="143"/>
      <c r="C200" s="143"/>
      <c r="D200" s="143"/>
      <c r="E200" s="354"/>
      <c r="F200" s="354"/>
      <c r="G200" s="354"/>
      <c r="J200" s="143"/>
      <c r="K200" s="143"/>
      <c r="L200" s="143"/>
      <c r="M200" s="143"/>
      <c r="N200" s="137"/>
      <c r="O200" s="137"/>
      <c r="P200" s="265"/>
      <c r="Q200" s="137"/>
      <c r="R200" s="137"/>
      <c r="S200" s="137"/>
      <c r="T200" s="137"/>
      <c r="V200" s="143"/>
      <c r="W200" s="143"/>
      <c r="X200" s="143"/>
      <c r="Y200" s="143"/>
      <c r="Z200" s="137"/>
      <c r="AA200" s="137"/>
      <c r="AB200" s="137"/>
      <c r="AC200" s="137"/>
      <c r="AD200" s="137"/>
      <c r="AE200" s="137"/>
      <c r="AF200" s="137"/>
      <c r="AG200" s="137"/>
      <c r="AH200" s="137"/>
      <c r="AI200" s="137"/>
      <c r="AJ200" s="137"/>
      <c r="AK200" s="137"/>
      <c r="AM200" s="143"/>
      <c r="AN200" s="143"/>
      <c r="AO200" s="143"/>
      <c r="AP200" s="143"/>
      <c r="AQ200" s="137"/>
      <c r="AR200" s="137"/>
      <c r="AS200" s="137"/>
      <c r="AT200" s="137"/>
      <c r="AU200" s="137"/>
      <c r="AV200" s="137"/>
      <c r="AW200" s="137"/>
      <c r="AX200" s="189"/>
      <c r="AY200" s="189"/>
      <c r="BB200" s="143"/>
      <c r="BC200" s="143"/>
      <c r="BD200" s="143"/>
      <c r="BE200" s="143"/>
      <c r="BF200" s="137"/>
      <c r="BG200" s="137"/>
      <c r="BH200" s="137"/>
      <c r="BI200" s="137"/>
      <c r="BJ200" s="137"/>
      <c r="BK200" s="137"/>
      <c r="BL200" s="137"/>
      <c r="BM200" s="137"/>
      <c r="BN200" s="137"/>
      <c r="BO200" s="137"/>
      <c r="BP200" s="137"/>
      <c r="BQ200" s="137"/>
      <c r="BR200" s="137"/>
      <c r="BS200" s="137"/>
      <c r="BT200" s="189"/>
      <c r="BU200" s="189"/>
      <c r="BX200" s="143"/>
      <c r="BY200" s="143"/>
      <c r="BZ200" s="143"/>
      <c r="CA200" s="143"/>
    </row>
    <row r="201" spans="1:79" x14ac:dyDescent="0.25">
      <c r="A201" s="143"/>
      <c r="B201" s="143"/>
      <c r="C201" s="143"/>
      <c r="D201" s="143"/>
      <c r="E201" s="354"/>
      <c r="F201" s="354"/>
      <c r="G201" s="354"/>
      <c r="J201" s="143"/>
      <c r="K201" s="143"/>
      <c r="L201" s="143"/>
      <c r="M201" s="143"/>
      <c r="N201" s="137"/>
      <c r="O201" s="137"/>
      <c r="P201" s="265"/>
      <c r="Q201" s="137"/>
      <c r="R201" s="137"/>
      <c r="S201" s="137"/>
      <c r="T201" s="137"/>
      <c r="V201" s="143"/>
      <c r="W201" s="143"/>
      <c r="X201" s="143"/>
      <c r="Y201" s="143"/>
      <c r="Z201" s="137"/>
      <c r="AA201" s="137"/>
      <c r="AB201" s="137"/>
      <c r="AC201" s="137"/>
      <c r="AD201" s="137"/>
      <c r="AE201" s="137"/>
      <c r="AF201" s="137"/>
      <c r="AG201" s="137"/>
      <c r="AH201" s="137"/>
      <c r="AI201" s="137"/>
      <c r="AJ201" s="137"/>
      <c r="AK201" s="137"/>
      <c r="AM201" s="143"/>
      <c r="AN201" s="143"/>
      <c r="AO201" s="143"/>
      <c r="AP201" s="143"/>
      <c r="AQ201" s="137"/>
      <c r="AR201" s="137"/>
      <c r="AS201" s="137"/>
      <c r="AT201" s="137"/>
      <c r="AU201" s="137"/>
      <c r="AV201" s="137"/>
      <c r="AW201" s="137"/>
      <c r="AX201" s="189"/>
      <c r="AY201" s="189"/>
      <c r="BB201" s="143"/>
      <c r="BC201" s="143"/>
      <c r="BD201" s="143"/>
      <c r="BE201" s="143"/>
      <c r="BF201" s="137"/>
      <c r="BG201" s="137"/>
      <c r="BH201" s="137"/>
      <c r="BI201" s="137"/>
      <c r="BJ201" s="137"/>
      <c r="BK201" s="137"/>
      <c r="BL201" s="137"/>
      <c r="BM201" s="137"/>
      <c r="BN201" s="137"/>
      <c r="BO201" s="137"/>
      <c r="BP201" s="137"/>
      <c r="BQ201" s="137"/>
      <c r="BR201" s="137"/>
      <c r="BS201" s="137"/>
      <c r="BT201" s="189"/>
      <c r="BU201" s="189"/>
      <c r="BX201" s="143"/>
      <c r="BY201" s="143"/>
      <c r="BZ201" s="143"/>
      <c r="CA201" s="143"/>
    </row>
    <row r="202" spans="1:79" x14ac:dyDescent="0.25">
      <c r="A202" s="143"/>
      <c r="B202" s="143"/>
      <c r="C202" s="143"/>
      <c r="D202" s="143"/>
      <c r="E202" s="354"/>
      <c r="F202" s="354"/>
      <c r="G202" s="354"/>
      <c r="J202" s="143"/>
      <c r="K202" s="143"/>
      <c r="L202" s="143"/>
      <c r="M202" s="143"/>
      <c r="N202" s="137"/>
      <c r="O202" s="137"/>
      <c r="P202" s="265"/>
      <c r="Q202" s="137"/>
      <c r="R202" s="137"/>
      <c r="S202" s="137"/>
      <c r="T202" s="137"/>
      <c r="V202" s="143"/>
      <c r="W202" s="143"/>
      <c r="X202" s="143"/>
      <c r="Y202" s="143"/>
      <c r="Z202" s="137"/>
      <c r="AA202" s="137"/>
      <c r="AB202" s="137"/>
      <c r="AC202" s="137"/>
      <c r="AD202" s="137"/>
      <c r="AE202" s="137"/>
      <c r="AF202" s="137"/>
      <c r="AG202" s="137"/>
      <c r="AH202" s="137"/>
      <c r="AI202" s="137"/>
      <c r="AJ202" s="137"/>
      <c r="AK202" s="137"/>
      <c r="AM202" s="143"/>
      <c r="AN202" s="143"/>
      <c r="AO202" s="143"/>
      <c r="AP202" s="143"/>
      <c r="AQ202" s="137"/>
      <c r="AR202" s="137"/>
      <c r="AS202" s="137"/>
      <c r="AT202" s="137"/>
      <c r="AU202" s="137"/>
      <c r="AV202" s="137"/>
      <c r="AW202" s="137"/>
      <c r="AX202" s="189"/>
      <c r="AY202" s="189"/>
      <c r="BB202" s="143"/>
      <c r="BC202" s="143"/>
      <c r="BD202" s="143"/>
      <c r="BE202" s="143"/>
      <c r="BF202" s="137"/>
      <c r="BG202" s="137"/>
      <c r="BH202" s="137"/>
      <c r="BI202" s="137"/>
      <c r="BJ202" s="137"/>
      <c r="BK202" s="137"/>
      <c r="BL202" s="137"/>
      <c r="BM202" s="137"/>
      <c r="BN202" s="137"/>
      <c r="BO202" s="137"/>
      <c r="BP202" s="137"/>
      <c r="BQ202" s="137"/>
      <c r="BR202" s="137"/>
      <c r="BS202" s="137"/>
      <c r="BT202" s="189"/>
      <c r="BU202" s="189"/>
      <c r="BX202" s="143"/>
      <c r="BY202" s="143"/>
      <c r="BZ202" s="143"/>
      <c r="CA202" s="143"/>
    </row>
    <row r="203" spans="1:79" x14ac:dyDescent="0.25">
      <c r="A203" s="143"/>
      <c r="B203" s="143"/>
      <c r="C203" s="143"/>
      <c r="D203" s="143"/>
      <c r="E203" s="354"/>
      <c r="F203" s="354"/>
      <c r="G203" s="354"/>
      <c r="J203" s="143"/>
      <c r="K203" s="143"/>
      <c r="L203" s="143"/>
      <c r="M203" s="143"/>
      <c r="N203" s="137"/>
      <c r="O203" s="137"/>
      <c r="P203" s="265"/>
      <c r="Q203" s="137"/>
      <c r="R203" s="137"/>
      <c r="S203" s="137"/>
      <c r="T203" s="137"/>
      <c r="V203" s="143"/>
      <c r="W203" s="143"/>
      <c r="X203" s="143"/>
      <c r="Y203" s="143"/>
      <c r="Z203" s="137"/>
      <c r="AA203" s="137"/>
      <c r="AB203" s="137"/>
      <c r="AC203" s="137"/>
      <c r="AD203" s="137"/>
      <c r="AE203" s="137"/>
      <c r="AF203" s="137"/>
      <c r="AG203" s="137"/>
      <c r="AH203" s="137"/>
      <c r="AI203" s="137"/>
      <c r="AJ203" s="137"/>
      <c r="AK203" s="137"/>
      <c r="AM203" s="143"/>
      <c r="AN203" s="143"/>
      <c r="AO203" s="143"/>
      <c r="AP203" s="143"/>
      <c r="AQ203" s="137"/>
      <c r="AR203" s="137"/>
      <c r="AS203" s="137"/>
      <c r="AT203" s="137"/>
      <c r="AU203" s="137"/>
      <c r="AV203" s="137"/>
      <c r="AW203" s="137"/>
      <c r="AX203" s="189"/>
      <c r="AY203" s="189"/>
      <c r="BB203" s="143"/>
      <c r="BC203" s="143"/>
      <c r="BD203" s="143"/>
      <c r="BE203" s="143"/>
      <c r="BF203" s="137"/>
      <c r="BG203" s="137"/>
      <c r="BH203" s="137"/>
      <c r="BI203" s="137"/>
      <c r="BJ203" s="137"/>
      <c r="BK203" s="137"/>
      <c r="BL203" s="137"/>
      <c r="BM203" s="137"/>
      <c r="BN203" s="137"/>
      <c r="BO203" s="137"/>
      <c r="BP203" s="137"/>
      <c r="BQ203" s="137"/>
      <c r="BR203" s="137"/>
      <c r="BS203" s="137"/>
      <c r="BT203" s="189"/>
      <c r="BU203" s="189"/>
      <c r="BX203" s="143"/>
      <c r="BY203" s="143"/>
      <c r="BZ203" s="143"/>
      <c r="CA203" s="143"/>
    </row>
    <row r="204" spans="1:79" x14ac:dyDescent="0.25">
      <c r="A204" s="143"/>
      <c r="B204" s="143"/>
      <c r="C204" s="143"/>
      <c r="D204" s="143"/>
      <c r="E204" s="354"/>
      <c r="F204" s="354"/>
      <c r="G204" s="354"/>
      <c r="J204" s="143"/>
      <c r="K204" s="143"/>
      <c r="L204" s="143"/>
      <c r="M204" s="143"/>
      <c r="N204" s="137"/>
      <c r="O204" s="137"/>
      <c r="P204" s="265"/>
      <c r="Q204" s="137"/>
      <c r="R204" s="137"/>
      <c r="S204" s="137"/>
      <c r="T204" s="137"/>
      <c r="V204" s="143"/>
      <c r="W204" s="143"/>
      <c r="X204" s="143"/>
      <c r="Y204" s="143"/>
      <c r="Z204" s="137"/>
      <c r="AA204" s="137"/>
      <c r="AB204" s="137"/>
      <c r="AC204" s="137"/>
      <c r="AD204" s="137"/>
      <c r="AE204" s="137"/>
      <c r="AF204" s="137"/>
      <c r="AG204" s="137"/>
      <c r="AH204" s="137"/>
      <c r="AI204" s="137"/>
      <c r="AJ204" s="137"/>
      <c r="AK204" s="137"/>
      <c r="AM204" s="143"/>
      <c r="AN204" s="143"/>
      <c r="AO204" s="143"/>
      <c r="AP204" s="143"/>
      <c r="AQ204" s="137"/>
      <c r="AR204" s="137"/>
      <c r="AS204" s="137"/>
      <c r="AT204" s="137"/>
      <c r="AU204" s="137"/>
      <c r="AV204" s="137"/>
      <c r="AW204" s="137"/>
      <c r="AX204" s="189"/>
      <c r="AY204" s="189"/>
      <c r="BB204" s="143"/>
      <c r="BC204" s="143"/>
      <c r="BD204" s="143"/>
      <c r="BE204" s="143"/>
      <c r="BF204" s="137"/>
      <c r="BG204" s="137"/>
      <c r="BH204" s="137"/>
      <c r="BI204" s="137"/>
      <c r="BJ204" s="137"/>
      <c r="BK204" s="137"/>
      <c r="BL204" s="137"/>
      <c r="BM204" s="137"/>
      <c r="BN204" s="137"/>
      <c r="BO204" s="137"/>
      <c r="BP204" s="137"/>
      <c r="BQ204" s="137"/>
      <c r="BR204" s="137"/>
      <c r="BS204" s="137"/>
      <c r="BT204" s="189"/>
      <c r="BU204" s="189"/>
      <c r="BX204" s="143"/>
      <c r="BY204" s="143"/>
      <c r="BZ204" s="143"/>
      <c r="CA204" s="143"/>
    </row>
    <row r="205" spans="1:79" x14ac:dyDescent="0.25">
      <c r="A205" s="143"/>
      <c r="B205" s="143"/>
      <c r="C205" s="143"/>
      <c r="D205" s="143"/>
      <c r="E205" s="354"/>
      <c r="F205" s="354"/>
      <c r="G205" s="354"/>
      <c r="J205" s="143"/>
      <c r="K205" s="143"/>
      <c r="L205" s="143"/>
      <c r="M205" s="143"/>
      <c r="N205" s="137"/>
      <c r="O205" s="137"/>
      <c r="P205" s="265"/>
      <c r="Q205" s="137"/>
      <c r="R205" s="137"/>
      <c r="S205" s="137"/>
      <c r="T205" s="137"/>
      <c r="V205" s="143"/>
      <c r="W205" s="143"/>
      <c r="X205" s="143"/>
      <c r="Y205" s="143"/>
      <c r="Z205" s="137"/>
      <c r="AA205" s="137"/>
      <c r="AB205" s="137"/>
      <c r="AC205" s="137"/>
      <c r="AD205" s="137"/>
      <c r="AE205" s="137"/>
      <c r="AF205" s="137"/>
      <c r="AG205" s="137"/>
      <c r="AH205" s="137"/>
      <c r="AI205" s="137"/>
      <c r="AJ205" s="137"/>
      <c r="AK205" s="137"/>
      <c r="AM205" s="143"/>
      <c r="AN205" s="143"/>
      <c r="AO205" s="143"/>
      <c r="AP205" s="143"/>
      <c r="AQ205" s="137"/>
      <c r="AR205" s="137"/>
      <c r="AS205" s="137"/>
      <c r="AT205" s="137"/>
      <c r="AU205" s="137"/>
      <c r="AV205" s="137"/>
      <c r="AW205" s="137"/>
      <c r="AX205" s="189"/>
      <c r="AY205" s="189"/>
      <c r="BB205" s="143"/>
      <c r="BC205" s="143"/>
      <c r="BD205" s="143"/>
      <c r="BE205" s="143"/>
      <c r="BF205" s="137"/>
      <c r="BG205" s="137"/>
      <c r="BH205" s="137"/>
      <c r="BI205" s="137"/>
      <c r="BJ205" s="137"/>
      <c r="BK205" s="137"/>
      <c r="BL205" s="137"/>
      <c r="BM205" s="137"/>
      <c r="BN205" s="137"/>
      <c r="BO205" s="137"/>
      <c r="BP205" s="137"/>
      <c r="BQ205" s="137"/>
      <c r="BR205" s="137"/>
      <c r="BS205" s="137"/>
      <c r="BT205" s="189"/>
      <c r="BU205" s="189"/>
      <c r="BX205" s="143"/>
      <c r="BY205" s="143"/>
      <c r="BZ205" s="143"/>
      <c r="CA205" s="143"/>
    </row>
    <row r="206" spans="1:79" x14ac:dyDescent="0.25">
      <c r="A206" s="143"/>
      <c r="B206" s="143"/>
      <c r="C206" s="143"/>
      <c r="D206" s="143"/>
      <c r="E206" s="354"/>
      <c r="F206" s="354"/>
      <c r="G206" s="354"/>
      <c r="J206" s="143"/>
      <c r="K206" s="143"/>
      <c r="L206" s="143"/>
      <c r="M206" s="143"/>
      <c r="N206" s="137"/>
      <c r="O206" s="137"/>
      <c r="P206" s="265"/>
      <c r="Q206" s="137"/>
      <c r="R206" s="137"/>
      <c r="S206" s="137"/>
      <c r="T206" s="137"/>
      <c r="V206" s="143"/>
      <c r="W206" s="143"/>
      <c r="X206" s="143"/>
      <c r="Y206" s="143"/>
      <c r="Z206" s="137"/>
      <c r="AA206" s="137"/>
      <c r="AB206" s="137"/>
      <c r="AC206" s="137"/>
      <c r="AD206" s="137"/>
      <c r="AE206" s="137"/>
      <c r="AF206" s="137"/>
      <c r="AG206" s="137"/>
      <c r="AH206" s="137"/>
      <c r="AI206" s="137"/>
      <c r="AJ206" s="137"/>
      <c r="AK206" s="137"/>
      <c r="AM206" s="143"/>
      <c r="AN206" s="143"/>
      <c r="AO206" s="143"/>
      <c r="AP206" s="143"/>
      <c r="AQ206" s="137"/>
      <c r="AR206" s="137"/>
      <c r="AS206" s="137"/>
      <c r="AT206" s="137"/>
      <c r="AU206" s="137"/>
      <c r="AV206" s="137"/>
      <c r="AW206" s="137"/>
      <c r="AX206" s="189"/>
      <c r="AY206" s="189"/>
      <c r="BB206" s="143"/>
      <c r="BC206" s="143"/>
      <c r="BD206" s="143"/>
      <c r="BE206" s="143"/>
      <c r="BF206" s="137"/>
      <c r="BG206" s="137"/>
      <c r="BH206" s="137"/>
      <c r="BI206" s="137"/>
      <c r="BJ206" s="137"/>
      <c r="BK206" s="137"/>
      <c r="BL206" s="137"/>
      <c r="BM206" s="137"/>
      <c r="BN206" s="137"/>
      <c r="BO206" s="137"/>
      <c r="BP206" s="137"/>
      <c r="BQ206" s="137"/>
      <c r="BR206" s="137"/>
      <c r="BS206" s="137"/>
      <c r="BT206" s="189"/>
      <c r="BU206" s="189"/>
      <c r="BX206" s="143"/>
      <c r="BY206" s="143"/>
      <c r="BZ206" s="143"/>
      <c r="CA206" s="143"/>
    </row>
    <row r="207" spans="1:79" x14ac:dyDescent="0.25">
      <c r="A207" s="143"/>
      <c r="B207" s="143"/>
      <c r="C207" s="143"/>
      <c r="D207" s="143"/>
      <c r="E207" s="354"/>
      <c r="F207" s="354"/>
      <c r="G207" s="354"/>
      <c r="J207" s="143"/>
      <c r="K207" s="143"/>
      <c r="L207" s="143"/>
      <c r="M207" s="143"/>
      <c r="N207" s="137"/>
      <c r="O207" s="137"/>
      <c r="P207" s="265"/>
      <c r="Q207" s="137"/>
      <c r="R207" s="137"/>
      <c r="S207" s="137"/>
      <c r="T207" s="137"/>
      <c r="V207" s="143"/>
      <c r="W207" s="143"/>
      <c r="X207" s="143"/>
      <c r="Y207" s="143"/>
      <c r="Z207" s="137"/>
      <c r="AA207" s="137"/>
      <c r="AB207" s="137"/>
      <c r="AC207" s="137"/>
      <c r="AD207" s="137"/>
      <c r="AE207" s="137"/>
      <c r="AF207" s="137"/>
      <c r="AG207" s="137"/>
      <c r="AH207" s="137"/>
      <c r="AI207" s="137"/>
      <c r="AJ207" s="137"/>
      <c r="AK207" s="137"/>
      <c r="AM207" s="143"/>
      <c r="AN207" s="143"/>
      <c r="AO207" s="143"/>
      <c r="AP207" s="143"/>
      <c r="AQ207" s="137"/>
      <c r="AR207" s="137"/>
      <c r="AS207" s="137"/>
      <c r="AT207" s="137"/>
      <c r="AU207" s="137"/>
      <c r="AV207" s="137"/>
      <c r="AW207" s="137"/>
      <c r="AX207" s="189"/>
      <c r="AY207" s="189"/>
      <c r="BB207" s="143"/>
      <c r="BC207" s="143"/>
      <c r="BD207" s="143"/>
      <c r="BE207" s="143"/>
      <c r="BF207" s="137"/>
      <c r="BG207" s="137"/>
      <c r="BH207" s="137"/>
      <c r="BI207" s="137"/>
      <c r="BJ207" s="137"/>
      <c r="BK207" s="137"/>
      <c r="BL207" s="137"/>
      <c r="BM207" s="137"/>
      <c r="BN207" s="137"/>
      <c r="BO207" s="137"/>
      <c r="BP207" s="137"/>
      <c r="BQ207" s="137"/>
      <c r="BR207" s="137"/>
      <c r="BS207" s="137"/>
      <c r="BT207" s="189"/>
      <c r="BU207" s="189"/>
      <c r="BX207" s="143"/>
      <c r="BY207" s="143"/>
      <c r="BZ207" s="143"/>
      <c r="CA207" s="143"/>
    </row>
    <row r="208" spans="1:79" x14ac:dyDescent="0.25">
      <c r="A208" s="143"/>
      <c r="B208" s="143"/>
      <c r="C208" s="143"/>
      <c r="D208" s="143"/>
      <c r="E208" s="354"/>
      <c r="F208" s="354"/>
      <c r="G208" s="354"/>
      <c r="J208" s="143"/>
      <c r="K208" s="143"/>
      <c r="L208" s="143"/>
      <c r="M208" s="143"/>
      <c r="N208" s="137"/>
      <c r="O208" s="137"/>
      <c r="P208" s="265"/>
      <c r="Q208" s="137"/>
      <c r="R208" s="137"/>
      <c r="S208" s="137"/>
      <c r="T208" s="137"/>
      <c r="V208" s="143"/>
      <c r="W208" s="143"/>
      <c r="X208" s="143"/>
      <c r="Y208" s="143"/>
      <c r="Z208" s="137"/>
      <c r="AA208" s="137"/>
      <c r="AB208" s="137"/>
      <c r="AC208" s="137"/>
      <c r="AD208" s="137"/>
      <c r="AE208" s="137"/>
      <c r="AF208" s="137"/>
      <c r="AG208" s="137"/>
      <c r="AH208" s="137"/>
      <c r="AI208" s="137"/>
      <c r="AJ208" s="137"/>
      <c r="AK208" s="137"/>
      <c r="AM208" s="143"/>
      <c r="AN208" s="143"/>
      <c r="AO208" s="143"/>
      <c r="AP208" s="143"/>
      <c r="AQ208" s="137"/>
      <c r="AR208" s="137"/>
      <c r="AS208" s="137"/>
      <c r="AT208" s="137"/>
      <c r="AU208" s="137"/>
      <c r="AV208" s="137"/>
      <c r="AW208" s="137"/>
      <c r="AX208" s="189"/>
      <c r="AY208" s="189"/>
      <c r="BB208" s="143"/>
      <c r="BC208" s="143"/>
      <c r="BD208" s="143"/>
      <c r="BE208" s="143"/>
      <c r="BF208" s="137"/>
      <c r="BG208" s="137"/>
      <c r="BH208" s="137"/>
      <c r="BI208" s="137"/>
      <c r="BJ208" s="137"/>
      <c r="BK208" s="137"/>
      <c r="BL208" s="137"/>
      <c r="BM208" s="137"/>
      <c r="BN208" s="137"/>
      <c r="BO208" s="137"/>
      <c r="BP208" s="137"/>
      <c r="BQ208" s="137"/>
      <c r="BR208" s="137"/>
      <c r="BS208" s="137"/>
      <c r="BT208" s="189"/>
      <c r="BU208" s="189"/>
      <c r="BX208" s="143"/>
      <c r="BY208" s="143"/>
      <c r="BZ208" s="143"/>
      <c r="CA208" s="143"/>
    </row>
    <row r="209" spans="1:79" x14ac:dyDescent="0.25">
      <c r="A209" s="143"/>
      <c r="B209" s="143"/>
      <c r="C209" s="143"/>
      <c r="D209" s="143"/>
      <c r="E209" s="354"/>
      <c r="F209" s="354"/>
      <c r="G209" s="354"/>
      <c r="J209" s="143"/>
      <c r="K209" s="143"/>
      <c r="L209" s="143"/>
      <c r="M209" s="143"/>
      <c r="N209" s="137"/>
      <c r="O209" s="137"/>
      <c r="P209" s="265"/>
      <c r="Q209" s="137"/>
      <c r="R209" s="137"/>
      <c r="S209" s="137"/>
      <c r="T209" s="137"/>
      <c r="V209" s="143"/>
      <c r="W209" s="143"/>
      <c r="X209" s="143"/>
      <c r="Y209" s="143"/>
      <c r="Z209" s="137"/>
      <c r="AA209" s="137"/>
      <c r="AB209" s="137"/>
      <c r="AC209" s="137"/>
      <c r="AD209" s="137"/>
      <c r="AE209" s="137"/>
      <c r="AF209" s="137"/>
      <c r="AG209" s="137"/>
      <c r="AH209" s="137"/>
      <c r="AI209" s="137"/>
      <c r="AJ209" s="137"/>
      <c r="AK209" s="137"/>
      <c r="AM209" s="143"/>
      <c r="AN209" s="143"/>
      <c r="AO209" s="143"/>
      <c r="AP209" s="143"/>
      <c r="AQ209" s="137"/>
      <c r="AR209" s="137"/>
      <c r="AS209" s="137"/>
      <c r="AT209" s="137"/>
      <c r="AU209" s="137"/>
      <c r="AV209" s="137"/>
      <c r="AW209" s="137"/>
      <c r="AX209" s="189"/>
      <c r="AY209" s="189"/>
      <c r="BB209" s="143"/>
      <c r="BC209" s="143"/>
      <c r="BD209" s="143"/>
      <c r="BE209" s="143"/>
      <c r="BF209" s="137"/>
      <c r="BG209" s="137"/>
      <c r="BH209" s="137"/>
      <c r="BI209" s="137"/>
      <c r="BJ209" s="137"/>
      <c r="BK209" s="137"/>
      <c r="BL209" s="137"/>
      <c r="BM209" s="137"/>
      <c r="BN209" s="137"/>
      <c r="BO209" s="137"/>
      <c r="BP209" s="137"/>
      <c r="BQ209" s="137"/>
      <c r="BR209" s="137"/>
      <c r="BS209" s="137"/>
      <c r="BT209" s="189"/>
      <c r="BU209" s="189"/>
      <c r="BX209" s="143"/>
      <c r="BY209" s="143"/>
      <c r="BZ209" s="143"/>
      <c r="CA209" s="143"/>
    </row>
    <row r="210" spans="1:79" x14ac:dyDescent="0.25">
      <c r="A210" s="143"/>
      <c r="B210" s="143"/>
      <c r="C210" s="143"/>
      <c r="D210" s="143"/>
      <c r="E210" s="354"/>
      <c r="F210" s="354"/>
      <c r="G210" s="354"/>
      <c r="J210" s="143"/>
      <c r="K210" s="252"/>
      <c r="L210" s="143"/>
      <c r="M210" s="143"/>
      <c r="N210" s="137"/>
      <c r="O210" s="137"/>
      <c r="P210" s="265"/>
      <c r="Q210" s="137"/>
      <c r="R210" s="137"/>
      <c r="S210" s="137"/>
      <c r="T210" s="137"/>
      <c r="V210" s="143"/>
      <c r="W210" s="143"/>
      <c r="X210" s="143"/>
      <c r="Y210" s="143"/>
      <c r="Z210" s="137"/>
      <c r="AA210" s="137"/>
      <c r="AB210" s="137"/>
      <c r="AC210" s="137"/>
      <c r="AD210" s="137"/>
      <c r="AE210" s="137"/>
      <c r="AF210" s="137"/>
      <c r="AG210" s="137"/>
      <c r="AH210" s="137"/>
      <c r="AI210" s="137"/>
      <c r="AJ210" s="137"/>
      <c r="AK210" s="137"/>
      <c r="AM210" s="143"/>
      <c r="AN210" s="143"/>
      <c r="AO210" s="143"/>
      <c r="AP210" s="143"/>
      <c r="AQ210" s="137"/>
      <c r="AR210" s="137"/>
      <c r="AS210" s="137"/>
      <c r="AT210" s="137"/>
      <c r="AU210" s="137"/>
      <c r="AV210" s="137"/>
      <c r="AW210" s="137"/>
      <c r="AX210" s="189"/>
      <c r="AY210" s="189"/>
      <c r="BB210" s="143"/>
      <c r="BC210" s="143"/>
      <c r="BD210" s="143"/>
      <c r="BE210" s="143"/>
      <c r="BF210" s="137"/>
      <c r="BG210" s="137"/>
      <c r="BH210" s="137"/>
      <c r="BI210" s="137"/>
      <c r="BJ210" s="137"/>
      <c r="BK210" s="137"/>
      <c r="BL210" s="137"/>
      <c r="BM210" s="137"/>
      <c r="BN210" s="137"/>
      <c r="BO210" s="137"/>
      <c r="BP210" s="137"/>
      <c r="BQ210" s="137"/>
      <c r="BR210" s="137"/>
      <c r="BS210" s="137"/>
      <c r="BT210" s="189"/>
      <c r="BU210" s="189"/>
      <c r="BX210" s="143"/>
      <c r="BY210" s="143"/>
      <c r="BZ210" s="143"/>
      <c r="CA210" s="143"/>
    </row>
    <row r="211" spans="1:79" x14ac:dyDescent="0.25">
      <c r="A211" s="143"/>
      <c r="B211" s="143"/>
      <c r="C211" s="143"/>
      <c r="D211" s="143"/>
      <c r="E211" s="354"/>
      <c r="F211" s="354"/>
      <c r="G211" s="354"/>
      <c r="J211" s="143"/>
      <c r="K211" s="252"/>
      <c r="L211" s="143"/>
      <c r="M211" s="143"/>
      <c r="N211" s="137"/>
      <c r="O211" s="137"/>
      <c r="P211" s="265"/>
      <c r="Q211" s="137"/>
      <c r="R211" s="137"/>
      <c r="S211" s="137"/>
      <c r="T211" s="137"/>
      <c r="V211" s="143"/>
      <c r="W211" s="143"/>
      <c r="X211" s="143"/>
      <c r="Y211" s="143"/>
      <c r="Z211" s="137"/>
      <c r="AA211" s="137"/>
      <c r="AB211" s="137"/>
      <c r="AC211" s="137"/>
      <c r="AD211" s="137"/>
      <c r="AE211" s="137"/>
      <c r="AF211" s="137"/>
      <c r="AG211" s="137"/>
      <c r="AH211" s="137"/>
      <c r="AI211" s="137"/>
      <c r="AJ211" s="137"/>
      <c r="AK211" s="137"/>
      <c r="AM211" s="143"/>
      <c r="AN211" s="143"/>
      <c r="AO211" s="143"/>
      <c r="AP211" s="143"/>
      <c r="AQ211" s="137"/>
      <c r="AR211" s="137"/>
      <c r="AS211" s="137"/>
      <c r="AT211" s="137"/>
      <c r="AU211" s="137"/>
      <c r="AV211" s="137"/>
      <c r="AW211" s="137"/>
      <c r="AX211" s="189"/>
      <c r="AY211" s="189"/>
      <c r="BB211" s="143"/>
      <c r="BC211" s="143"/>
      <c r="BD211" s="143"/>
      <c r="BE211" s="143"/>
      <c r="BF211" s="137"/>
      <c r="BG211" s="137"/>
      <c r="BH211" s="137"/>
      <c r="BI211" s="137"/>
      <c r="BJ211" s="137"/>
      <c r="BK211" s="137"/>
      <c r="BL211" s="137"/>
      <c r="BM211" s="137"/>
      <c r="BN211" s="137"/>
      <c r="BO211" s="137"/>
      <c r="BP211" s="137"/>
      <c r="BQ211" s="137"/>
      <c r="BR211" s="137"/>
      <c r="BS211" s="137"/>
      <c r="BT211" s="189"/>
      <c r="BU211" s="189"/>
      <c r="BX211" s="143"/>
      <c r="BY211" s="143"/>
      <c r="BZ211" s="143"/>
      <c r="CA211" s="143"/>
    </row>
    <row r="212" spans="1:79" x14ac:dyDescent="0.25">
      <c r="A212" s="143"/>
      <c r="B212" s="143"/>
      <c r="C212" s="143"/>
      <c r="D212" s="143"/>
      <c r="E212" s="354"/>
      <c r="F212" s="354"/>
      <c r="G212" s="354"/>
      <c r="J212" s="143"/>
      <c r="K212" s="252"/>
      <c r="L212" s="143"/>
      <c r="M212" s="143"/>
      <c r="N212" s="137"/>
      <c r="O212" s="137"/>
      <c r="P212" s="265"/>
      <c r="Q212" s="137"/>
      <c r="R212" s="137"/>
      <c r="S212" s="137"/>
      <c r="T212" s="137"/>
      <c r="V212" s="143"/>
      <c r="W212" s="143"/>
      <c r="X212" s="143"/>
      <c r="Y212" s="143"/>
      <c r="Z212" s="137"/>
      <c r="AA212" s="137"/>
      <c r="AB212" s="137"/>
      <c r="AC212" s="137"/>
      <c r="AD212" s="137"/>
      <c r="AE212" s="137"/>
      <c r="AF212" s="137"/>
      <c r="AG212" s="137"/>
      <c r="AH212" s="137"/>
      <c r="AI212" s="137"/>
      <c r="AJ212" s="137"/>
      <c r="AK212" s="137"/>
      <c r="AM212" s="143"/>
      <c r="AN212" s="143"/>
      <c r="AO212" s="143"/>
      <c r="AP212" s="143"/>
      <c r="AQ212" s="137"/>
      <c r="AR212" s="137"/>
      <c r="AS212" s="137"/>
      <c r="AT212" s="137"/>
      <c r="AU212" s="137"/>
      <c r="AV212" s="137"/>
      <c r="AW212" s="137"/>
      <c r="AX212" s="189"/>
      <c r="AY212" s="189"/>
      <c r="BB212" s="143"/>
      <c r="BC212" s="143"/>
      <c r="BD212" s="143"/>
      <c r="BE212" s="143"/>
      <c r="BF212" s="137"/>
      <c r="BG212" s="137"/>
      <c r="BH212" s="137"/>
      <c r="BI212" s="137"/>
      <c r="BJ212" s="137"/>
      <c r="BK212" s="137"/>
      <c r="BL212" s="137"/>
      <c r="BM212" s="137"/>
      <c r="BN212" s="137"/>
      <c r="BO212" s="137"/>
      <c r="BP212" s="137"/>
      <c r="BQ212" s="137"/>
      <c r="BR212" s="137"/>
      <c r="BS212" s="137"/>
      <c r="BT212" s="189"/>
      <c r="BU212" s="189"/>
      <c r="BX212" s="143"/>
      <c r="BY212" s="143"/>
      <c r="BZ212" s="143"/>
      <c r="CA212" s="143"/>
    </row>
    <row r="213" spans="1:79" x14ac:dyDescent="0.25">
      <c r="A213" s="143"/>
      <c r="B213" s="143"/>
      <c r="C213" s="143"/>
      <c r="D213" s="143"/>
      <c r="E213" s="354"/>
      <c r="F213" s="354"/>
      <c r="G213" s="354"/>
      <c r="J213" s="143"/>
      <c r="K213" s="252"/>
      <c r="L213" s="143"/>
      <c r="M213" s="143"/>
      <c r="N213" s="137"/>
      <c r="O213" s="137"/>
      <c r="P213" s="265"/>
      <c r="Q213" s="137"/>
      <c r="R213" s="137"/>
      <c r="S213" s="137"/>
      <c r="T213" s="137"/>
      <c r="V213" s="143"/>
      <c r="W213" s="143"/>
      <c r="X213" s="143"/>
      <c r="Y213" s="143"/>
      <c r="Z213" s="137"/>
      <c r="AA213" s="137"/>
      <c r="AB213" s="137"/>
      <c r="AC213" s="137"/>
      <c r="AD213" s="137"/>
      <c r="AE213" s="137"/>
      <c r="AF213" s="137"/>
      <c r="AG213" s="137"/>
      <c r="AH213" s="137"/>
      <c r="AI213" s="137"/>
      <c r="AJ213" s="137"/>
      <c r="AK213" s="137"/>
      <c r="AM213" s="143"/>
      <c r="AN213" s="143"/>
      <c r="AO213" s="143"/>
      <c r="AP213" s="143"/>
      <c r="AQ213" s="137"/>
      <c r="AR213" s="137"/>
      <c r="AS213" s="137"/>
      <c r="AT213" s="137"/>
      <c r="AU213" s="137"/>
      <c r="AV213" s="137"/>
      <c r="AW213" s="137"/>
      <c r="AX213" s="189"/>
      <c r="AY213" s="189"/>
      <c r="BB213" s="143"/>
      <c r="BC213" s="143"/>
      <c r="BD213" s="143"/>
      <c r="BE213" s="143"/>
      <c r="BF213" s="137"/>
      <c r="BG213" s="137"/>
      <c r="BH213" s="137"/>
      <c r="BI213" s="137"/>
      <c r="BJ213" s="137"/>
      <c r="BK213" s="137"/>
      <c r="BL213" s="137"/>
      <c r="BM213" s="137"/>
      <c r="BN213" s="137"/>
      <c r="BO213" s="137"/>
      <c r="BP213" s="137"/>
      <c r="BQ213" s="137"/>
      <c r="BR213" s="137"/>
      <c r="BS213" s="137"/>
      <c r="BT213" s="189"/>
      <c r="BU213" s="189"/>
      <c r="BX213" s="143"/>
      <c r="BY213" s="143"/>
      <c r="BZ213" s="143"/>
      <c r="CA213" s="143"/>
    </row>
    <row r="214" spans="1:79" x14ac:dyDescent="0.25">
      <c r="A214" s="143"/>
      <c r="B214" s="143"/>
      <c r="C214" s="143"/>
      <c r="D214" s="143"/>
      <c r="E214" s="354"/>
      <c r="F214" s="354"/>
      <c r="G214" s="354"/>
      <c r="J214" s="143"/>
      <c r="K214" s="252"/>
      <c r="L214" s="143"/>
      <c r="M214" s="143"/>
      <c r="N214" s="137"/>
      <c r="O214" s="137"/>
      <c r="P214" s="265"/>
      <c r="Q214" s="137"/>
      <c r="R214" s="137"/>
      <c r="S214" s="137"/>
      <c r="T214" s="137"/>
      <c r="V214" s="143"/>
      <c r="W214" s="143"/>
      <c r="X214" s="143"/>
      <c r="Y214" s="143"/>
      <c r="Z214" s="137"/>
      <c r="AA214" s="137"/>
      <c r="AB214" s="137"/>
      <c r="AC214" s="137"/>
      <c r="AD214" s="137"/>
      <c r="AE214" s="137"/>
      <c r="AF214" s="137"/>
      <c r="AG214" s="137"/>
      <c r="AH214" s="137"/>
      <c r="AI214" s="137"/>
      <c r="AJ214" s="137"/>
      <c r="AK214" s="137"/>
      <c r="AM214" s="143"/>
      <c r="AN214" s="143"/>
      <c r="AO214" s="143"/>
      <c r="AP214" s="143"/>
      <c r="AQ214" s="137"/>
      <c r="AR214" s="137"/>
      <c r="AS214" s="137"/>
      <c r="AT214" s="137"/>
      <c r="AU214" s="137"/>
      <c r="AV214" s="137"/>
      <c r="AW214" s="137"/>
      <c r="AX214" s="189"/>
      <c r="AY214" s="189"/>
      <c r="BB214" s="143"/>
      <c r="BC214" s="143"/>
      <c r="BD214" s="143"/>
      <c r="BE214" s="143"/>
      <c r="BF214" s="137"/>
      <c r="BG214" s="137"/>
      <c r="BH214" s="137"/>
      <c r="BI214" s="137"/>
      <c r="BJ214" s="137"/>
      <c r="BK214" s="137"/>
      <c r="BL214" s="137"/>
      <c r="BM214" s="137"/>
      <c r="BN214" s="137"/>
      <c r="BO214" s="137"/>
      <c r="BP214" s="137"/>
      <c r="BQ214" s="137"/>
      <c r="BR214" s="137"/>
      <c r="BS214" s="137"/>
      <c r="BT214" s="189"/>
      <c r="BU214" s="189"/>
      <c r="BX214" s="143"/>
      <c r="BY214" s="143"/>
      <c r="BZ214" s="143"/>
      <c r="CA214" s="143"/>
    </row>
    <row r="215" spans="1:79" x14ac:dyDescent="0.25">
      <c r="A215" s="143"/>
      <c r="B215" s="143"/>
      <c r="C215" s="143"/>
      <c r="D215" s="143"/>
      <c r="E215" s="354"/>
      <c r="F215" s="354"/>
      <c r="G215" s="354"/>
      <c r="J215" s="143"/>
      <c r="K215" s="252"/>
      <c r="L215" s="143"/>
      <c r="M215" s="143"/>
      <c r="N215" s="137"/>
      <c r="O215" s="137"/>
      <c r="P215" s="265"/>
      <c r="Q215" s="137"/>
      <c r="R215" s="137"/>
      <c r="S215" s="137"/>
      <c r="T215" s="137"/>
      <c r="V215" s="143"/>
      <c r="W215" s="143"/>
      <c r="X215" s="143"/>
      <c r="Y215" s="143"/>
      <c r="Z215" s="137"/>
      <c r="AA215" s="137"/>
      <c r="AB215" s="137"/>
      <c r="AC215" s="137"/>
      <c r="AD215" s="137"/>
      <c r="AE215" s="137"/>
      <c r="AF215" s="137"/>
      <c r="AG215" s="137"/>
      <c r="AH215" s="137"/>
      <c r="AI215" s="137"/>
      <c r="AJ215" s="137"/>
      <c r="AK215" s="137"/>
      <c r="AM215" s="143"/>
      <c r="AN215" s="143"/>
      <c r="AO215" s="143"/>
      <c r="AP215" s="143"/>
      <c r="AQ215" s="137"/>
      <c r="AR215" s="137"/>
      <c r="AS215" s="137"/>
      <c r="AT215" s="137"/>
      <c r="AU215" s="137"/>
      <c r="AV215" s="137"/>
      <c r="AW215" s="137"/>
      <c r="AX215" s="189"/>
      <c r="AY215" s="189"/>
      <c r="BB215" s="143"/>
      <c r="BC215" s="143"/>
      <c r="BD215" s="143"/>
      <c r="BE215" s="143"/>
      <c r="BF215" s="137"/>
      <c r="BG215" s="137"/>
      <c r="BH215" s="137"/>
      <c r="BI215" s="137"/>
      <c r="BJ215" s="137"/>
      <c r="BK215" s="137"/>
      <c r="BL215" s="137"/>
      <c r="BM215" s="137"/>
      <c r="BN215" s="137"/>
      <c r="BO215" s="137"/>
      <c r="BP215" s="137"/>
      <c r="BQ215" s="137"/>
      <c r="BR215" s="137"/>
      <c r="BS215" s="137"/>
      <c r="BT215" s="189"/>
      <c r="BU215" s="189"/>
      <c r="BX215" s="143"/>
      <c r="BY215" s="143"/>
      <c r="BZ215" s="143"/>
      <c r="CA215" s="143"/>
    </row>
    <row r="216" spans="1:79" x14ac:dyDescent="0.25">
      <c r="A216" s="143"/>
      <c r="B216" s="143"/>
      <c r="C216" s="143"/>
      <c r="D216" s="143"/>
      <c r="E216" s="354"/>
      <c r="F216" s="354"/>
      <c r="G216" s="354"/>
      <c r="J216" s="143"/>
      <c r="K216" s="252"/>
      <c r="L216" s="143"/>
      <c r="M216" s="143"/>
      <c r="N216" s="137"/>
      <c r="O216" s="137"/>
      <c r="P216" s="265"/>
      <c r="Q216" s="137"/>
      <c r="R216" s="137"/>
      <c r="S216" s="137"/>
      <c r="T216" s="137"/>
      <c r="V216" s="143"/>
      <c r="W216" s="143"/>
      <c r="X216" s="143"/>
      <c r="Y216" s="143"/>
      <c r="Z216" s="137"/>
      <c r="AA216" s="137"/>
      <c r="AB216" s="137"/>
      <c r="AC216" s="137"/>
      <c r="AD216" s="137"/>
      <c r="AE216" s="137"/>
      <c r="AF216" s="137"/>
      <c r="AG216" s="137"/>
      <c r="AH216" s="137"/>
      <c r="AI216" s="137"/>
      <c r="AJ216" s="137"/>
      <c r="AK216" s="137"/>
      <c r="AM216" s="143"/>
      <c r="AN216" s="143"/>
      <c r="AO216" s="143"/>
      <c r="AP216" s="143"/>
      <c r="AQ216" s="137"/>
      <c r="AR216" s="137"/>
      <c r="AS216" s="137"/>
      <c r="AT216" s="137"/>
      <c r="AU216" s="137"/>
      <c r="AV216" s="137"/>
      <c r="AW216" s="137"/>
      <c r="AX216" s="189"/>
      <c r="AY216" s="189"/>
      <c r="BB216" s="143"/>
      <c r="BC216" s="143"/>
      <c r="BD216" s="143"/>
      <c r="BE216" s="143"/>
      <c r="BF216" s="137"/>
      <c r="BG216" s="137"/>
      <c r="BH216" s="137"/>
      <c r="BI216" s="137"/>
      <c r="BJ216" s="137"/>
      <c r="BK216" s="137"/>
      <c r="BL216" s="137"/>
      <c r="BM216" s="137"/>
      <c r="BN216" s="137"/>
      <c r="BO216" s="137"/>
      <c r="BP216" s="137"/>
      <c r="BQ216" s="137"/>
      <c r="BR216" s="137"/>
      <c r="BS216" s="137"/>
      <c r="BT216" s="189"/>
      <c r="BU216" s="189"/>
      <c r="BX216" s="143"/>
      <c r="BY216" s="143"/>
      <c r="BZ216" s="143"/>
      <c r="CA216" s="143"/>
    </row>
    <row r="217" spans="1:79" x14ac:dyDescent="0.25">
      <c r="A217" s="143"/>
      <c r="B217" s="143"/>
      <c r="C217" s="143"/>
      <c r="D217" s="143"/>
      <c r="E217" s="354"/>
      <c r="F217" s="354"/>
      <c r="G217" s="354"/>
      <c r="J217" s="143"/>
      <c r="K217" s="143"/>
      <c r="L217" s="143"/>
      <c r="M217" s="143"/>
      <c r="N217" s="137"/>
      <c r="O217" s="137"/>
      <c r="P217" s="265"/>
      <c r="Q217" s="137"/>
      <c r="R217" s="137"/>
      <c r="S217" s="137"/>
      <c r="T217" s="137"/>
      <c r="V217" s="143"/>
      <c r="W217" s="143"/>
      <c r="X217" s="143"/>
      <c r="Y217" s="143"/>
      <c r="Z217" s="137"/>
      <c r="AA217" s="137"/>
      <c r="AB217" s="137"/>
      <c r="AC217" s="137"/>
      <c r="AD217" s="137"/>
      <c r="AE217" s="137"/>
      <c r="AF217" s="137"/>
      <c r="AG217" s="137"/>
      <c r="AH217" s="137"/>
      <c r="AI217" s="137"/>
      <c r="AJ217" s="137"/>
      <c r="AK217" s="137"/>
      <c r="AM217" s="143"/>
      <c r="AN217" s="143"/>
      <c r="AO217" s="143"/>
      <c r="AP217" s="143"/>
      <c r="AQ217" s="137"/>
      <c r="AR217" s="137"/>
      <c r="AS217" s="137"/>
      <c r="AT217" s="137"/>
      <c r="AU217" s="137"/>
      <c r="AV217" s="137"/>
      <c r="AW217" s="137"/>
      <c r="AX217" s="189"/>
      <c r="AY217" s="189"/>
      <c r="BB217" s="143"/>
      <c r="BC217" s="143"/>
      <c r="BD217" s="143"/>
      <c r="BE217" s="143"/>
      <c r="BF217" s="137"/>
      <c r="BG217" s="137"/>
      <c r="BH217" s="137"/>
      <c r="BI217" s="137"/>
      <c r="BJ217" s="137"/>
      <c r="BK217" s="137"/>
      <c r="BL217" s="137"/>
      <c r="BM217" s="137"/>
      <c r="BN217" s="137"/>
      <c r="BO217" s="137"/>
      <c r="BP217" s="137"/>
      <c r="BQ217" s="137"/>
      <c r="BR217" s="137"/>
      <c r="BS217" s="137"/>
      <c r="BT217" s="189"/>
      <c r="BU217" s="189"/>
      <c r="BX217" s="143"/>
      <c r="BY217" s="143"/>
      <c r="BZ217" s="143"/>
      <c r="CA217" s="143"/>
    </row>
    <row r="218" spans="1:79" x14ac:dyDescent="0.25">
      <c r="A218" s="143"/>
      <c r="B218" s="143"/>
      <c r="C218" s="143"/>
      <c r="D218" s="143"/>
      <c r="E218" s="354"/>
      <c r="F218" s="354"/>
      <c r="G218" s="354"/>
      <c r="J218" s="143"/>
      <c r="K218" s="143"/>
      <c r="L218" s="143"/>
      <c r="M218" s="143"/>
      <c r="N218" s="137"/>
      <c r="O218" s="137"/>
      <c r="P218" s="265"/>
      <c r="Q218" s="137"/>
      <c r="R218" s="137"/>
      <c r="S218" s="137"/>
      <c r="T218" s="137"/>
      <c r="V218" s="143"/>
      <c r="W218" s="143"/>
      <c r="X218" s="143"/>
      <c r="Y218" s="143"/>
      <c r="Z218" s="137"/>
      <c r="AA218" s="137"/>
      <c r="AB218" s="137"/>
      <c r="AC218" s="137"/>
      <c r="AD218" s="137"/>
      <c r="AE218" s="137"/>
      <c r="AF218" s="137"/>
      <c r="AG218" s="137"/>
      <c r="AH218" s="137"/>
      <c r="AI218" s="137"/>
      <c r="AJ218" s="137"/>
      <c r="AK218" s="137"/>
      <c r="AM218" s="143"/>
      <c r="AN218" s="143"/>
      <c r="AO218" s="143"/>
      <c r="AP218" s="143"/>
      <c r="AQ218" s="137"/>
      <c r="AR218" s="137"/>
      <c r="AS218" s="137"/>
      <c r="AT218" s="137"/>
      <c r="AU218" s="137"/>
      <c r="AV218" s="137"/>
      <c r="AW218" s="137"/>
      <c r="AX218" s="189"/>
      <c r="AY218" s="189"/>
      <c r="BB218" s="143"/>
      <c r="BC218" s="143"/>
      <c r="BD218" s="143"/>
      <c r="BE218" s="143"/>
      <c r="BF218" s="137"/>
      <c r="BG218" s="137"/>
      <c r="BH218" s="137"/>
      <c r="BI218" s="137"/>
      <c r="BJ218" s="137"/>
      <c r="BK218" s="137"/>
      <c r="BL218" s="137"/>
      <c r="BM218" s="137"/>
      <c r="BN218" s="137"/>
      <c r="BO218" s="137"/>
      <c r="BP218" s="137"/>
      <c r="BQ218" s="137"/>
      <c r="BR218" s="137"/>
      <c r="BS218" s="137"/>
      <c r="BT218" s="189"/>
      <c r="BU218" s="189"/>
      <c r="BX218" s="143"/>
      <c r="BY218" s="143"/>
      <c r="BZ218" s="143"/>
      <c r="CA218" s="143"/>
    </row>
    <row r="219" spans="1:79" x14ac:dyDescent="0.25">
      <c r="A219" s="143"/>
      <c r="B219" s="143"/>
      <c r="C219" s="143"/>
      <c r="D219" s="143"/>
      <c r="E219" s="354"/>
      <c r="F219" s="354"/>
      <c r="G219" s="354"/>
      <c r="J219" s="143"/>
      <c r="K219" s="143"/>
      <c r="L219" s="143"/>
      <c r="M219" s="143"/>
      <c r="N219" s="137"/>
      <c r="O219" s="137"/>
      <c r="P219" s="265"/>
      <c r="Q219" s="137"/>
      <c r="R219" s="137"/>
      <c r="S219" s="137"/>
      <c r="T219" s="137"/>
      <c r="V219" s="143"/>
      <c r="W219" s="143"/>
      <c r="X219" s="143"/>
      <c r="Y219" s="143"/>
      <c r="Z219" s="137"/>
      <c r="AA219" s="137"/>
      <c r="AB219" s="137"/>
      <c r="AC219" s="137"/>
      <c r="AD219" s="137"/>
      <c r="AE219" s="137"/>
      <c r="AF219" s="137"/>
      <c r="AG219" s="137"/>
      <c r="AH219" s="137"/>
      <c r="AI219" s="137"/>
      <c r="AJ219" s="137"/>
      <c r="AK219" s="137"/>
      <c r="AM219" s="143"/>
      <c r="AN219" s="143"/>
      <c r="AO219" s="143"/>
      <c r="AP219" s="143"/>
      <c r="AQ219" s="137"/>
      <c r="AR219" s="137"/>
      <c r="AS219" s="137"/>
      <c r="AT219" s="137"/>
      <c r="AU219" s="137"/>
      <c r="AV219" s="137"/>
      <c r="AW219" s="137"/>
      <c r="AX219" s="189"/>
      <c r="AY219" s="189"/>
      <c r="BB219" s="143"/>
      <c r="BC219" s="143"/>
      <c r="BD219" s="143"/>
      <c r="BE219" s="143"/>
      <c r="BF219" s="137"/>
      <c r="BG219" s="137"/>
      <c r="BH219" s="137"/>
      <c r="BI219" s="137"/>
      <c r="BJ219" s="137"/>
      <c r="BK219" s="137"/>
      <c r="BL219" s="137"/>
      <c r="BM219" s="137"/>
      <c r="BN219" s="137"/>
      <c r="BO219" s="137"/>
      <c r="BP219" s="137"/>
      <c r="BQ219" s="137"/>
      <c r="BR219" s="137"/>
      <c r="BS219" s="137"/>
      <c r="BT219" s="189"/>
      <c r="BU219" s="189"/>
      <c r="BX219" s="143"/>
      <c r="BY219" s="143"/>
      <c r="BZ219" s="143"/>
      <c r="CA219" s="143"/>
    </row>
    <row r="220" spans="1:79" x14ac:dyDescent="0.25">
      <c r="A220" s="143"/>
      <c r="B220" s="143"/>
      <c r="C220" s="143"/>
      <c r="D220" s="143"/>
      <c r="E220" s="354"/>
      <c r="F220" s="354"/>
      <c r="G220" s="354"/>
      <c r="J220" s="143"/>
      <c r="K220" s="143"/>
      <c r="L220" s="143"/>
      <c r="M220" s="143"/>
      <c r="N220" s="137"/>
      <c r="O220" s="137"/>
      <c r="P220" s="265"/>
      <c r="Q220" s="137"/>
      <c r="R220" s="137"/>
      <c r="S220" s="137"/>
      <c r="T220" s="137"/>
      <c r="V220" s="143"/>
      <c r="W220" s="143"/>
      <c r="X220" s="143"/>
      <c r="Y220" s="143"/>
      <c r="Z220" s="137"/>
      <c r="AA220" s="137"/>
      <c r="AB220" s="137"/>
      <c r="AC220" s="137"/>
      <c r="AD220" s="137"/>
      <c r="AE220" s="137"/>
      <c r="AF220" s="137"/>
      <c r="AG220" s="137"/>
      <c r="AH220" s="137"/>
      <c r="AI220" s="137"/>
      <c r="AJ220" s="137"/>
      <c r="AK220" s="137"/>
      <c r="AM220" s="143"/>
      <c r="AN220" s="143"/>
      <c r="AO220" s="143"/>
      <c r="AP220" s="143"/>
      <c r="AQ220" s="137"/>
      <c r="AR220" s="137"/>
      <c r="AS220" s="137"/>
      <c r="AT220" s="137"/>
      <c r="AU220" s="137"/>
      <c r="AV220" s="137"/>
      <c r="AW220" s="137"/>
      <c r="AX220" s="189"/>
      <c r="AY220" s="189"/>
      <c r="BB220" s="143"/>
      <c r="BC220" s="143"/>
      <c r="BD220" s="143"/>
      <c r="BE220" s="143"/>
      <c r="BF220" s="137"/>
      <c r="BG220" s="137"/>
      <c r="BH220" s="137"/>
      <c r="BI220" s="137"/>
      <c r="BJ220" s="137"/>
      <c r="BK220" s="137"/>
      <c r="BL220" s="137"/>
      <c r="BM220" s="137"/>
      <c r="BN220" s="137"/>
      <c r="BO220" s="137"/>
      <c r="BP220" s="137"/>
      <c r="BQ220" s="137"/>
      <c r="BR220" s="137"/>
      <c r="BS220" s="137"/>
      <c r="BT220" s="189"/>
      <c r="BU220" s="189"/>
      <c r="BX220" s="143"/>
      <c r="BY220" s="143"/>
      <c r="BZ220" s="143"/>
      <c r="CA220" s="143"/>
    </row>
    <row r="221" spans="1:79" x14ac:dyDescent="0.25">
      <c r="A221" s="143"/>
      <c r="B221" s="143"/>
      <c r="C221" s="143"/>
      <c r="D221" s="143"/>
      <c r="E221" s="354"/>
      <c r="F221" s="354"/>
      <c r="G221" s="354"/>
      <c r="J221" s="143"/>
      <c r="K221" s="143"/>
      <c r="L221" s="143"/>
      <c r="M221" s="143"/>
      <c r="N221" s="137"/>
      <c r="O221" s="137"/>
      <c r="P221" s="265"/>
      <c r="Q221" s="137"/>
      <c r="R221" s="137"/>
      <c r="S221" s="137"/>
      <c r="T221" s="137"/>
      <c r="V221" s="143"/>
      <c r="W221" s="143"/>
      <c r="X221" s="143"/>
      <c r="Y221" s="143"/>
      <c r="Z221" s="137"/>
      <c r="AA221" s="137"/>
      <c r="AB221" s="137"/>
      <c r="AC221" s="137"/>
      <c r="AD221" s="137"/>
      <c r="AE221" s="137"/>
      <c r="AF221" s="137"/>
      <c r="AG221" s="137"/>
      <c r="AH221" s="137"/>
      <c r="AI221" s="137"/>
      <c r="AJ221" s="137"/>
      <c r="AK221" s="137"/>
      <c r="AM221" s="143"/>
      <c r="AN221" s="143"/>
      <c r="AO221" s="143"/>
      <c r="AP221" s="143"/>
      <c r="AQ221" s="137"/>
      <c r="AR221" s="137"/>
      <c r="AS221" s="137"/>
      <c r="AT221" s="137"/>
      <c r="AU221" s="137"/>
      <c r="AV221" s="137"/>
      <c r="AW221" s="137"/>
      <c r="AX221" s="189"/>
      <c r="AY221" s="189"/>
      <c r="BB221" s="143"/>
      <c r="BC221" s="143"/>
      <c r="BD221" s="143"/>
      <c r="BE221" s="143"/>
      <c r="BF221" s="137"/>
      <c r="BG221" s="137"/>
      <c r="BH221" s="137"/>
      <c r="BI221" s="137"/>
      <c r="BJ221" s="137"/>
      <c r="BK221" s="137"/>
      <c r="BL221" s="137"/>
      <c r="BM221" s="137"/>
      <c r="BN221" s="137"/>
      <c r="BO221" s="137"/>
      <c r="BP221" s="137"/>
      <c r="BQ221" s="137"/>
      <c r="BR221" s="137"/>
      <c r="BS221" s="137"/>
      <c r="BT221" s="189"/>
      <c r="BU221" s="189"/>
      <c r="BX221" s="143"/>
      <c r="BY221" s="143"/>
      <c r="BZ221" s="143"/>
      <c r="CA221" s="143"/>
    </row>
    <row r="222" spans="1:79" x14ac:dyDescent="0.25">
      <c r="A222" s="143"/>
      <c r="B222" s="143"/>
      <c r="C222" s="143"/>
      <c r="D222" s="143"/>
      <c r="E222" s="354"/>
      <c r="F222" s="354"/>
      <c r="G222" s="354"/>
      <c r="J222" s="143"/>
      <c r="K222" s="143"/>
      <c r="L222" s="143"/>
      <c r="M222" s="143"/>
      <c r="N222" s="137"/>
      <c r="O222" s="137"/>
      <c r="P222" s="265"/>
      <c r="Q222" s="137"/>
      <c r="R222" s="137"/>
      <c r="S222" s="137"/>
      <c r="T222" s="137"/>
      <c r="V222" s="143"/>
      <c r="W222" s="143"/>
      <c r="X222" s="143"/>
      <c r="Y222" s="143"/>
      <c r="Z222" s="137"/>
      <c r="AA222" s="137"/>
      <c r="AB222" s="137"/>
      <c r="AC222" s="137"/>
      <c r="AD222" s="137"/>
      <c r="AE222" s="137"/>
      <c r="AF222" s="137"/>
      <c r="AG222" s="137"/>
      <c r="AH222" s="137"/>
      <c r="AI222" s="137"/>
      <c r="AJ222" s="137"/>
      <c r="AK222" s="137"/>
      <c r="AM222" s="143"/>
      <c r="AN222" s="143"/>
      <c r="AO222" s="143"/>
      <c r="AP222" s="143"/>
      <c r="AQ222" s="137"/>
      <c r="AR222" s="137"/>
      <c r="AS222" s="137"/>
      <c r="AT222" s="137"/>
      <c r="AU222" s="137"/>
      <c r="AV222" s="137"/>
      <c r="AW222" s="137"/>
      <c r="AX222" s="189"/>
      <c r="AY222" s="189"/>
      <c r="BB222" s="143"/>
      <c r="BC222" s="143"/>
      <c r="BD222" s="143"/>
      <c r="BE222" s="143"/>
      <c r="BF222" s="137"/>
      <c r="BG222" s="137"/>
      <c r="BH222" s="137"/>
      <c r="BI222" s="137"/>
      <c r="BJ222" s="137"/>
      <c r="BK222" s="137"/>
      <c r="BL222" s="137"/>
      <c r="BM222" s="137"/>
      <c r="BN222" s="137"/>
      <c r="BO222" s="137"/>
      <c r="BP222" s="137"/>
      <c r="BQ222" s="137"/>
      <c r="BR222" s="137"/>
      <c r="BS222" s="137"/>
      <c r="BT222" s="189"/>
      <c r="BU222" s="189"/>
      <c r="BX222" s="143"/>
      <c r="BY222" s="143"/>
      <c r="BZ222" s="143"/>
      <c r="CA222" s="143"/>
    </row>
    <row r="223" spans="1:79" x14ac:dyDescent="0.25">
      <c r="A223" s="143"/>
      <c r="B223" s="143"/>
      <c r="C223" s="143"/>
      <c r="D223" s="143"/>
      <c r="E223" s="354"/>
      <c r="F223" s="354"/>
      <c r="G223" s="354"/>
      <c r="J223" s="143"/>
      <c r="K223" s="143"/>
      <c r="L223" s="143"/>
      <c r="M223" s="143"/>
      <c r="N223" s="137"/>
      <c r="O223" s="137"/>
      <c r="P223" s="265"/>
      <c r="Q223" s="137"/>
      <c r="R223" s="137"/>
      <c r="S223" s="137"/>
      <c r="T223" s="137"/>
      <c r="V223" s="143"/>
      <c r="W223" s="143"/>
      <c r="X223" s="143"/>
      <c r="Y223" s="143"/>
      <c r="Z223" s="137"/>
      <c r="AA223" s="137"/>
      <c r="AB223" s="137"/>
      <c r="AC223" s="137"/>
      <c r="AD223" s="137"/>
      <c r="AE223" s="137"/>
      <c r="AF223" s="137"/>
      <c r="AG223" s="137"/>
      <c r="AH223" s="137"/>
      <c r="AI223" s="137"/>
      <c r="AJ223" s="137"/>
      <c r="AK223" s="137"/>
      <c r="AM223" s="143"/>
      <c r="AN223" s="143"/>
      <c r="AO223" s="143"/>
      <c r="AP223" s="143"/>
      <c r="AQ223" s="137"/>
      <c r="AR223" s="137"/>
      <c r="AS223" s="137"/>
      <c r="AT223" s="137"/>
      <c r="AU223" s="137"/>
      <c r="AV223" s="137"/>
      <c r="AW223" s="137"/>
      <c r="AX223" s="189"/>
      <c r="AY223" s="189"/>
      <c r="BB223" s="143"/>
      <c r="BC223" s="143"/>
      <c r="BD223" s="143"/>
      <c r="BE223" s="143"/>
      <c r="BF223" s="137"/>
      <c r="BG223" s="137"/>
      <c r="BH223" s="137"/>
      <c r="BI223" s="137"/>
      <c r="BJ223" s="137"/>
      <c r="BK223" s="137"/>
      <c r="BL223" s="137"/>
      <c r="BM223" s="137"/>
      <c r="BN223" s="137"/>
      <c r="BO223" s="137"/>
      <c r="BP223" s="137"/>
      <c r="BQ223" s="137"/>
      <c r="BR223" s="137"/>
      <c r="BS223" s="137"/>
      <c r="BT223" s="189"/>
      <c r="BU223" s="189"/>
      <c r="BX223" s="143"/>
      <c r="BY223" s="143"/>
      <c r="BZ223" s="143"/>
      <c r="CA223" s="143"/>
    </row>
    <row r="224" spans="1:79" x14ac:dyDescent="0.25">
      <c r="A224" s="143"/>
      <c r="B224" s="143"/>
      <c r="C224" s="143"/>
      <c r="D224" s="143"/>
      <c r="E224" s="354"/>
      <c r="F224" s="354"/>
      <c r="G224" s="354"/>
      <c r="J224" s="143"/>
      <c r="K224" s="143"/>
      <c r="L224" s="143"/>
      <c r="M224" s="143"/>
      <c r="N224" s="137"/>
      <c r="O224" s="137"/>
      <c r="P224" s="265"/>
      <c r="Q224" s="137"/>
      <c r="R224" s="137"/>
      <c r="S224" s="137"/>
      <c r="T224" s="137"/>
      <c r="V224" s="143"/>
      <c r="W224" s="143"/>
      <c r="X224" s="143"/>
      <c r="Y224" s="143"/>
      <c r="Z224" s="137"/>
      <c r="AA224" s="137"/>
      <c r="AB224" s="137"/>
      <c r="AC224" s="137"/>
      <c r="AD224" s="137"/>
      <c r="AE224" s="137"/>
      <c r="AF224" s="137"/>
      <c r="AG224" s="137"/>
      <c r="AH224" s="137"/>
      <c r="AI224" s="137"/>
      <c r="AJ224" s="137"/>
      <c r="AK224" s="137"/>
      <c r="AM224" s="143"/>
      <c r="AN224" s="143"/>
      <c r="AO224" s="143"/>
      <c r="AP224" s="143"/>
      <c r="AQ224" s="137"/>
      <c r="AR224" s="137"/>
      <c r="AS224" s="137"/>
      <c r="AT224" s="137"/>
      <c r="AU224" s="137"/>
      <c r="AV224" s="137"/>
      <c r="AW224" s="137"/>
      <c r="AX224" s="189"/>
      <c r="AY224" s="189"/>
      <c r="BB224" s="143"/>
      <c r="BC224" s="143"/>
      <c r="BD224" s="143"/>
      <c r="BE224" s="143"/>
      <c r="BF224" s="137"/>
      <c r="BG224" s="137"/>
      <c r="BH224" s="137"/>
      <c r="BI224" s="137"/>
      <c r="BJ224" s="137"/>
      <c r="BK224" s="137"/>
      <c r="BL224" s="137"/>
      <c r="BM224" s="137"/>
      <c r="BN224" s="137"/>
      <c r="BO224" s="137"/>
      <c r="BP224" s="137"/>
      <c r="BQ224" s="137"/>
      <c r="BR224" s="137"/>
      <c r="BS224" s="137"/>
      <c r="BT224" s="189"/>
      <c r="BU224" s="189"/>
      <c r="BX224" s="143"/>
      <c r="BY224" s="143"/>
      <c r="BZ224" s="143"/>
      <c r="CA224" s="143"/>
    </row>
    <row r="225" spans="1:79" x14ac:dyDescent="0.25">
      <c r="A225" s="143"/>
      <c r="B225" s="143"/>
      <c r="C225" s="143"/>
      <c r="D225" s="143"/>
      <c r="E225" s="354"/>
      <c r="F225" s="354"/>
      <c r="G225" s="354"/>
      <c r="J225" s="143"/>
      <c r="K225" s="143"/>
      <c r="L225" s="143"/>
      <c r="M225" s="143"/>
      <c r="N225" s="137"/>
      <c r="O225" s="137"/>
      <c r="P225" s="265"/>
      <c r="Q225" s="137"/>
      <c r="R225" s="137"/>
      <c r="S225" s="137"/>
      <c r="T225" s="137"/>
      <c r="V225" s="143"/>
      <c r="W225" s="143"/>
      <c r="X225" s="143"/>
      <c r="Y225" s="143"/>
      <c r="Z225" s="137"/>
      <c r="AA225" s="137"/>
      <c r="AB225" s="137"/>
      <c r="AC225" s="137"/>
      <c r="AD225" s="137"/>
      <c r="AE225" s="137"/>
      <c r="AF225" s="137"/>
      <c r="AG225" s="137"/>
      <c r="AH225" s="137"/>
      <c r="AI225" s="137"/>
      <c r="AJ225" s="137"/>
      <c r="AK225" s="137"/>
      <c r="AM225" s="143"/>
      <c r="AN225" s="143"/>
      <c r="AO225" s="143"/>
      <c r="AP225" s="143"/>
      <c r="AQ225" s="137"/>
      <c r="AR225" s="137"/>
      <c r="AS225" s="137"/>
      <c r="AT225" s="137"/>
      <c r="AU225" s="137"/>
      <c r="AV225" s="137"/>
      <c r="AW225" s="137"/>
      <c r="AX225" s="189"/>
      <c r="AY225" s="189"/>
      <c r="BB225" s="143"/>
      <c r="BC225" s="143"/>
      <c r="BD225" s="143"/>
      <c r="BE225" s="143"/>
      <c r="BF225" s="137"/>
      <c r="BG225" s="137"/>
      <c r="BH225" s="137"/>
      <c r="BI225" s="137"/>
      <c r="BJ225" s="137"/>
      <c r="BK225" s="137"/>
      <c r="BL225" s="137"/>
      <c r="BM225" s="137"/>
      <c r="BN225" s="137"/>
      <c r="BO225" s="137"/>
      <c r="BP225" s="137"/>
      <c r="BQ225" s="137"/>
      <c r="BR225" s="137"/>
      <c r="BS225" s="137"/>
      <c r="BT225" s="189"/>
      <c r="BU225" s="189"/>
      <c r="BX225" s="143"/>
      <c r="BY225" s="143"/>
      <c r="BZ225" s="143"/>
      <c r="CA225" s="143"/>
    </row>
    <row r="226" spans="1:79" x14ac:dyDescent="0.25">
      <c r="A226" s="143"/>
      <c r="B226" s="143"/>
      <c r="C226" s="143"/>
      <c r="D226" s="143"/>
      <c r="E226" s="354"/>
      <c r="F226" s="354"/>
      <c r="G226" s="354"/>
      <c r="J226" s="143"/>
      <c r="K226" s="143"/>
      <c r="L226" s="143"/>
      <c r="M226" s="143"/>
      <c r="N226" s="137"/>
      <c r="O226" s="137"/>
      <c r="P226" s="265"/>
      <c r="Q226" s="137"/>
      <c r="R226" s="137"/>
      <c r="S226" s="137"/>
      <c r="T226" s="137"/>
      <c r="V226" s="143"/>
      <c r="W226" s="143"/>
      <c r="X226" s="143"/>
      <c r="Y226" s="143"/>
      <c r="Z226" s="137"/>
      <c r="AA226" s="137"/>
      <c r="AB226" s="137"/>
      <c r="AC226" s="137"/>
      <c r="AD226" s="137"/>
      <c r="AE226" s="137"/>
      <c r="AF226" s="137"/>
      <c r="AG226" s="137"/>
      <c r="AH226" s="137"/>
      <c r="AI226" s="137"/>
      <c r="AJ226" s="137"/>
      <c r="AK226" s="137"/>
      <c r="AM226" s="143"/>
      <c r="AN226" s="143"/>
      <c r="AO226" s="143"/>
      <c r="AP226" s="143"/>
      <c r="AQ226" s="137"/>
      <c r="AR226" s="137"/>
      <c r="AS226" s="137"/>
      <c r="AT226" s="137"/>
      <c r="AU226" s="137"/>
      <c r="AV226" s="137"/>
      <c r="AW226" s="137"/>
      <c r="AX226" s="189"/>
      <c r="AY226" s="189"/>
      <c r="BB226" s="143"/>
      <c r="BC226" s="143"/>
      <c r="BD226" s="143"/>
      <c r="BE226" s="143"/>
      <c r="BF226" s="137"/>
      <c r="BG226" s="137"/>
      <c r="BH226" s="137"/>
      <c r="BI226" s="137"/>
      <c r="BJ226" s="137"/>
      <c r="BK226" s="137"/>
      <c r="BL226" s="137"/>
      <c r="BM226" s="137"/>
      <c r="BN226" s="137"/>
      <c r="BO226" s="137"/>
      <c r="BP226" s="137"/>
      <c r="BQ226" s="137"/>
      <c r="BR226" s="137"/>
      <c r="BS226" s="137"/>
      <c r="BT226" s="189"/>
      <c r="BU226" s="189"/>
      <c r="BX226" s="143"/>
      <c r="BY226" s="143"/>
      <c r="BZ226" s="143"/>
      <c r="CA226" s="143"/>
    </row>
    <row r="227" spans="1:79" x14ac:dyDescent="0.25">
      <c r="A227" s="143"/>
      <c r="B227" s="143"/>
      <c r="C227" s="143"/>
      <c r="D227" s="143"/>
      <c r="E227" s="354"/>
      <c r="F227" s="354"/>
      <c r="G227" s="354"/>
      <c r="J227" s="143"/>
      <c r="K227" s="143"/>
      <c r="L227" s="143"/>
      <c r="M227" s="143"/>
      <c r="N227" s="137"/>
      <c r="O227" s="137"/>
      <c r="P227" s="265"/>
      <c r="Q227" s="137"/>
      <c r="R227" s="137"/>
      <c r="S227" s="137"/>
      <c r="T227" s="137"/>
      <c r="V227" s="143"/>
      <c r="W227" s="143"/>
      <c r="X227" s="143"/>
      <c r="Y227" s="143"/>
      <c r="Z227" s="137"/>
      <c r="AA227" s="137"/>
      <c r="AB227" s="137"/>
      <c r="AC227" s="137"/>
      <c r="AD227" s="137"/>
      <c r="AE227" s="137"/>
      <c r="AF227" s="137"/>
      <c r="AG227" s="137"/>
      <c r="AH227" s="137"/>
      <c r="AI227" s="137"/>
      <c r="AJ227" s="137"/>
      <c r="AK227" s="137"/>
      <c r="AM227" s="143"/>
      <c r="AN227" s="143"/>
      <c r="AO227" s="143"/>
      <c r="AP227" s="143"/>
      <c r="AQ227" s="137"/>
      <c r="AR227" s="137"/>
      <c r="AS227" s="137"/>
      <c r="AT227" s="137"/>
      <c r="AU227" s="137"/>
      <c r="AV227" s="137"/>
      <c r="AW227" s="137"/>
      <c r="AX227" s="189"/>
      <c r="AY227" s="189"/>
      <c r="BB227" s="143"/>
      <c r="BC227" s="143"/>
      <c r="BD227" s="143"/>
      <c r="BE227" s="143"/>
      <c r="BF227" s="137"/>
      <c r="BG227" s="137"/>
      <c r="BH227" s="137"/>
      <c r="BI227" s="137"/>
      <c r="BJ227" s="137"/>
      <c r="BK227" s="137"/>
      <c r="BL227" s="137"/>
      <c r="BM227" s="137"/>
      <c r="BN227" s="137"/>
      <c r="BO227" s="137"/>
      <c r="BP227" s="137"/>
      <c r="BQ227" s="137"/>
      <c r="BR227" s="137"/>
      <c r="BS227" s="137"/>
      <c r="BT227" s="189"/>
      <c r="BU227" s="189"/>
      <c r="BX227" s="143"/>
      <c r="BY227" s="143"/>
      <c r="BZ227" s="143"/>
      <c r="CA227" s="143"/>
    </row>
    <row r="228" spans="1:79" x14ac:dyDescent="0.25">
      <c r="A228" s="143"/>
      <c r="B228" s="143"/>
      <c r="C228" s="143"/>
      <c r="D228" s="143"/>
      <c r="E228" s="354"/>
      <c r="F228" s="354"/>
      <c r="G228" s="354"/>
      <c r="J228" s="143"/>
      <c r="K228" s="143"/>
      <c r="L228" s="143"/>
      <c r="M228" s="143"/>
      <c r="N228" s="137"/>
      <c r="O228" s="137"/>
      <c r="P228" s="265"/>
      <c r="Q228" s="137"/>
      <c r="R228" s="137"/>
      <c r="S228" s="137"/>
      <c r="T228" s="137"/>
      <c r="V228" s="143"/>
      <c r="W228" s="143"/>
      <c r="X228" s="143"/>
      <c r="Y228" s="143"/>
      <c r="Z228" s="137"/>
      <c r="AA228" s="137"/>
      <c r="AB228" s="137"/>
      <c r="AC228" s="137"/>
      <c r="AD228" s="137"/>
      <c r="AE228" s="137"/>
      <c r="AF228" s="137"/>
      <c r="AG228" s="137"/>
      <c r="AH228" s="137"/>
      <c r="AI228" s="137"/>
      <c r="AJ228" s="137"/>
      <c r="AK228" s="137"/>
      <c r="AM228" s="143"/>
      <c r="AN228" s="143"/>
      <c r="AO228" s="143"/>
      <c r="AP228" s="143"/>
      <c r="AQ228" s="137"/>
      <c r="AR228" s="137"/>
      <c r="AS228" s="137"/>
      <c r="AT228" s="137"/>
      <c r="AU228" s="137"/>
      <c r="AV228" s="137"/>
      <c r="AW228" s="137"/>
      <c r="AX228" s="189"/>
      <c r="AY228" s="189"/>
      <c r="BB228" s="143"/>
      <c r="BC228" s="143"/>
      <c r="BD228" s="143"/>
      <c r="BE228" s="143"/>
      <c r="BF228" s="137"/>
      <c r="BG228" s="137"/>
      <c r="BH228" s="137"/>
      <c r="BI228" s="137"/>
      <c r="BJ228" s="137"/>
      <c r="BK228" s="137"/>
      <c r="BL228" s="137"/>
      <c r="BM228" s="137"/>
      <c r="BN228" s="137"/>
      <c r="BO228" s="137"/>
      <c r="BP228" s="137"/>
      <c r="BQ228" s="137"/>
      <c r="BR228" s="137"/>
      <c r="BS228" s="137"/>
      <c r="BT228" s="189"/>
      <c r="BU228" s="189"/>
      <c r="BX228" s="143"/>
      <c r="BY228" s="143"/>
      <c r="BZ228" s="143"/>
      <c r="CA228" s="143"/>
    </row>
    <row r="229" spans="1:79" x14ac:dyDescent="0.25">
      <c r="A229" s="143"/>
      <c r="B229" s="143"/>
      <c r="C229" s="143"/>
      <c r="D229" s="143"/>
      <c r="E229" s="354"/>
      <c r="F229" s="354"/>
      <c r="G229" s="354"/>
      <c r="J229" s="143"/>
      <c r="K229" s="143"/>
      <c r="L229" s="143"/>
      <c r="M229" s="143"/>
      <c r="N229" s="137"/>
      <c r="O229" s="137"/>
      <c r="P229" s="265"/>
      <c r="Q229" s="137"/>
      <c r="R229" s="137"/>
      <c r="S229" s="137"/>
      <c r="T229" s="137"/>
      <c r="V229" s="143"/>
      <c r="W229" s="143"/>
      <c r="X229" s="143"/>
      <c r="Y229" s="143"/>
      <c r="Z229" s="137"/>
      <c r="AA229" s="137"/>
      <c r="AB229" s="137"/>
      <c r="AC229" s="137"/>
      <c r="AD229" s="137"/>
      <c r="AE229" s="137"/>
      <c r="AF229" s="137"/>
      <c r="AG229" s="137"/>
      <c r="AH229" s="137"/>
      <c r="AI229" s="137"/>
      <c r="AJ229" s="137"/>
      <c r="AK229" s="137"/>
      <c r="AM229" s="143"/>
      <c r="AN229" s="143"/>
      <c r="AO229" s="143"/>
      <c r="AP229" s="143"/>
      <c r="AQ229" s="137"/>
      <c r="AR229" s="137"/>
      <c r="AS229" s="137"/>
      <c r="AT229" s="137"/>
      <c r="AU229" s="137"/>
      <c r="AV229" s="137"/>
      <c r="AW229" s="137"/>
      <c r="AX229" s="189"/>
      <c r="AY229" s="189"/>
      <c r="BB229" s="143"/>
      <c r="BC229" s="143"/>
      <c r="BD229" s="143"/>
      <c r="BE229" s="143"/>
      <c r="BF229" s="137"/>
      <c r="BG229" s="137"/>
      <c r="BH229" s="137"/>
      <c r="BI229" s="137"/>
      <c r="BJ229" s="137"/>
      <c r="BK229" s="137"/>
      <c r="BL229" s="137"/>
      <c r="BM229" s="137"/>
      <c r="BN229" s="137"/>
      <c r="BO229" s="137"/>
      <c r="BP229" s="137"/>
      <c r="BQ229" s="137"/>
      <c r="BR229" s="137"/>
      <c r="BS229" s="137"/>
      <c r="BT229" s="189"/>
      <c r="BU229" s="189"/>
      <c r="BX229" s="143"/>
      <c r="BY229" s="143"/>
      <c r="BZ229" s="143"/>
      <c r="CA229" s="143"/>
    </row>
    <row r="230" spans="1:79" x14ac:dyDescent="0.25">
      <c r="A230" s="143"/>
      <c r="B230" s="143"/>
      <c r="C230" s="143"/>
      <c r="D230" s="143"/>
      <c r="E230" s="354"/>
      <c r="F230" s="354"/>
      <c r="G230" s="354"/>
      <c r="J230" s="143"/>
      <c r="K230" s="143"/>
      <c r="L230" s="143"/>
      <c r="M230" s="143"/>
      <c r="N230" s="137"/>
      <c r="O230" s="137"/>
      <c r="P230" s="265"/>
      <c r="Q230" s="137"/>
      <c r="R230" s="137"/>
      <c r="S230" s="137"/>
      <c r="T230" s="137"/>
      <c r="V230" s="143"/>
      <c r="W230" s="143"/>
      <c r="X230" s="143"/>
      <c r="Y230" s="143"/>
      <c r="Z230" s="137"/>
      <c r="AA230" s="137"/>
      <c r="AB230" s="137"/>
      <c r="AC230" s="137"/>
      <c r="AD230" s="137"/>
      <c r="AE230" s="137"/>
      <c r="AF230" s="137"/>
      <c r="AG230" s="137"/>
      <c r="AH230" s="137"/>
      <c r="AI230" s="137"/>
      <c r="AJ230" s="137"/>
      <c r="AK230" s="137"/>
      <c r="AM230" s="143"/>
      <c r="AN230" s="143"/>
      <c r="AO230" s="143"/>
      <c r="AP230" s="143"/>
      <c r="AQ230" s="137"/>
      <c r="AR230" s="137"/>
      <c r="AS230" s="137"/>
      <c r="AT230" s="137"/>
      <c r="AU230" s="137"/>
      <c r="AV230" s="137"/>
      <c r="AW230" s="137"/>
      <c r="AX230" s="189"/>
      <c r="AY230" s="189"/>
      <c r="BB230" s="143"/>
      <c r="BC230" s="143"/>
      <c r="BD230" s="143"/>
      <c r="BE230" s="143"/>
      <c r="BF230" s="137"/>
      <c r="BG230" s="137"/>
      <c r="BH230" s="137"/>
      <c r="BI230" s="137"/>
      <c r="BJ230" s="137"/>
      <c r="BK230" s="137"/>
      <c r="BL230" s="137"/>
      <c r="BM230" s="137"/>
      <c r="BN230" s="137"/>
      <c r="BO230" s="137"/>
      <c r="BP230" s="137"/>
      <c r="BQ230" s="137"/>
      <c r="BR230" s="137"/>
      <c r="BS230" s="137"/>
      <c r="BT230" s="189"/>
      <c r="BU230" s="189"/>
      <c r="BX230" s="143"/>
      <c r="BY230" s="143"/>
      <c r="BZ230" s="143"/>
      <c r="CA230" s="143"/>
    </row>
    <row r="231" spans="1:79" x14ac:dyDescent="0.25">
      <c r="A231" s="143"/>
      <c r="B231" s="143"/>
      <c r="C231" s="143"/>
      <c r="D231" s="143"/>
      <c r="E231" s="354"/>
      <c r="F231" s="354"/>
      <c r="G231" s="354"/>
      <c r="J231" s="143"/>
      <c r="K231" s="143"/>
      <c r="L231" s="143"/>
      <c r="M231" s="143"/>
      <c r="N231" s="137"/>
      <c r="O231" s="137"/>
      <c r="P231" s="265"/>
      <c r="Q231" s="137"/>
      <c r="R231" s="137"/>
      <c r="S231" s="137"/>
      <c r="T231" s="137"/>
      <c r="V231" s="143"/>
      <c r="W231" s="143"/>
      <c r="X231" s="143"/>
      <c r="Y231" s="143"/>
      <c r="Z231" s="137"/>
      <c r="AA231" s="137"/>
      <c r="AB231" s="137"/>
      <c r="AC231" s="137"/>
      <c r="AD231" s="137"/>
      <c r="AE231" s="137"/>
      <c r="AF231" s="137"/>
      <c r="AG231" s="137"/>
      <c r="AH231" s="137"/>
      <c r="AI231" s="137"/>
      <c r="AJ231" s="137"/>
      <c r="AK231" s="137"/>
      <c r="AM231" s="143"/>
      <c r="AN231" s="143"/>
      <c r="AO231" s="143"/>
      <c r="AP231" s="143"/>
      <c r="AQ231" s="137"/>
      <c r="AR231" s="137"/>
      <c r="AS231" s="137"/>
      <c r="AT231" s="137"/>
      <c r="AU231" s="137"/>
      <c r="AV231" s="137"/>
      <c r="AW231" s="137"/>
      <c r="AX231" s="189"/>
      <c r="AY231" s="189"/>
      <c r="BB231" s="143"/>
      <c r="BC231" s="143"/>
      <c r="BD231" s="143"/>
      <c r="BE231" s="143"/>
      <c r="BF231" s="137"/>
      <c r="BG231" s="137"/>
      <c r="BH231" s="137"/>
      <c r="BI231" s="137"/>
      <c r="BJ231" s="137"/>
      <c r="BK231" s="137"/>
      <c r="BL231" s="137"/>
      <c r="BM231" s="137"/>
      <c r="BN231" s="137"/>
      <c r="BO231" s="137"/>
      <c r="BP231" s="137"/>
      <c r="BQ231" s="137"/>
      <c r="BR231" s="137"/>
      <c r="BS231" s="137"/>
      <c r="BT231" s="189"/>
      <c r="BU231" s="189"/>
      <c r="BX231" s="143"/>
      <c r="BY231" s="143"/>
      <c r="BZ231" s="143"/>
      <c r="CA231" s="143"/>
    </row>
    <row r="232" spans="1:79" x14ac:dyDescent="0.25">
      <c r="A232" s="143"/>
      <c r="B232" s="143"/>
      <c r="C232" s="143"/>
      <c r="D232" s="143"/>
      <c r="E232" s="354"/>
      <c r="F232" s="354"/>
      <c r="G232" s="354"/>
      <c r="J232" s="143"/>
      <c r="K232" s="143"/>
      <c r="L232" s="143"/>
      <c r="M232" s="143"/>
      <c r="N232" s="137"/>
      <c r="O232" s="137"/>
      <c r="P232" s="265"/>
      <c r="Q232" s="137"/>
      <c r="R232" s="137"/>
      <c r="S232" s="137"/>
      <c r="T232" s="137"/>
      <c r="V232" s="143"/>
      <c r="W232" s="143"/>
      <c r="X232" s="143"/>
      <c r="Y232" s="143"/>
      <c r="Z232" s="137"/>
      <c r="AA232" s="137"/>
      <c r="AB232" s="137"/>
      <c r="AC232" s="137"/>
      <c r="AD232" s="137"/>
      <c r="AE232" s="137"/>
      <c r="AF232" s="137"/>
      <c r="AG232" s="137"/>
      <c r="AH232" s="137"/>
      <c r="AI232" s="137"/>
      <c r="AJ232" s="137"/>
      <c r="AK232" s="137"/>
      <c r="AM232" s="143"/>
      <c r="AN232" s="143"/>
      <c r="AO232" s="143"/>
      <c r="AP232" s="143"/>
      <c r="AQ232" s="137"/>
      <c r="AR232" s="137"/>
      <c r="AS232" s="137"/>
      <c r="AT232" s="137"/>
      <c r="AU232" s="137"/>
      <c r="AV232" s="137"/>
      <c r="AW232" s="137"/>
      <c r="AX232" s="189"/>
      <c r="AY232" s="189"/>
      <c r="BB232" s="143"/>
      <c r="BC232" s="143"/>
      <c r="BD232" s="143"/>
      <c r="BE232" s="143"/>
      <c r="BF232" s="137"/>
      <c r="BG232" s="137"/>
      <c r="BH232" s="137"/>
      <c r="BI232" s="137"/>
      <c r="BJ232" s="137"/>
      <c r="BK232" s="137"/>
      <c r="BL232" s="137"/>
      <c r="BM232" s="137"/>
      <c r="BN232" s="137"/>
      <c r="BO232" s="137"/>
      <c r="BP232" s="137"/>
      <c r="BQ232" s="137"/>
      <c r="BR232" s="137"/>
      <c r="BS232" s="137"/>
      <c r="BT232" s="189"/>
      <c r="BU232" s="189"/>
      <c r="BX232" s="143"/>
      <c r="BY232" s="143"/>
      <c r="BZ232" s="143"/>
      <c r="CA232" s="143"/>
    </row>
    <row r="233" spans="1:79" x14ac:dyDescent="0.25">
      <c r="A233" s="143"/>
      <c r="B233" s="143"/>
      <c r="C233" s="143"/>
      <c r="D233" s="143"/>
      <c r="E233" s="354"/>
      <c r="F233" s="354"/>
      <c r="G233" s="354"/>
      <c r="J233" s="143"/>
      <c r="K233" s="143"/>
      <c r="L233" s="143"/>
      <c r="M233" s="143"/>
      <c r="N233" s="137"/>
      <c r="O233" s="137"/>
      <c r="P233" s="265"/>
      <c r="Q233" s="137"/>
      <c r="R233" s="137"/>
      <c r="S233" s="137"/>
      <c r="T233" s="137"/>
      <c r="V233" s="143"/>
      <c r="W233" s="143"/>
      <c r="X233" s="143"/>
      <c r="Y233" s="143"/>
      <c r="Z233" s="137"/>
      <c r="AA233" s="137"/>
      <c r="AB233" s="137"/>
      <c r="AC233" s="137"/>
      <c r="AD233" s="137"/>
      <c r="AE233" s="137"/>
      <c r="AF233" s="137"/>
      <c r="AG233" s="137"/>
      <c r="AH233" s="137"/>
      <c r="AI233" s="137"/>
      <c r="AJ233" s="137"/>
      <c r="AK233" s="137"/>
      <c r="AM233" s="143"/>
      <c r="AN233" s="143"/>
      <c r="AO233" s="143"/>
      <c r="AP233" s="143"/>
      <c r="AQ233" s="137"/>
      <c r="AR233" s="137"/>
      <c r="AS233" s="137"/>
      <c r="AT233" s="137"/>
      <c r="AU233" s="137"/>
      <c r="AV233" s="137"/>
      <c r="AW233" s="137"/>
      <c r="AX233" s="189"/>
      <c r="AY233" s="189"/>
      <c r="BB233" s="143"/>
      <c r="BC233" s="143"/>
      <c r="BD233" s="143"/>
      <c r="BE233" s="143"/>
      <c r="BF233" s="137"/>
      <c r="BG233" s="137"/>
      <c r="BH233" s="137"/>
      <c r="BI233" s="137"/>
      <c r="BJ233" s="137"/>
      <c r="BK233" s="137"/>
      <c r="BL233" s="137"/>
      <c r="BM233" s="137"/>
      <c r="BN233" s="137"/>
      <c r="BO233" s="137"/>
      <c r="BP233" s="137"/>
      <c r="BQ233" s="137"/>
      <c r="BR233" s="137"/>
      <c r="BS233" s="137"/>
      <c r="BT233" s="189"/>
      <c r="BU233" s="189"/>
      <c r="BX233" s="143"/>
      <c r="BY233" s="143"/>
      <c r="BZ233" s="143"/>
      <c r="CA233" s="143"/>
    </row>
    <row r="234" spans="1:79" x14ac:dyDescent="0.25">
      <c r="A234" s="143"/>
      <c r="B234" s="143"/>
      <c r="C234" s="143"/>
      <c r="D234" s="143"/>
      <c r="E234" s="354"/>
      <c r="F234" s="354"/>
      <c r="G234" s="354"/>
      <c r="J234" s="143"/>
      <c r="K234" s="143"/>
      <c r="L234" s="143"/>
      <c r="M234" s="143"/>
      <c r="N234" s="137"/>
      <c r="O234" s="137"/>
      <c r="P234" s="265"/>
      <c r="Q234" s="137"/>
      <c r="R234" s="137"/>
      <c r="S234" s="137"/>
      <c r="T234" s="137"/>
      <c r="V234" s="143"/>
      <c r="W234" s="143"/>
      <c r="X234" s="143"/>
      <c r="Y234" s="143"/>
      <c r="Z234" s="137"/>
      <c r="AA234" s="137"/>
      <c r="AB234" s="137"/>
      <c r="AC234" s="137"/>
      <c r="AD234" s="137"/>
      <c r="AE234" s="137"/>
      <c r="AF234" s="137"/>
      <c r="AG234" s="137"/>
      <c r="AH234" s="137"/>
      <c r="AI234" s="137"/>
      <c r="AJ234" s="137"/>
      <c r="AK234" s="137"/>
      <c r="AM234" s="143"/>
      <c r="AN234" s="143"/>
      <c r="AO234" s="143"/>
      <c r="AP234" s="143"/>
      <c r="AQ234" s="137"/>
      <c r="AR234" s="137"/>
      <c r="AS234" s="137"/>
      <c r="AT234" s="137"/>
      <c r="AU234" s="137"/>
      <c r="AV234" s="137"/>
      <c r="AW234" s="137"/>
      <c r="AX234" s="189"/>
      <c r="AY234" s="189"/>
      <c r="BB234" s="143"/>
      <c r="BC234" s="143"/>
      <c r="BD234" s="143"/>
      <c r="BE234" s="143"/>
      <c r="BF234" s="137"/>
      <c r="BG234" s="137"/>
      <c r="BH234" s="137"/>
      <c r="BI234" s="137"/>
      <c r="BJ234" s="137"/>
      <c r="BK234" s="137"/>
      <c r="BL234" s="137"/>
      <c r="BM234" s="137"/>
      <c r="BN234" s="137"/>
      <c r="BO234" s="137"/>
      <c r="BP234" s="137"/>
      <c r="BQ234" s="137"/>
      <c r="BR234" s="137"/>
      <c r="BS234" s="137"/>
      <c r="BT234" s="189"/>
      <c r="BU234" s="189"/>
      <c r="BX234" s="143"/>
      <c r="BY234" s="143"/>
      <c r="BZ234" s="143"/>
      <c r="CA234" s="143"/>
    </row>
    <row r="235" spans="1:79" x14ac:dyDescent="0.25">
      <c r="A235" s="143"/>
      <c r="B235" s="143"/>
      <c r="C235" s="143"/>
      <c r="D235" s="143"/>
      <c r="E235" s="354"/>
      <c r="F235" s="354"/>
      <c r="G235" s="354"/>
      <c r="J235" s="143"/>
      <c r="K235" s="143"/>
      <c r="L235" s="143"/>
      <c r="M235" s="143"/>
      <c r="N235" s="137"/>
      <c r="O235" s="137"/>
      <c r="P235" s="265"/>
      <c r="Q235" s="137"/>
      <c r="R235" s="137"/>
      <c r="S235" s="137"/>
      <c r="T235" s="137"/>
      <c r="V235" s="143"/>
      <c r="W235" s="143"/>
      <c r="X235" s="143"/>
      <c r="Y235" s="143"/>
      <c r="Z235" s="137"/>
      <c r="AA235" s="137"/>
      <c r="AB235" s="137"/>
      <c r="AC235" s="137"/>
      <c r="AD235" s="137"/>
      <c r="AE235" s="137"/>
      <c r="AF235" s="137"/>
      <c r="AG235" s="137"/>
      <c r="AH235" s="137"/>
      <c r="AI235" s="137"/>
      <c r="AJ235" s="137"/>
      <c r="AK235" s="137"/>
      <c r="AM235" s="143"/>
      <c r="AN235" s="143"/>
      <c r="AO235" s="143"/>
      <c r="AP235" s="143"/>
      <c r="AQ235" s="137"/>
      <c r="AR235" s="137"/>
      <c r="AS235" s="137"/>
      <c r="AT235" s="137"/>
      <c r="AU235" s="137"/>
      <c r="AV235" s="137"/>
      <c r="AW235" s="137"/>
      <c r="AX235" s="189"/>
      <c r="AY235" s="189"/>
      <c r="BB235" s="143"/>
      <c r="BC235" s="143"/>
      <c r="BD235" s="143"/>
      <c r="BE235" s="143"/>
      <c r="BF235" s="137"/>
      <c r="BG235" s="137"/>
      <c r="BH235" s="137"/>
      <c r="BI235" s="137"/>
      <c r="BJ235" s="137"/>
      <c r="BK235" s="137"/>
      <c r="BL235" s="137"/>
      <c r="BM235" s="137"/>
      <c r="BN235" s="137"/>
      <c r="BO235" s="137"/>
      <c r="BP235" s="137"/>
      <c r="BQ235" s="137"/>
      <c r="BR235" s="137"/>
      <c r="BS235" s="137"/>
      <c r="BT235" s="189"/>
      <c r="BU235" s="189"/>
      <c r="BX235" s="143"/>
      <c r="BY235" s="143"/>
      <c r="BZ235" s="143"/>
      <c r="CA235" s="143"/>
    </row>
    <row r="236" spans="1:79" x14ac:dyDescent="0.25">
      <c r="A236" s="143"/>
      <c r="B236" s="143"/>
      <c r="C236" s="143"/>
      <c r="D236" s="143"/>
      <c r="E236" s="354"/>
      <c r="F236" s="354"/>
      <c r="G236" s="354"/>
      <c r="J236" s="143"/>
      <c r="K236" s="143"/>
      <c r="L236" s="143"/>
      <c r="M236" s="143"/>
      <c r="N236" s="137"/>
      <c r="O236" s="137"/>
      <c r="P236" s="265"/>
      <c r="Q236" s="137"/>
      <c r="R236" s="137"/>
      <c r="S236" s="137"/>
      <c r="T236" s="137"/>
      <c r="V236" s="143"/>
      <c r="W236" s="143"/>
      <c r="X236" s="143"/>
      <c r="Y236" s="143"/>
      <c r="Z236" s="137"/>
      <c r="AA236" s="137"/>
      <c r="AB236" s="137"/>
      <c r="AC236" s="137"/>
      <c r="AD236" s="137"/>
      <c r="AE236" s="137"/>
      <c r="AF236" s="137"/>
      <c r="AG236" s="137"/>
      <c r="AH236" s="137"/>
      <c r="AI236" s="137"/>
      <c r="AJ236" s="137"/>
      <c r="AK236" s="137"/>
      <c r="AM236" s="143"/>
      <c r="AN236" s="143"/>
      <c r="AO236" s="143"/>
      <c r="AP236" s="143"/>
      <c r="AQ236" s="137"/>
      <c r="AR236" s="137"/>
      <c r="AS236" s="137"/>
      <c r="AT236" s="137"/>
      <c r="AU236" s="137"/>
      <c r="AV236" s="137"/>
      <c r="AW236" s="137"/>
      <c r="AX236" s="189"/>
      <c r="AY236" s="189"/>
      <c r="BB236" s="143"/>
      <c r="BC236" s="143"/>
      <c r="BD236" s="143"/>
      <c r="BE236" s="143"/>
      <c r="BF236" s="137"/>
      <c r="BG236" s="137"/>
      <c r="BH236" s="137"/>
      <c r="BI236" s="137"/>
      <c r="BJ236" s="137"/>
      <c r="BK236" s="137"/>
      <c r="BL236" s="137"/>
      <c r="BM236" s="137"/>
      <c r="BN236" s="137"/>
      <c r="BO236" s="137"/>
      <c r="BP236" s="137"/>
      <c r="BQ236" s="137"/>
      <c r="BR236" s="137"/>
      <c r="BS236" s="137"/>
      <c r="BT236" s="189"/>
      <c r="BU236" s="189"/>
      <c r="BX236" s="143"/>
      <c r="BY236" s="143"/>
      <c r="BZ236" s="143"/>
      <c r="CA236" s="143"/>
    </row>
    <row r="237" spans="1:79" x14ac:dyDescent="0.25">
      <c r="A237" s="143"/>
      <c r="B237" s="143"/>
      <c r="C237" s="143"/>
      <c r="D237" s="143"/>
      <c r="E237" s="354"/>
      <c r="F237" s="354"/>
      <c r="G237" s="354"/>
      <c r="J237" s="143"/>
      <c r="K237" s="143"/>
      <c r="L237" s="143"/>
      <c r="M237" s="143"/>
      <c r="N237" s="137"/>
      <c r="O237" s="137"/>
      <c r="P237" s="265"/>
      <c r="Q237" s="137"/>
      <c r="R237" s="137"/>
      <c r="S237" s="137"/>
      <c r="T237" s="137"/>
      <c r="V237" s="143"/>
      <c r="W237" s="143"/>
      <c r="X237" s="143"/>
      <c r="Y237" s="143"/>
      <c r="Z237" s="137"/>
      <c r="AA237" s="137"/>
      <c r="AB237" s="137"/>
      <c r="AC237" s="137"/>
      <c r="AD237" s="137"/>
      <c r="AE237" s="137"/>
      <c r="AF237" s="137"/>
      <c r="AG237" s="137"/>
      <c r="AH237" s="137"/>
      <c r="AI237" s="137"/>
      <c r="AJ237" s="137"/>
      <c r="AK237" s="137"/>
      <c r="AM237" s="143"/>
      <c r="AN237" s="143"/>
      <c r="AO237" s="143"/>
      <c r="AP237" s="143"/>
      <c r="AQ237" s="137"/>
      <c r="AR237" s="137"/>
      <c r="AS237" s="137"/>
      <c r="AT237" s="137"/>
      <c r="AU237" s="137"/>
      <c r="AV237" s="137"/>
      <c r="AW237" s="137"/>
      <c r="AX237" s="189"/>
      <c r="AY237" s="189"/>
      <c r="BB237" s="143"/>
      <c r="BC237" s="143"/>
      <c r="BD237" s="143"/>
      <c r="BE237" s="143"/>
      <c r="BF237" s="137"/>
      <c r="BG237" s="137"/>
      <c r="BH237" s="137"/>
      <c r="BI237" s="137"/>
      <c r="BJ237" s="137"/>
      <c r="BK237" s="137"/>
      <c r="BL237" s="137"/>
      <c r="BM237" s="137"/>
      <c r="BN237" s="137"/>
      <c r="BO237" s="137"/>
      <c r="BP237" s="137"/>
      <c r="BQ237" s="137"/>
      <c r="BR237" s="137"/>
      <c r="BS237" s="137"/>
      <c r="BT237" s="189"/>
      <c r="BU237" s="189"/>
      <c r="BX237" s="143"/>
      <c r="BY237" s="143"/>
      <c r="BZ237" s="143"/>
      <c r="CA237" s="143"/>
    </row>
    <row r="238" spans="1:79" x14ac:dyDescent="0.25">
      <c r="A238" s="143"/>
      <c r="B238" s="143"/>
      <c r="C238" s="143"/>
      <c r="D238" s="143"/>
      <c r="E238" s="354"/>
      <c r="F238" s="354"/>
      <c r="G238" s="354"/>
      <c r="J238" s="143"/>
      <c r="K238" s="143"/>
      <c r="L238" s="143"/>
      <c r="M238" s="143"/>
      <c r="N238" s="137"/>
      <c r="O238" s="137"/>
      <c r="P238" s="265"/>
      <c r="Q238" s="137"/>
      <c r="R238" s="137"/>
      <c r="S238" s="137"/>
      <c r="T238" s="137"/>
      <c r="V238" s="143"/>
      <c r="W238" s="143"/>
      <c r="X238" s="143"/>
      <c r="Y238" s="143"/>
      <c r="Z238" s="137"/>
      <c r="AA238" s="137"/>
      <c r="AB238" s="137"/>
      <c r="AC238" s="137"/>
      <c r="AD238" s="137"/>
      <c r="AE238" s="137"/>
      <c r="AF238" s="137"/>
      <c r="AG238" s="137"/>
      <c r="AH238" s="137"/>
      <c r="AI238" s="137"/>
      <c r="AJ238" s="137"/>
      <c r="AK238" s="137"/>
      <c r="AM238" s="143"/>
      <c r="AN238" s="143"/>
      <c r="AO238" s="143"/>
      <c r="AP238" s="143"/>
      <c r="AQ238" s="137"/>
      <c r="AR238" s="137"/>
      <c r="AS238" s="137"/>
      <c r="AT238" s="137"/>
      <c r="AU238" s="137"/>
      <c r="AV238" s="137"/>
      <c r="AW238" s="137"/>
      <c r="AX238" s="189"/>
      <c r="AY238" s="189"/>
      <c r="BB238" s="143"/>
      <c r="BC238" s="143"/>
      <c r="BD238" s="143"/>
      <c r="BE238" s="143"/>
      <c r="BF238" s="137"/>
      <c r="BG238" s="137"/>
      <c r="BH238" s="137"/>
      <c r="BI238" s="137"/>
      <c r="BJ238" s="137"/>
      <c r="BK238" s="137"/>
      <c r="BL238" s="137"/>
      <c r="BM238" s="137"/>
      <c r="BN238" s="137"/>
      <c r="BO238" s="137"/>
      <c r="BP238" s="137"/>
      <c r="BQ238" s="137"/>
      <c r="BR238" s="137"/>
      <c r="BS238" s="137"/>
      <c r="BT238" s="189"/>
      <c r="BU238" s="189"/>
      <c r="BX238" s="143"/>
      <c r="BY238" s="143"/>
      <c r="BZ238" s="143"/>
      <c r="CA238" s="143"/>
    </row>
    <row r="239" spans="1:79" x14ac:dyDescent="0.25">
      <c r="A239" s="143"/>
      <c r="B239" s="143"/>
      <c r="C239" s="143"/>
      <c r="D239" s="143"/>
      <c r="E239" s="354"/>
      <c r="F239" s="354"/>
      <c r="G239" s="354"/>
      <c r="J239" s="143"/>
      <c r="K239" s="143"/>
      <c r="L239" s="143"/>
      <c r="M239" s="143"/>
      <c r="N239" s="137"/>
      <c r="O239" s="137"/>
      <c r="P239" s="265"/>
      <c r="Q239" s="137"/>
      <c r="R239" s="137"/>
      <c r="S239" s="137"/>
      <c r="T239" s="137"/>
      <c r="V239" s="143"/>
      <c r="W239" s="143"/>
      <c r="X239" s="143"/>
      <c r="Y239" s="143"/>
      <c r="Z239" s="137"/>
      <c r="AA239" s="137"/>
      <c r="AB239" s="137"/>
      <c r="AC239" s="137"/>
      <c r="AD239" s="137"/>
      <c r="AE239" s="137"/>
      <c r="AF239" s="137"/>
      <c r="AG239" s="137"/>
      <c r="AH239" s="137"/>
      <c r="AI239" s="137"/>
      <c r="AJ239" s="137"/>
      <c r="AK239" s="137"/>
      <c r="AM239" s="143"/>
      <c r="AN239" s="143"/>
      <c r="AO239" s="143"/>
      <c r="AP239" s="143"/>
      <c r="AQ239" s="137"/>
      <c r="AR239" s="137"/>
      <c r="AS239" s="137"/>
      <c r="AT239" s="137"/>
      <c r="AU239" s="137"/>
      <c r="AV239" s="137"/>
      <c r="AW239" s="137"/>
      <c r="AX239" s="189"/>
      <c r="AY239" s="189"/>
      <c r="BB239" s="143"/>
      <c r="BC239" s="143"/>
      <c r="BD239" s="143"/>
      <c r="BE239" s="143"/>
      <c r="BF239" s="137"/>
      <c r="BG239" s="137"/>
      <c r="BH239" s="137"/>
      <c r="BI239" s="137"/>
      <c r="BJ239" s="137"/>
      <c r="BK239" s="137"/>
      <c r="BL239" s="137"/>
      <c r="BM239" s="137"/>
      <c r="BN239" s="137"/>
      <c r="BO239" s="137"/>
      <c r="BP239" s="137"/>
      <c r="BQ239" s="137"/>
      <c r="BR239" s="137"/>
      <c r="BS239" s="137"/>
      <c r="BT239" s="189"/>
      <c r="BU239" s="189"/>
      <c r="BX239" s="143"/>
      <c r="BY239" s="143"/>
      <c r="BZ239" s="143"/>
      <c r="CA239" s="143"/>
    </row>
  </sheetData>
  <autoFilter ref="J3:CG192" xr:uid="{00000000-0001-0000-1100-000000000000}"/>
  <mergeCells count="11">
    <mergeCell ref="E1:H1"/>
    <mergeCell ref="E2:H2"/>
    <mergeCell ref="CB1:CH1"/>
    <mergeCell ref="AX2:AZ2"/>
    <mergeCell ref="N1:T1"/>
    <mergeCell ref="AQ2:AW2"/>
    <mergeCell ref="BF2:BQ2"/>
    <mergeCell ref="BR2:BV2"/>
    <mergeCell ref="Z1:AK1"/>
    <mergeCell ref="AQ1:AZ1"/>
    <mergeCell ref="BF1:BV1"/>
  </mergeCell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BD8-7278-774A-94EA-F880F250DFA3}">
  <sheetPr>
    <tabColor theme="7" tint="0.79998168889431442"/>
  </sheetPr>
  <dimension ref="A2:X85"/>
  <sheetViews>
    <sheetView zoomScale="85" zoomScaleNormal="85" workbookViewId="0">
      <selection activeCell="I57" sqref="I57"/>
    </sheetView>
  </sheetViews>
  <sheetFormatPr defaultColWidth="10.625" defaultRowHeight="15.75" x14ac:dyDescent="0.25"/>
  <sheetData>
    <row r="2" spans="2:23" x14ac:dyDescent="0.25">
      <c r="B2" s="103" t="s">
        <v>3331</v>
      </c>
    </row>
    <row r="4" spans="2:23" x14ac:dyDescent="0.25">
      <c r="W4" s="103" t="s">
        <v>3332</v>
      </c>
    </row>
    <row r="5" spans="2:23" x14ac:dyDescent="0.25">
      <c r="P5" s="103" t="s">
        <v>3333</v>
      </c>
    </row>
    <row r="26" spans="2:24" x14ac:dyDescent="0.25">
      <c r="B26" s="103" t="s">
        <v>3334</v>
      </c>
    </row>
    <row r="28" spans="2:24" x14ac:dyDescent="0.25">
      <c r="X28" s="103" t="s">
        <v>3335</v>
      </c>
    </row>
    <row r="29" spans="2:24" x14ac:dyDescent="0.25">
      <c r="O29" s="103" t="s">
        <v>3336</v>
      </c>
    </row>
    <row r="51" spans="1:14" x14ac:dyDescent="0.25">
      <c r="A51" s="394"/>
      <c r="B51" s="394" t="s">
        <v>3337</v>
      </c>
      <c r="C51" s="394" t="s">
        <v>3338</v>
      </c>
      <c r="D51" s="394" t="s">
        <v>3339</v>
      </c>
    </row>
    <row r="52" spans="1:14" x14ac:dyDescent="0.25">
      <c r="A52" s="394" t="s">
        <v>757</v>
      </c>
      <c r="B52" s="395" t="str">
        <f>IF(ISNUMBER('3-QQM_BY ROUND'!R4), "", '3-QQM_BY ROUND'!K4)</f>
        <v/>
      </c>
      <c r="C52" s="395" t="str">
        <f>IF(ISNUMBER('3-QQM_BY ROUND'!AJ4), "", '3-QQM_BY ROUND'!AC4)</f>
        <v/>
      </c>
      <c r="D52" s="395">
        <f>IF(ISNUMBER('3-QQM_BY ROUND'!BB4), "", '3-QQM_BY ROUND'!AU4)</f>
        <v>0.63500000000000001</v>
      </c>
    </row>
    <row r="53" spans="1:14" x14ac:dyDescent="0.25">
      <c r="A53" s="394" t="s">
        <v>885</v>
      </c>
      <c r="B53" s="395">
        <f>IF(ISNUMBER('3-QQM_BY ROUND'!R5), "", '3-QQM_BY ROUND'!K5)</f>
        <v>0</v>
      </c>
      <c r="C53" s="395">
        <f>IF(ISNUMBER('3-QQM_BY ROUND'!AJ5), "", '3-QQM_BY ROUND'!AC5)</f>
        <v>0</v>
      </c>
      <c r="D53" s="395">
        <f>IF(ISNUMBER('3-QQM_BY ROUND'!BB5), "", '3-QQM_BY ROUND'!AU5)</f>
        <v>0</v>
      </c>
    </row>
    <row r="54" spans="1:14" x14ac:dyDescent="0.25">
      <c r="A54" s="394" t="s">
        <v>759</v>
      </c>
      <c r="B54" s="395">
        <f>IF(ISNUMBER('3-QQM_BY ROUND'!R6), "", '3-QQM_BY ROUND'!K6)</f>
        <v>0.49199999999999999</v>
      </c>
      <c r="C54" s="395">
        <f>IF(ISNUMBER('3-QQM_BY ROUND'!AJ6), "", '3-QQM_BY ROUND'!AC6)</f>
        <v>0.64</v>
      </c>
      <c r="D54" s="395" t="str">
        <f>IF(ISNUMBER('3-QQM_BY ROUND'!BB6), "", '3-QQM_BY ROUND'!AU6)</f>
        <v/>
      </c>
    </row>
    <row r="55" spans="1:14" x14ac:dyDescent="0.25">
      <c r="A55" s="394" t="s">
        <v>760</v>
      </c>
      <c r="B55" s="395" t="str">
        <f>IF(ISNUMBER('3-QQM_BY ROUND'!R7), "", '3-QQM_BY ROUND'!K7)</f>
        <v/>
      </c>
      <c r="C55" s="395" t="str">
        <f>IF(ISNUMBER('3-QQM_BY ROUND'!AJ7), "", '3-QQM_BY ROUND'!AC7)</f>
        <v/>
      </c>
      <c r="D55" s="395">
        <f>IF(ISNUMBER('3-QQM_BY ROUND'!BB7), "", '3-QQM_BY ROUND'!AU7)</f>
        <v>0.46200000000000002</v>
      </c>
    </row>
    <row r="56" spans="1:14" x14ac:dyDescent="0.25">
      <c r="A56" s="394" t="s">
        <v>762</v>
      </c>
      <c r="B56" s="395" t="str">
        <f>IF(ISNUMBER('3-QQM_BY ROUND'!R8), "", '3-QQM_BY ROUND'!K8)</f>
        <v/>
      </c>
      <c r="C56" s="395">
        <f>IF(ISNUMBER('3-QQM_BY ROUND'!AJ8), "", '3-QQM_BY ROUND'!AC8)</f>
        <v>0.58399999999999996</v>
      </c>
      <c r="D56" s="395" t="str">
        <f>IF(ISNUMBER('3-QQM_BY ROUND'!BB8), "", '3-QQM_BY ROUND'!AU8)</f>
        <v/>
      </c>
    </row>
    <row r="57" spans="1:14" x14ac:dyDescent="0.25">
      <c r="A57" s="394" t="s">
        <v>948</v>
      </c>
      <c r="B57" s="395">
        <f>IF(ISNUMBER('3-QQM_BY ROUND'!R9), "", '3-QQM_BY ROUND'!K9)</f>
        <v>0</v>
      </c>
      <c r="C57" s="395">
        <f>IF(ISNUMBER('3-QQM_BY ROUND'!AJ9), "", '3-QQM_BY ROUND'!AC9)</f>
        <v>0</v>
      </c>
      <c r="D57" s="395">
        <f>IF(ISNUMBER('3-QQM_BY ROUND'!BB9), "", '3-QQM_BY ROUND'!AU9)</f>
        <v>0</v>
      </c>
    </row>
    <row r="58" spans="1:14" x14ac:dyDescent="0.25">
      <c r="A58" s="394" t="s">
        <v>963</v>
      </c>
      <c r="B58" s="395">
        <f>IF(ISNUMBER('3-QQM_BY ROUND'!R10), "", '3-QQM_BY ROUND'!K10)</f>
        <v>0</v>
      </c>
      <c r="C58" s="395">
        <f>IF(ISNUMBER('3-QQM_BY ROUND'!AJ10), "", '3-QQM_BY ROUND'!AC10)</f>
        <v>0</v>
      </c>
      <c r="D58" s="395">
        <f>IF(ISNUMBER('3-QQM_BY ROUND'!BB10), "", '3-QQM_BY ROUND'!AU10)</f>
        <v>0</v>
      </c>
      <c r="N58" s="103" t="s">
        <v>3340</v>
      </c>
    </row>
    <row r="59" spans="1:14" x14ac:dyDescent="0.25">
      <c r="A59" s="394" t="s">
        <v>763</v>
      </c>
      <c r="B59" s="395" t="str">
        <f>IF(ISNUMBER('3-QQM_BY ROUND'!R11), "", '3-QQM_BY ROUND'!K11)</f>
        <v/>
      </c>
      <c r="C59" s="395" t="str">
        <f>IF(ISNUMBER('3-QQM_BY ROUND'!AJ11), "", '3-QQM_BY ROUND'!AC11)</f>
        <v/>
      </c>
      <c r="D59" s="395" t="str">
        <f>IF(ISNUMBER('3-QQM_BY ROUND'!BB11), "", '3-QQM_BY ROUND'!AU11)</f>
        <v/>
      </c>
    </row>
    <row r="60" spans="1:14" x14ac:dyDescent="0.25">
      <c r="A60" s="394" t="s">
        <v>765</v>
      </c>
      <c r="B60" s="395" t="str">
        <f>IF(ISNUMBER('3-QQM_BY ROUND'!R12), "", '3-QQM_BY ROUND'!K12)</f>
        <v/>
      </c>
      <c r="C60" s="395" t="str">
        <f>IF(ISNUMBER('3-QQM_BY ROUND'!AJ12), "", '3-QQM_BY ROUND'!AC12)</f>
        <v/>
      </c>
      <c r="D60" s="395">
        <f>IF(ISNUMBER('3-QQM_BY ROUND'!BB12), "", '3-QQM_BY ROUND'!AU12)</f>
        <v>0.441</v>
      </c>
    </row>
    <row r="61" spans="1:14" x14ac:dyDescent="0.25">
      <c r="A61" s="394" t="s">
        <v>767</v>
      </c>
      <c r="B61" s="395" t="str">
        <f>IF(ISNUMBER('3-QQM_BY ROUND'!R13), "", '3-QQM_BY ROUND'!K13)</f>
        <v/>
      </c>
      <c r="C61" s="395">
        <f>IF(ISNUMBER('3-QQM_BY ROUND'!AJ13), "", '3-QQM_BY ROUND'!AC13)</f>
        <v>0.53900000000000003</v>
      </c>
      <c r="D61" s="395" t="str">
        <f>IF(ISNUMBER('3-QQM_BY ROUND'!BB13), "", '3-QQM_BY ROUND'!AU13)</f>
        <v/>
      </c>
    </row>
    <row r="62" spans="1:14" x14ac:dyDescent="0.25">
      <c r="A62" s="394" t="s">
        <v>769</v>
      </c>
      <c r="B62" s="395">
        <f>IF(ISNUMBER('3-QQM_BY ROUND'!R14), "", '3-QQM_BY ROUND'!K14)</f>
        <v>0.314</v>
      </c>
      <c r="C62" s="395" t="str">
        <f>IF(ISNUMBER('3-QQM_BY ROUND'!AJ14), "", '3-QQM_BY ROUND'!AC14)</f>
        <v/>
      </c>
      <c r="D62" s="395" t="str">
        <f>IF(ISNUMBER('3-QQM_BY ROUND'!BB14), "", '3-QQM_BY ROUND'!AU14)</f>
        <v/>
      </c>
    </row>
    <row r="63" spans="1:14" x14ac:dyDescent="0.25">
      <c r="A63" s="394" t="s">
        <v>771</v>
      </c>
      <c r="B63" s="395">
        <f>IF(ISNUMBER('3-QQM_BY ROUND'!R15), "", '3-QQM_BY ROUND'!K15)</f>
        <v>0.51700000000000002</v>
      </c>
      <c r="C63" s="395" t="str">
        <f>IF(ISNUMBER('3-QQM_BY ROUND'!AJ15), "", '3-QQM_BY ROUND'!AC15)</f>
        <v/>
      </c>
      <c r="D63" s="395" t="str">
        <f>IF(ISNUMBER('3-QQM_BY ROUND'!BB15), "", '3-QQM_BY ROUND'!AU15)</f>
        <v/>
      </c>
    </row>
    <row r="64" spans="1:14" x14ac:dyDescent="0.25">
      <c r="A64" s="394" t="s">
        <v>773</v>
      </c>
      <c r="B64" s="395" t="str">
        <f>IF(ISNUMBER('3-QQM_BY ROUND'!R16), "", '3-QQM_BY ROUND'!K16)</f>
        <v/>
      </c>
      <c r="C64" s="395" t="str">
        <f>IF(ISNUMBER('3-QQM_BY ROUND'!AJ16), "", '3-QQM_BY ROUND'!AC16)</f>
        <v/>
      </c>
      <c r="D64" s="395" t="str">
        <f>IF(ISNUMBER('3-QQM_BY ROUND'!BB16), "", '3-QQM_BY ROUND'!AU16)</f>
        <v/>
      </c>
    </row>
    <row r="65" spans="1:4" x14ac:dyDescent="0.25">
      <c r="A65" s="394" t="s">
        <v>774</v>
      </c>
      <c r="B65" s="395" t="str">
        <f>IF(ISNUMBER('3-QQM_BY ROUND'!R17), "", '3-QQM_BY ROUND'!K17)</f>
        <v/>
      </c>
      <c r="C65" s="395" t="str">
        <f>IF(ISNUMBER('3-QQM_BY ROUND'!AJ17), "", '3-QQM_BY ROUND'!AC17)</f>
        <v/>
      </c>
      <c r="D65" s="395" t="str">
        <f>IF(ISNUMBER('3-QQM_BY ROUND'!BB17), "", '3-QQM_BY ROUND'!AU17)</f>
        <v/>
      </c>
    </row>
    <row r="66" spans="1:4" x14ac:dyDescent="0.25">
      <c r="A66" s="394" t="s">
        <v>775</v>
      </c>
      <c r="B66" s="395" t="str">
        <f>IF(ISNUMBER('3-QQM_BY ROUND'!R18), "", '3-QQM_BY ROUND'!K18)</f>
        <v/>
      </c>
      <c r="C66" s="395">
        <f>IF(ISNUMBER('3-QQM_BY ROUND'!AJ18), "", '3-QQM_BY ROUND'!AC18)</f>
        <v>0.53200000000000003</v>
      </c>
      <c r="D66" s="395" t="str">
        <f>IF(ISNUMBER('3-QQM_BY ROUND'!BB18), "", '3-QQM_BY ROUND'!AU18)</f>
        <v/>
      </c>
    </row>
    <row r="67" spans="1:4" x14ac:dyDescent="0.25">
      <c r="A67" s="394" t="s">
        <v>1101</v>
      </c>
      <c r="B67" s="395">
        <f>IF(ISNUMBER('3-QQM_BY ROUND'!R19), "", '3-QQM_BY ROUND'!K19)</f>
        <v>0</v>
      </c>
      <c r="C67" s="395">
        <f>IF(ISNUMBER('3-QQM_BY ROUND'!AJ19), "", '3-QQM_BY ROUND'!AC19)</f>
        <v>0</v>
      </c>
      <c r="D67" s="395">
        <f>IF(ISNUMBER('3-QQM_BY ROUND'!BB19), "", '3-QQM_BY ROUND'!AU19)</f>
        <v>0</v>
      </c>
    </row>
    <row r="68" spans="1:4" x14ac:dyDescent="0.25">
      <c r="A68" s="394" t="s">
        <v>1116</v>
      </c>
      <c r="B68" s="395">
        <f>IF(ISNUMBER('3-QQM_BY ROUND'!R20), "", '3-QQM_BY ROUND'!K20)</f>
        <v>0</v>
      </c>
      <c r="C68" s="395">
        <f>IF(ISNUMBER('3-QQM_BY ROUND'!AJ20), "", '3-QQM_BY ROUND'!AC20)</f>
        <v>0</v>
      </c>
      <c r="D68" s="395">
        <f>IF(ISNUMBER('3-QQM_BY ROUND'!BB20), "", '3-QQM_BY ROUND'!AU20)</f>
        <v>0</v>
      </c>
    </row>
    <row r="69" spans="1:4" x14ac:dyDescent="0.25">
      <c r="A69" s="394" t="s">
        <v>776</v>
      </c>
      <c r="B69" s="395" t="str">
        <f>IF(ISNUMBER('3-QQM_BY ROUND'!R21), "", '3-QQM_BY ROUND'!K21)</f>
        <v/>
      </c>
      <c r="C69" s="395" t="str">
        <f>IF(ISNUMBER('3-QQM_BY ROUND'!AJ21), "", '3-QQM_BY ROUND'!AC21)</f>
        <v/>
      </c>
      <c r="D69" s="395" t="str">
        <f>IF(ISNUMBER('3-QQM_BY ROUND'!BB21), "", '3-QQM_BY ROUND'!AU21)</f>
        <v/>
      </c>
    </row>
    <row r="70" spans="1:4" x14ac:dyDescent="0.25">
      <c r="A70" s="394" t="s">
        <v>778</v>
      </c>
      <c r="B70" s="395">
        <f>IF(ISNUMBER('3-QQM_BY ROUND'!R22), "", '3-QQM_BY ROUND'!K22)</f>
        <v>0.59299999999999997</v>
      </c>
      <c r="C70" s="395">
        <f>IF(ISNUMBER('3-QQM_BY ROUND'!AJ22), "", '3-QQM_BY ROUND'!AC22)</f>
        <v>0.58599999999999997</v>
      </c>
      <c r="D70" s="395" t="str">
        <f>IF(ISNUMBER('3-QQM_BY ROUND'!BB22), "", '3-QQM_BY ROUND'!AU22)</f>
        <v/>
      </c>
    </row>
    <row r="71" spans="1:4" x14ac:dyDescent="0.25">
      <c r="A71" s="394" t="s">
        <v>1162</v>
      </c>
      <c r="B71" s="395">
        <f>IF(ISNUMBER('3-QQM_BY ROUND'!R23), "", '3-QQM_BY ROUND'!K23)</f>
        <v>0</v>
      </c>
      <c r="C71" s="395">
        <f>IF(ISNUMBER('3-QQM_BY ROUND'!AJ23), "", '3-QQM_BY ROUND'!AC23)</f>
        <v>0</v>
      </c>
      <c r="D71" s="395">
        <f>IF(ISNUMBER('3-QQM_BY ROUND'!BB23), "", '3-QQM_BY ROUND'!AU23)</f>
        <v>0</v>
      </c>
    </row>
    <row r="72" spans="1:4" x14ac:dyDescent="0.25">
      <c r="A72" s="394" t="s">
        <v>779</v>
      </c>
      <c r="B72" s="395">
        <f>IF(ISNUMBER('3-QQM_BY ROUND'!R24), "", '3-QQM_BY ROUND'!K24)</f>
        <v>0.56499999999999995</v>
      </c>
      <c r="C72" s="395" t="str">
        <f>IF(ISNUMBER('3-QQM_BY ROUND'!AJ24), "", '3-QQM_BY ROUND'!AC24)</f>
        <v/>
      </c>
      <c r="D72" s="395" t="str">
        <f>IF(ISNUMBER('3-QQM_BY ROUND'!BB24), "", '3-QQM_BY ROUND'!AU24)</f>
        <v/>
      </c>
    </row>
    <row r="73" spans="1:4" x14ac:dyDescent="0.25">
      <c r="A73" s="394" t="s">
        <v>1201</v>
      </c>
      <c r="B73" s="395">
        <f>IF(ISNUMBER('3-QQM_BY ROUND'!R25), "", '3-QQM_BY ROUND'!K25)</f>
        <v>0</v>
      </c>
      <c r="C73" s="395">
        <f>IF(ISNUMBER('3-QQM_BY ROUND'!AJ25), "", '3-QQM_BY ROUND'!AC25)</f>
        <v>0</v>
      </c>
      <c r="D73" s="395">
        <f>IF(ISNUMBER('3-QQM_BY ROUND'!BB25), "", '3-QQM_BY ROUND'!AU25)</f>
        <v>0</v>
      </c>
    </row>
    <row r="74" spans="1:4" x14ac:dyDescent="0.25">
      <c r="A74" s="394" t="s">
        <v>781</v>
      </c>
      <c r="B74" s="395">
        <f>IF(ISNUMBER('3-QQM_BY ROUND'!R26), "", '3-QQM_BY ROUND'!K26)</f>
        <v>0.66</v>
      </c>
      <c r="C74" s="395" t="str">
        <f>IF(ISNUMBER('3-QQM_BY ROUND'!AJ26), "", '3-QQM_BY ROUND'!AC26)</f>
        <v/>
      </c>
      <c r="D74" s="395" t="str">
        <f>IF(ISNUMBER('3-QQM_BY ROUND'!BB26), "", '3-QQM_BY ROUND'!AU26)</f>
        <v/>
      </c>
    </row>
    <row r="75" spans="1:4" x14ac:dyDescent="0.25">
      <c r="A75" s="394" t="s">
        <v>783</v>
      </c>
      <c r="B75" s="395" t="str">
        <f>IF(ISNUMBER('3-QQM_BY ROUND'!R27), "", '3-QQM_BY ROUND'!K27)</f>
        <v/>
      </c>
      <c r="C75" s="395" t="str">
        <f>IF(ISNUMBER('3-QQM_BY ROUND'!AJ27), "", '3-QQM_BY ROUND'!AC27)</f>
        <v/>
      </c>
      <c r="D75" s="395" t="str">
        <f>IF(ISNUMBER('3-QQM_BY ROUND'!BB27), "", '3-QQM_BY ROUND'!AU27)</f>
        <v/>
      </c>
    </row>
    <row r="76" spans="1:4" x14ac:dyDescent="0.25">
      <c r="A76" s="394" t="s">
        <v>784</v>
      </c>
      <c r="B76" s="395" t="str">
        <f>IF(ISNUMBER('3-QQM_BY ROUND'!R28), "", '3-QQM_BY ROUND'!K28)</f>
        <v/>
      </c>
      <c r="C76" s="395" t="str">
        <f>IF(ISNUMBER('3-QQM_BY ROUND'!AJ28), "", '3-QQM_BY ROUND'!AC28)</f>
        <v/>
      </c>
      <c r="D76" s="395" t="str">
        <f>IF(ISNUMBER('3-QQM_BY ROUND'!BB28), "", '3-QQM_BY ROUND'!AU28)</f>
        <v/>
      </c>
    </row>
    <row r="77" spans="1:4" x14ac:dyDescent="0.25">
      <c r="A77" s="394" t="s">
        <v>785</v>
      </c>
      <c r="B77" s="395" t="str">
        <f>IF(ISNUMBER('3-QQM_BY ROUND'!R29), "", '3-QQM_BY ROUND'!K29)</f>
        <v/>
      </c>
      <c r="C77" s="395" t="str">
        <f>IF(ISNUMBER('3-QQM_BY ROUND'!AJ29), "", '3-QQM_BY ROUND'!AC29)</f>
        <v/>
      </c>
      <c r="D77" s="395">
        <f>IF(ISNUMBER('3-QQM_BY ROUND'!BB29), "", '3-QQM_BY ROUND'!AU29)</f>
        <v>0.41899999999999998</v>
      </c>
    </row>
    <row r="78" spans="1:4" x14ac:dyDescent="0.25">
      <c r="A78" s="394" t="s">
        <v>786</v>
      </c>
      <c r="B78" s="395">
        <f>IF(ISNUMBER('3-QQM_BY ROUND'!R30), "", '3-QQM_BY ROUND'!K30)</f>
        <v>0.48899999999999999</v>
      </c>
      <c r="C78" s="395" t="str">
        <f>IF(ISNUMBER('3-QQM_BY ROUND'!AJ30), "", '3-QQM_BY ROUND'!AC30)</f>
        <v/>
      </c>
      <c r="D78" s="395">
        <f>IF(ISNUMBER('3-QQM_BY ROUND'!BB30), "", '3-QQM_BY ROUND'!AU30)</f>
        <v>0.49399999999999999</v>
      </c>
    </row>
    <row r="79" spans="1:4" x14ac:dyDescent="0.25">
      <c r="A79" s="394" t="s">
        <v>788</v>
      </c>
      <c r="B79" s="395" t="str">
        <f>IF(ISNUMBER('3-QQM_BY ROUND'!R31), "", '3-QQM_BY ROUND'!K31)</f>
        <v/>
      </c>
      <c r="C79" s="395" t="str">
        <f>IF(ISNUMBER('3-QQM_BY ROUND'!AJ31), "", '3-QQM_BY ROUND'!AC31)</f>
        <v/>
      </c>
      <c r="D79" s="395" t="str">
        <f>IF(ISNUMBER('3-QQM_BY ROUND'!BB31), "", '3-QQM_BY ROUND'!AU31)</f>
        <v/>
      </c>
    </row>
    <row r="80" spans="1:4" x14ac:dyDescent="0.25">
      <c r="A80" s="394" t="s">
        <v>789</v>
      </c>
      <c r="B80" s="395" t="str">
        <f>IF(ISNUMBER('3-QQM_BY ROUND'!R32), "", '3-QQM_BY ROUND'!K32)</f>
        <v/>
      </c>
      <c r="C80" s="395">
        <f>IF(ISNUMBER('3-QQM_BY ROUND'!AJ32), "", '3-QQM_BY ROUND'!AC32)</f>
        <v>0.60899999999999999</v>
      </c>
      <c r="D80" s="395" t="str">
        <f>IF(ISNUMBER('3-QQM_BY ROUND'!BB32), "", '3-QQM_BY ROUND'!AU32)</f>
        <v/>
      </c>
    </row>
    <row r="81" spans="1:4" x14ac:dyDescent="0.25">
      <c r="A81" s="394" t="s">
        <v>791</v>
      </c>
      <c r="B81" s="395">
        <f>IF(ISNUMBER('3-QQM_BY ROUND'!R33), "", '3-QQM_BY ROUND'!K33)</f>
        <v>0.54600000000000004</v>
      </c>
      <c r="C81" s="395">
        <f>IF(ISNUMBER('3-QQM_BY ROUND'!AJ33), "", '3-QQM_BY ROUND'!AC33)</f>
        <v>0.60199999999999998</v>
      </c>
      <c r="D81" s="395" t="str">
        <f>IF(ISNUMBER('3-QQM_BY ROUND'!BB33), "", '3-QQM_BY ROUND'!AU33)</f>
        <v/>
      </c>
    </row>
    <row r="82" spans="1:4" x14ac:dyDescent="0.25">
      <c r="A82" s="394" t="s">
        <v>792</v>
      </c>
      <c r="B82" s="395" t="str">
        <f>IF(ISNUMBER('3-QQM_BY ROUND'!R34), "", '3-QQM_BY ROUND'!K34)</f>
        <v/>
      </c>
      <c r="C82" s="395" t="str">
        <f>IF(ISNUMBER('3-QQM_BY ROUND'!AJ34), "", '3-QQM_BY ROUND'!AC34)</f>
        <v/>
      </c>
      <c r="D82" s="395" t="str">
        <f>IF(ISNUMBER('3-QQM_BY ROUND'!BB34), "", '3-QQM_BY ROUND'!AU34)</f>
        <v/>
      </c>
    </row>
    <row r="83" spans="1:4" x14ac:dyDescent="0.25">
      <c r="A83" s="394" t="s">
        <v>793</v>
      </c>
      <c r="B83" s="395" t="str">
        <f>IF(ISNUMBER('3-QQM_BY ROUND'!R35), "", '3-QQM_BY ROUND'!K35)</f>
        <v/>
      </c>
      <c r="C83" s="395" t="str">
        <f>IF(ISNUMBER('3-QQM_BY ROUND'!AJ35), "", '3-QQM_BY ROUND'!AC35)</f>
        <v/>
      </c>
      <c r="D83" s="395">
        <f>IF(ISNUMBER('3-QQM_BY ROUND'!BB35), "", '3-QQM_BY ROUND'!AU35)</f>
        <v>0.377</v>
      </c>
    </row>
    <row r="84" spans="1:4" x14ac:dyDescent="0.25">
      <c r="A84" s="394" t="s">
        <v>795</v>
      </c>
      <c r="B84" s="395">
        <f>IF(ISNUMBER('3-QQM_BY ROUND'!R36), "", '3-QQM_BY ROUND'!K36)</f>
        <v>0.45200000000000001</v>
      </c>
      <c r="C84" s="395">
        <f>IF(ISNUMBER('3-QQM_BY ROUND'!AJ36), "", '3-QQM_BY ROUND'!AC36)</f>
        <v>0.54</v>
      </c>
      <c r="D84" s="395" t="str">
        <f>IF(ISNUMBER('3-QQM_BY ROUND'!BB36), "", '3-QQM_BY ROUND'!AU36)</f>
        <v/>
      </c>
    </row>
    <row r="85" spans="1:4" x14ac:dyDescent="0.25">
      <c r="A85" s="394" t="s">
        <v>1386</v>
      </c>
      <c r="B85" s="395">
        <f>IF(ISNUMBER('3-QQM_BY ROUND'!R37), "", '3-QQM_BY ROUND'!K37)</f>
        <v>0</v>
      </c>
      <c r="C85" s="395">
        <f>IF(ISNUMBER('3-QQM_BY ROUND'!AJ37), "", '3-QQM_BY ROUND'!AC37)</f>
        <v>0</v>
      </c>
      <c r="D85" s="395">
        <f>IF(ISNUMBER('3-QQM_BY ROUND'!BB37), "", '3-QQM_BY ROUND'!AU37)</f>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917B-8B88-469D-80DD-44B6C7058E18}">
  <sheetPr>
    <tabColor theme="7" tint="0.79998168889431442"/>
  </sheetPr>
  <dimension ref="A1:DM16"/>
  <sheetViews>
    <sheetView zoomScaleNormal="100" workbookViewId="0"/>
  </sheetViews>
  <sheetFormatPr defaultColWidth="9" defaultRowHeight="15" x14ac:dyDescent="0.25"/>
  <cols>
    <col min="1" max="20" width="9" style="187"/>
    <col min="21" max="21" width="10.375" style="187" bestFit="1" customWidth="1"/>
    <col min="22" max="16384" width="9" style="187"/>
  </cols>
  <sheetData>
    <row r="1" spans="1:117" s="384" customFormat="1" x14ac:dyDescent="0.25">
      <c r="A1" s="493" t="s">
        <v>3341</v>
      </c>
      <c r="B1" s="493" t="s">
        <v>3342</v>
      </c>
      <c r="C1" s="493" t="s">
        <v>3343</v>
      </c>
      <c r="D1" s="493" t="s">
        <v>3344</v>
      </c>
      <c r="E1" s="493" t="s">
        <v>3345</v>
      </c>
      <c r="F1" s="493" t="s">
        <v>3346</v>
      </c>
      <c r="G1" s="493" t="s">
        <v>3347</v>
      </c>
      <c r="H1" s="493" t="s">
        <v>3348</v>
      </c>
      <c r="I1" s="493" t="s">
        <v>3349</v>
      </c>
      <c r="J1" s="493" t="s">
        <v>3350</v>
      </c>
      <c r="K1" s="493" t="s">
        <v>817</v>
      </c>
      <c r="L1" s="493" t="s">
        <v>3351</v>
      </c>
      <c r="M1" s="493" t="s">
        <v>3352</v>
      </c>
      <c r="N1" s="493" t="s">
        <v>3353</v>
      </c>
      <c r="O1" s="493" t="s">
        <v>3354</v>
      </c>
      <c r="P1" s="493" t="s">
        <v>3355</v>
      </c>
      <c r="Q1" s="493" t="s">
        <v>3356</v>
      </c>
      <c r="R1" s="493" t="s">
        <v>3357</v>
      </c>
      <c r="S1" s="493" t="s">
        <v>3358</v>
      </c>
      <c r="T1" s="493" t="s">
        <v>3359</v>
      </c>
      <c r="U1" s="493" t="s">
        <v>3360</v>
      </c>
      <c r="V1" s="493" t="s">
        <v>818</v>
      </c>
      <c r="W1" s="493" t="s">
        <v>3361</v>
      </c>
      <c r="X1" s="493" t="s">
        <v>3362</v>
      </c>
      <c r="Y1" s="493" t="s">
        <v>3363</v>
      </c>
      <c r="Z1" s="493" t="s">
        <v>3364</v>
      </c>
      <c r="AA1" s="493" t="s">
        <v>3365</v>
      </c>
      <c r="AB1" s="493" t="s">
        <v>3366</v>
      </c>
      <c r="AC1" s="493" t="s">
        <v>3367</v>
      </c>
      <c r="AD1" s="493" t="s">
        <v>3368</v>
      </c>
      <c r="AE1" s="493" t="s">
        <v>3369</v>
      </c>
      <c r="AF1" s="493" t="s">
        <v>3370</v>
      </c>
      <c r="AG1" s="493" t="s">
        <v>3371</v>
      </c>
      <c r="AH1" s="493" t="s">
        <v>3372</v>
      </c>
      <c r="AI1" s="493" t="s">
        <v>3373</v>
      </c>
      <c r="AJ1" s="493" t="s">
        <v>3374</v>
      </c>
      <c r="AK1" s="493" t="s">
        <v>3375</v>
      </c>
      <c r="AL1" s="493" t="s">
        <v>3376</v>
      </c>
      <c r="AM1" s="493" t="s">
        <v>3377</v>
      </c>
      <c r="AN1" s="493" t="s">
        <v>3378</v>
      </c>
      <c r="AO1" s="493" t="s">
        <v>3379</v>
      </c>
      <c r="AP1" s="493" t="s">
        <v>3380</v>
      </c>
      <c r="AQ1" s="493" t="s">
        <v>3381</v>
      </c>
      <c r="AR1" s="493" t="s">
        <v>3382</v>
      </c>
      <c r="AS1" s="493" t="s">
        <v>3383</v>
      </c>
      <c r="AT1" s="493" t="s">
        <v>3384</v>
      </c>
      <c r="AU1" s="493" t="s">
        <v>819</v>
      </c>
      <c r="AV1" s="493" t="s">
        <v>3385</v>
      </c>
      <c r="AW1" s="493" t="s">
        <v>3386</v>
      </c>
      <c r="AX1" s="493" t="s">
        <v>3387</v>
      </c>
      <c r="AY1" s="493" t="s">
        <v>3388</v>
      </c>
      <c r="AZ1" s="493" t="s">
        <v>3389</v>
      </c>
      <c r="BA1" s="493" t="s">
        <v>3390</v>
      </c>
      <c r="BB1" s="493" t="s">
        <v>3391</v>
      </c>
      <c r="BC1" s="493" t="s">
        <v>820</v>
      </c>
      <c r="BD1" s="493" t="s">
        <v>3392</v>
      </c>
      <c r="BE1" s="493" t="s">
        <v>3393</v>
      </c>
      <c r="BF1" s="493" t="s">
        <v>3394</v>
      </c>
      <c r="BG1" s="493" t="s">
        <v>3395</v>
      </c>
      <c r="BH1" s="493" t="s">
        <v>3396</v>
      </c>
      <c r="BI1" s="493" t="s">
        <v>3397</v>
      </c>
      <c r="BJ1" s="493" t="s">
        <v>3398</v>
      </c>
      <c r="BK1" s="493" t="s">
        <v>3399</v>
      </c>
      <c r="BL1" s="493" t="s">
        <v>3400</v>
      </c>
      <c r="BM1" s="493" t="s">
        <v>3401</v>
      </c>
      <c r="BN1" s="493" t="s">
        <v>821</v>
      </c>
      <c r="BO1" s="493" t="s">
        <v>3402</v>
      </c>
      <c r="BP1" s="493" t="s">
        <v>3403</v>
      </c>
      <c r="BQ1" s="493" t="s">
        <v>3404</v>
      </c>
      <c r="BR1" s="493" t="s">
        <v>3405</v>
      </c>
      <c r="BS1" s="493" t="s">
        <v>3406</v>
      </c>
      <c r="BT1" s="493" t="s">
        <v>3407</v>
      </c>
      <c r="BU1" s="493" t="s">
        <v>822</v>
      </c>
      <c r="BV1" s="493" t="s">
        <v>3408</v>
      </c>
      <c r="BW1" s="493" t="s">
        <v>3409</v>
      </c>
      <c r="BX1" s="493" t="s">
        <v>823</v>
      </c>
      <c r="BY1" s="493" t="s">
        <v>3410</v>
      </c>
      <c r="BZ1" s="493" t="s">
        <v>3411</v>
      </c>
      <c r="CA1" s="493" t="s">
        <v>3412</v>
      </c>
      <c r="CB1" s="493" t="s">
        <v>3413</v>
      </c>
      <c r="CC1" s="493" t="s">
        <v>3414</v>
      </c>
      <c r="CD1" s="493" t="s">
        <v>3415</v>
      </c>
      <c r="CE1" s="493" t="s">
        <v>3416</v>
      </c>
      <c r="CF1" s="493" t="s">
        <v>3417</v>
      </c>
      <c r="CG1" s="493" t="s">
        <v>3418</v>
      </c>
      <c r="CH1" s="493" t="s">
        <v>3419</v>
      </c>
      <c r="CI1" s="493" t="s">
        <v>3420</v>
      </c>
      <c r="CJ1" s="493" t="s">
        <v>824</v>
      </c>
      <c r="CK1" s="493" t="s">
        <v>3421</v>
      </c>
      <c r="CL1" s="493" t="s">
        <v>3422</v>
      </c>
      <c r="CM1" s="493" t="s">
        <v>3423</v>
      </c>
      <c r="CN1" s="493" t="s">
        <v>3424</v>
      </c>
      <c r="CO1" s="493" t="s">
        <v>3425</v>
      </c>
      <c r="CP1" s="493" t="s">
        <v>3426</v>
      </c>
      <c r="CQ1" s="493" t="s">
        <v>3427</v>
      </c>
      <c r="CR1" s="493" t="s">
        <v>3428</v>
      </c>
      <c r="CS1" s="493" t="s">
        <v>3429</v>
      </c>
      <c r="CT1" s="493" t="s">
        <v>3430</v>
      </c>
      <c r="CU1" s="493" t="s">
        <v>3431</v>
      </c>
      <c r="CV1" s="493" t="s">
        <v>3432</v>
      </c>
      <c r="CW1" s="493" t="s">
        <v>3433</v>
      </c>
      <c r="CX1" s="493" t="s">
        <v>825</v>
      </c>
      <c r="CY1" s="493" t="s">
        <v>3434</v>
      </c>
      <c r="CZ1" s="493" t="s">
        <v>3435</v>
      </c>
      <c r="DA1" s="493" t="s">
        <v>3436</v>
      </c>
      <c r="DB1" s="493" t="s">
        <v>3437</v>
      </c>
      <c r="DC1" s="493" t="s">
        <v>3438</v>
      </c>
      <c r="DD1" s="493" t="s">
        <v>3439</v>
      </c>
      <c r="DE1" s="493" t="s">
        <v>3440</v>
      </c>
      <c r="DF1" s="493" t="s">
        <v>3441</v>
      </c>
      <c r="DG1" s="493" t="s">
        <v>826</v>
      </c>
      <c r="DH1" s="493" t="s">
        <v>827</v>
      </c>
      <c r="DI1" s="493" t="s">
        <v>3442</v>
      </c>
      <c r="DJ1" s="493" t="s">
        <v>3443</v>
      </c>
      <c r="DK1" s="493" t="s">
        <v>3444</v>
      </c>
      <c r="DL1" s="493" t="s">
        <v>3443</v>
      </c>
      <c r="DM1" s="493" t="s">
        <v>3444</v>
      </c>
    </row>
    <row r="2" spans="1:117" s="384" customFormat="1" ht="15.75" x14ac:dyDescent="0.25">
      <c r="A2" s="493" t="s">
        <v>3445</v>
      </c>
      <c r="B2" s="385">
        <v>0.65116280000000004</v>
      </c>
      <c r="C2" s="385">
        <v>0.84961240000000005</v>
      </c>
      <c r="D2" s="385">
        <v>0.86046509999999998</v>
      </c>
      <c r="E2" s="385">
        <v>0.61821709999999996</v>
      </c>
      <c r="F2" s="385">
        <v>0.99224809999999997</v>
      </c>
      <c r="G2" s="385">
        <v>0.2713178</v>
      </c>
      <c r="H2" s="385">
        <v>0.90697680000000003</v>
      </c>
      <c r="I2" s="385">
        <v>0.72868219999999995</v>
      </c>
      <c r="J2" s="385">
        <v>0.82170540000000003</v>
      </c>
      <c r="K2" s="385">
        <v>0.73754160000000002</v>
      </c>
      <c r="L2" s="385">
        <v>0.79069769999999995</v>
      </c>
      <c r="M2" s="385">
        <v>0.75968990000000003</v>
      </c>
      <c r="N2" s="385">
        <v>0.42118860000000002</v>
      </c>
      <c r="O2" s="385">
        <v>0.53682169999999996</v>
      </c>
      <c r="P2" s="385">
        <v>0.72480619999999996</v>
      </c>
      <c r="Q2" s="385">
        <v>0.90697680000000003</v>
      </c>
      <c r="R2" s="385">
        <v>0.65116280000000004</v>
      </c>
      <c r="S2" s="385">
        <v>0.51162790000000002</v>
      </c>
      <c r="T2" s="385">
        <v>0.56589140000000004</v>
      </c>
      <c r="U2" s="385">
        <v>0.48837209999999998</v>
      </c>
      <c r="V2" s="385">
        <v>0.62733700000000003</v>
      </c>
      <c r="W2" s="385">
        <v>0.68992249999999999</v>
      </c>
      <c r="X2" s="385">
        <v>0.58914730000000004</v>
      </c>
      <c r="Y2" s="385">
        <v>0.8139535</v>
      </c>
      <c r="Z2" s="385">
        <v>0.54780359999999995</v>
      </c>
      <c r="AA2" s="385">
        <v>0.82170540000000003</v>
      </c>
      <c r="AB2" s="385">
        <v>0.70542629999999995</v>
      </c>
      <c r="AC2" s="385">
        <v>0.49224810000000002</v>
      </c>
      <c r="AD2" s="385">
        <v>0.86821709999999996</v>
      </c>
      <c r="AE2" s="385">
        <v>0.61240309999999998</v>
      </c>
      <c r="AF2" s="385">
        <v>0.67441859999999998</v>
      </c>
      <c r="AG2" s="385">
        <v>0.47286820000000002</v>
      </c>
      <c r="AH2" s="385">
        <v>0.34883720000000001</v>
      </c>
      <c r="AI2" s="385">
        <v>0.66666669999999995</v>
      </c>
      <c r="AJ2" s="385">
        <v>0.41085270000000002</v>
      </c>
      <c r="AK2" s="385">
        <v>0.1782946</v>
      </c>
      <c r="AL2" s="385">
        <v>0.79844959999999998</v>
      </c>
      <c r="AM2" s="385">
        <v>0.76744190000000001</v>
      </c>
      <c r="AN2" s="385">
        <v>0.99224809999999997</v>
      </c>
      <c r="AO2" s="385">
        <v>0.98449609999999999</v>
      </c>
      <c r="AP2" s="385">
        <v>0.95348829999999996</v>
      </c>
      <c r="AQ2" s="385">
        <v>0.88372090000000003</v>
      </c>
      <c r="AR2" s="385">
        <v>0.82170540000000003</v>
      </c>
      <c r="AS2" s="385">
        <v>0.34883720000000001</v>
      </c>
      <c r="AT2" s="385">
        <v>0.71705419999999997</v>
      </c>
      <c r="AU2" s="385">
        <v>0.61293169999999997</v>
      </c>
      <c r="AV2" s="385">
        <v>0.61240309999999998</v>
      </c>
      <c r="AW2" s="385">
        <v>0.85271319999999995</v>
      </c>
      <c r="AX2" s="385">
        <v>0.69767440000000003</v>
      </c>
      <c r="AY2" s="385">
        <v>0.36434109999999997</v>
      </c>
      <c r="AZ2" s="385">
        <v>0.27906979999999998</v>
      </c>
      <c r="BA2" s="385">
        <v>0.2713178</v>
      </c>
      <c r="BB2" s="385">
        <v>0.71317830000000004</v>
      </c>
      <c r="BC2" s="385">
        <v>0.56858779999999998</v>
      </c>
      <c r="BD2" s="385">
        <v>0.98666670000000001</v>
      </c>
      <c r="BE2" s="385">
        <v>0.62666670000000002</v>
      </c>
      <c r="BF2" s="385">
        <v>0.90666670000000005</v>
      </c>
      <c r="BG2" s="385">
        <v>0.92</v>
      </c>
      <c r="BH2" s="385">
        <v>0.66666669999999995</v>
      </c>
      <c r="BI2" s="385">
        <v>0.90666670000000005</v>
      </c>
      <c r="BJ2" s="385">
        <v>0.90666670000000005</v>
      </c>
      <c r="BK2" s="385">
        <v>0.88</v>
      </c>
      <c r="BL2" s="385">
        <v>0.90666670000000005</v>
      </c>
      <c r="BM2" s="385">
        <v>0.46666669999999999</v>
      </c>
      <c r="BN2" s="385">
        <v>0.78755560000000002</v>
      </c>
      <c r="BO2" s="385">
        <v>0.79069769999999995</v>
      </c>
      <c r="BP2" s="385">
        <v>0.13953489999999999</v>
      </c>
      <c r="BQ2" s="385">
        <v>0.58139529999999995</v>
      </c>
      <c r="BR2" s="385">
        <v>0.84496119999999997</v>
      </c>
      <c r="BS2" s="385">
        <v>0.50387599999999999</v>
      </c>
      <c r="BT2" s="385">
        <v>0.96511630000000004</v>
      </c>
      <c r="BU2" s="385">
        <v>0.63893860000000002</v>
      </c>
      <c r="BV2" s="385">
        <v>0.14418600000000001</v>
      </c>
      <c r="BW2" s="385">
        <v>0.4048234</v>
      </c>
      <c r="BX2" s="385">
        <v>9.2627000000000001E-2</v>
      </c>
      <c r="BY2" s="385">
        <v>0.83720930000000005</v>
      </c>
      <c r="BZ2" s="385">
        <v>0.89922480000000005</v>
      </c>
      <c r="CA2" s="385">
        <v>0.44961240000000002</v>
      </c>
      <c r="CB2" s="385">
        <v>0.70099670000000003</v>
      </c>
      <c r="CC2" s="385">
        <v>1</v>
      </c>
      <c r="CD2" s="385">
        <v>0.97416020000000003</v>
      </c>
      <c r="CE2" s="385">
        <v>0.83333330000000005</v>
      </c>
      <c r="CF2" s="385">
        <v>0.71317830000000004</v>
      </c>
      <c r="CG2" s="385">
        <v>0.83720930000000005</v>
      </c>
      <c r="CH2" s="385">
        <v>0.2403101</v>
      </c>
      <c r="CI2" s="385">
        <v>0.46511629999999998</v>
      </c>
      <c r="CJ2" s="385">
        <v>0.75915529999999998</v>
      </c>
      <c r="CK2" s="385">
        <v>0.80620159999999996</v>
      </c>
      <c r="CL2" s="385">
        <v>0.9379845</v>
      </c>
      <c r="CM2" s="385">
        <v>0.9379845</v>
      </c>
      <c r="CN2" s="385">
        <v>0.96124030000000005</v>
      </c>
      <c r="CO2" s="385">
        <v>0.875969</v>
      </c>
      <c r="CP2" s="385">
        <v>0.98449609999999999</v>
      </c>
      <c r="CQ2" s="385">
        <v>0.38759690000000002</v>
      </c>
      <c r="CR2" s="385">
        <v>1</v>
      </c>
      <c r="CS2" s="385">
        <v>0.99224809999999997</v>
      </c>
      <c r="CT2" s="385">
        <v>0.96124030000000005</v>
      </c>
      <c r="CU2" s="385">
        <v>0.91472869999999995</v>
      </c>
      <c r="CV2" s="385">
        <v>0.80620159999999996</v>
      </c>
      <c r="CW2" s="385">
        <v>0.77519380000000004</v>
      </c>
      <c r="CX2" s="385">
        <v>0.88601779999999997</v>
      </c>
      <c r="CY2" s="385">
        <v>0.55038759999999998</v>
      </c>
      <c r="CZ2" s="385">
        <v>0.67441859999999998</v>
      </c>
      <c r="DA2" s="385">
        <v>0.52713180000000004</v>
      </c>
      <c r="DB2" s="385">
        <v>0.35658909999999999</v>
      </c>
      <c r="DC2" s="385">
        <v>0.82945729999999995</v>
      </c>
      <c r="DD2" s="385">
        <v>0.875969</v>
      </c>
      <c r="DE2" s="385">
        <v>0.96124030000000005</v>
      </c>
      <c r="DF2" s="385">
        <v>0.74418600000000001</v>
      </c>
      <c r="DG2" s="385">
        <v>0.68872990000000001</v>
      </c>
      <c r="DH2" s="385">
        <v>0.52289070000000004</v>
      </c>
      <c r="DI2" s="385">
        <v>77</v>
      </c>
      <c r="DJ2" s="385">
        <v>34</v>
      </c>
      <c r="DK2" s="386">
        <v>18</v>
      </c>
      <c r="DL2" s="386">
        <v>45</v>
      </c>
      <c r="DM2" s="386">
        <v>21</v>
      </c>
    </row>
    <row r="3" spans="1:117" s="384" customFormat="1" ht="15.75" x14ac:dyDescent="0.25">
      <c r="A3" s="493" t="s">
        <v>3446</v>
      </c>
      <c r="B3" s="385">
        <v>0.25581399999999999</v>
      </c>
      <c r="C3" s="385">
        <v>0.79069769999999995</v>
      </c>
      <c r="D3" s="385">
        <v>0.79069769999999995</v>
      </c>
      <c r="E3" s="385">
        <v>0.58139529999999995</v>
      </c>
      <c r="F3" s="385">
        <v>0.93023259999999997</v>
      </c>
      <c r="G3" s="385">
        <v>0.1860465</v>
      </c>
      <c r="H3" s="385">
        <v>0.72093019999999997</v>
      </c>
      <c r="I3" s="385">
        <v>0.37209300000000001</v>
      </c>
      <c r="J3" s="385">
        <v>0.79069769999999995</v>
      </c>
      <c r="K3" s="385">
        <v>0.64368769999999997</v>
      </c>
      <c r="L3" s="385">
        <v>0.88372090000000003</v>
      </c>
      <c r="M3" s="385">
        <v>0.93023259999999997</v>
      </c>
      <c r="N3" s="385">
        <v>0.58139529999999995</v>
      </c>
      <c r="O3" s="385">
        <v>0.60465120000000006</v>
      </c>
      <c r="P3" s="385">
        <v>0.65116280000000004</v>
      </c>
      <c r="Q3" s="385">
        <v>1</v>
      </c>
      <c r="R3" s="385">
        <v>0.58139529999999995</v>
      </c>
      <c r="S3" s="385">
        <v>0.37209300000000001</v>
      </c>
      <c r="T3" s="385">
        <v>0.48837209999999998</v>
      </c>
      <c r="U3" s="385">
        <v>0.44186049999999999</v>
      </c>
      <c r="V3" s="385">
        <v>0.59781119999999999</v>
      </c>
      <c r="W3" s="385">
        <v>0.69767440000000003</v>
      </c>
      <c r="X3" s="385">
        <v>0.25581399999999999</v>
      </c>
      <c r="Y3" s="385">
        <v>0.74418600000000001</v>
      </c>
      <c r="Z3" s="385">
        <v>0.41860459999999999</v>
      </c>
      <c r="AA3" s="385">
        <v>0.90697680000000003</v>
      </c>
      <c r="AB3" s="385">
        <v>0.48837209999999998</v>
      </c>
      <c r="AC3" s="385">
        <v>0.46511629999999998</v>
      </c>
      <c r="AD3" s="385">
        <v>0.93023259999999997</v>
      </c>
      <c r="AE3" s="385">
        <v>0.60465120000000006</v>
      </c>
      <c r="AF3" s="385">
        <v>0.44186049999999999</v>
      </c>
      <c r="AG3" s="385">
        <v>0.48837209999999998</v>
      </c>
      <c r="AH3" s="385">
        <v>0.30232560000000003</v>
      </c>
      <c r="AI3" s="385">
        <v>0.67441859999999998</v>
      </c>
      <c r="AJ3" s="385">
        <v>0.27906979999999998</v>
      </c>
      <c r="AK3" s="385">
        <v>0.32558140000000002</v>
      </c>
      <c r="AL3" s="385">
        <v>0.79069769999999995</v>
      </c>
      <c r="AM3" s="385">
        <v>0.69767440000000003</v>
      </c>
      <c r="AN3" s="385">
        <v>0.97674419999999995</v>
      </c>
      <c r="AO3" s="385">
        <v>0.93023259999999997</v>
      </c>
      <c r="AP3" s="385">
        <v>0.86046509999999998</v>
      </c>
      <c r="AQ3" s="385">
        <v>0.93023259999999997</v>
      </c>
      <c r="AR3" s="385">
        <v>0.69767440000000003</v>
      </c>
      <c r="AS3" s="385">
        <v>0.41860459999999999</v>
      </c>
      <c r="AT3" s="385">
        <v>0.72674419999999995</v>
      </c>
      <c r="AU3" s="385">
        <v>0.57584570000000002</v>
      </c>
      <c r="AV3" s="385">
        <v>0.67441859999999998</v>
      </c>
      <c r="AW3" s="385">
        <v>0.65116280000000004</v>
      </c>
      <c r="AX3" s="385">
        <v>0.62790699999999999</v>
      </c>
      <c r="AY3" s="385">
        <v>0.46511629999999998</v>
      </c>
      <c r="AZ3" s="385">
        <v>0.41860459999999999</v>
      </c>
      <c r="BA3" s="385">
        <v>0.32558140000000002</v>
      </c>
      <c r="BB3" s="385">
        <v>0.62790699999999999</v>
      </c>
      <c r="BC3" s="385">
        <v>0.54600610000000005</v>
      </c>
      <c r="BD3" s="385">
        <v>1</v>
      </c>
      <c r="BE3" s="385">
        <v>0.75</v>
      </c>
      <c r="BF3" s="385">
        <v>0.875</v>
      </c>
      <c r="BG3" s="385">
        <v>0.91666669999999995</v>
      </c>
      <c r="BH3" s="385">
        <v>0.75</v>
      </c>
      <c r="BI3" s="385">
        <v>0.875</v>
      </c>
      <c r="BJ3" s="385">
        <v>0.91666669999999995</v>
      </c>
      <c r="BK3" s="385">
        <v>0.95833330000000005</v>
      </c>
      <c r="BL3" s="385">
        <v>0.91666669999999995</v>
      </c>
      <c r="BM3" s="385">
        <v>0.58333330000000005</v>
      </c>
      <c r="BN3" s="385">
        <v>0.83055559999999995</v>
      </c>
      <c r="BO3" s="385">
        <v>0.69767440000000003</v>
      </c>
      <c r="BP3" s="385">
        <v>9.3023300000000003E-2</v>
      </c>
      <c r="BQ3" s="385">
        <v>0.48062009999999999</v>
      </c>
      <c r="BR3" s="385">
        <v>0.76744190000000001</v>
      </c>
      <c r="BS3" s="385">
        <v>0.58139529999999995</v>
      </c>
      <c r="BT3" s="385">
        <v>0.90697680000000003</v>
      </c>
      <c r="BU3" s="385">
        <v>0.56082290000000001</v>
      </c>
      <c r="BV3" s="385">
        <v>8.8372099999999995E-2</v>
      </c>
      <c r="BW3" s="385">
        <v>0.34780359999999999</v>
      </c>
      <c r="BX3" s="385">
        <v>6.6253199999999998E-2</v>
      </c>
      <c r="BY3" s="385">
        <v>0.83720930000000005</v>
      </c>
      <c r="BZ3" s="385">
        <v>0.88372090000000003</v>
      </c>
      <c r="CA3" s="385">
        <v>0.30232560000000003</v>
      </c>
      <c r="CB3" s="385">
        <v>0.72757479999999997</v>
      </c>
      <c r="CC3" s="385">
        <v>0.95348829999999996</v>
      </c>
      <c r="CD3" s="385">
        <v>0.92248059999999998</v>
      </c>
      <c r="CE3" s="385">
        <v>0.81686040000000004</v>
      </c>
      <c r="CF3" s="385">
        <v>0.83720930000000005</v>
      </c>
      <c r="CG3" s="385">
        <v>0.76744190000000001</v>
      </c>
      <c r="CH3" s="385">
        <v>0.2093023</v>
      </c>
      <c r="CI3" s="385">
        <v>0.2093023</v>
      </c>
      <c r="CJ3" s="385">
        <v>0.7377707</v>
      </c>
      <c r="CK3" s="385">
        <v>0.62790699999999999</v>
      </c>
      <c r="CL3" s="385">
        <v>0.93023259999999997</v>
      </c>
      <c r="CM3" s="385">
        <v>0.97674419999999995</v>
      </c>
      <c r="CN3" s="385">
        <v>0.90697680000000003</v>
      </c>
      <c r="CO3" s="385">
        <v>0.86046509999999998</v>
      </c>
      <c r="CP3" s="385">
        <v>1</v>
      </c>
      <c r="CQ3" s="385">
        <v>0.27906979999999998</v>
      </c>
      <c r="CR3" s="385">
        <v>1</v>
      </c>
      <c r="CS3" s="385">
        <v>1</v>
      </c>
      <c r="CT3" s="385">
        <v>0.8139535</v>
      </c>
      <c r="CU3" s="385">
        <v>0.97674419999999995</v>
      </c>
      <c r="CV3" s="385">
        <v>0.83720930000000005</v>
      </c>
      <c r="CW3" s="385">
        <v>0.8139535</v>
      </c>
      <c r="CX3" s="385">
        <v>0.86907840000000003</v>
      </c>
      <c r="CY3" s="385">
        <v>0.60465120000000006</v>
      </c>
      <c r="CZ3" s="385">
        <v>0.3953488</v>
      </c>
      <c r="DA3" s="385">
        <v>0.41860459999999999</v>
      </c>
      <c r="DB3" s="385">
        <v>0.3953488</v>
      </c>
      <c r="DC3" s="385">
        <v>0.79069769999999995</v>
      </c>
      <c r="DD3" s="385">
        <v>0.83720930000000005</v>
      </c>
      <c r="DE3" s="385">
        <v>0.95348829999999996</v>
      </c>
      <c r="DF3" s="385">
        <v>0.79069769999999995</v>
      </c>
      <c r="DG3" s="385">
        <v>0.64221819999999996</v>
      </c>
      <c r="DH3" s="385">
        <v>0.48604809999999998</v>
      </c>
      <c r="DI3" s="385">
        <v>25</v>
      </c>
      <c r="DJ3" s="385">
        <v>13</v>
      </c>
      <c r="DK3" s="386">
        <v>5</v>
      </c>
      <c r="DL3" s="386">
        <v>18</v>
      </c>
      <c r="DM3" s="386">
        <v>7</v>
      </c>
    </row>
    <row r="5" spans="1:117" ht="74.25" customHeight="1" x14ac:dyDescent="0.25">
      <c r="B5" s="217"/>
      <c r="C5" s="410" t="str">
        <f>"Domain 1: General Management"&amp;'Significances_ADB-nonADB'!J4</f>
        <v>Domain 1: General Management*</v>
      </c>
      <c r="D5" s="494" t="str">
        <f>"Domain 2: Hygiene"&amp;'Significances_ADB-nonADB'!J14</f>
        <v>Domain 2: Hygiene</v>
      </c>
      <c r="E5" s="494" t="str">
        <f>"Domain 3: OPD / Curative Consultations"&amp;'Significances_ADB-nonADB'!J25</f>
        <v>Domain 3: OPD / Curative Consultations</v>
      </c>
      <c r="F5" s="411" t="str">
        <f>"Domain 4: Family planning"&amp;'Significances_ADB-nonADB'!J50</f>
        <v>Domain 4: Family planning</v>
      </c>
      <c r="G5" s="411" t="str">
        <f>"Domain 5: Laboratory"&amp;'Significances_ADB-nonADB'!J58</f>
        <v>Domain 5: Laboratory</v>
      </c>
      <c r="H5" s="494" t="str">
        <f>"Domain 6: Essential Drugs Management"&amp;'Significances_ADB-nonADB'!J69</f>
        <v>Domain 6: Essential Drugs Management*</v>
      </c>
      <c r="I5" s="411" t="str">
        <f>"Domain 7: Tracer drugs"&amp;'Significances_ADB-nonADB'!J76</f>
        <v>Domain 7: Tracer drugs</v>
      </c>
      <c r="J5" s="494" t="str">
        <f>"Domain 8: Maternity"&amp;'Significances_ADB-nonADB'!J79</f>
        <v>Domain 8: Maternity</v>
      </c>
      <c r="K5" s="494" t="str">
        <f>"Domain 9: 
EPI"&amp;'Significances_ADB-nonADB'!J91</f>
        <v>Domain 9: 
EPI</v>
      </c>
      <c r="L5" s="411" t="str">
        <f>"Domain 10: Antenatal Care"&amp;'Significances_ADB-nonADB'!J105</f>
        <v>Domain 10: Antenatal Care</v>
      </c>
      <c r="M5" s="411" t="str">
        <f>"Structural indicators score"&amp;'Significances_ADB-nonADB'!J114</f>
        <v>Structural indicators score</v>
      </c>
      <c r="Q5" s="216" t="s">
        <v>3447</v>
      </c>
    </row>
    <row r="6" spans="1:117" x14ac:dyDescent="0.25">
      <c r="B6" s="217"/>
      <c r="C6" s="217" t="s">
        <v>817</v>
      </c>
      <c r="D6" s="217" t="s">
        <v>818</v>
      </c>
      <c r="E6" s="217" t="s">
        <v>819</v>
      </c>
      <c r="F6" s="217" t="s">
        <v>820</v>
      </c>
      <c r="G6" s="217" t="s">
        <v>821</v>
      </c>
      <c r="H6" s="217" t="s">
        <v>822</v>
      </c>
      <c r="I6" s="217" t="s">
        <v>823</v>
      </c>
      <c r="J6" s="217" t="s">
        <v>824</v>
      </c>
      <c r="K6" s="217" t="s">
        <v>825</v>
      </c>
      <c r="L6" s="217" t="s">
        <v>826</v>
      </c>
      <c r="M6" s="217" t="s">
        <v>827</v>
      </c>
    </row>
    <row r="7" spans="1:117" x14ac:dyDescent="0.25">
      <c r="B7" s="217" t="s">
        <v>3448</v>
      </c>
      <c r="C7" s="222">
        <f t="shared" ref="C7:M7" si="0">HLOOKUP(C$6,$B$1:$DM$3,2,FALSE)</f>
        <v>0.73754160000000002</v>
      </c>
      <c r="D7" s="222">
        <f t="shared" si="0"/>
        <v>0.62733700000000003</v>
      </c>
      <c r="E7" s="222">
        <f t="shared" si="0"/>
        <v>0.61293169999999997</v>
      </c>
      <c r="F7" s="222">
        <f t="shared" si="0"/>
        <v>0.56858779999999998</v>
      </c>
      <c r="G7" s="495">
        <f t="shared" si="0"/>
        <v>0.78755560000000002</v>
      </c>
      <c r="H7" s="222">
        <f t="shared" si="0"/>
        <v>0.63893860000000002</v>
      </c>
      <c r="I7" s="222">
        <f t="shared" si="0"/>
        <v>9.2627000000000001E-2</v>
      </c>
      <c r="J7" s="222">
        <f t="shared" si="0"/>
        <v>0.75915529999999998</v>
      </c>
      <c r="K7" s="222">
        <f t="shared" si="0"/>
        <v>0.88601779999999997</v>
      </c>
      <c r="L7" s="222">
        <f t="shared" si="0"/>
        <v>0.68872990000000001</v>
      </c>
      <c r="M7" s="495">
        <f t="shared" si="0"/>
        <v>0.52289070000000004</v>
      </c>
    </row>
    <row r="8" spans="1:117" x14ac:dyDescent="0.25">
      <c r="B8" s="217" t="s">
        <v>3446</v>
      </c>
      <c r="C8" s="222">
        <f t="shared" ref="C8:M8" si="1">HLOOKUP(C$6,$B$1:$DM$3,3,FALSE)</f>
        <v>0.64368769999999997</v>
      </c>
      <c r="D8" s="222">
        <f t="shared" si="1"/>
        <v>0.59781119999999999</v>
      </c>
      <c r="E8" s="222">
        <f t="shared" si="1"/>
        <v>0.57584570000000002</v>
      </c>
      <c r="F8" s="222">
        <f t="shared" si="1"/>
        <v>0.54600610000000005</v>
      </c>
      <c r="G8" s="495">
        <f t="shared" si="1"/>
        <v>0.83055559999999995</v>
      </c>
      <c r="H8" s="222">
        <f t="shared" si="1"/>
        <v>0.56082290000000001</v>
      </c>
      <c r="I8" s="222">
        <f t="shared" si="1"/>
        <v>6.6253199999999998E-2</v>
      </c>
      <c r="J8" s="222">
        <f t="shared" si="1"/>
        <v>0.7377707</v>
      </c>
      <c r="K8" s="222">
        <f t="shared" si="1"/>
        <v>0.86907840000000003</v>
      </c>
      <c r="L8" s="222">
        <f t="shared" si="1"/>
        <v>0.64221819999999996</v>
      </c>
      <c r="M8" s="495">
        <f t="shared" si="1"/>
        <v>0.48604809999999998</v>
      </c>
    </row>
    <row r="9" spans="1:117" x14ac:dyDescent="0.25">
      <c r="C9" s="409">
        <f>C8-C7</f>
        <v>-9.3853900000000046E-2</v>
      </c>
      <c r="D9" s="409">
        <f t="shared" ref="D9:M9" si="2">D8-D7</f>
        <v>-2.9525800000000046E-2</v>
      </c>
      <c r="E9" s="409">
        <f t="shared" si="2"/>
        <v>-3.7085999999999952E-2</v>
      </c>
      <c r="F9" s="409">
        <f t="shared" si="2"/>
        <v>-2.2581699999999927E-2</v>
      </c>
      <c r="G9" s="409">
        <f t="shared" si="2"/>
        <v>4.2999999999999927E-2</v>
      </c>
      <c r="H9" s="409">
        <f t="shared" si="2"/>
        <v>-7.811570000000001E-2</v>
      </c>
      <c r="I9" s="409">
        <f t="shared" si="2"/>
        <v>-2.6373800000000003E-2</v>
      </c>
      <c r="J9" s="409">
        <f t="shared" si="2"/>
        <v>-2.1384599999999976E-2</v>
      </c>
      <c r="K9" s="409">
        <f t="shared" si="2"/>
        <v>-1.6939399999999938E-2</v>
      </c>
      <c r="L9" s="409">
        <f t="shared" si="2"/>
        <v>-4.6511700000000045E-2</v>
      </c>
      <c r="M9" s="409">
        <f t="shared" si="2"/>
        <v>-3.6842600000000059E-2</v>
      </c>
    </row>
    <row r="16" spans="1:117" ht="15.75" x14ac:dyDescent="0.25">
      <c r="C16" s="496"/>
      <c r="D16" s="496"/>
      <c r="E16"/>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398F-8BC7-4C52-87E6-A9E809B003A2}">
  <sheetPr>
    <tabColor theme="7" tint="0.79998168889431442"/>
  </sheetPr>
  <dimension ref="C1:V32"/>
  <sheetViews>
    <sheetView zoomScale="115" zoomScaleNormal="115" workbookViewId="0">
      <selection activeCell="N8" sqref="N8"/>
    </sheetView>
  </sheetViews>
  <sheetFormatPr defaultColWidth="9" defaultRowHeight="15" x14ac:dyDescent="0.25"/>
  <cols>
    <col min="1" max="16384" width="9" style="187"/>
  </cols>
  <sheetData>
    <row r="1" spans="3:22" x14ac:dyDescent="0.25">
      <c r="C1" s="216" t="s">
        <v>3449</v>
      </c>
      <c r="N1" s="216" t="s">
        <v>3450</v>
      </c>
    </row>
    <row r="3" spans="3:22" x14ac:dyDescent="0.25">
      <c r="C3" s="217"/>
      <c r="D3" s="217" t="s">
        <v>3102</v>
      </c>
      <c r="E3" s="217" t="s">
        <v>3451</v>
      </c>
      <c r="F3" s="455" t="s">
        <v>756</v>
      </c>
      <c r="N3" s="188" t="s">
        <v>3341</v>
      </c>
      <c r="O3" s="188" t="s">
        <v>3105</v>
      </c>
      <c r="P3" s="188" t="s">
        <v>3106</v>
      </c>
      <c r="Q3" s="188" t="s">
        <v>828</v>
      </c>
      <c r="R3" s="188" t="s">
        <v>3452</v>
      </c>
      <c r="S3" s="188" t="s">
        <v>3107</v>
      </c>
      <c r="T3" s="188" t="s">
        <v>3108</v>
      </c>
      <c r="U3" s="188" t="s">
        <v>829</v>
      </c>
      <c r="V3" s="188" t="s">
        <v>830</v>
      </c>
    </row>
    <row r="4" spans="3:22" x14ac:dyDescent="0.25">
      <c r="C4" s="217" t="s">
        <v>885</v>
      </c>
      <c r="D4" s="495" t="e">
        <f>VLOOKUP($C4,'2-QQM_SUMMARY_SHEET'!$A$4:$Q$30,15,FALSE)</f>
        <v>#N/A</v>
      </c>
      <c r="E4" s="495" t="e">
        <f>VLOOKUP($C4,'2-QQM_SUMMARY_SHEET'!$A$4:$Q$30,16,FALSE)</f>
        <v>#N/A</v>
      </c>
      <c r="F4" s="495" t="e">
        <f>VLOOKUP($C4,'2-QQM_SUMMARY_SHEET'!$A$4:$Q$30,17,FALSE)</f>
        <v>#N/A</v>
      </c>
      <c r="N4" s="188" t="s">
        <v>3445</v>
      </c>
      <c r="O4" s="188">
        <v>247</v>
      </c>
      <c r="P4" s="188">
        <v>221</v>
      </c>
      <c r="Q4" s="493">
        <v>0.48643730000000002</v>
      </c>
      <c r="R4" s="493">
        <v>0.48643730000000002</v>
      </c>
      <c r="S4" s="493">
        <v>0.76621419999999996</v>
      </c>
      <c r="T4" s="493">
        <v>0.60067870000000001</v>
      </c>
      <c r="U4" s="493">
        <v>0.69006789999999996</v>
      </c>
      <c r="V4" s="493">
        <v>0.58259620000000001</v>
      </c>
    </row>
    <row r="5" spans="3:22" x14ac:dyDescent="0.25">
      <c r="C5" s="217" t="s">
        <v>948</v>
      </c>
      <c r="D5" s="495" t="e">
        <f>VLOOKUP($C5,'2-QQM_SUMMARY_SHEET'!$A$4:$Q$30,15,FALSE)</f>
        <v>#N/A</v>
      </c>
      <c r="E5" s="495" t="e">
        <f>VLOOKUP($C5,'2-QQM_SUMMARY_SHEET'!$A$4:$Q$30,16,FALSE)</f>
        <v>#N/A</v>
      </c>
      <c r="F5" s="495" t="e">
        <f>VLOOKUP($C5,'2-QQM_SUMMARY_SHEET'!$A$4:$Q$30,17,FALSE)</f>
        <v>#N/A</v>
      </c>
      <c r="N5" s="188" t="s">
        <v>3446</v>
      </c>
      <c r="O5" s="188">
        <v>84</v>
      </c>
      <c r="P5" s="188">
        <v>78</v>
      </c>
      <c r="Q5" s="493">
        <v>0.44595240000000003</v>
      </c>
      <c r="R5" s="493">
        <v>0.44595240000000003</v>
      </c>
      <c r="S5" s="493">
        <v>0.70156689999999999</v>
      </c>
      <c r="T5" s="493">
        <v>0.62653289999999995</v>
      </c>
      <c r="U5" s="493">
        <v>0.66705130000000001</v>
      </c>
      <c r="V5" s="493">
        <v>0.55240739999999999</v>
      </c>
    </row>
    <row r="6" spans="3:22" x14ac:dyDescent="0.25">
      <c r="C6" s="217" t="s">
        <v>963</v>
      </c>
      <c r="D6" s="495" t="e">
        <f>VLOOKUP($C6,'2-QQM_SUMMARY_SHEET'!$A$4:$Q$30,15,FALSE)</f>
        <v>#N/A</v>
      </c>
      <c r="E6" s="495" t="e">
        <f>VLOOKUP($C6,'2-QQM_SUMMARY_SHEET'!$A$4:$Q$30,16,FALSE)</f>
        <v>#N/A</v>
      </c>
      <c r="F6" s="495" t="e">
        <f>VLOOKUP($C6,'2-QQM_SUMMARY_SHEET'!$A$4:$Q$30,17,FALSE)</f>
        <v>#N/A</v>
      </c>
    </row>
    <row r="7" spans="3:22" x14ac:dyDescent="0.25">
      <c r="C7" s="217" t="s">
        <v>767</v>
      </c>
      <c r="D7" s="495">
        <f>VLOOKUP($C7,'2-QQM_SUMMARY_SHEET'!$A$4:$Q$30,15,FALSE)</f>
        <v>0.46</v>
      </c>
      <c r="E7" s="495">
        <f>VLOOKUP($C7,'2-QQM_SUMMARY_SHEET'!$A$4:$Q$30,16,FALSE)</f>
        <v>0.6181818</v>
      </c>
      <c r="F7" s="495">
        <f>VLOOKUP($C7,'2-QQM_SUMMARY_SHEET'!$A$4:$Q$30,17,FALSE)</f>
        <v>0.53909090000000004</v>
      </c>
    </row>
    <row r="8" spans="3:22" x14ac:dyDescent="0.25">
      <c r="C8" s="217" t="s">
        <v>769</v>
      </c>
      <c r="D8" s="495">
        <f>VLOOKUP($C8,'2-QQM_SUMMARY_SHEET'!$A$4:$Q$30,15,FALSE)</f>
        <v>0.37</v>
      </c>
      <c r="E8" s="495">
        <f>VLOOKUP($C8,'2-QQM_SUMMARY_SHEET'!$A$4:$Q$30,16,FALSE)</f>
        <v>0.62142850000000005</v>
      </c>
      <c r="F8" s="495">
        <f>VLOOKUP($C8,'2-QQM_SUMMARY_SHEET'!$A$4:$Q$30,17,FALSE)</f>
        <v>0.48</v>
      </c>
    </row>
    <row r="9" spans="3:22" x14ac:dyDescent="0.25">
      <c r="C9" s="217" t="s">
        <v>771</v>
      </c>
      <c r="D9" s="495">
        <f>VLOOKUP($C9,'2-QQM_SUMMARY_SHEET'!$A$4:$Q$30,15,FALSE)</f>
        <v>0.37687500000000002</v>
      </c>
      <c r="E9" s="495">
        <f>VLOOKUP($C9,'2-QQM_SUMMARY_SHEET'!$A$4:$Q$30,16,FALSE)</f>
        <v>0.67937499999999995</v>
      </c>
      <c r="F9" s="495">
        <f>VLOOKUP($C9,'2-QQM_SUMMARY_SHEET'!$A$4:$Q$30,17,FALSE)</f>
        <v>0.52812499999999996</v>
      </c>
    </row>
    <row r="10" spans="3:22" x14ac:dyDescent="0.25">
      <c r="C10" s="217" t="s">
        <v>775</v>
      </c>
      <c r="D10" s="495">
        <f>VLOOKUP($C10,'2-QQM_SUMMARY_SHEET'!$A$4:$Q$30,15,FALSE)</f>
        <v>0.43187500000000001</v>
      </c>
      <c r="E10" s="495">
        <f>VLOOKUP($C10,'2-QQM_SUMMARY_SHEET'!$A$4:$Q$30,16,FALSE)</f>
        <v>0.63249999999999995</v>
      </c>
      <c r="F10" s="495">
        <f>VLOOKUP($C10,'2-QQM_SUMMARY_SHEET'!$A$4:$Q$30,17,FALSE)</f>
        <v>0.53218750000000004</v>
      </c>
    </row>
    <row r="11" spans="3:22" x14ac:dyDescent="0.25">
      <c r="C11" s="217" t="s">
        <v>781</v>
      </c>
      <c r="D11" s="495">
        <f>VLOOKUP($C11,'2-QQM_SUMMARY_SHEET'!$A$4:$Q$30,15,FALSE)</f>
        <v>0.51500000000000001</v>
      </c>
      <c r="E11" s="495">
        <f>VLOOKUP($C11,'2-QQM_SUMMARY_SHEET'!$A$4:$Q$30,16,FALSE)</f>
        <v>0.68500000000000005</v>
      </c>
      <c r="F11" s="495">
        <f>VLOOKUP($C11,'2-QQM_SUMMARY_SHEET'!$A$4:$Q$30,17,FALSE)</f>
        <v>0.59227269999999999</v>
      </c>
    </row>
    <row r="12" spans="3:22" x14ac:dyDescent="0.25">
      <c r="C12" s="217" t="s">
        <v>793</v>
      </c>
      <c r="D12" s="495">
        <f>VLOOKUP($C12,'2-QQM_SUMMARY_SHEET'!$A$4:$Q$30,15,FALSE)</f>
        <v>0.60181819999999997</v>
      </c>
      <c r="E12" s="495">
        <f>VLOOKUP($C12,'2-QQM_SUMMARY_SHEET'!$A$4:$Q$30,16,FALSE)</f>
        <v>0.79</v>
      </c>
      <c r="F12" s="495">
        <f>VLOOKUP($C12,'2-QQM_SUMMARY_SHEET'!$A$4:$Q$30,17,FALSE)</f>
        <v>0.69590909999999995</v>
      </c>
    </row>
    <row r="13" spans="3:22" x14ac:dyDescent="0.25">
      <c r="C13" s="217" t="s">
        <v>1386</v>
      </c>
      <c r="D13" s="495" t="e">
        <f>VLOOKUP($C13,'2-QQM_SUMMARY_SHEET'!$A$4:$Q$30,15,FALSE)</f>
        <v>#N/A</v>
      </c>
      <c r="E13" s="495" t="e">
        <f>VLOOKUP($C13,'2-QQM_SUMMARY_SHEET'!$A$4:$Q$30,16,FALSE)</f>
        <v>#N/A</v>
      </c>
      <c r="F13" s="495" t="e">
        <f>VLOOKUP($C13,'2-QQM_SUMMARY_SHEET'!$A$4:$Q$30,17,FALSE)</f>
        <v>#N/A</v>
      </c>
    </row>
    <row r="14" spans="3:22" x14ac:dyDescent="0.25">
      <c r="C14" s="217" t="s">
        <v>832</v>
      </c>
      <c r="D14" s="495">
        <f>VLOOKUP($C14,'2-QQM_SUMMARY_SHEET'!$A$4:$Q$30,15,FALSE)</f>
        <v>0.48127330000000001</v>
      </c>
      <c r="E14" s="495">
        <f>VLOOKUP($C14,'2-QQM_SUMMARY_SHEET'!$A$4:$Q$30,16,FALSE)</f>
        <v>0.68497149999999996</v>
      </c>
      <c r="F14" s="495">
        <f>VLOOKUP($C14,'2-QQM_SUMMARY_SHEET'!$A$4:$Q$30,17,FALSE)</f>
        <v>0.57759119999999997</v>
      </c>
    </row>
    <row r="32" spans="3:3" x14ac:dyDescent="0.25">
      <c r="C32" s="491" t="s">
        <v>3453</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3F5E-0D09-4D0D-AA2F-E21DD20C5520}">
  <sheetPr>
    <tabColor theme="7" tint="0.79998168889431442"/>
  </sheetPr>
  <dimension ref="A2:AE30"/>
  <sheetViews>
    <sheetView workbookViewId="0">
      <selection activeCell="A5" sqref="A5:I25"/>
    </sheetView>
  </sheetViews>
  <sheetFormatPr defaultColWidth="9" defaultRowHeight="15" x14ac:dyDescent="0.25"/>
  <cols>
    <col min="1" max="16384" width="9" style="187"/>
  </cols>
  <sheetData>
    <row r="2" spans="1:31" x14ac:dyDescent="0.25">
      <c r="A2" s="216" t="s">
        <v>3454</v>
      </c>
      <c r="O2" s="216" t="s">
        <v>3455</v>
      </c>
      <c r="AD2" s="216" t="s">
        <v>3456</v>
      </c>
    </row>
    <row r="5" spans="1:31" x14ac:dyDescent="0.25">
      <c r="A5" s="188" t="s">
        <v>3341</v>
      </c>
      <c r="B5" s="188" t="s">
        <v>3457</v>
      </c>
      <c r="C5" s="188" t="s">
        <v>3111</v>
      </c>
      <c r="D5" s="188" t="s">
        <v>3112</v>
      </c>
      <c r="E5" s="188" t="s">
        <v>3113</v>
      </c>
      <c r="F5" s="188" t="s">
        <v>3114</v>
      </c>
      <c r="G5" s="188" t="s">
        <v>3115</v>
      </c>
      <c r="H5" s="188" t="s">
        <v>3116</v>
      </c>
      <c r="I5" s="188" t="s">
        <v>3117</v>
      </c>
      <c r="O5" s="188" t="s">
        <v>3341</v>
      </c>
      <c r="P5" s="188" t="s">
        <v>3111</v>
      </c>
      <c r="Q5" s="188" t="s">
        <v>3458</v>
      </c>
      <c r="R5" s="188" t="s">
        <v>3459</v>
      </c>
      <c r="S5" s="188" t="s">
        <v>3460</v>
      </c>
      <c r="T5" s="188" t="s">
        <v>3461</v>
      </c>
      <c r="U5" s="188" t="s">
        <v>3462</v>
      </c>
      <c r="V5" s="188" t="s">
        <v>3463</v>
      </c>
      <c r="W5" s="188" t="s">
        <v>3464</v>
      </c>
      <c r="X5" s="188" t="s">
        <v>3465</v>
      </c>
      <c r="Y5" s="188" t="s">
        <v>3466</v>
      </c>
      <c r="Z5" s="188" t="s">
        <v>3467</v>
      </c>
      <c r="AA5" s="188" t="s">
        <v>3468</v>
      </c>
      <c r="AB5" s="188" t="s">
        <v>3469</v>
      </c>
      <c r="AD5" s="217" t="s">
        <v>885</v>
      </c>
      <c r="AE5" s="495" t="e">
        <f>VLOOKUP($AD5,'2-QQM_SUMMARY_SHEET'!$A$4:$S$30,19,FALSE)</f>
        <v>#N/A</v>
      </c>
    </row>
    <row r="6" spans="1:31" x14ac:dyDescent="0.25">
      <c r="A6" s="188" t="s">
        <v>3445</v>
      </c>
      <c r="B6" s="188" t="s">
        <v>3090</v>
      </c>
      <c r="C6" s="188">
        <v>132</v>
      </c>
      <c r="D6" s="493">
        <v>0.71380469999999996</v>
      </c>
      <c r="E6" s="493">
        <v>0.6322314</v>
      </c>
      <c r="F6" s="493">
        <v>0.74242419999999998</v>
      </c>
      <c r="G6" s="493">
        <v>0.38636359999999997</v>
      </c>
      <c r="H6" s="493">
        <v>0.36212119999999998</v>
      </c>
      <c r="I6" s="493">
        <v>0.56575759999999997</v>
      </c>
      <c r="O6" s="188" t="s">
        <v>3445</v>
      </c>
      <c r="P6" s="188">
        <v>932</v>
      </c>
      <c r="Q6" s="188">
        <v>14071</v>
      </c>
      <c r="R6" s="188">
        <v>23622</v>
      </c>
      <c r="S6" s="188">
        <v>11208</v>
      </c>
      <c r="T6" s="188">
        <v>21637</v>
      </c>
      <c r="U6" s="188">
        <v>9586</v>
      </c>
      <c r="V6" s="188">
        <v>14645</v>
      </c>
      <c r="W6" s="188">
        <v>4284</v>
      </c>
      <c r="X6" s="188">
        <v>10570</v>
      </c>
      <c r="Y6" s="188">
        <v>8763</v>
      </c>
      <c r="Z6" s="188">
        <v>22726</v>
      </c>
      <c r="AA6" s="188">
        <v>47912</v>
      </c>
      <c r="AB6" s="188">
        <v>93200</v>
      </c>
      <c r="AD6" s="217" t="s">
        <v>963</v>
      </c>
      <c r="AE6" s="495" t="e">
        <f>VLOOKUP($AD6,'2-QQM_SUMMARY_SHEET'!$A$4:$S$30,19,FALSE)</f>
        <v>#N/A</v>
      </c>
    </row>
    <row r="7" spans="1:31" x14ac:dyDescent="0.25">
      <c r="A7" s="188" t="s">
        <v>3445</v>
      </c>
      <c r="B7" s="188" t="s">
        <v>3091</v>
      </c>
      <c r="C7" s="188">
        <v>135</v>
      </c>
      <c r="D7" s="493">
        <v>0.6589372</v>
      </c>
      <c r="E7" s="493">
        <v>0.55679009999999995</v>
      </c>
      <c r="F7" s="493">
        <v>0.71234569999999997</v>
      </c>
      <c r="G7" s="493">
        <v>0.399177</v>
      </c>
      <c r="H7" s="493">
        <v>0.33236719999999997</v>
      </c>
      <c r="I7" s="493">
        <v>0.51896299999999995</v>
      </c>
      <c r="O7" s="188" t="s">
        <v>3446</v>
      </c>
      <c r="P7" s="188">
        <v>320</v>
      </c>
      <c r="Q7" s="188">
        <v>4104</v>
      </c>
      <c r="R7" s="188">
        <v>8123</v>
      </c>
      <c r="S7" s="188">
        <v>3254</v>
      </c>
      <c r="T7" s="188">
        <v>7519</v>
      </c>
      <c r="U7" s="188">
        <v>2946</v>
      </c>
      <c r="V7" s="188">
        <v>5058</v>
      </c>
      <c r="W7" s="188">
        <v>1101</v>
      </c>
      <c r="X7" s="188">
        <v>3336</v>
      </c>
      <c r="Y7" s="188">
        <v>2561</v>
      </c>
      <c r="Z7" s="188">
        <v>7964</v>
      </c>
      <c r="AA7" s="188">
        <v>13966</v>
      </c>
      <c r="AB7" s="188">
        <v>32000</v>
      </c>
      <c r="AD7" s="217" t="s">
        <v>767</v>
      </c>
      <c r="AE7" s="495">
        <f>VLOOKUP($AD7,'2-QQM_SUMMARY_SHEET'!$A$4:$S$30,19,FALSE)</f>
        <v>0.62238629999999995</v>
      </c>
    </row>
    <row r="8" spans="1:31" x14ac:dyDescent="0.25">
      <c r="A8" s="188" t="s">
        <v>3445</v>
      </c>
      <c r="B8" s="188" t="s">
        <v>3470</v>
      </c>
      <c r="C8" s="188">
        <v>125</v>
      </c>
      <c r="D8" s="493">
        <v>0.58109089999999997</v>
      </c>
      <c r="E8" s="493">
        <v>0.50944</v>
      </c>
      <c r="F8" s="493">
        <v>0.56000000000000005</v>
      </c>
      <c r="G8" s="493"/>
      <c r="H8" s="493">
        <v>0.42084850000000001</v>
      </c>
      <c r="I8" s="493">
        <v>0.50607999999999997</v>
      </c>
      <c r="AD8" s="217" t="s">
        <v>769</v>
      </c>
      <c r="AE8" s="495">
        <f>VLOOKUP($AD8,'2-QQM_SUMMARY_SHEET'!$A$4:$S$30,19,FALSE)</f>
        <v>0.2405833</v>
      </c>
    </row>
    <row r="9" spans="1:31" ht="15.75" x14ac:dyDescent="0.25">
      <c r="A9" s="188" t="s">
        <v>3445</v>
      </c>
      <c r="B9" s="188" t="s">
        <v>3471</v>
      </c>
      <c r="C9" s="188">
        <v>74</v>
      </c>
      <c r="D9" s="493">
        <v>0.8125</v>
      </c>
      <c r="E9" s="493">
        <v>0.45675680000000002</v>
      </c>
      <c r="F9" s="493">
        <v>0.79729729999999999</v>
      </c>
      <c r="G9" s="493"/>
      <c r="H9" s="493">
        <v>0.45</v>
      </c>
      <c r="I9" s="493">
        <v>0.66581080000000004</v>
      </c>
      <c r="O9" s="220"/>
      <c r="P9" s="218" t="s">
        <v>3472</v>
      </c>
      <c r="Q9" s="218" t="s">
        <v>3473</v>
      </c>
      <c r="R9" s="218" t="s">
        <v>3474</v>
      </c>
      <c r="S9" s="218" t="s">
        <v>3053</v>
      </c>
      <c r="T9" s="218" t="s">
        <v>3475</v>
      </c>
      <c r="AD9" s="217" t="s">
        <v>771</v>
      </c>
      <c r="AE9" s="495">
        <f>VLOOKUP($AD9,'2-QQM_SUMMARY_SHEET'!$A$4:$S$30,19,FALSE)</f>
        <v>0.45937499999999998</v>
      </c>
    </row>
    <row r="10" spans="1:31" x14ac:dyDescent="0.25">
      <c r="A10" s="188" t="s">
        <v>3445</v>
      </c>
      <c r="B10" s="188" t="s">
        <v>3094</v>
      </c>
      <c r="C10" s="188">
        <v>92</v>
      </c>
      <c r="D10" s="493">
        <v>0.56358699999999995</v>
      </c>
      <c r="E10" s="493">
        <v>0.65489129999999995</v>
      </c>
      <c r="F10" s="493">
        <v>0.67934779999999995</v>
      </c>
      <c r="G10" s="493">
        <v>0.47554350000000001</v>
      </c>
      <c r="H10" s="493">
        <v>0.2869565</v>
      </c>
      <c r="I10" s="493">
        <v>0.53206520000000002</v>
      </c>
      <c r="O10" s="221" t="s">
        <v>3445</v>
      </c>
      <c r="P10" s="495">
        <f>Q6/R6</f>
        <v>0.5956735246803827</v>
      </c>
      <c r="Q10" s="495">
        <f>S6/T6</f>
        <v>0.51800157138235425</v>
      </c>
      <c r="R10" s="495">
        <f>U6/V6</f>
        <v>0.65455786958006146</v>
      </c>
      <c r="S10" s="495">
        <f>W6/X6</f>
        <v>0.40529801324503312</v>
      </c>
      <c r="T10" s="495">
        <f>Y6/Z6</f>
        <v>0.3855935932412215</v>
      </c>
      <c r="AD10" s="217" t="s">
        <v>775</v>
      </c>
      <c r="AE10" s="495">
        <f>VLOOKUP($AD10,'2-QQM_SUMMARY_SHEET'!$A$4:$S$30,19,FALSE)</f>
        <v>0.38312499999999999</v>
      </c>
    </row>
    <row r="11" spans="1:31" x14ac:dyDescent="0.25">
      <c r="A11" s="188" t="s">
        <v>3445</v>
      </c>
      <c r="B11" s="188" t="s">
        <v>3095</v>
      </c>
      <c r="C11" s="188">
        <v>85</v>
      </c>
      <c r="D11" s="493">
        <v>0.45529409999999998</v>
      </c>
      <c r="E11" s="493">
        <v>0.41058820000000001</v>
      </c>
      <c r="F11" s="493">
        <v>0.53529409999999999</v>
      </c>
      <c r="G11" s="493">
        <v>0.44176470000000001</v>
      </c>
      <c r="H11" s="493">
        <v>0.4441176</v>
      </c>
      <c r="I11" s="493">
        <v>0.45741179999999998</v>
      </c>
      <c r="O11" s="221" t="s">
        <v>3446</v>
      </c>
      <c r="P11" s="495">
        <f>Q7/R7</f>
        <v>0.50523205712175301</v>
      </c>
      <c r="Q11" s="495">
        <f>S7/T7</f>
        <v>0.43277031520148956</v>
      </c>
      <c r="R11" s="495">
        <f>U7/V7</f>
        <v>0.58244365361803085</v>
      </c>
      <c r="S11" s="495">
        <f>W7/X7</f>
        <v>0.33003597122302158</v>
      </c>
      <c r="T11" s="495">
        <f>Y7/Z7</f>
        <v>0.3215720743345053</v>
      </c>
      <c r="AD11" s="217" t="s">
        <v>781</v>
      </c>
      <c r="AE11" s="495">
        <f>VLOOKUP($AD11,'2-QQM_SUMMARY_SHEET'!$A$4:$S$30,19,FALSE)</f>
        <v>0.62136360000000002</v>
      </c>
    </row>
    <row r="12" spans="1:31" x14ac:dyDescent="0.25">
      <c r="A12" s="188" t="s">
        <v>3445</v>
      </c>
      <c r="B12" s="188" t="s">
        <v>3476</v>
      </c>
      <c r="C12" s="188">
        <v>80</v>
      </c>
      <c r="D12" s="493">
        <v>0.47875000000000001</v>
      </c>
      <c r="E12" s="493">
        <v>0.54312499999999997</v>
      </c>
      <c r="F12" s="493"/>
      <c r="G12" s="493">
        <v>0.15625</v>
      </c>
      <c r="H12" s="493">
        <v>0.29749999999999999</v>
      </c>
      <c r="I12" s="493">
        <v>0.42312499999999997</v>
      </c>
      <c r="AD12" s="217" t="s">
        <v>793</v>
      </c>
      <c r="AE12" s="495">
        <f>VLOOKUP($AD12,'2-QQM_SUMMARY_SHEET'!$A$4:$S$30,19,FALSE)</f>
        <v>0.37681819999999999</v>
      </c>
    </row>
    <row r="13" spans="1:31" x14ac:dyDescent="0.25">
      <c r="A13" s="188" t="s">
        <v>3445</v>
      </c>
      <c r="B13" s="188" t="s">
        <v>3451</v>
      </c>
      <c r="C13" s="188">
        <v>71</v>
      </c>
      <c r="D13" s="493">
        <v>0.56539240000000002</v>
      </c>
      <c r="E13" s="493">
        <v>0.42676059999999999</v>
      </c>
      <c r="F13" s="493">
        <v>0.5774648</v>
      </c>
      <c r="G13" s="493"/>
      <c r="H13" s="493">
        <v>0.45029000000000002</v>
      </c>
      <c r="I13" s="493">
        <v>0.48647889999999999</v>
      </c>
      <c r="AD13" s="217" t="s">
        <v>1386</v>
      </c>
      <c r="AE13" s="495" t="e">
        <f>VLOOKUP($AD13,'2-QQM_SUMMARY_SHEET'!$A$4:$S$30,19,FALSE)</f>
        <v>#N/A</v>
      </c>
    </row>
    <row r="14" spans="1:31" x14ac:dyDescent="0.25">
      <c r="A14" s="188" t="s">
        <v>3445</v>
      </c>
      <c r="B14" s="188" t="s">
        <v>3477</v>
      </c>
      <c r="C14" s="188">
        <v>80</v>
      </c>
      <c r="D14" s="493">
        <v>0.5017857</v>
      </c>
      <c r="E14" s="493">
        <v>0.4191667</v>
      </c>
      <c r="F14" s="493">
        <v>0.65156250000000004</v>
      </c>
      <c r="G14" s="493"/>
      <c r="H14" s="493">
        <v>0.44522060000000002</v>
      </c>
      <c r="I14" s="493">
        <v>0.46975</v>
      </c>
      <c r="AD14" s="217" t="s">
        <v>832</v>
      </c>
      <c r="AE14" s="495">
        <f>VLOOKUP($AD14,'2-QQM_SUMMARY_SHEET'!$A$4:$S$30,19,FALSE)</f>
        <v>0.49913560000000001</v>
      </c>
    </row>
    <row r="15" spans="1:31" x14ac:dyDescent="0.25">
      <c r="A15" s="188" t="s">
        <v>3445</v>
      </c>
      <c r="B15" s="188" t="s">
        <v>3099</v>
      </c>
      <c r="C15" s="188">
        <v>58</v>
      </c>
      <c r="D15" s="493">
        <v>0.5456896</v>
      </c>
      <c r="E15" s="493">
        <v>0.50328410000000001</v>
      </c>
      <c r="F15" s="493">
        <v>0.60344830000000005</v>
      </c>
      <c r="G15" s="493">
        <v>0.4681034</v>
      </c>
      <c r="H15" s="493">
        <v>0.28675139999999999</v>
      </c>
      <c r="I15" s="493">
        <v>0.48362070000000001</v>
      </c>
    </row>
    <row r="16" spans="1:31" x14ac:dyDescent="0.25">
      <c r="A16" s="188" t="s">
        <v>3446</v>
      </c>
      <c r="B16" s="188" t="s">
        <v>3090</v>
      </c>
      <c r="C16" s="188">
        <v>40</v>
      </c>
      <c r="D16" s="493">
        <v>0.6</v>
      </c>
      <c r="E16" s="493">
        <v>0.5068182</v>
      </c>
      <c r="F16" s="493">
        <v>0.67500000000000004</v>
      </c>
      <c r="G16" s="493">
        <v>0.28999999999999998</v>
      </c>
      <c r="H16" s="493">
        <v>0.27500000000000002</v>
      </c>
      <c r="I16" s="493">
        <v>0.46750000000000003</v>
      </c>
    </row>
    <row r="17" spans="1:11" x14ac:dyDescent="0.25">
      <c r="A17" s="188" t="s">
        <v>3446</v>
      </c>
      <c r="B17" s="188" t="s">
        <v>3091</v>
      </c>
      <c r="C17" s="188">
        <v>47</v>
      </c>
      <c r="D17" s="493">
        <v>0.55504160000000002</v>
      </c>
      <c r="E17" s="493">
        <v>0.4734043</v>
      </c>
      <c r="F17" s="493">
        <v>0.56028370000000005</v>
      </c>
      <c r="G17" s="493">
        <v>0.30969269999999999</v>
      </c>
      <c r="H17" s="493">
        <v>0.28954669999999999</v>
      </c>
      <c r="I17" s="493">
        <v>0.43085109999999999</v>
      </c>
    </row>
    <row r="18" spans="1:11" x14ac:dyDescent="0.25">
      <c r="A18" s="188" t="s">
        <v>3446</v>
      </c>
      <c r="B18" s="188" t="s">
        <v>3470</v>
      </c>
      <c r="C18" s="188">
        <v>45</v>
      </c>
      <c r="D18" s="493">
        <v>0.43636360000000002</v>
      </c>
      <c r="E18" s="493">
        <v>0.44444440000000002</v>
      </c>
      <c r="F18" s="493">
        <v>0.44444440000000002</v>
      </c>
      <c r="G18" s="493"/>
      <c r="H18" s="493">
        <v>0.30639729999999998</v>
      </c>
      <c r="I18" s="493">
        <v>0.39711109999999999</v>
      </c>
    </row>
    <row r="19" spans="1:11" x14ac:dyDescent="0.25">
      <c r="A19" s="188" t="s">
        <v>3446</v>
      </c>
      <c r="B19" s="188" t="s">
        <v>3471</v>
      </c>
      <c r="C19" s="188">
        <v>30</v>
      </c>
      <c r="D19" s="493">
        <v>0.68333330000000003</v>
      </c>
      <c r="E19" s="493">
        <v>0.3333333</v>
      </c>
      <c r="F19" s="493">
        <v>0.73333329999999997</v>
      </c>
      <c r="G19" s="493"/>
      <c r="H19" s="493">
        <v>0.43333329999999998</v>
      </c>
      <c r="I19" s="493">
        <v>0.57333330000000005</v>
      </c>
    </row>
    <row r="20" spans="1:11" x14ac:dyDescent="0.25">
      <c r="A20" s="188" t="s">
        <v>3446</v>
      </c>
      <c r="B20" s="188" t="s">
        <v>3094</v>
      </c>
      <c r="C20" s="188">
        <v>25</v>
      </c>
      <c r="D20" s="493">
        <v>0.60599999999999998</v>
      </c>
      <c r="E20" s="493">
        <v>0.64800000000000002</v>
      </c>
      <c r="F20" s="493">
        <v>0.66</v>
      </c>
      <c r="G20" s="493">
        <v>0.42</v>
      </c>
      <c r="H20" s="493">
        <v>0.26400000000000001</v>
      </c>
      <c r="I20" s="493">
        <v>0.51959999999999995</v>
      </c>
    </row>
    <row r="21" spans="1:11" x14ac:dyDescent="0.25">
      <c r="A21" s="188" t="s">
        <v>3446</v>
      </c>
      <c r="B21" s="188" t="s">
        <v>3095</v>
      </c>
      <c r="C21" s="188">
        <v>31</v>
      </c>
      <c r="D21" s="493">
        <v>0.36935479999999998</v>
      </c>
      <c r="E21" s="493">
        <v>0.3387097</v>
      </c>
      <c r="F21" s="493">
        <v>0.51612899999999995</v>
      </c>
      <c r="G21" s="493">
        <v>0.31451610000000002</v>
      </c>
      <c r="H21" s="493">
        <v>0.3225806</v>
      </c>
      <c r="I21" s="493">
        <v>0.37225809999999998</v>
      </c>
    </row>
    <row r="22" spans="1:11" x14ac:dyDescent="0.25">
      <c r="A22" s="188" t="s">
        <v>3446</v>
      </c>
      <c r="B22" s="188" t="s">
        <v>3476</v>
      </c>
      <c r="C22" s="188">
        <v>25</v>
      </c>
      <c r="D22" s="493">
        <v>0.28320000000000001</v>
      </c>
      <c r="E22" s="493">
        <v>0.504</v>
      </c>
      <c r="F22" s="493"/>
      <c r="G22" s="493">
        <v>0.06</v>
      </c>
      <c r="H22" s="493">
        <v>0.17199999999999999</v>
      </c>
      <c r="I22" s="493">
        <v>0.2828</v>
      </c>
    </row>
    <row r="23" spans="1:11" x14ac:dyDescent="0.25">
      <c r="A23" s="188" t="s">
        <v>3446</v>
      </c>
      <c r="B23" s="188" t="s">
        <v>3451</v>
      </c>
      <c r="C23" s="188">
        <v>38</v>
      </c>
      <c r="D23" s="493">
        <v>0.508772</v>
      </c>
      <c r="E23" s="493">
        <v>0.3114035</v>
      </c>
      <c r="F23" s="493">
        <v>0.4824561</v>
      </c>
      <c r="G23" s="493"/>
      <c r="H23" s="493">
        <v>0.30417959999999999</v>
      </c>
      <c r="I23" s="493">
        <v>0.37605260000000001</v>
      </c>
    </row>
    <row r="24" spans="1:11" x14ac:dyDescent="0.25">
      <c r="A24" s="188" t="s">
        <v>3446</v>
      </c>
      <c r="B24" s="188" t="s">
        <v>3477</v>
      </c>
      <c r="C24" s="188">
        <v>23</v>
      </c>
      <c r="D24" s="493">
        <v>0.52484470000000005</v>
      </c>
      <c r="E24" s="493">
        <v>0.315942</v>
      </c>
      <c r="F24" s="493">
        <v>0.67934779999999995</v>
      </c>
      <c r="G24" s="493"/>
      <c r="H24" s="493">
        <v>0.54475700000000005</v>
      </c>
      <c r="I24" s="493">
        <v>0.48130430000000002</v>
      </c>
    </row>
    <row r="25" spans="1:11" x14ac:dyDescent="0.25">
      <c r="A25" s="188" t="s">
        <v>3446</v>
      </c>
      <c r="B25" s="188" t="s">
        <v>3099</v>
      </c>
      <c r="C25" s="188">
        <v>16</v>
      </c>
      <c r="D25" s="493">
        <v>0.59375</v>
      </c>
      <c r="E25" s="493">
        <v>0.63988100000000003</v>
      </c>
      <c r="F25" s="493">
        <v>0.625</v>
      </c>
      <c r="G25" s="493">
        <v>0.58437499999999998</v>
      </c>
      <c r="H25" s="493">
        <v>0.25</v>
      </c>
      <c r="I25" s="493">
        <v>0.54249999999999998</v>
      </c>
    </row>
    <row r="27" spans="1:11" ht="15.75" x14ac:dyDescent="0.25">
      <c r="A27" s="217"/>
      <c r="B27" s="218" t="s">
        <v>3090</v>
      </c>
      <c r="C27" s="218" t="s">
        <v>3091</v>
      </c>
      <c r="D27" s="218" t="s">
        <v>3478</v>
      </c>
      <c r="E27" s="218" t="s">
        <v>3479</v>
      </c>
      <c r="F27" s="218" t="s">
        <v>3094</v>
      </c>
      <c r="G27" s="218" t="s">
        <v>3095</v>
      </c>
      <c r="H27" s="218" t="s">
        <v>3480</v>
      </c>
      <c r="I27" s="218" t="s">
        <v>3481</v>
      </c>
      <c r="J27" s="218" t="s">
        <v>3482</v>
      </c>
      <c r="K27" s="218" t="s">
        <v>3483</v>
      </c>
    </row>
    <row r="28" spans="1:11" x14ac:dyDescent="0.25">
      <c r="A28" s="217"/>
      <c r="B28" s="217" t="s">
        <v>3090</v>
      </c>
      <c r="C28" s="217" t="s">
        <v>3091</v>
      </c>
      <c r="D28" s="217" t="s">
        <v>3470</v>
      </c>
      <c r="E28" s="217" t="s">
        <v>3471</v>
      </c>
      <c r="F28" s="217" t="s">
        <v>3094</v>
      </c>
      <c r="G28" s="217" t="s">
        <v>3095</v>
      </c>
      <c r="H28" s="217" t="s">
        <v>3476</v>
      </c>
      <c r="I28" s="217" t="s">
        <v>3451</v>
      </c>
      <c r="J28" s="217" t="s">
        <v>3477</v>
      </c>
      <c r="K28" s="217" t="s">
        <v>3099</v>
      </c>
    </row>
    <row r="29" spans="1:11" x14ac:dyDescent="0.25">
      <c r="A29" s="217" t="s">
        <v>3448</v>
      </c>
      <c r="B29" s="219">
        <f>VLOOKUP(B$28,$B$6:$I$15,8,FALSE)</f>
        <v>0.56575759999999997</v>
      </c>
      <c r="C29" s="219">
        <f t="shared" ref="C29:K29" si="0">VLOOKUP(C$28,$B$6:$I$15,8,FALSE)</f>
        <v>0.51896299999999995</v>
      </c>
      <c r="D29" s="219">
        <f t="shared" si="0"/>
        <v>0.50607999999999997</v>
      </c>
      <c r="E29" s="219">
        <f t="shared" si="0"/>
        <v>0.66581080000000004</v>
      </c>
      <c r="F29" s="219">
        <f t="shared" si="0"/>
        <v>0.53206520000000002</v>
      </c>
      <c r="G29" s="219">
        <f t="shared" si="0"/>
        <v>0.45741179999999998</v>
      </c>
      <c r="H29" s="219">
        <f t="shared" si="0"/>
        <v>0.42312499999999997</v>
      </c>
      <c r="I29" s="219">
        <f t="shared" si="0"/>
        <v>0.48647889999999999</v>
      </c>
      <c r="J29" s="219">
        <f t="shared" si="0"/>
        <v>0.46975</v>
      </c>
      <c r="K29" s="219">
        <f t="shared" si="0"/>
        <v>0.48362070000000001</v>
      </c>
    </row>
    <row r="30" spans="1:11" x14ac:dyDescent="0.25">
      <c r="A30" s="217" t="s">
        <v>3446</v>
      </c>
      <c r="B30" s="219">
        <f t="shared" ref="B30:K30" si="1">VLOOKUP(B$28,$B$16:$I$25,8,FALSE)</f>
        <v>0.46750000000000003</v>
      </c>
      <c r="C30" s="219">
        <f t="shared" si="1"/>
        <v>0.43085109999999999</v>
      </c>
      <c r="D30" s="219">
        <f t="shared" si="1"/>
        <v>0.39711109999999999</v>
      </c>
      <c r="E30" s="219">
        <f t="shared" si="1"/>
        <v>0.57333330000000005</v>
      </c>
      <c r="F30" s="219">
        <f t="shared" si="1"/>
        <v>0.51959999999999995</v>
      </c>
      <c r="G30" s="219">
        <f t="shared" si="1"/>
        <v>0.37225809999999998</v>
      </c>
      <c r="H30" s="219">
        <f t="shared" si="1"/>
        <v>0.2828</v>
      </c>
      <c r="I30" s="219">
        <f t="shared" si="1"/>
        <v>0.37605260000000001</v>
      </c>
      <c r="J30" s="219">
        <f t="shared" si="1"/>
        <v>0.48130430000000002</v>
      </c>
      <c r="K30" s="219">
        <f t="shared" si="1"/>
        <v>0.54249999999999998</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28C3-9A1A-482E-8343-28E79DE5AADC}">
  <sheetPr>
    <tabColor theme="7" tint="0.79998168889431442"/>
  </sheetPr>
  <dimension ref="A1:AG123"/>
  <sheetViews>
    <sheetView zoomScale="70" zoomScaleNormal="70" workbookViewId="0">
      <selection activeCell="AC12" sqref="AC12:AC13"/>
    </sheetView>
  </sheetViews>
  <sheetFormatPr defaultRowHeight="15.75" x14ac:dyDescent="0.25"/>
  <cols>
    <col min="1" max="1" width="12.375" customWidth="1"/>
    <col min="2" max="2" width="47" bestFit="1" customWidth="1"/>
    <col min="3" max="3" width="25.875" bestFit="1" customWidth="1"/>
    <col min="4" max="4" width="10.625" hidden="1" customWidth="1"/>
    <col min="5" max="5" width="15.375" customWidth="1"/>
    <col min="6" max="6" width="22.625" customWidth="1"/>
    <col min="7" max="7" width="13.375" customWidth="1"/>
    <col min="8" max="8" width="23" customWidth="1"/>
    <col min="9" max="9" width="14.875" style="70" customWidth="1"/>
    <col min="10" max="10" width="15.75" style="423" customWidth="1"/>
    <col min="11" max="12" width="9" style="115"/>
    <col min="14" max="14" width="47" bestFit="1" customWidth="1"/>
    <col min="15" max="15" width="16.875" hidden="1" customWidth="1"/>
    <col min="16" max="16" width="14" customWidth="1"/>
    <col min="17" max="17" width="17.375" customWidth="1"/>
    <col min="18" max="18" width="14.25" customWidth="1"/>
    <col min="19" max="19" width="16.125" customWidth="1"/>
    <col min="20" max="20" width="15.125" customWidth="1"/>
    <col min="21" max="21" width="16.125" customWidth="1"/>
    <col min="26" max="26" width="21.25" bestFit="1" customWidth="1"/>
    <col min="27" max="27" width="19.375" hidden="1" customWidth="1"/>
    <col min="28" max="28" width="18.875" customWidth="1"/>
    <col min="29" max="29" width="23.375" customWidth="1"/>
    <col min="30" max="30" width="15.25" customWidth="1"/>
    <col min="31" max="31" width="24.625" customWidth="1"/>
    <col min="32" max="32" width="20.5" customWidth="1"/>
    <col min="33" max="33" width="18.375" customWidth="1"/>
  </cols>
  <sheetData>
    <row r="1" spans="1:33" ht="32.25" customHeight="1" x14ac:dyDescent="0.25">
      <c r="A1" s="581" t="s">
        <v>3484</v>
      </c>
      <c r="B1" s="582"/>
      <c r="C1" s="417"/>
      <c r="D1" s="417"/>
      <c r="E1" s="581" t="s">
        <v>3446</v>
      </c>
      <c r="F1" s="582"/>
      <c r="G1" s="581" t="s">
        <v>3445</v>
      </c>
      <c r="H1" s="583"/>
      <c r="I1" s="419" t="s">
        <v>3485</v>
      </c>
      <c r="J1" s="419" t="s">
        <v>3486</v>
      </c>
      <c r="M1" s="581" t="s">
        <v>3487</v>
      </c>
      <c r="N1" s="582"/>
      <c r="O1" s="417"/>
      <c r="P1" s="581" t="s">
        <v>3446</v>
      </c>
      <c r="Q1" s="582"/>
      <c r="R1" s="581" t="s">
        <v>3445</v>
      </c>
      <c r="S1" s="583"/>
      <c r="T1" s="419" t="s">
        <v>3485</v>
      </c>
      <c r="U1" s="419" t="s">
        <v>3486</v>
      </c>
      <c r="Y1" s="581" t="s">
        <v>3488</v>
      </c>
      <c r="Z1" s="582"/>
      <c r="AA1" s="417"/>
      <c r="AB1" s="581" t="s">
        <v>3446</v>
      </c>
      <c r="AC1" s="582"/>
      <c r="AD1" s="581" t="s">
        <v>3445</v>
      </c>
      <c r="AE1" s="583"/>
      <c r="AF1" s="419" t="s">
        <v>3485</v>
      </c>
      <c r="AG1" s="419" t="s">
        <v>3486</v>
      </c>
    </row>
    <row r="2" spans="1:33" s="70" customFormat="1" x14ac:dyDescent="0.25">
      <c r="A2" s="108"/>
      <c r="B2" s="108"/>
      <c r="C2" s="108"/>
      <c r="D2" s="108"/>
      <c r="E2" s="412" t="s">
        <v>3489</v>
      </c>
      <c r="F2" s="413" t="s">
        <v>3490</v>
      </c>
      <c r="G2" s="412" t="s">
        <v>3489</v>
      </c>
      <c r="H2" s="417" t="s">
        <v>3490</v>
      </c>
      <c r="I2" s="419"/>
      <c r="J2" s="419"/>
      <c r="K2" s="431"/>
      <c r="L2" s="431"/>
      <c r="M2" s="432"/>
      <c r="N2" s="108"/>
      <c r="O2" s="108"/>
      <c r="P2" s="412" t="s">
        <v>3489</v>
      </c>
      <c r="Q2" s="413" t="s">
        <v>3490</v>
      </c>
      <c r="R2" s="412" t="s">
        <v>3489</v>
      </c>
      <c r="S2" s="417" t="s">
        <v>3490</v>
      </c>
      <c r="T2" s="419"/>
      <c r="U2" s="419"/>
      <c r="Y2" s="108"/>
      <c r="Z2" s="108"/>
      <c r="AA2" s="108"/>
      <c r="AB2" s="412" t="s">
        <v>3489</v>
      </c>
      <c r="AC2" s="413" t="s">
        <v>3490</v>
      </c>
      <c r="AD2" s="412" t="s">
        <v>3489</v>
      </c>
      <c r="AE2" s="417" t="s">
        <v>3490</v>
      </c>
      <c r="AF2" s="419"/>
      <c r="AG2" s="419"/>
    </row>
    <row r="3" spans="1:33" ht="30" hidden="1" x14ac:dyDescent="0.25">
      <c r="A3" s="108"/>
      <c r="B3" s="108"/>
      <c r="C3" s="108"/>
      <c r="D3" s="108" t="s">
        <v>3491</v>
      </c>
      <c r="E3" s="414" t="s">
        <v>3492</v>
      </c>
      <c r="F3" s="415" t="s">
        <v>3493</v>
      </c>
      <c r="G3" s="414" t="s">
        <v>3498</v>
      </c>
      <c r="H3" s="418" t="s">
        <v>3494</v>
      </c>
      <c r="I3" s="419" t="s">
        <v>3495</v>
      </c>
      <c r="J3" s="422" t="s">
        <v>3902</v>
      </c>
      <c r="M3" s="432"/>
      <c r="N3" s="108"/>
      <c r="O3" s="108" t="s">
        <v>3496</v>
      </c>
      <c r="P3" s="414" t="s">
        <v>3492</v>
      </c>
      <c r="Q3" s="415" t="s">
        <v>3493</v>
      </c>
      <c r="R3" s="414" t="s">
        <v>3498</v>
      </c>
      <c r="S3" s="418" t="s">
        <v>3494</v>
      </c>
      <c r="T3" s="420" t="s">
        <v>3495</v>
      </c>
      <c r="U3" s="419" t="s">
        <v>3499</v>
      </c>
      <c r="Y3" s="108"/>
      <c r="Z3" s="108"/>
      <c r="AA3" s="414" t="s">
        <v>3497</v>
      </c>
      <c r="AB3" s="415" t="s">
        <v>3492</v>
      </c>
      <c r="AC3" s="414" t="s">
        <v>3493</v>
      </c>
      <c r="AD3" s="418" t="s">
        <v>3498</v>
      </c>
      <c r="AE3" s="420" t="s">
        <v>3494</v>
      </c>
      <c r="AF3" s="414" t="s">
        <v>3495</v>
      </c>
      <c r="AG3" s="415" t="s">
        <v>3499</v>
      </c>
    </row>
    <row r="4" spans="1:33" ht="26.25" customHeight="1" x14ac:dyDescent="0.25">
      <c r="A4" s="534" t="s">
        <v>801</v>
      </c>
      <c r="B4" s="534"/>
      <c r="C4" s="421"/>
      <c r="D4" s="421" t="s">
        <v>3500</v>
      </c>
      <c r="E4" s="412">
        <v>64</v>
      </c>
      <c r="F4" s="413" t="s">
        <v>3903</v>
      </c>
      <c r="G4" s="412">
        <v>74</v>
      </c>
      <c r="H4" s="417" t="s">
        <v>3904</v>
      </c>
      <c r="I4" s="419">
        <v>-10</v>
      </c>
      <c r="J4" s="419" t="s">
        <v>3501</v>
      </c>
      <c r="M4" s="571" t="s">
        <v>3087</v>
      </c>
      <c r="N4" s="571"/>
      <c r="O4" s="421" t="s">
        <v>3502</v>
      </c>
      <c r="P4" s="412">
        <v>43</v>
      </c>
      <c r="Q4" s="413" t="s">
        <v>3503</v>
      </c>
      <c r="R4" s="412">
        <v>51</v>
      </c>
      <c r="S4" s="417" t="s">
        <v>3504</v>
      </c>
      <c r="T4" s="419">
        <v>-8</v>
      </c>
      <c r="U4" s="419" t="s">
        <v>3505</v>
      </c>
      <c r="Y4" s="571" t="s">
        <v>3083</v>
      </c>
      <c r="Z4" s="571"/>
      <c r="AA4" s="108" t="s">
        <v>830</v>
      </c>
      <c r="AB4" s="412">
        <v>55</v>
      </c>
      <c r="AC4" s="413" t="s">
        <v>3506</v>
      </c>
      <c r="AD4" s="412">
        <v>58</v>
      </c>
      <c r="AE4" s="417" t="s">
        <v>3507</v>
      </c>
      <c r="AF4" s="419">
        <v>-3</v>
      </c>
      <c r="AG4" s="419"/>
    </row>
    <row r="5" spans="1:33" ht="30" x14ac:dyDescent="0.25">
      <c r="A5" s="95">
        <v>1</v>
      </c>
      <c r="B5" s="151" t="s">
        <v>37</v>
      </c>
      <c r="C5" s="151"/>
      <c r="D5" s="430" t="s">
        <v>1486</v>
      </c>
      <c r="E5" s="433">
        <v>26</v>
      </c>
      <c r="F5" s="430" t="s">
        <v>3905</v>
      </c>
      <c r="G5" s="428">
        <v>65</v>
      </c>
      <c r="H5" s="434" t="s">
        <v>3906</v>
      </c>
      <c r="I5" s="441">
        <v>-39</v>
      </c>
      <c r="J5" s="441" t="s">
        <v>3510</v>
      </c>
      <c r="M5" s="149" t="s">
        <v>3044</v>
      </c>
      <c r="N5" s="151" t="s">
        <v>3045</v>
      </c>
      <c r="O5" s="430" t="s">
        <v>3511</v>
      </c>
      <c r="P5" s="428">
        <v>51</v>
      </c>
      <c r="Q5" s="430" t="s">
        <v>3512</v>
      </c>
      <c r="R5" s="428">
        <v>60</v>
      </c>
      <c r="S5" s="434" t="s">
        <v>3513</v>
      </c>
      <c r="T5" s="441">
        <v>-9</v>
      </c>
      <c r="U5" s="441" t="s">
        <v>3505</v>
      </c>
      <c r="Y5" s="324" t="s">
        <v>3084</v>
      </c>
      <c r="Z5" s="325"/>
      <c r="AA5" s="324" t="s">
        <v>828</v>
      </c>
      <c r="AB5" s="427">
        <v>45</v>
      </c>
      <c r="AC5" s="426" t="s">
        <v>3514</v>
      </c>
      <c r="AD5" s="427">
        <v>49</v>
      </c>
      <c r="AE5" s="426" t="s">
        <v>3515</v>
      </c>
      <c r="AF5" s="427">
        <v>-4</v>
      </c>
      <c r="AG5" s="426"/>
    </row>
    <row r="6" spans="1:33" x14ac:dyDescent="0.25">
      <c r="A6" s="96">
        <v>2</v>
      </c>
      <c r="B6" s="152" t="s">
        <v>41</v>
      </c>
      <c r="C6" s="416"/>
      <c r="D6" s="478" t="s">
        <v>1487</v>
      </c>
      <c r="E6" s="477">
        <v>79</v>
      </c>
      <c r="F6" s="435" t="s">
        <v>3907</v>
      </c>
      <c r="G6" s="436">
        <v>85</v>
      </c>
      <c r="H6" s="437" t="s">
        <v>3908</v>
      </c>
      <c r="I6" s="442">
        <v>-6</v>
      </c>
      <c r="J6" s="442"/>
      <c r="M6" s="154" t="s">
        <v>3046</v>
      </c>
      <c r="N6" s="152" t="s">
        <v>3088</v>
      </c>
      <c r="O6" s="439" t="s">
        <v>3516</v>
      </c>
      <c r="P6" s="436">
        <v>43</v>
      </c>
      <c r="Q6" s="439" t="s">
        <v>3503</v>
      </c>
      <c r="R6" s="436">
        <v>52</v>
      </c>
      <c r="S6" s="437" t="s">
        <v>3504</v>
      </c>
      <c r="T6" s="442">
        <v>-9</v>
      </c>
      <c r="U6" s="442" t="s">
        <v>3505</v>
      </c>
      <c r="Y6" s="149">
        <v>1</v>
      </c>
      <c r="Z6" s="90" t="s">
        <v>3085</v>
      </c>
      <c r="AA6" s="90" t="s">
        <v>3452</v>
      </c>
      <c r="AB6" s="428">
        <v>45</v>
      </c>
      <c r="AC6" s="428" t="s">
        <v>1296</v>
      </c>
      <c r="AD6" s="428">
        <v>49</v>
      </c>
      <c r="AE6" s="428" t="s">
        <v>3515</v>
      </c>
      <c r="AF6" s="428">
        <v>-4</v>
      </c>
      <c r="AG6" s="428"/>
    </row>
    <row r="7" spans="1:33" ht="30" x14ac:dyDescent="0.25">
      <c r="A7" s="95">
        <v>3</v>
      </c>
      <c r="B7" s="151" t="s">
        <v>48</v>
      </c>
      <c r="C7" s="151"/>
      <c r="D7" s="430" t="s">
        <v>1488</v>
      </c>
      <c r="E7" s="438">
        <v>79</v>
      </c>
      <c r="F7" s="430" t="s">
        <v>3517</v>
      </c>
      <c r="G7" s="428">
        <v>86</v>
      </c>
      <c r="H7" s="434" t="s">
        <v>3909</v>
      </c>
      <c r="I7" s="441">
        <v>-7</v>
      </c>
      <c r="J7" s="441"/>
      <c r="M7" s="149" t="s">
        <v>3050</v>
      </c>
      <c r="N7" s="151" t="s">
        <v>3089</v>
      </c>
      <c r="O7" s="430" t="s">
        <v>3518</v>
      </c>
      <c r="P7" s="428">
        <v>57</v>
      </c>
      <c r="Q7" s="430" t="s">
        <v>3519</v>
      </c>
      <c r="R7" s="428">
        <v>64</v>
      </c>
      <c r="S7" s="434" t="s">
        <v>3520</v>
      </c>
      <c r="T7" s="441">
        <v>-7</v>
      </c>
      <c r="U7" s="441" t="s">
        <v>3501</v>
      </c>
      <c r="Y7" s="147" t="s">
        <v>3086</v>
      </c>
      <c r="Z7" s="147"/>
      <c r="AA7" s="147" t="s">
        <v>3107</v>
      </c>
      <c r="AB7" s="429">
        <v>70</v>
      </c>
      <c r="AC7" s="429" t="s">
        <v>3521</v>
      </c>
      <c r="AD7" s="429">
        <v>77</v>
      </c>
      <c r="AE7" s="429" t="s">
        <v>3522</v>
      </c>
      <c r="AF7" s="429">
        <v>-7</v>
      </c>
      <c r="AG7" s="429" t="s">
        <v>3501</v>
      </c>
    </row>
    <row r="8" spans="1:33" x14ac:dyDescent="0.25">
      <c r="A8" s="96">
        <v>4</v>
      </c>
      <c r="B8" s="152" t="s">
        <v>51</v>
      </c>
      <c r="C8" s="152"/>
      <c r="D8" s="439" t="s">
        <v>1489</v>
      </c>
      <c r="E8" s="436">
        <v>58</v>
      </c>
      <c r="F8" s="439" t="s">
        <v>3910</v>
      </c>
      <c r="G8" s="436">
        <v>62</v>
      </c>
      <c r="H8" s="437" t="s">
        <v>3911</v>
      </c>
      <c r="I8" s="442">
        <v>-4</v>
      </c>
      <c r="J8" s="442"/>
      <c r="M8" s="154" t="s">
        <v>3052</v>
      </c>
      <c r="N8" s="152" t="s">
        <v>3053</v>
      </c>
      <c r="O8" s="439" t="s">
        <v>3523</v>
      </c>
      <c r="P8" s="436">
        <v>31</v>
      </c>
      <c r="Q8" s="439" t="s">
        <v>3524</v>
      </c>
      <c r="R8" s="436">
        <v>39</v>
      </c>
      <c r="S8" s="437" t="s">
        <v>3525</v>
      </c>
      <c r="T8" s="442">
        <v>-8</v>
      </c>
      <c r="U8" s="442" t="s">
        <v>3501</v>
      </c>
      <c r="Y8" s="95">
        <v>1</v>
      </c>
      <c r="Z8" s="151" t="s">
        <v>3085</v>
      </c>
      <c r="AA8" s="95" t="s">
        <v>829</v>
      </c>
      <c r="AB8" s="430">
        <v>67</v>
      </c>
      <c r="AC8" s="428" t="s">
        <v>3526</v>
      </c>
      <c r="AD8" s="430">
        <v>69</v>
      </c>
      <c r="AE8" s="428" t="s">
        <v>3527</v>
      </c>
      <c r="AF8" s="430">
        <v>-2</v>
      </c>
      <c r="AG8" s="428"/>
    </row>
    <row r="9" spans="1:33" ht="45" x14ac:dyDescent="0.25">
      <c r="A9" s="95">
        <v>5</v>
      </c>
      <c r="B9" s="151" t="s">
        <v>54</v>
      </c>
      <c r="C9" s="151"/>
      <c r="D9" s="430" t="s">
        <v>1490</v>
      </c>
      <c r="E9" s="428">
        <v>93</v>
      </c>
      <c r="F9" s="430" t="s">
        <v>3559</v>
      </c>
      <c r="G9" s="428">
        <v>99</v>
      </c>
      <c r="H9" s="434" t="s">
        <v>3529</v>
      </c>
      <c r="I9" s="441">
        <v>-6</v>
      </c>
      <c r="J9" s="441"/>
      <c r="M9" s="149" t="s">
        <v>3054</v>
      </c>
      <c r="N9" s="151" t="s">
        <v>3055</v>
      </c>
      <c r="O9" s="430" t="s">
        <v>3530</v>
      </c>
      <c r="P9" s="428">
        <v>32</v>
      </c>
      <c r="Q9" s="430" t="s">
        <v>3531</v>
      </c>
      <c r="R9" s="428">
        <v>38</v>
      </c>
      <c r="S9" s="434" t="s">
        <v>3532</v>
      </c>
      <c r="T9" s="441">
        <v>-6</v>
      </c>
      <c r="U9" s="441" t="s">
        <v>3501</v>
      </c>
      <c r="Y9" s="151">
        <v>2</v>
      </c>
      <c r="Z9" s="95" t="s">
        <v>3042</v>
      </c>
      <c r="AA9" s="95" t="s">
        <v>3108</v>
      </c>
      <c r="AB9" s="430">
        <v>63</v>
      </c>
      <c r="AC9" s="428" t="s">
        <v>3533</v>
      </c>
      <c r="AD9" s="430">
        <v>60</v>
      </c>
      <c r="AE9" s="428" t="s">
        <v>3534</v>
      </c>
      <c r="AF9" s="430">
        <v>3</v>
      </c>
      <c r="AG9" s="428"/>
    </row>
    <row r="10" spans="1:33" ht="78.75" customHeight="1" x14ac:dyDescent="0.25">
      <c r="A10" s="96">
        <v>6</v>
      </c>
      <c r="B10" s="152" t="s">
        <v>57</v>
      </c>
      <c r="C10" s="152"/>
      <c r="D10" s="439" t="s">
        <v>1491</v>
      </c>
      <c r="E10" s="436">
        <v>19</v>
      </c>
      <c r="F10" s="439" t="s">
        <v>3912</v>
      </c>
      <c r="G10" s="436">
        <v>27</v>
      </c>
      <c r="H10" s="437" t="s">
        <v>3913</v>
      </c>
      <c r="I10" s="442">
        <v>-8</v>
      </c>
      <c r="J10" s="442"/>
      <c r="M10" s="147" t="s">
        <v>3090</v>
      </c>
      <c r="N10" s="148"/>
      <c r="O10" s="443" t="s">
        <v>3536</v>
      </c>
      <c r="P10" s="443">
        <v>47</v>
      </c>
      <c r="Q10" s="443" t="s">
        <v>3537</v>
      </c>
      <c r="R10" s="443">
        <v>57</v>
      </c>
      <c r="S10" s="444" t="s">
        <v>3538</v>
      </c>
      <c r="T10" s="445">
        <v>-10</v>
      </c>
      <c r="U10" s="445" t="s">
        <v>3501</v>
      </c>
      <c r="Z10" s="469" t="s">
        <v>3539</v>
      </c>
    </row>
    <row r="11" spans="1:33" ht="27" customHeight="1" x14ac:dyDescent="0.25">
      <c r="A11" s="95">
        <v>7</v>
      </c>
      <c r="B11" s="151" t="s">
        <v>60</v>
      </c>
      <c r="C11" s="151"/>
      <c r="D11" s="430" t="s">
        <v>1492</v>
      </c>
      <c r="E11" s="428">
        <v>72</v>
      </c>
      <c r="F11" s="430" t="s">
        <v>3914</v>
      </c>
      <c r="G11" s="428">
        <v>91</v>
      </c>
      <c r="H11" s="434" t="s">
        <v>3540</v>
      </c>
      <c r="I11" s="441">
        <v>-19</v>
      </c>
      <c r="J11" s="441" t="s">
        <v>3501</v>
      </c>
      <c r="M11" s="149" t="s">
        <v>3044</v>
      </c>
      <c r="N11" s="151" t="s">
        <v>3045</v>
      </c>
      <c r="O11" s="430" t="s">
        <v>3541</v>
      </c>
      <c r="P11" s="436">
        <v>60</v>
      </c>
      <c r="Q11" s="439" t="s">
        <v>3542</v>
      </c>
      <c r="R11" s="436">
        <v>71</v>
      </c>
      <c r="S11" s="437" t="s">
        <v>3543</v>
      </c>
      <c r="T11" s="442">
        <v>-11</v>
      </c>
      <c r="U11" s="442" t="s">
        <v>3501</v>
      </c>
    </row>
    <row r="12" spans="1:33" ht="30" x14ac:dyDescent="0.25">
      <c r="A12" s="96">
        <v>8</v>
      </c>
      <c r="B12" s="152" t="s">
        <v>63</v>
      </c>
      <c r="C12" s="152"/>
      <c r="D12" s="439" t="s">
        <v>1493</v>
      </c>
      <c r="E12" s="436">
        <v>37</v>
      </c>
      <c r="F12" s="439" t="s">
        <v>3915</v>
      </c>
      <c r="G12" s="436">
        <v>73</v>
      </c>
      <c r="H12" s="437" t="s">
        <v>3916</v>
      </c>
      <c r="I12" s="442">
        <v>-36</v>
      </c>
      <c r="J12" s="442" t="s">
        <v>3510</v>
      </c>
      <c r="M12" s="154" t="s">
        <v>3046</v>
      </c>
      <c r="N12" s="152" t="s">
        <v>3088</v>
      </c>
      <c r="O12" s="439" t="s">
        <v>3544</v>
      </c>
      <c r="P12" s="428">
        <v>51</v>
      </c>
      <c r="Q12" s="430" t="s">
        <v>1361</v>
      </c>
      <c r="R12" s="428">
        <v>63</v>
      </c>
      <c r="S12" s="434" t="s">
        <v>3545</v>
      </c>
      <c r="T12" s="441">
        <v>-12</v>
      </c>
      <c r="U12" s="441" t="s">
        <v>3501</v>
      </c>
    </row>
    <row r="13" spans="1:33" ht="30" x14ac:dyDescent="0.25">
      <c r="A13" s="95">
        <v>9</v>
      </c>
      <c r="B13" s="151" t="s">
        <v>66</v>
      </c>
      <c r="C13" s="151"/>
      <c r="D13" s="430" t="s">
        <v>1494</v>
      </c>
      <c r="E13" s="428">
        <v>79</v>
      </c>
      <c r="F13" s="430" t="s">
        <v>3546</v>
      </c>
      <c r="G13" s="428">
        <v>82</v>
      </c>
      <c r="H13" s="434" t="s">
        <v>3547</v>
      </c>
      <c r="I13" s="441">
        <v>-3</v>
      </c>
      <c r="J13" s="441"/>
      <c r="M13" s="149" t="s">
        <v>3050</v>
      </c>
      <c r="N13" s="151" t="s">
        <v>3089</v>
      </c>
      <c r="O13" s="430" t="s">
        <v>3548</v>
      </c>
      <c r="P13" s="436">
        <v>68</v>
      </c>
      <c r="Q13" s="439" t="s">
        <v>3549</v>
      </c>
      <c r="R13" s="436">
        <v>74</v>
      </c>
      <c r="S13" s="437" t="s">
        <v>3550</v>
      </c>
      <c r="T13" s="442">
        <v>-6</v>
      </c>
      <c r="U13" s="442" t="s">
        <v>3508</v>
      </c>
    </row>
    <row r="14" spans="1:33" x14ac:dyDescent="0.25">
      <c r="A14" s="534" t="s">
        <v>802</v>
      </c>
      <c r="B14" s="534"/>
      <c r="C14" s="53"/>
      <c r="D14" s="53" t="s">
        <v>3551</v>
      </c>
      <c r="E14" s="53">
        <v>60</v>
      </c>
      <c r="F14" s="53" t="s">
        <v>3917</v>
      </c>
      <c r="G14" s="53">
        <v>63</v>
      </c>
      <c r="H14" s="440" t="s">
        <v>988</v>
      </c>
      <c r="I14" s="446">
        <v>-3</v>
      </c>
      <c r="J14" s="446"/>
      <c r="M14" s="154" t="s">
        <v>3052</v>
      </c>
      <c r="N14" s="152" t="s">
        <v>3053</v>
      </c>
      <c r="O14" s="439" t="s">
        <v>3552</v>
      </c>
      <c r="P14" s="428">
        <v>29</v>
      </c>
      <c r="Q14" s="430" t="s">
        <v>3553</v>
      </c>
      <c r="R14" s="428">
        <v>39</v>
      </c>
      <c r="S14" s="434" t="s">
        <v>3554</v>
      </c>
      <c r="T14" s="441">
        <v>-10</v>
      </c>
      <c r="U14" s="441" t="s">
        <v>3508</v>
      </c>
    </row>
    <row r="15" spans="1:33" ht="45" x14ac:dyDescent="0.25">
      <c r="A15" s="95">
        <v>1</v>
      </c>
      <c r="B15" s="151" t="s">
        <v>70</v>
      </c>
      <c r="C15" s="151"/>
      <c r="D15" s="430" t="s">
        <v>1500</v>
      </c>
      <c r="E15" s="436">
        <v>88</v>
      </c>
      <c r="F15" s="439" t="s">
        <v>3918</v>
      </c>
      <c r="G15" s="436">
        <v>79</v>
      </c>
      <c r="H15" s="437" t="s">
        <v>3555</v>
      </c>
      <c r="I15" s="442">
        <v>9</v>
      </c>
      <c r="J15" s="442"/>
      <c r="M15" s="149" t="s">
        <v>3054</v>
      </c>
      <c r="N15" s="151" t="s">
        <v>3055</v>
      </c>
      <c r="O15" s="430" t="s">
        <v>3556</v>
      </c>
      <c r="P15" s="428">
        <v>28</v>
      </c>
      <c r="Q15" s="430" t="s">
        <v>3557</v>
      </c>
      <c r="R15" s="428">
        <v>36</v>
      </c>
      <c r="S15" s="434" t="s">
        <v>3558</v>
      </c>
      <c r="T15" s="441">
        <v>-8</v>
      </c>
      <c r="U15" s="441" t="s">
        <v>3508</v>
      </c>
    </row>
    <row r="16" spans="1:33" x14ac:dyDescent="0.25">
      <c r="A16" s="96">
        <v>2</v>
      </c>
      <c r="B16" s="152" t="s">
        <v>73</v>
      </c>
      <c r="C16" s="152"/>
      <c r="D16" s="439" t="s">
        <v>1501</v>
      </c>
      <c r="E16" s="428">
        <v>93</v>
      </c>
      <c r="F16" s="430" t="s">
        <v>3528</v>
      </c>
      <c r="G16" s="428">
        <v>76</v>
      </c>
      <c r="H16" s="434" t="s">
        <v>3919</v>
      </c>
      <c r="I16" s="441">
        <v>17</v>
      </c>
      <c r="J16" s="441" t="s">
        <v>3505</v>
      </c>
      <c r="M16" s="147" t="s">
        <v>3091</v>
      </c>
      <c r="N16" s="148"/>
      <c r="O16" s="443" t="s">
        <v>3560</v>
      </c>
      <c r="P16" s="443">
        <v>43</v>
      </c>
      <c r="Q16" s="443" t="s">
        <v>3561</v>
      </c>
      <c r="R16" s="443">
        <v>52</v>
      </c>
      <c r="S16" s="444" t="s">
        <v>3562</v>
      </c>
      <c r="T16" s="445">
        <v>-9</v>
      </c>
      <c r="U16" s="445" t="s">
        <v>3501</v>
      </c>
    </row>
    <row r="17" spans="1:21" x14ac:dyDescent="0.25">
      <c r="A17" s="95">
        <v>3</v>
      </c>
      <c r="B17" s="151" t="s">
        <v>76</v>
      </c>
      <c r="C17" s="151"/>
      <c r="D17" s="430" t="s">
        <v>1502</v>
      </c>
      <c r="E17" s="436">
        <v>58</v>
      </c>
      <c r="F17" s="439" t="s">
        <v>3920</v>
      </c>
      <c r="G17" s="436">
        <v>42</v>
      </c>
      <c r="H17" s="437" t="s">
        <v>3921</v>
      </c>
      <c r="I17" s="442">
        <v>16</v>
      </c>
      <c r="J17" s="442" t="s">
        <v>3505</v>
      </c>
      <c r="M17" s="149" t="s">
        <v>3044</v>
      </c>
      <c r="N17" s="151" t="s">
        <v>3045</v>
      </c>
      <c r="O17" s="430" t="s">
        <v>3563</v>
      </c>
      <c r="P17" s="428">
        <v>56</v>
      </c>
      <c r="Q17" s="430" t="s">
        <v>3564</v>
      </c>
      <c r="R17" s="428">
        <v>66</v>
      </c>
      <c r="S17" s="434" t="s">
        <v>3565</v>
      </c>
      <c r="T17" s="441">
        <v>-10</v>
      </c>
      <c r="U17" s="441" t="s">
        <v>3501</v>
      </c>
    </row>
    <row r="18" spans="1:21" x14ac:dyDescent="0.25">
      <c r="A18" s="96">
        <v>4</v>
      </c>
      <c r="B18" s="152" t="s">
        <v>83</v>
      </c>
      <c r="C18" s="152"/>
      <c r="D18" s="439" t="s">
        <v>1503</v>
      </c>
      <c r="E18" s="428">
        <v>60</v>
      </c>
      <c r="F18" s="430" t="s">
        <v>3922</v>
      </c>
      <c r="G18" s="428">
        <v>54</v>
      </c>
      <c r="H18" s="434" t="s">
        <v>3923</v>
      </c>
      <c r="I18" s="441">
        <v>6</v>
      </c>
      <c r="J18" s="441"/>
      <c r="M18" s="154" t="s">
        <v>3046</v>
      </c>
      <c r="N18" s="152" t="s">
        <v>3088</v>
      </c>
      <c r="O18" s="439" t="s">
        <v>3566</v>
      </c>
      <c r="P18" s="436">
        <v>47</v>
      </c>
      <c r="Q18" s="439" t="s">
        <v>3567</v>
      </c>
      <c r="R18" s="436">
        <v>56</v>
      </c>
      <c r="S18" s="437" t="s">
        <v>3568</v>
      </c>
      <c r="T18" s="442">
        <v>-9</v>
      </c>
      <c r="U18" s="442" t="s">
        <v>3508</v>
      </c>
    </row>
    <row r="19" spans="1:21" ht="30" x14ac:dyDescent="0.25">
      <c r="A19" s="95">
        <v>5</v>
      </c>
      <c r="B19" s="151" t="s">
        <v>88</v>
      </c>
      <c r="C19" s="151"/>
      <c r="D19" s="430" t="s">
        <v>1504</v>
      </c>
      <c r="E19" s="436">
        <v>65</v>
      </c>
      <c r="F19" s="439" t="s">
        <v>3924</v>
      </c>
      <c r="G19" s="436">
        <v>72</v>
      </c>
      <c r="H19" s="437" t="s">
        <v>3925</v>
      </c>
      <c r="I19" s="442">
        <v>-7</v>
      </c>
      <c r="J19" s="442"/>
      <c r="M19" s="149" t="s">
        <v>3050</v>
      </c>
      <c r="N19" s="151" t="s">
        <v>3089</v>
      </c>
      <c r="O19" s="430" t="s">
        <v>3569</v>
      </c>
      <c r="P19" s="428">
        <v>56</v>
      </c>
      <c r="Q19" s="430" t="s">
        <v>3570</v>
      </c>
      <c r="R19" s="428">
        <v>71</v>
      </c>
      <c r="S19" s="434" t="s">
        <v>3571</v>
      </c>
      <c r="T19" s="441">
        <v>-15</v>
      </c>
      <c r="U19" s="441" t="s">
        <v>3501</v>
      </c>
    </row>
    <row r="20" spans="1:21" x14ac:dyDescent="0.25">
      <c r="A20" s="96">
        <v>6</v>
      </c>
      <c r="B20" s="152" t="s">
        <v>94</v>
      </c>
      <c r="C20" s="152"/>
      <c r="D20" s="439" t="s">
        <v>1505</v>
      </c>
      <c r="E20" s="428">
        <v>100</v>
      </c>
      <c r="F20" s="430" t="s">
        <v>3572</v>
      </c>
      <c r="G20" s="428">
        <v>91</v>
      </c>
      <c r="H20" s="434" t="s">
        <v>3540</v>
      </c>
      <c r="I20" s="441">
        <v>9</v>
      </c>
      <c r="J20" s="441" t="s">
        <v>3510</v>
      </c>
      <c r="M20" s="154" t="s">
        <v>3052</v>
      </c>
      <c r="N20" s="152" t="s">
        <v>3053</v>
      </c>
      <c r="O20" s="439" t="s">
        <v>3573</v>
      </c>
      <c r="P20" s="428">
        <v>31</v>
      </c>
      <c r="Q20" s="430" t="s">
        <v>3574</v>
      </c>
      <c r="R20" s="428">
        <v>40</v>
      </c>
      <c r="S20" s="434" t="s">
        <v>3575</v>
      </c>
      <c r="T20" s="441">
        <v>-9</v>
      </c>
      <c r="U20" s="441" t="s">
        <v>3508</v>
      </c>
    </row>
    <row r="21" spans="1:21" ht="45" x14ac:dyDescent="0.25">
      <c r="A21" s="95">
        <v>7</v>
      </c>
      <c r="B21" s="151" t="s">
        <v>96</v>
      </c>
      <c r="C21" s="151"/>
      <c r="D21" s="430" t="s">
        <v>1506</v>
      </c>
      <c r="E21" s="436">
        <v>58</v>
      </c>
      <c r="F21" s="439" t="s">
        <v>3576</v>
      </c>
      <c r="G21" s="436">
        <v>65</v>
      </c>
      <c r="H21" s="437" t="s">
        <v>3577</v>
      </c>
      <c r="I21" s="442">
        <v>-7</v>
      </c>
      <c r="J21" s="442"/>
      <c r="M21" s="149" t="s">
        <v>3054</v>
      </c>
      <c r="N21" s="151" t="s">
        <v>3055</v>
      </c>
      <c r="O21" s="430" t="s">
        <v>3578</v>
      </c>
      <c r="P21" s="436">
        <v>29</v>
      </c>
      <c r="Q21" s="439" t="s">
        <v>3579</v>
      </c>
      <c r="R21" s="436">
        <v>33</v>
      </c>
      <c r="S21" s="437" t="s">
        <v>3580</v>
      </c>
      <c r="T21" s="442">
        <v>-4</v>
      </c>
      <c r="U21" s="442" t="s">
        <v>3508</v>
      </c>
    </row>
    <row r="22" spans="1:21" ht="30" x14ac:dyDescent="0.25">
      <c r="A22" s="96">
        <v>8</v>
      </c>
      <c r="B22" s="152" t="s">
        <v>1440</v>
      </c>
      <c r="C22" s="152"/>
      <c r="D22" s="439" t="s">
        <v>1507</v>
      </c>
      <c r="E22" s="428">
        <v>37</v>
      </c>
      <c r="F22" s="430" t="s">
        <v>3581</v>
      </c>
      <c r="G22" s="428">
        <v>51</v>
      </c>
      <c r="H22" s="434" t="s">
        <v>3926</v>
      </c>
      <c r="I22" s="441">
        <v>-14</v>
      </c>
      <c r="J22" s="441"/>
      <c r="M22" s="147" t="s">
        <v>3092</v>
      </c>
      <c r="N22" s="148"/>
      <c r="O22" s="443" t="s">
        <v>3583</v>
      </c>
      <c r="P22" s="443">
        <v>40</v>
      </c>
      <c r="Q22" s="443" t="s">
        <v>3584</v>
      </c>
      <c r="R22" s="443">
        <v>51</v>
      </c>
      <c r="S22" s="444" t="s">
        <v>3585</v>
      </c>
      <c r="T22" s="445">
        <v>-11</v>
      </c>
      <c r="U22" s="445" t="s">
        <v>3501</v>
      </c>
    </row>
    <row r="23" spans="1:21" x14ac:dyDescent="0.25">
      <c r="A23" s="95">
        <v>9</v>
      </c>
      <c r="B23" s="151" t="s">
        <v>106</v>
      </c>
      <c r="C23" s="151"/>
      <c r="D23" s="430" t="s">
        <v>1508</v>
      </c>
      <c r="E23" s="428">
        <v>49</v>
      </c>
      <c r="F23" s="430" t="s">
        <v>3586</v>
      </c>
      <c r="G23" s="428">
        <v>57</v>
      </c>
      <c r="H23" s="434" t="s">
        <v>3927</v>
      </c>
      <c r="I23" s="441">
        <v>-8</v>
      </c>
      <c r="J23" s="441"/>
      <c r="M23" s="149" t="s">
        <v>3044</v>
      </c>
      <c r="N23" s="151" t="s">
        <v>3045</v>
      </c>
      <c r="O23" s="430" t="s">
        <v>3587</v>
      </c>
      <c r="P23" s="436">
        <v>44</v>
      </c>
      <c r="Q23" s="439" t="s">
        <v>3588</v>
      </c>
      <c r="R23" s="436">
        <v>58</v>
      </c>
      <c r="S23" s="437" t="s">
        <v>3589</v>
      </c>
      <c r="T23" s="442">
        <v>-14</v>
      </c>
      <c r="U23" s="442" t="s">
        <v>3505</v>
      </c>
    </row>
    <row r="24" spans="1:21" x14ac:dyDescent="0.25">
      <c r="A24" s="96">
        <v>10</v>
      </c>
      <c r="B24" s="152" t="s">
        <v>108</v>
      </c>
      <c r="C24" s="152"/>
      <c r="D24" s="439" t="s">
        <v>1509</v>
      </c>
      <c r="E24" s="436">
        <v>44</v>
      </c>
      <c r="F24" s="439" t="s">
        <v>3629</v>
      </c>
      <c r="G24" s="436">
        <v>49</v>
      </c>
      <c r="H24" s="437" t="s">
        <v>3928</v>
      </c>
      <c r="I24" s="442">
        <v>-5</v>
      </c>
      <c r="J24" s="442"/>
      <c r="M24" s="154" t="s">
        <v>3046</v>
      </c>
      <c r="N24" s="152" t="s">
        <v>3088</v>
      </c>
      <c r="O24" s="439" t="s">
        <v>3591</v>
      </c>
      <c r="P24" s="428">
        <v>44</v>
      </c>
      <c r="Q24" s="430" t="s">
        <v>3592</v>
      </c>
      <c r="R24" s="428">
        <v>51</v>
      </c>
      <c r="S24" s="434" t="s">
        <v>3593</v>
      </c>
      <c r="T24" s="441">
        <v>-7</v>
      </c>
      <c r="U24" s="441" t="s">
        <v>3508</v>
      </c>
    </row>
    <row r="25" spans="1:21" ht="30" x14ac:dyDescent="0.25">
      <c r="A25" s="534" t="s">
        <v>803</v>
      </c>
      <c r="B25" s="534"/>
      <c r="C25" s="53"/>
      <c r="D25" s="53" t="s">
        <v>3594</v>
      </c>
      <c r="E25" s="53">
        <v>58</v>
      </c>
      <c r="F25" s="53" t="s">
        <v>3929</v>
      </c>
      <c r="G25" s="53">
        <v>61</v>
      </c>
      <c r="H25" s="440" t="s">
        <v>3930</v>
      </c>
      <c r="I25" s="446">
        <v>-3</v>
      </c>
      <c r="J25" s="446"/>
      <c r="M25" s="149" t="s">
        <v>3050</v>
      </c>
      <c r="N25" s="151" t="s">
        <v>3089</v>
      </c>
      <c r="O25" s="430" t="s">
        <v>3595</v>
      </c>
      <c r="P25" s="428">
        <v>44</v>
      </c>
      <c r="Q25" s="430" t="s">
        <v>3596</v>
      </c>
      <c r="R25" s="428">
        <v>56</v>
      </c>
      <c r="S25" s="434" t="s">
        <v>3597</v>
      </c>
      <c r="T25" s="441">
        <v>-12</v>
      </c>
      <c r="U25" s="441" t="s">
        <v>3508</v>
      </c>
    </row>
    <row r="26" spans="1:21" ht="45" x14ac:dyDescent="0.25">
      <c r="A26" s="95">
        <v>1</v>
      </c>
      <c r="B26" s="151" t="s">
        <v>112</v>
      </c>
      <c r="C26" s="151"/>
      <c r="D26" s="430" t="s">
        <v>1515</v>
      </c>
      <c r="E26" s="436">
        <v>70</v>
      </c>
      <c r="F26" s="439" t="s">
        <v>3674</v>
      </c>
      <c r="G26" s="436">
        <v>69</v>
      </c>
      <c r="H26" s="437" t="s">
        <v>3931</v>
      </c>
      <c r="I26" s="442">
        <v>1</v>
      </c>
      <c r="J26" s="442"/>
      <c r="M26" s="154" t="s">
        <v>3054</v>
      </c>
      <c r="N26" s="152" t="s">
        <v>3055</v>
      </c>
      <c r="O26" s="439" t="s">
        <v>3598</v>
      </c>
      <c r="P26" s="436">
        <v>31</v>
      </c>
      <c r="Q26" s="439" t="s">
        <v>3599</v>
      </c>
      <c r="R26" s="436">
        <v>42</v>
      </c>
      <c r="S26" s="437" t="s">
        <v>3600</v>
      </c>
      <c r="T26" s="442">
        <v>-11</v>
      </c>
      <c r="U26" s="442" t="s">
        <v>3505</v>
      </c>
    </row>
    <row r="27" spans="1:21" ht="30" x14ac:dyDescent="0.25">
      <c r="A27" s="96">
        <v>2</v>
      </c>
      <c r="B27" s="152" t="s">
        <v>115</v>
      </c>
      <c r="C27" s="152"/>
      <c r="D27" s="439" t="s">
        <v>1516</v>
      </c>
      <c r="E27" s="428">
        <v>26</v>
      </c>
      <c r="F27" s="430" t="s">
        <v>3509</v>
      </c>
      <c r="G27" s="428">
        <v>59</v>
      </c>
      <c r="H27" s="434" t="s">
        <v>3932</v>
      </c>
      <c r="I27" s="441">
        <v>-33</v>
      </c>
      <c r="J27" s="441" t="s">
        <v>3510</v>
      </c>
      <c r="M27" s="147" t="s">
        <v>3093</v>
      </c>
      <c r="N27" s="148"/>
      <c r="O27" s="443" t="s">
        <v>3601</v>
      </c>
      <c r="P27" s="443">
        <v>57</v>
      </c>
      <c r="Q27" s="443" t="s">
        <v>3602</v>
      </c>
      <c r="R27" s="443">
        <v>67</v>
      </c>
      <c r="S27" s="444" t="s">
        <v>3526</v>
      </c>
      <c r="T27" s="445">
        <v>-10</v>
      </c>
      <c r="U27" s="445" t="s">
        <v>3508</v>
      </c>
    </row>
    <row r="28" spans="1:21" ht="30" x14ac:dyDescent="0.25">
      <c r="A28" s="95">
        <v>3</v>
      </c>
      <c r="B28" s="151" t="s">
        <v>118</v>
      </c>
      <c r="C28" s="151"/>
      <c r="D28" s="430" t="s">
        <v>1517</v>
      </c>
      <c r="E28" s="436">
        <v>74</v>
      </c>
      <c r="F28" s="439" t="s">
        <v>3933</v>
      </c>
      <c r="G28" s="436">
        <v>81</v>
      </c>
      <c r="H28" s="437" t="s">
        <v>3934</v>
      </c>
      <c r="I28" s="442">
        <v>-7</v>
      </c>
      <c r="J28" s="442"/>
      <c r="M28" s="149" t="s">
        <v>3044</v>
      </c>
      <c r="N28" s="151" t="s">
        <v>3045</v>
      </c>
      <c r="O28" s="430" t="s">
        <v>3603</v>
      </c>
      <c r="P28" s="436">
        <v>68</v>
      </c>
      <c r="Q28" s="439" t="s">
        <v>3604</v>
      </c>
      <c r="R28" s="436">
        <v>81</v>
      </c>
      <c r="S28" s="437" t="s">
        <v>3605</v>
      </c>
      <c r="T28" s="442">
        <v>-13</v>
      </c>
      <c r="U28" s="442" t="s">
        <v>3501</v>
      </c>
    </row>
    <row r="29" spans="1:21" x14ac:dyDescent="0.25">
      <c r="A29" s="96">
        <v>4</v>
      </c>
      <c r="B29" s="152" t="s">
        <v>121</v>
      </c>
      <c r="C29" s="152"/>
      <c r="D29" s="439" t="s">
        <v>1518</v>
      </c>
      <c r="E29" s="428">
        <v>42</v>
      </c>
      <c r="F29" s="430" t="s">
        <v>3935</v>
      </c>
      <c r="G29" s="428">
        <v>55</v>
      </c>
      <c r="H29" s="434" t="s">
        <v>3936</v>
      </c>
      <c r="I29" s="441">
        <v>-13</v>
      </c>
      <c r="J29" s="441"/>
      <c r="M29" s="154" t="s">
        <v>3046</v>
      </c>
      <c r="N29" s="152" t="s">
        <v>3088</v>
      </c>
      <c r="O29" s="439" t="s">
        <v>3606</v>
      </c>
      <c r="P29" s="428">
        <v>33</v>
      </c>
      <c r="Q29" s="430" t="s">
        <v>3607</v>
      </c>
      <c r="R29" s="428">
        <v>46</v>
      </c>
      <c r="S29" s="434" t="s">
        <v>3608</v>
      </c>
      <c r="T29" s="441">
        <v>-13</v>
      </c>
      <c r="U29" s="441" t="s">
        <v>3508</v>
      </c>
    </row>
    <row r="30" spans="1:21" ht="30" x14ac:dyDescent="0.25">
      <c r="A30" s="95">
        <v>5</v>
      </c>
      <c r="B30" s="151" t="s">
        <v>126</v>
      </c>
      <c r="C30" s="151"/>
      <c r="D30" s="430" t="s">
        <v>1519</v>
      </c>
      <c r="E30" s="436">
        <v>91</v>
      </c>
      <c r="F30" s="439" t="s">
        <v>3609</v>
      </c>
      <c r="G30" s="436">
        <v>82</v>
      </c>
      <c r="H30" s="437" t="s">
        <v>3765</v>
      </c>
      <c r="I30" s="442">
        <v>9</v>
      </c>
      <c r="J30" s="442"/>
      <c r="M30" s="149" t="s">
        <v>3050</v>
      </c>
      <c r="N30" s="151" t="s">
        <v>3089</v>
      </c>
      <c r="O30" s="430" t="s">
        <v>3610</v>
      </c>
      <c r="P30" s="428">
        <v>73</v>
      </c>
      <c r="Q30" s="430" t="s">
        <v>3611</v>
      </c>
      <c r="R30" s="428">
        <v>80</v>
      </c>
      <c r="S30" s="434" t="s">
        <v>3612</v>
      </c>
      <c r="T30" s="441">
        <v>-7</v>
      </c>
      <c r="U30" s="441" t="s">
        <v>3508</v>
      </c>
    </row>
    <row r="31" spans="1:21" ht="45" x14ac:dyDescent="0.25">
      <c r="A31" s="96">
        <v>6</v>
      </c>
      <c r="B31" s="152" t="s">
        <v>129</v>
      </c>
      <c r="C31" s="152"/>
      <c r="D31" s="439" t="s">
        <v>1520</v>
      </c>
      <c r="E31" s="428">
        <v>49</v>
      </c>
      <c r="F31" s="430" t="s">
        <v>3613</v>
      </c>
      <c r="G31" s="428">
        <v>71</v>
      </c>
      <c r="H31" s="434" t="s">
        <v>3937</v>
      </c>
      <c r="I31" s="441">
        <v>-22</v>
      </c>
      <c r="J31" s="441" t="s">
        <v>3501</v>
      </c>
      <c r="M31" s="154" t="s">
        <v>3054</v>
      </c>
      <c r="N31" s="152" t="s">
        <v>3055</v>
      </c>
      <c r="O31" s="439" t="s">
        <v>3615</v>
      </c>
      <c r="P31" s="436">
        <v>43</v>
      </c>
      <c r="Q31" s="439" t="s">
        <v>3616</v>
      </c>
      <c r="R31" s="436">
        <v>45</v>
      </c>
      <c r="S31" s="437" t="s">
        <v>3617</v>
      </c>
      <c r="T31" s="442">
        <v>-2</v>
      </c>
      <c r="U31" s="442" t="s">
        <v>3508</v>
      </c>
    </row>
    <row r="32" spans="1:21" x14ac:dyDescent="0.25">
      <c r="A32" s="95">
        <v>7</v>
      </c>
      <c r="B32" s="151" t="s">
        <v>132</v>
      </c>
      <c r="C32" s="151"/>
      <c r="D32" s="430" t="s">
        <v>1521</v>
      </c>
      <c r="E32" s="428">
        <v>47</v>
      </c>
      <c r="F32" s="430" t="s">
        <v>3938</v>
      </c>
      <c r="G32" s="428">
        <v>49</v>
      </c>
      <c r="H32" s="434" t="s">
        <v>3618</v>
      </c>
      <c r="I32" s="441">
        <v>-2</v>
      </c>
      <c r="J32" s="441"/>
      <c r="M32" s="147" t="s">
        <v>3094</v>
      </c>
      <c r="N32" s="148"/>
      <c r="O32" s="443" t="s">
        <v>3619</v>
      </c>
      <c r="P32" s="443">
        <v>52</v>
      </c>
      <c r="Q32" s="443" t="s">
        <v>3620</v>
      </c>
      <c r="R32" s="443">
        <v>53</v>
      </c>
      <c r="S32" s="444" t="s">
        <v>3621</v>
      </c>
      <c r="T32" s="445">
        <v>-1</v>
      </c>
      <c r="U32" s="445" t="s">
        <v>3508</v>
      </c>
    </row>
    <row r="33" spans="1:21" x14ac:dyDescent="0.25">
      <c r="A33" s="96">
        <v>8</v>
      </c>
      <c r="B33" s="152" t="s">
        <v>136</v>
      </c>
      <c r="C33" s="152"/>
      <c r="D33" s="439" t="s">
        <v>1522</v>
      </c>
      <c r="E33" s="436">
        <v>93</v>
      </c>
      <c r="F33" s="439" t="s">
        <v>3528</v>
      </c>
      <c r="G33" s="436">
        <v>87</v>
      </c>
      <c r="H33" s="437" t="s">
        <v>3622</v>
      </c>
      <c r="I33" s="442">
        <v>6</v>
      </c>
      <c r="J33" s="442"/>
      <c r="M33" s="149" t="s">
        <v>3044</v>
      </c>
      <c r="N33" s="151" t="s">
        <v>3045</v>
      </c>
      <c r="O33" s="430" t="s">
        <v>3623</v>
      </c>
      <c r="P33" s="436">
        <v>61</v>
      </c>
      <c r="Q33" s="439" t="s">
        <v>3624</v>
      </c>
      <c r="R33" s="436">
        <v>56</v>
      </c>
      <c r="S33" s="437" t="s">
        <v>3625</v>
      </c>
      <c r="T33" s="442">
        <v>5</v>
      </c>
      <c r="U33" s="442" t="s">
        <v>3508</v>
      </c>
    </row>
    <row r="34" spans="1:21" x14ac:dyDescent="0.25">
      <c r="A34" s="95">
        <v>9</v>
      </c>
      <c r="B34" s="151" t="s">
        <v>139</v>
      </c>
      <c r="C34" s="151"/>
      <c r="D34" s="430" t="s">
        <v>1523</v>
      </c>
      <c r="E34" s="428">
        <v>60</v>
      </c>
      <c r="F34" s="430" t="s">
        <v>3939</v>
      </c>
      <c r="G34" s="428">
        <v>61</v>
      </c>
      <c r="H34" s="434" t="s">
        <v>3940</v>
      </c>
      <c r="I34" s="441">
        <v>-1</v>
      </c>
      <c r="J34" s="441"/>
      <c r="M34" s="154" t="s">
        <v>3046</v>
      </c>
      <c r="N34" s="152" t="s">
        <v>3088</v>
      </c>
      <c r="O34" s="439" t="s">
        <v>3626</v>
      </c>
      <c r="P34" s="428">
        <v>65</v>
      </c>
      <c r="Q34" s="430" t="s">
        <v>3627</v>
      </c>
      <c r="R34" s="428">
        <v>65</v>
      </c>
      <c r="S34" s="434" t="s">
        <v>3628</v>
      </c>
      <c r="T34" s="441">
        <v>0</v>
      </c>
      <c r="U34" s="441" t="s">
        <v>3508</v>
      </c>
    </row>
    <row r="35" spans="1:21" ht="30" x14ac:dyDescent="0.25">
      <c r="A35" s="96">
        <v>10</v>
      </c>
      <c r="B35" s="152" t="s">
        <v>142</v>
      </c>
      <c r="C35" s="152"/>
      <c r="D35" s="439" t="s">
        <v>1524</v>
      </c>
      <c r="E35" s="436">
        <v>44</v>
      </c>
      <c r="F35" s="439" t="s">
        <v>3629</v>
      </c>
      <c r="G35" s="436">
        <v>67</v>
      </c>
      <c r="H35" s="437" t="s">
        <v>3941</v>
      </c>
      <c r="I35" s="442">
        <v>-23</v>
      </c>
      <c r="J35" s="442" t="s">
        <v>3505</v>
      </c>
      <c r="M35" s="149" t="s">
        <v>3050</v>
      </c>
      <c r="N35" s="151" t="s">
        <v>3089</v>
      </c>
      <c r="O35" s="430" t="s">
        <v>3630</v>
      </c>
      <c r="P35" s="428">
        <v>66</v>
      </c>
      <c r="Q35" s="430" t="s">
        <v>3631</v>
      </c>
      <c r="R35" s="428">
        <v>68</v>
      </c>
      <c r="S35" s="434" t="s">
        <v>3632</v>
      </c>
      <c r="T35" s="441">
        <v>-2</v>
      </c>
      <c r="U35" s="441" t="s">
        <v>3508</v>
      </c>
    </row>
    <row r="36" spans="1:21" x14ac:dyDescent="0.25">
      <c r="A36" s="95">
        <v>11</v>
      </c>
      <c r="B36" s="151" t="s">
        <v>145</v>
      </c>
      <c r="C36" s="151"/>
      <c r="D36" s="430" t="s">
        <v>1525</v>
      </c>
      <c r="E36" s="428">
        <v>49</v>
      </c>
      <c r="F36" s="430" t="s">
        <v>3586</v>
      </c>
      <c r="G36" s="428">
        <v>47</v>
      </c>
      <c r="H36" s="434" t="s">
        <v>3633</v>
      </c>
      <c r="I36" s="441">
        <v>2</v>
      </c>
      <c r="J36" s="441"/>
      <c r="M36" s="154" t="s">
        <v>3052</v>
      </c>
      <c r="N36" s="152" t="s">
        <v>3053</v>
      </c>
      <c r="O36" s="439" t="s">
        <v>3634</v>
      </c>
      <c r="P36" s="436">
        <v>42</v>
      </c>
      <c r="Q36" s="439" t="s">
        <v>3635</v>
      </c>
      <c r="R36" s="436">
        <v>48</v>
      </c>
      <c r="S36" s="437" t="s">
        <v>3636</v>
      </c>
      <c r="T36" s="442">
        <v>-6</v>
      </c>
      <c r="U36" s="442" t="s">
        <v>3508</v>
      </c>
    </row>
    <row r="37" spans="1:21" ht="45" x14ac:dyDescent="0.25">
      <c r="A37" s="96">
        <v>12</v>
      </c>
      <c r="B37" s="152" t="s">
        <v>148</v>
      </c>
      <c r="C37" s="152"/>
      <c r="D37" s="439" t="s">
        <v>1526</v>
      </c>
      <c r="E37" s="436">
        <v>30</v>
      </c>
      <c r="F37" s="439" t="s">
        <v>3942</v>
      </c>
      <c r="G37" s="436">
        <v>35</v>
      </c>
      <c r="H37" s="437" t="s">
        <v>3943</v>
      </c>
      <c r="I37" s="442">
        <v>-5</v>
      </c>
      <c r="J37" s="442"/>
      <c r="M37" s="149" t="s">
        <v>3054</v>
      </c>
      <c r="N37" s="151" t="s">
        <v>3055</v>
      </c>
      <c r="O37" s="430" t="s">
        <v>3638</v>
      </c>
      <c r="P37" s="428">
        <v>26</v>
      </c>
      <c r="Q37" s="430" t="s">
        <v>3639</v>
      </c>
      <c r="R37" s="428">
        <v>29</v>
      </c>
      <c r="S37" s="434" t="s">
        <v>3640</v>
      </c>
      <c r="T37" s="441">
        <v>-3</v>
      </c>
      <c r="U37" s="441" t="s">
        <v>3508</v>
      </c>
    </row>
    <row r="38" spans="1:21" x14ac:dyDescent="0.25">
      <c r="A38" s="95">
        <v>13</v>
      </c>
      <c r="B38" s="151" t="s">
        <v>151</v>
      </c>
      <c r="C38" s="151"/>
      <c r="D38" s="430" t="s">
        <v>1527</v>
      </c>
      <c r="E38" s="428">
        <v>67</v>
      </c>
      <c r="F38" s="430" t="s">
        <v>3641</v>
      </c>
      <c r="G38" s="428">
        <v>67</v>
      </c>
      <c r="H38" s="434" t="s">
        <v>3763</v>
      </c>
      <c r="I38" s="441">
        <v>0</v>
      </c>
      <c r="J38" s="441"/>
      <c r="M38" s="147" t="s">
        <v>3095</v>
      </c>
      <c r="N38" s="148"/>
      <c r="O38" s="443" t="s">
        <v>3642</v>
      </c>
      <c r="P38" s="443">
        <v>37</v>
      </c>
      <c r="Q38" s="443" t="s">
        <v>3643</v>
      </c>
      <c r="R38" s="443">
        <v>46</v>
      </c>
      <c r="S38" s="444" t="s">
        <v>3644</v>
      </c>
      <c r="T38" s="445">
        <v>-9</v>
      </c>
      <c r="U38" s="445" t="s">
        <v>3508</v>
      </c>
    </row>
    <row r="39" spans="1:21" x14ac:dyDescent="0.25">
      <c r="A39" s="96">
        <v>14</v>
      </c>
      <c r="B39" s="152" t="s">
        <v>154</v>
      </c>
      <c r="C39" s="152"/>
      <c r="D39" s="439" t="s">
        <v>1528</v>
      </c>
      <c r="E39" s="436">
        <v>28</v>
      </c>
      <c r="F39" s="439" t="s">
        <v>3758</v>
      </c>
      <c r="G39" s="436">
        <v>41</v>
      </c>
      <c r="H39" s="437" t="s">
        <v>3944</v>
      </c>
      <c r="I39" s="442">
        <v>-13</v>
      </c>
      <c r="J39" s="442"/>
      <c r="M39" s="149" t="s">
        <v>3044</v>
      </c>
      <c r="N39" s="151" t="s">
        <v>3045</v>
      </c>
      <c r="O39" s="430" t="s">
        <v>3645</v>
      </c>
      <c r="P39" s="428">
        <v>37</v>
      </c>
      <c r="Q39" s="430" t="s">
        <v>3646</v>
      </c>
      <c r="R39" s="428">
        <v>46</v>
      </c>
      <c r="S39" s="434" t="s">
        <v>3647</v>
      </c>
      <c r="T39" s="441">
        <v>-9</v>
      </c>
      <c r="U39" s="441" t="s">
        <v>3508</v>
      </c>
    </row>
    <row r="40" spans="1:21" ht="30" x14ac:dyDescent="0.25">
      <c r="A40" s="95">
        <v>15</v>
      </c>
      <c r="B40" s="151" t="s">
        <v>1441</v>
      </c>
      <c r="C40" s="151"/>
      <c r="D40" s="430" t="s">
        <v>1529</v>
      </c>
      <c r="E40" s="428">
        <v>33</v>
      </c>
      <c r="F40" s="430" t="s">
        <v>3706</v>
      </c>
      <c r="G40" s="428">
        <v>18</v>
      </c>
      <c r="H40" s="434" t="s">
        <v>3945</v>
      </c>
      <c r="I40" s="441">
        <v>15</v>
      </c>
      <c r="J40" s="441"/>
      <c r="M40" s="154" t="s">
        <v>3046</v>
      </c>
      <c r="N40" s="152" t="s">
        <v>3088</v>
      </c>
      <c r="O40" s="439" t="s">
        <v>3648</v>
      </c>
      <c r="P40" s="428">
        <v>34</v>
      </c>
      <c r="Q40" s="430" t="s">
        <v>3649</v>
      </c>
      <c r="R40" s="428">
        <v>41</v>
      </c>
      <c r="S40" s="434" t="s">
        <v>3650</v>
      </c>
      <c r="T40" s="441">
        <v>-7</v>
      </c>
      <c r="U40" s="441" t="s">
        <v>3508</v>
      </c>
    </row>
    <row r="41" spans="1:21" ht="45" x14ac:dyDescent="0.25">
      <c r="A41" s="96">
        <v>16</v>
      </c>
      <c r="B41" s="152" t="s">
        <v>160</v>
      </c>
      <c r="C41" s="152"/>
      <c r="D41" s="439" t="s">
        <v>1530</v>
      </c>
      <c r="E41" s="428">
        <v>79</v>
      </c>
      <c r="F41" s="430" t="s">
        <v>3546</v>
      </c>
      <c r="G41" s="428">
        <v>80</v>
      </c>
      <c r="H41" s="434" t="s">
        <v>3753</v>
      </c>
      <c r="I41" s="441">
        <v>-1</v>
      </c>
      <c r="J41" s="441"/>
      <c r="M41" s="149" t="s">
        <v>3050</v>
      </c>
      <c r="N41" s="151" t="s">
        <v>3089</v>
      </c>
      <c r="O41" s="430" t="s">
        <v>3651</v>
      </c>
      <c r="P41" s="436">
        <v>52</v>
      </c>
      <c r="Q41" s="439" t="s">
        <v>3652</v>
      </c>
      <c r="R41" s="436">
        <v>54</v>
      </c>
      <c r="S41" s="437" t="s">
        <v>3653</v>
      </c>
      <c r="T41" s="442">
        <v>-2</v>
      </c>
      <c r="U41" s="442" t="s">
        <v>3508</v>
      </c>
    </row>
    <row r="42" spans="1:21" ht="30" x14ac:dyDescent="0.25">
      <c r="A42" s="95">
        <v>17</v>
      </c>
      <c r="B42" s="151" t="s">
        <v>163</v>
      </c>
      <c r="C42" s="151"/>
      <c r="D42" s="430" t="s">
        <v>1531</v>
      </c>
      <c r="E42" s="436">
        <v>70</v>
      </c>
      <c r="F42" s="439" t="s">
        <v>3674</v>
      </c>
      <c r="G42" s="436">
        <v>77</v>
      </c>
      <c r="H42" s="437" t="s">
        <v>3654</v>
      </c>
      <c r="I42" s="442">
        <v>-7</v>
      </c>
      <c r="J42" s="442"/>
      <c r="M42" s="154" t="s">
        <v>3052</v>
      </c>
      <c r="N42" s="152" t="s">
        <v>3053</v>
      </c>
      <c r="O42" s="439" t="s">
        <v>3655</v>
      </c>
      <c r="P42" s="428">
        <v>31</v>
      </c>
      <c r="Q42" s="430" t="s">
        <v>3656</v>
      </c>
      <c r="R42" s="428">
        <v>44</v>
      </c>
      <c r="S42" s="434" t="s">
        <v>3657</v>
      </c>
      <c r="T42" s="441">
        <v>-13</v>
      </c>
      <c r="U42" s="441" t="s">
        <v>3501</v>
      </c>
    </row>
    <row r="43" spans="1:21" ht="45" x14ac:dyDescent="0.25">
      <c r="A43" s="96">
        <v>18</v>
      </c>
      <c r="B43" s="152" t="s">
        <v>166</v>
      </c>
      <c r="C43" s="152"/>
      <c r="D43" s="439" t="s">
        <v>1532</v>
      </c>
      <c r="E43" s="428">
        <v>98</v>
      </c>
      <c r="F43" s="430" t="s">
        <v>3658</v>
      </c>
      <c r="G43" s="428">
        <v>99</v>
      </c>
      <c r="H43" s="434" t="s">
        <v>3529</v>
      </c>
      <c r="I43" s="441">
        <v>-1</v>
      </c>
      <c r="J43" s="441"/>
      <c r="M43" s="149" t="s">
        <v>3054</v>
      </c>
      <c r="N43" s="151" t="s">
        <v>3055</v>
      </c>
      <c r="O43" s="430" t="s">
        <v>3659</v>
      </c>
      <c r="P43" s="436">
        <v>32</v>
      </c>
      <c r="Q43" s="439" t="s">
        <v>3660</v>
      </c>
      <c r="R43" s="436">
        <v>44</v>
      </c>
      <c r="S43" s="437" t="s">
        <v>3661</v>
      </c>
      <c r="T43" s="442">
        <v>-12</v>
      </c>
      <c r="U43" s="442" t="s">
        <v>3508</v>
      </c>
    </row>
    <row r="44" spans="1:21" x14ac:dyDescent="0.25">
      <c r="A44" s="95">
        <v>19</v>
      </c>
      <c r="B44" s="151" t="s">
        <v>169</v>
      </c>
      <c r="C44" s="151"/>
      <c r="D44" s="430" t="s">
        <v>1533</v>
      </c>
      <c r="E44" s="436">
        <v>93</v>
      </c>
      <c r="F44" s="439" t="s">
        <v>3528</v>
      </c>
      <c r="G44" s="436">
        <v>98</v>
      </c>
      <c r="H44" s="437" t="s">
        <v>3662</v>
      </c>
      <c r="I44" s="442">
        <v>-5</v>
      </c>
      <c r="J44" s="442"/>
      <c r="M44" s="147" t="s">
        <v>3096</v>
      </c>
      <c r="N44" s="148"/>
      <c r="O44" s="443" t="s">
        <v>3663</v>
      </c>
      <c r="P44" s="443">
        <v>28</v>
      </c>
      <c r="Q44" s="443" t="s">
        <v>3664</v>
      </c>
      <c r="R44" s="443">
        <v>42</v>
      </c>
      <c r="S44" s="444" t="s">
        <v>3665</v>
      </c>
      <c r="T44" s="445">
        <v>-14</v>
      </c>
      <c r="U44" s="445" t="s">
        <v>3505</v>
      </c>
    </row>
    <row r="45" spans="1:21" x14ac:dyDescent="0.25">
      <c r="A45" s="96">
        <v>20</v>
      </c>
      <c r="B45" s="152" t="s">
        <v>172</v>
      </c>
      <c r="C45" s="152"/>
      <c r="D45" s="439" t="s">
        <v>1534</v>
      </c>
      <c r="E45" s="428">
        <v>86</v>
      </c>
      <c r="F45" s="430" t="s">
        <v>3756</v>
      </c>
      <c r="G45" s="428">
        <v>95</v>
      </c>
      <c r="H45" s="434" t="s">
        <v>3666</v>
      </c>
      <c r="I45" s="441">
        <v>-9</v>
      </c>
      <c r="J45" s="441"/>
      <c r="M45" s="149" t="s">
        <v>3044</v>
      </c>
      <c r="N45" s="151" t="s">
        <v>3045</v>
      </c>
      <c r="O45" s="430" t="s">
        <v>3667</v>
      </c>
      <c r="P45" s="428">
        <v>28</v>
      </c>
      <c r="Q45" s="430" t="s">
        <v>3668</v>
      </c>
      <c r="R45" s="428">
        <v>48</v>
      </c>
      <c r="S45" s="434" t="s">
        <v>3669</v>
      </c>
      <c r="T45" s="441">
        <v>-20</v>
      </c>
      <c r="U45" s="441" t="s">
        <v>3510</v>
      </c>
    </row>
    <row r="46" spans="1:21" x14ac:dyDescent="0.25">
      <c r="A46" s="95">
        <v>21</v>
      </c>
      <c r="B46" s="151" t="s">
        <v>175</v>
      </c>
      <c r="C46" s="151"/>
      <c r="D46" s="430" t="s">
        <v>1535</v>
      </c>
      <c r="E46" s="436">
        <v>93</v>
      </c>
      <c r="F46" s="439" t="s">
        <v>3528</v>
      </c>
      <c r="G46" s="436">
        <v>88</v>
      </c>
      <c r="H46" s="437" t="s">
        <v>3670</v>
      </c>
      <c r="I46" s="442">
        <v>5</v>
      </c>
      <c r="J46" s="442"/>
      <c r="M46" s="154" t="s">
        <v>3046</v>
      </c>
      <c r="N46" s="152" t="s">
        <v>3088</v>
      </c>
      <c r="O46" s="439" t="s">
        <v>3671</v>
      </c>
      <c r="P46" s="436">
        <v>50</v>
      </c>
      <c r="Q46" s="439" t="s">
        <v>3672</v>
      </c>
      <c r="R46" s="436">
        <v>54</v>
      </c>
      <c r="S46" s="437" t="s">
        <v>3673</v>
      </c>
      <c r="T46" s="442">
        <v>-4</v>
      </c>
      <c r="U46" s="442" t="s">
        <v>3508</v>
      </c>
    </row>
    <row r="47" spans="1:21" x14ac:dyDescent="0.25">
      <c r="A47" s="96">
        <v>22</v>
      </c>
      <c r="B47" s="152" t="s">
        <v>178</v>
      </c>
      <c r="C47" s="152"/>
      <c r="D47" s="439" t="s">
        <v>1536</v>
      </c>
      <c r="E47" s="428">
        <v>70</v>
      </c>
      <c r="F47" s="430" t="s">
        <v>3674</v>
      </c>
      <c r="G47" s="428">
        <v>82</v>
      </c>
      <c r="H47" s="434" t="s">
        <v>3675</v>
      </c>
      <c r="I47" s="441">
        <v>-12</v>
      </c>
      <c r="J47" s="441"/>
      <c r="M47" s="149" t="s">
        <v>3052</v>
      </c>
      <c r="N47" s="151" t="s">
        <v>3053</v>
      </c>
      <c r="O47" s="430" t="s">
        <v>3676</v>
      </c>
      <c r="P47" s="428">
        <v>6</v>
      </c>
      <c r="Q47" s="430" t="s">
        <v>3677</v>
      </c>
      <c r="R47" s="428">
        <v>16</v>
      </c>
      <c r="S47" s="434" t="s">
        <v>3678</v>
      </c>
      <c r="T47" s="441">
        <v>-10</v>
      </c>
      <c r="U47" s="441" t="s">
        <v>3505</v>
      </c>
    </row>
    <row r="48" spans="1:21" ht="45" x14ac:dyDescent="0.25">
      <c r="A48" s="95">
        <v>23</v>
      </c>
      <c r="B48" s="151" t="s">
        <v>181</v>
      </c>
      <c r="C48" s="151"/>
      <c r="D48" s="430" t="s">
        <v>1537</v>
      </c>
      <c r="E48" s="436">
        <v>42</v>
      </c>
      <c r="F48" s="439" t="s">
        <v>3946</v>
      </c>
      <c r="G48" s="436">
        <v>35</v>
      </c>
      <c r="H48" s="437" t="s">
        <v>3947</v>
      </c>
      <c r="I48" s="442">
        <v>7</v>
      </c>
      <c r="J48" s="442"/>
      <c r="M48" s="154" t="s">
        <v>3054</v>
      </c>
      <c r="N48" s="152" t="s">
        <v>3055</v>
      </c>
      <c r="O48" s="439" t="s">
        <v>3679</v>
      </c>
      <c r="P48" s="436">
        <v>17</v>
      </c>
      <c r="Q48" s="439" t="s">
        <v>3680</v>
      </c>
      <c r="R48" s="436">
        <v>30</v>
      </c>
      <c r="S48" s="437" t="s">
        <v>3681</v>
      </c>
      <c r="T48" s="442">
        <v>-13</v>
      </c>
      <c r="U48" s="442" t="s">
        <v>3510</v>
      </c>
    </row>
    <row r="49" spans="1:21" ht="30" x14ac:dyDescent="0.25">
      <c r="A49" s="96">
        <v>24</v>
      </c>
      <c r="B49" s="152" t="s">
        <v>184</v>
      </c>
      <c r="C49" s="152"/>
      <c r="D49" s="439" t="s">
        <v>1538</v>
      </c>
      <c r="E49" s="428">
        <v>73</v>
      </c>
      <c r="F49" s="430" t="s">
        <v>3948</v>
      </c>
      <c r="G49" s="428">
        <v>72</v>
      </c>
      <c r="H49" s="434" t="s">
        <v>3949</v>
      </c>
      <c r="I49" s="441">
        <v>1</v>
      </c>
      <c r="J49" s="441"/>
      <c r="M49" s="147" t="s">
        <v>3097</v>
      </c>
      <c r="N49" s="148"/>
      <c r="O49" s="443" t="s">
        <v>3682</v>
      </c>
      <c r="P49" s="443">
        <v>38</v>
      </c>
      <c r="Q49" s="443" t="s">
        <v>3683</v>
      </c>
      <c r="R49" s="443">
        <v>49</v>
      </c>
      <c r="S49" s="444" t="s">
        <v>3684</v>
      </c>
      <c r="T49" s="445">
        <v>-11</v>
      </c>
      <c r="U49" s="445" t="s">
        <v>3501</v>
      </c>
    </row>
    <row r="50" spans="1:21" x14ac:dyDescent="0.25">
      <c r="A50" s="534" t="s">
        <v>804</v>
      </c>
      <c r="B50" s="534"/>
      <c r="C50" s="53"/>
      <c r="D50" s="53" t="s">
        <v>3106</v>
      </c>
      <c r="E50" s="53">
        <v>55</v>
      </c>
      <c r="F50" s="53" t="s">
        <v>3950</v>
      </c>
      <c r="G50" s="53">
        <v>57</v>
      </c>
      <c r="H50" s="440" t="s">
        <v>3951</v>
      </c>
      <c r="I50" s="446">
        <v>-2</v>
      </c>
      <c r="J50" s="446"/>
      <c r="M50" s="149" t="s">
        <v>3044</v>
      </c>
      <c r="N50" s="151" t="s">
        <v>3045</v>
      </c>
      <c r="O50" s="430" t="s">
        <v>3685</v>
      </c>
      <c r="P50" s="428">
        <v>51</v>
      </c>
      <c r="Q50" s="430" t="s">
        <v>3686</v>
      </c>
      <c r="R50" s="428">
        <v>57</v>
      </c>
      <c r="S50" s="434" t="s">
        <v>3687</v>
      </c>
      <c r="T50" s="441">
        <v>-6</v>
      </c>
      <c r="U50" s="441" t="s">
        <v>3508</v>
      </c>
    </row>
    <row r="51" spans="1:21" ht="30" x14ac:dyDescent="0.25">
      <c r="A51" s="95">
        <v>1</v>
      </c>
      <c r="B51" s="151" t="s">
        <v>190</v>
      </c>
      <c r="C51" s="151" t="str">
        <f>"Qualified staff trained in Family Planning"&amp;J51</f>
        <v>Qualified staff trained in Family Planning</v>
      </c>
      <c r="D51" s="430" t="s">
        <v>1544</v>
      </c>
      <c r="E51" s="436">
        <v>67</v>
      </c>
      <c r="F51" s="439" t="s">
        <v>3641</v>
      </c>
      <c r="G51" s="436">
        <v>61</v>
      </c>
      <c r="H51" s="437" t="s">
        <v>3952</v>
      </c>
      <c r="I51" s="442">
        <v>6</v>
      </c>
      <c r="J51" s="442"/>
      <c r="M51" s="154" t="s">
        <v>3046</v>
      </c>
      <c r="N51" s="152" t="s">
        <v>3088</v>
      </c>
      <c r="O51" s="439" t="s">
        <v>3688</v>
      </c>
      <c r="P51" s="436">
        <v>31</v>
      </c>
      <c r="Q51" s="439" t="s">
        <v>3689</v>
      </c>
      <c r="R51" s="436">
        <v>43</v>
      </c>
      <c r="S51" s="437" t="s">
        <v>3690</v>
      </c>
      <c r="T51" s="442">
        <v>-12</v>
      </c>
      <c r="U51" s="442" t="s">
        <v>3501</v>
      </c>
    </row>
    <row r="52" spans="1:21" ht="45" x14ac:dyDescent="0.25">
      <c r="A52" s="96">
        <v>2</v>
      </c>
      <c r="B52" s="152" t="s">
        <v>193</v>
      </c>
      <c r="C52" s="152" t="str">
        <f>"Confidentiality in consultancy room assured"&amp;J52</f>
        <v>Confidentiality in consultancy room assured*</v>
      </c>
      <c r="D52" s="439" t="s">
        <v>1545</v>
      </c>
      <c r="E52" s="428">
        <v>65</v>
      </c>
      <c r="F52" s="430" t="s">
        <v>3691</v>
      </c>
      <c r="G52" s="428">
        <v>85</v>
      </c>
      <c r="H52" s="434" t="s">
        <v>3953</v>
      </c>
      <c r="I52" s="441">
        <v>-20</v>
      </c>
      <c r="J52" s="441" t="s">
        <v>3501</v>
      </c>
      <c r="M52" s="149" t="s">
        <v>3050</v>
      </c>
      <c r="N52" s="151" t="s">
        <v>3089</v>
      </c>
      <c r="O52" s="430" t="s">
        <v>3692</v>
      </c>
      <c r="P52" s="428">
        <v>48</v>
      </c>
      <c r="Q52" s="430" t="s">
        <v>3693</v>
      </c>
      <c r="R52" s="428">
        <v>58</v>
      </c>
      <c r="S52" s="434" t="s">
        <v>3694</v>
      </c>
      <c r="T52" s="441">
        <v>-10</v>
      </c>
      <c r="U52" s="441" t="s">
        <v>3508</v>
      </c>
    </row>
    <row r="53" spans="1:21" ht="45" x14ac:dyDescent="0.25">
      <c r="A53" s="95">
        <v>3</v>
      </c>
      <c r="B53" s="151" t="s">
        <v>196</v>
      </c>
      <c r="C53" s="151" t="str">
        <f>"Family planning methods available and visible"&amp;J53</f>
        <v>Family planning methods available and visible</v>
      </c>
      <c r="D53" s="430" t="s">
        <v>1546</v>
      </c>
      <c r="E53" s="436">
        <v>63</v>
      </c>
      <c r="F53" s="439" t="s">
        <v>3695</v>
      </c>
      <c r="G53" s="436">
        <v>70</v>
      </c>
      <c r="H53" s="437" t="s">
        <v>3954</v>
      </c>
      <c r="I53" s="442">
        <v>-7</v>
      </c>
      <c r="J53" s="442"/>
      <c r="M53" s="154" t="s">
        <v>3054</v>
      </c>
      <c r="N53" s="152" t="s">
        <v>3055</v>
      </c>
      <c r="O53" s="439" t="s">
        <v>3696</v>
      </c>
      <c r="P53" s="436">
        <v>30</v>
      </c>
      <c r="Q53" s="439" t="s">
        <v>3697</v>
      </c>
      <c r="R53" s="436">
        <v>45</v>
      </c>
      <c r="S53" s="437" t="s">
        <v>3698</v>
      </c>
      <c r="T53" s="442">
        <v>-15</v>
      </c>
      <c r="U53" s="442" t="s">
        <v>3501</v>
      </c>
    </row>
    <row r="54" spans="1:21" ht="30" x14ac:dyDescent="0.25">
      <c r="A54" s="96">
        <v>4</v>
      </c>
      <c r="B54" s="152" t="s">
        <v>199</v>
      </c>
      <c r="C54" s="152" t="str">
        <f>"IUD available and staff trained to use it"&amp;J54</f>
        <v>IUD available and staff trained to use it</v>
      </c>
      <c r="D54" s="439" t="s">
        <v>1547</v>
      </c>
      <c r="E54" s="428">
        <v>47</v>
      </c>
      <c r="F54" s="430" t="s">
        <v>3699</v>
      </c>
      <c r="G54" s="428">
        <v>36</v>
      </c>
      <c r="H54" s="434" t="s">
        <v>3700</v>
      </c>
      <c r="I54" s="441">
        <v>11</v>
      </c>
      <c r="J54" s="441"/>
      <c r="M54" s="147" t="s">
        <v>3098</v>
      </c>
      <c r="N54" s="148"/>
      <c r="O54" s="443" t="s">
        <v>3701</v>
      </c>
      <c r="P54" s="443">
        <v>48</v>
      </c>
      <c r="Q54" s="443" t="s">
        <v>3702</v>
      </c>
      <c r="R54" s="443">
        <v>47</v>
      </c>
      <c r="S54" s="444" t="s">
        <v>3703</v>
      </c>
      <c r="T54" s="445">
        <v>1</v>
      </c>
      <c r="U54" s="445" t="s">
        <v>3508</v>
      </c>
    </row>
    <row r="55" spans="1:21" ht="45" x14ac:dyDescent="0.25">
      <c r="A55" s="95">
        <v>5</v>
      </c>
      <c r="B55" s="151" t="s">
        <v>202</v>
      </c>
      <c r="C55" s="151" t="str">
        <f>"Implant method available and staff trained to use it"&amp;J55</f>
        <v>Implant method available and staff trained to use it</v>
      </c>
      <c r="D55" s="430" t="s">
        <v>1548</v>
      </c>
      <c r="E55" s="436">
        <v>42</v>
      </c>
      <c r="F55" s="439" t="s">
        <v>3946</v>
      </c>
      <c r="G55" s="436">
        <v>28</v>
      </c>
      <c r="H55" s="437" t="s">
        <v>3955</v>
      </c>
      <c r="I55" s="442">
        <v>14</v>
      </c>
      <c r="J55" s="442"/>
      <c r="M55" s="149" t="s">
        <v>3044</v>
      </c>
      <c r="N55" s="151" t="s">
        <v>3045</v>
      </c>
      <c r="O55" s="430" t="s">
        <v>3704</v>
      </c>
      <c r="P55" s="428">
        <v>52</v>
      </c>
      <c r="Q55" s="430" t="s">
        <v>3705</v>
      </c>
      <c r="R55" s="428">
        <v>50</v>
      </c>
      <c r="S55" s="434" t="s">
        <v>3585</v>
      </c>
      <c r="T55" s="441">
        <v>2</v>
      </c>
      <c r="U55" s="441" t="s">
        <v>3508</v>
      </c>
    </row>
    <row r="56" spans="1:21" ht="60" x14ac:dyDescent="0.25">
      <c r="A56" s="96">
        <v>6</v>
      </c>
      <c r="B56" s="152" t="s">
        <v>205</v>
      </c>
      <c r="C56" s="152" t="str">
        <f>"Post Partum and Post Abortion Family Planning Services available"&amp;J56</f>
        <v>Post Partum and Post Abortion Family Planning Services available</v>
      </c>
      <c r="D56" s="439" t="s">
        <v>1549</v>
      </c>
      <c r="E56" s="428">
        <v>33</v>
      </c>
      <c r="F56" s="430" t="s">
        <v>3706</v>
      </c>
      <c r="G56" s="428">
        <v>27</v>
      </c>
      <c r="H56" s="434" t="s">
        <v>3535</v>
      </c>
      <c r="I56" s="441">
        <v>6</v>
      </c>
      <c r="J56" s="441"/>
      <c r="M56" s="154" t="s">
        <v>3046</v>
      </c>
      <c r="N56" s="152" t="s">
        <v>3088</v>
      </c>
      <c r="O56" s="439" t="s">
        <v>3707</v>
      </c>
      <c r="P56" s="436">
        <v>32</v>
      </c>
      <c r="Q56" s="439" t="s">
        <v>3708</v>
      </c>
      <c r="R56" s="436">
        <v>42</v>
      </c>
      <c r="S56" s="437" t="s">
        <v>3709</v>
      </c>
      <c r="T56" s="442">
        <v>-10</v>
      </c>
      <c r="U56" s="442" t="s">
        <v>3508</v>
      </c>
    </row>
    <row r="57" spans="1:21" ht="30" x14ac:dyDescent="0.25">
      <c r="A57" s="95">
        <v>7</v>
      </c>
      <c r="B57" s="151" t="s">
        <v>208</v>
      </c>
      <c r="C57" s="151" t="str">
        <f>"Family planning individual cards"&amp;J57</f>
        <v>Family planning individual cards</v>
      </c>
      <c r="D57" s="430" t="s">
        <v>1550</v>
      </c>
      <c r="E57" s="436">
        <v>63</v>
      </c>
      <c r="F57" s="439" t="s">
        <v>3695</v>
      </c>
      <c r="G57" s="436">
        <v>71</v>
      </c>
      <c r="H57" s="437" t="s">
        <v>3710</v>
      </c>
      <c r="I57" s="442">
        <v>-8</v>
      </c>
      <c r="J57" s="442"/>
      <c r="M57" s="149" t="s">
        <v>3050</v>
      </c>
      <c r="N57" s="151" t="s">
        <v>3089</v>
      </c>
      <c r="O57" s="430" t="s">
        <v>3711</v>
      </c>
      <c r="P57" s="428">
        <v>68</v>
      </c>
      <c r="Q57" s="430" t="s">
        <v>3712</v>
      </c>
      <c r="R57" s="428">
        <v>65</v>
      </c>
      <c r="S57" s="434" t="s">
        <v>3713</v>
      </c>
      <c r="T57" s="441">
        <v>3</v>
      </c>
      <c r="U57" s="441" t="s">
        <v>3508</v>
      </c>
    </row>
    <row r="58" spans="1:21" ht="45" x14ac:dyDescent="0.25">
      <c r="A58" s="534" t="s">
        <v>805</v>
      </c>
      <c r="B58" s="534"/>
      <c r="C58" s="53"/>
      <c r="D58" s="53" t="s">
        <v>3714</v>
      </c>
      <c r="E58" s="53">
        <v>83</v>
      </c>
      <c r="F58" s="53" t="s">
        <v>3956</v>
      </c>
      <c r="G58" s="53">
        <v>79</v>
      </c>
      <c r="H58" s="440" t="s">
        <v>3957</v>
      </c>
      <c r="I58" s="446">
        <v>4</v>
      </c>
      <c r="J58" s="446"/>
      <c r="M58" s="154" t="s">
        <v>3054</v>
      </c>
      <c r="N58" s="152" t="s">
        <v>3055</v>
      </c>
      <c r="O58" s="439" t="s">
        <v>3715</v>
      </c>
      <c r="P58" s="436">
        <v>54</v>
      </c>
      <c r="Q58" s="439" t="s">
        <v>3716</v>
      </c>
      <c r="R58" s="436">
        <v>45</v>
      </c>
      <c r="S58" s="437" t="s">
        <v>3717</v>
      </c>
      <c r="T58" s="442">
        <v>9</v>
      </c>
      <c r="U58" s="442" t="s">
        <v>3508</v>
      </c>
    </row>
    <row r="59" spans="1:21" x14ac:dyDescent="0.25">
      <c r="A59" s="95">
        <v>1</v>
      </c>
      <c r="B59" s="151" t="s">
        <v>212</v>
      </c>
      <c r="C59" s="151"/>
      <c r="D59" s="430" t="s">
        <v>1556</v>
      </c>
      <c r="E59" s="428">
        <v>100</v>
      </c>
      <c r="F59" s="430" t="s">
        <v>3572</v>
      </c>
      <c r="G59" s="428">
        <v>99</v>
      </c>
      <c r="H59" s="434" t="s">
        <v>3718</v>
      </c>
      <c r="I59" s="441">
        <v>1</v>
      </c>
      <c r="J59" s="441"/>
      <c r="M59" s="147" t="s">
        <v>3099</v>
      </c>
      <c r="N59" s="148"/>
      <c r="O59" s="443" t="s">
        <v>3719</v>
      </c>
      <c r="P59" s="443">
        <v>54</v>
      </c>
      <c r="Q59" s="443" t="s">
        <v>3720</v>
      </c>
      <c r="R59" s="443">
        <v>48</v>
      </c>
      <c r="S59" s="444" t="s">
        <v>3684</v>
      </c>
      <c r="T59" s="445">
        <v>6</v>
      </c>
      <c r="U59" s="445" t="s">
        <v>3508</v>
      </c>
    </row>
    <row r="60" spans="1:21" x14ac:dyDescent="0.25">
      <c r="A60" s="96">
        <v>2</v>
      </c>
      <c r="B60" s="152" t="s">
        <v>215</v>
      </c>
      <c r="C60" s="152"/>
      <c r="D60" s="439" t="s">
        <v>1557</v>
      </c>
      <c r="E60" s="436">
        <v>75</v>
      </c>
      <c r="F60" s="439" t="s">
        <v>3958</v>
      </c>
      <c r="G60" s="436">
        <v>63</v>
      </c>
      <c r="H60" s="437" t="s">
        <v>3959</v>
      </c>
      <c r="I60" s="442">
        <v>12</v>
      </c>
      <c r="J60" s="442"/>
      <c r="M60" s="149" t="s">
        <v>3044</v>
      </c>
      <c r="N60" s="151" t="s">
        <v>3045</v>
      </c>
      <c r="O60" s="430" t="s">
        <v>3721</v>
      </c>
      <c r="P60" s="428">
        <v>59</v>
      </c>
      <c r="Q60" s="430" t="s">
        <v>3722</v>
      </c>
      <c r="R60" s="428">
        <v>55</v>
      </c>
      <c r="S60" s="434" t="s">
        <v>3723</v>
      </c>
      <c r="T60" s="441">
        <v>4</v>
      </c>
      <c r="U60" s="441" t="s">
        <v>3508</v>
      </c>
    </row>
    <row r="61" spans="1:21" x14ac:dyDescent="0.25">
      <c r="A61" s="95">
        <v>3</v>
      </c>
      <c r="B61" s="151" t="s">
        <v>218</v>
      </c>
      <c r="C61" s="151"/>
      <c r="D61" s="430" t="s">
        <v>1558</v>
      </c>
      <c r="E61" s="428">
        <v>88</v>
      </c>
      <c r="F61" s="430" t="s">
        <v>3960</v>
      </c>
      <c r="G61" s="428">
        <v>91</v>
      </c>
      <c r="H61" s="434" t="s">
        <v>3961</v>
      </c>
      <c r="I61" s="441">
        <v>-3</v>
      </c>
      <c r="J61" s="441"/>
      <c r="M61" s="154" t="s">
        <v>3046</v>
      </c>
      <c r="N61" s="152" t="s">
        <v>3088</v>
      </c>
      <c r="O61" s="439" t="s">
        <v>3724</v>
      </c>
      <c r="P61" s="436">
        <v>64</v>
      </c>
      <c r="Q61" s="439" t="s">
        <v>3725</v>
      </c>
      <c r="R61" s="436">
        <v>50</v>
      </c>
      <c r="S61" s="437" t="s">
        <v>3726</v>
      </c>
      <c r="T61" s="442">
        <v>14</v>
      </c>
      <c r="U61" s="442" t="s">
        <v>3508</v>
      </c>
    </row>
    <row r="62" spans="1:21" ht="45" x14ac:dyDescent="0.25">
      <c r="A62" s="96">
        <v>4</v>
      </c>
      <c r="B62" s="152" t="s">
        <v>221</v>
      </c>
      <c r="C62" s="152"/>
      <c r="D62" s="439" t="s">
        <v>1559</v>
      </c>
      <c r="E62" s="436">
        <v>92</v>
      </c>
      <c r="F62" s="439" t="s">
        <v>3737</v>
      </c>
      <c r="G62" s="436">
        <v>92</v>
      </c>
      <c r="H62" s="437" t="s">
        <v>3962</v>
      </c>
      <c r="I62" s="442">
        <v>0</v>
      </c>
      <c r="J62" s="442"/>
      <c r="M62" s="149" t="s">
        <v>3050</v>
      </c>
      <c r="N62" s="151" t="s">
        <v>3089</v>
      </c>
      <c r="O62" s="430" t="s">
        <v>3727</v>
      </c>
      <c r="P62" s="428">
        <v>63</v>
      </c>
      <c r="Q62" s="430" t="s">
        <v>3728</v>
      </c>
      <c r="R62" s="428">
        <v>60</v>
      </c>
      <c r="S62" s="434" t="s">
        <v>3729</v>
      </c>
      <c r="T62" s="441">
        <v>3</v>
      </c>
      <c r="U62" s="441" t="s">
        <v>3508</v>
      </c>
    </row>
    <row r="63" spans="1:21" x14ac:dyDescent="0.25">
      <c r="A63" s="95">
        <v>5</v>
      </c>
      <c r="B63" s="151" t="s">
        <v>224</v>
      </c>
      <c r="C63" s="151"/>
      <c r="D63" s="430" t="s">
        <v>1560</v>
      </c>
      <c r="E63" s="428">
        <v>75</v>
      </c>
      <c r="F63" s="430" t="s">
        <v>3963</v>
      </c>
      <c r="G63" s="428">
        <v>67</v>
      </c>
      <c r="H63" s="434" t="s">
        <v>3964</v>
      </c>
      <c r="I63" s="441">
        <v>8</v>
      </c>
      <c r="J63" s="441"/>
      <c r="M63" s="154" t="s">
        <v>3052</v>
      </c>
      <c r="N63" s="152" t="s">
        <v>3053</v>
      </c>
      <c r="O63" s="439" t="s">
        <v>3730</v>
      </c>
      <c r="P63" s="436">
        <v>58</v>
      </c>
      <c r="Q63" s="439" t="s">
        <v>3731</v>
      </c>
      <c r="R63" s="436">
        <v>47</v>
      </c>
      <c r="S63" s="437" t="s">
        <v>3732</v>
      </c>
      <c r="T63" s="442">
        <v>11</v>
      </c>
      <c r="U63" s="442" t="s">
        <v>3508</v>
      </c>
    </row>
    <row r="64" spans="1:21" ht="45" x14ac:dyDescent="0.25">
      <c r="A64" s="96">
        <v>6</v>
      </c>
      <c r="B64" s="152" t="s">
        <v>227</v>
      </c>
      <c r="C64" s="152"/>
      <c r="D64" s="439" t="s">
        <v>1561</v>
      </c>
      <c r="E64" s="436">
        <v>88</v>
      </c>
      <c r="F64" s="439" t="s">
        <v>3733</v>
      </c>
      <c r="G64" s="436">
        <v>91</v>
      </c>
      <c r="H64" s="437" t="s">
        <v>3965</v>
      </c>
      <c r="I64" s="442">
        <v>-3</v>
      </c>
      <c r="J64" s="442"/>
      <c r="M64" s="149" t="s">
        <v>3054</v>
      </c>
      <c r="N64" s="151" t="s">
        <v>3055</v>
      </c>
      <c r="O64" s="430" t="s">
        <v>3734</v>
      </c>
      <c r="P64" s="428">
        <v>25</v>
      </c>
      <c r="Q64" s="430" t="s">
        <v>3735</v>
      </c>
      <c r="R64" s="428">
        <v>29</v>
      </c>
      <c r="S64" s="434" t="s">
        <v>3736</v>
      </c>
      <c r="T64" s="441">
        <v>-4</v>
      </c>
      <c r="U64" s="441" t="s">
        <v>3508</v>
      </c>
    </row>
    <row r="65" spans="1:22" ht="63" x14ac:dyDescent="0.25">
      <c r="A65" s="95">
        <v>7</v>
      </c>
      <c r="B65" s="151" t="s">
        <v>230</v>
      </c>
      <c r="C65" s="151"/>
      <c r="D65" s="430" t="s">
        <v>1562</v>
      </c>
      <c r="E65" s="428">
        <v>92</v>
      </c>
      <c r="F65" s="430" t="s">
        <v>3966</v>
      </c>
      <c r="G65" s="428">
        <v>91</v>
      </c>
      <c r="H65" s="434" t="s">
        <v>3967</v>
      </c>
      <c r="I65" s="441">
        <v>1</v>
      </c>
      <c r="J65" s="441"/>
      <c r="M65" s="115"/>
      <c r="N65" s="468" t="s">
        <v>3539</v>
      </c>
      <c r="O65" s="115"/>
      <c r="P65" s="115"/>
      <c r="Q65" s="115"/>
      <c r="R65" s="115"/>
      <c r="S65" s="115"/>
      <c r="T65" s="115"/>
      <c r="U65" s="115"/>
      <c r="V65" s="115"/>
    </row>
    <row r="66" spans="1:22" x14ac:dyDescent="0.25">
      <c r="A66" s="96">
        <v>8</v>
      </c>
      <c r="B66" s="152" t="s">
        <v>233</v>
      </c>
      <c r="C66" s="152"/>
      <c r="D66" s="439" t="s">
        <v>1563</v>
      </c>
      <c r="E66" s="436">
        <v>96</v>
      </c>
      <c r="F66" s="439" t="s">
        <v>3738</v>
      </c>
      <c r="G66" s="436">
        <v>88</v>
      </c>
      <c r="H66" s="437" t="s">
        <v>3968</v>
      </c>
      <c r="I66" s="442">
        <v>8</v>
      </c>
      <c r="J66" s="442"/>
      <c r="M66" s="115"/>
      <c r="N66" s="115"/>
      <c r="O66" s="115"/>
      <c r="P66" s="115"/>
      <c r="Q66" s="115"/>
      <c r="R66" s="115"/>
      <c r="S66" s="115"/>
      <c r="T66" s="115"/>
      <c r="U66" s="115"/>
      <c r="V66" s="115"/>
    </row>
    <row r="67" spans="1:22" ht="30" x14ac:dyDescent="0.3">
      <c r="A67" s="95">
        <v>9</v>
      </c>
      <c r="B67" s="151" t="s">
        <v>236</v>
      </c>
      <c r="C67" s="151"/>
      <c r="D67" s="430" t="s">
        <v>1564</v>
      </c>
      <c r="E67" s="428">
        <v>92</v>
      </c>
      <c r="F67" s="430" t="s">
        <v>3969</v>
      </c>
      <c r="G67" s="428">
        <v>91</v>
      </c>
      <c r="H67" s="434" t="s">
        <v>3970</v>
      </c>
      <c r="I67" s="441">
        <v>1</v>
      </c>
      <c r="J67" s="441"/>
      <c r="M67" s="115"/>
      <c r="N67" s="447" t="s">
        <v>3086</v>
      </c>
      <c r="O67" s="115"/>
      <c r="P67" s="115"/>
      <c r="Q67" s="115"/>
      <c r="R67" s="115"/>
      <c r="S67" s="115"/>
      <c r="T67" s="115"/>
      <c r="U67" s="115"/>
      <c r="V67" s="115"/>
    </row>
    <row r="68" spans="1:22" ht="30" x14ac:dyDescent="0.25">
      <c r="A68" s="96">
        <v>10</v>
      </c>
      <c r="B68" s="152" t="s">
        <v>238</v>
      </c>
      <c r="C68" s="152"/>
      <c r="D68" s="439" t="s">
        <v>1565</v>
      </c>
      <c r="E68" s="428">
        <v>58</v>
      </c>
      <c r="F68" s="430" t="s">
        <v>3971</v>
      </c>
      <c r="G68" s="428">
        <v>47</v>
      </c>
      <c r="H68" s="434" t="s">
        <v>3972</v>
      </c>
      <c r="I68" s="441">
        <v>11</v>
      </c>
      <c r="J68" s="441"/>
      <c r="M68" s="115"/>
      <c r="N68" s="115"/>
      <c r="O68" s="115"/>
      <c r="P68" s="115"/>
      <c r="Q68" s="115"/>
      <c r="R68" s="115"/>
      <c r="S68" s="115"/>
      <c r="T68" s="115"/>
      <c r="U68" s="115"/>
      <c r="V68" s="115"/>
    </row>
    <row r="69" spans="1:22" x14ac:dyDescent="0.25">
      <c r="A69" s="534" t="s">
        <v>806</v>
      </c>
      <c r="B69" s="534"/>
      <c r="C69" s="53"/>
      <c r="D69" s="53" t="s">
        <v>3739</v>
      </c>
      <c r="E69" s="53">
        <v>56</v>
      </c>
      <c r="F69" s="53" t="s">
        <v>3973</v>
      </c>
      <c r="G69" s="53">
        <v>64</v>
      </c>
      <c r="H69" s="440" t="s">
        <v>3974</v>
      </c>
      <c r="I69" s="446">
        <v>-8</v>
      </c>
      <c r="J69" s="446" t="s">
        <v>3501</v>
      </c>
      <c r="M69" s="115"/>
      <c r="N69" s="115"/>
      <c r="O69" s="115"/>
      <c r="P69" s="115"/>
      <c r="Q69" s="115"/>
      <c r="R69" s="115"/>
      <c r="S69" s="115"/>
      <c r="T69" s="115"/>
      <c r="U69" s="115"/>
      <c r="V69" s="115"/>
    </row>
    <row r="70" spans="1:22" ht="30" x14ac:dyDescent="0.25">
      <c r="A70" s="95">
        <v>1</v>
      </c>
      <c r="B70" s="151" t="s">
        <v>242</v>
      </c>
      <c r="C70" s="151"/>
      <c r="D70" s="430" t="s">
        <v>1571</v>
      </c>
      <c r="E70" s="428">
        <v>70</v>
      </c>
      <c r="F70" s="430" t="s">
        <v>3975</v>
      </c>
      <c r="G70" s="428">
        <v>79</v>
      </c>
      <c r="H70" s="434" t="s">
        <v>3976</v>
      </c>
      <c r="I70" s="441">
        <v>-9</v>
      </c>
      <c r="J70" s="441"/>
      <c r="M70" s="115"/>
      <c r="N70" s="115"/>
      <c r="O70" s="115"/>
      <c r="P70" s="115"/>
      <c r="Q70" s="115"/>
      <c r="R70" s="115"/>
      <c r="S70" s="115"/>
      <c r="T70" s="115"/>
      <c r="U70" s="115"/>
      <c r="V70" s="115"/>
    </row>
    <row r="71" spans="1:22" ht="45" x14ac:dyDescent="0.25">
      <c r="A71" s="96">
        <v>2</v>
      </c>
      <c r="B71" s="152" t="s">
        <v>245</v>
      </c>
      <c r="C71" s="152"/>
      <c r="D71" s="439" t="s">
        <v>1572</v>
      </c>
      <c r="E71" s="436">
        <v>9</v>
      </c>
      <c r="F71" s="439" t="s">
        <v>3740</v>
      </c>
      <c r="G71" s="436">
        <v>14</v>
      </c>
      <c r="H71" s="437" t="s">
        <v>3741</v>
      </c>
      <c r="I71" s="442">
        <v>-5</v>
      </c>
      <c r="J71" s="442"/>
      <c r="M71" s="115"/>
      <c r="N71" s="115"/>
      <c r="O71" s="115"/>
      <c r="P71" s="115"/>
      <c r="Q71" s="115"/>
      <c r="R71" s="115"/>
      <c r="S71" s="115"/>
      <c r="T71" s="115"/>
      <c r="U71" s="115"/>
      <c r="V71" s="115"/>
    </row>
    <row r="72" spans="1:22" x14ac:dyDescent="0.25">
      <c r="A72" s="95">
        <v>3</v>
      </c>
      <c r="B72" s="151" t="s">
        <v>248</v>
      </c>
      <c r="C72" s="151"/>
      <c r="D72" s="430" t="s">
        <v>1573</v>
      </c>
      <c r="E72" s="428">
        <v>48</v>
      </c>
      <c r="F72" s="430" t="s">
        <v>3977</v>
      </c>
      <c r="G72" s="428">
        <v>58</v>
      </c>
      <c r="H72" s="434" t="s">
        <v>3978</v>
      </c>
      <c r="I72" s="441">
        <v>-10</v>
      </c>
      <c r="J72" s="441"/>
      <c r="M72" s="115"/>
      <c r="N72" s="115"/>
      <c r="O72" s="115"/>
      <c r="P72" s="115"/>
      <c r="Q72" s="115"/>
      <c r="R72" s="115"/>
      <c r="S72" s="115"/>
      <c r="T72" s="115"/>
      <c r="U72" s="115"/>
      <c r="V72" s="115"/>
    </row>
    <row r="73" spans="1:22" x14ac:dyDescent="0.25">
      <c r="A73" s="96">
        <v>4</v>
      </c>
      <c r="B73" s="152" t="s">
        <v>256</v>
      </c>
      <c r="C73" s="152"/>
      <c r="D73" s="439" t="s">
        <v>1574</v>
      </c>
      <c r="E73" s="436">
        <v>77</v>
      </c>
      <c r="F73" s="439" t="s">
        <v>3742</v>
      </c>
      <c r="G73" s="436">
        <v>84</v>
      </c>
      <c r="H73" s="437" t="s">
        <v>3979</v>
      </c>
      <c r="I73" s="442">
        <v>-7</v>
      </c>
      <c r="J73" s="442"/>
      <c r="M73" s="115"/>
      <c r="N73" s="115"/>
      <c r="O73" s="115"/>
      <c r="P73" s="115"/>
      <c r="Q73" s="115"/>
      <c r="R73" s="115"/>
      <c r="S73" s="115"/>
      <c r="T73" s="115"/>
      <c r="U73" s="115"/>
      <c r="V73" s="115"/>
    </row>
    <row r="74" spans="1:22" ht="30" x14ac:dyDescent="0.25">
      <c r="A74" s="95">
        <v>5</v>
      </c>
      <c r="B74" s="151" t="s">
        <v>258</v>
      </c>
      <c r="C74" s="151"/>
      <c r="D74" s="430" t="s">
        <v>1575</v>
      </c>
      <c r="E74" s="428">
        <v>58</v>
      </c>
      <c r="F74" s="430" t="s">
        <v>3980</v>
      </c>
      <c r="G74" s="428">
        <v>50</v>
      </c>
      <c r="H74" s="434" t="s">
        <v>3582</v>
      </c>
      <c r="I74" s="441">
        <v>8</v>
      </c>
      <c r="J74" s="441"/>
      <c r="M74" s="115"/>
      <c r="N74" s="115"/>
      <c r="O74" s="115"/>
      <c r="P74" s="115"/>
      <c r="Q74" s="115"/>
      <c r="R74" s="115"/>
      <c r="S74" s="115"/>
      <c r="T74" s="115"/>
      <c r="U74" s="115"/>
      <c r="V74" s="115"/>
    </row>
    <row r="75" spans="1:22" x14ac:dyDescent="0.25">
      <c r="A75" s="96">
        <v>6</v>
      </c>
      <c r="B75" s="152" t="s">
        <v>260</v>
      </c>
      <c r="C75" s="152"/>
      <c r="D75" s="439" t="s">
        <v>1576</v>
      </c>
      <c r="E75" s="436">
        <v>91</v>
      </c>
      <c r="F75" s="439" t="s">
        <v>3981</v>
      </c>
      <c r="G75" s="436">
        <v>97</v>
      </c>
      <c r="H75" s="437" t="s">
        <v>3982</v>
      </c>
      <c r="I75" s="442">
        <v>-6</v>
      </c>
      <c r="J75" s="442"/>
      <c r="M75" s="115"/>
      <c r="N75" s="115"/>
      <c r="O75" s="115"/>
      <c r="P75" s="115"/>
      <c r="Q75" s="115"/>
      <c r="R75" s="115"/>
      <c r="S75" s="115"/>
      <c r="T75" s="115"/>
      <c r="U75" s="115"/>
      <c r="V75" s="115"/>
    </row>
    <row r="76" spans="1:22" x14ac:dyDescent="0.25">
      <c r="A76" s="534" t="s">
        <v>807</v>
      </c>
      <c r="B76" s="534"/>
      <c r="C76" s="53"/>
      <c r="D76" s="53" t="s">
        <v>3743</v>
      </c>
      <c r="E76" s="53">
        <v>7</v>
      </c>
      <c r="F76" s="53" t="s">
        <v>3983</v>
      </c>
      <c r="G76" s="53">
        <v>9</v>
      </c>
      <c r="H76" s="440" t="s">
        <v>3984</v>
      </c>
      <c r="I76" s="446">
        <v>-2</v>
      </c>
      <c r="J76" s="446"/>
      <c r="M76" s="115"/>
      <c r="N76" s="115"/>
      <c r="O76" s="115"/>
      <c r="P76" s="115"/>
      <c r="Q76" s="115"/>
      <c r="R76" s="115"/>
      <c r="S76" s="115"/>
      <c r="T76" s="115"/>
      <c r="U76" s="115"/>
      <c r="V76" s="115"/>
    </row>
    <row r="77" spans="1:22" x14ac:dyDescent="0.25">
      <c r="A77" s="158" t="s">
        <v>1442</v>
      </c>
      <c r="B77" s="151" t="s">
        <v>265</v>
      </c>
      <c r="C77" s="151"/>
      <c r="D77" s="430" t="s">
        <v>3745</v>
      </c>
      <c r="E77" s="428">
        <v>35</v>
      </c>
      <c r="F77" s="430" t="s">
        <v>3985</v>
      </c>
      <c r="G77" s="428">
        <v>40</v>
      </c>
      <c r="H77" s="434" t="s">
        <v>3986</v>
      </c>
      <c r="I77" s="441">
        <v>-5</v>
      </c>
      <c r="J77" s="441"/>
      <c r="M77" s="115"/>
      <c r="N77" s="115"/>
      <c r="O77" s="115"/>
      <c r="P77" s="115"/>
      <c r="Q77" s="115"/>
      <c r="R77" s="115"/>
      <c r="S77" s="115"/>
      <c r="T77" s="115"/>
      <c r="U77" s="115"/>
      <c r="V77" s="115"/>
    </row>
    <row r="78" spans="1:22" x14ac:dyDescent="0.25">
      <c r="A78" s="186" t="s">
        <v>1443</v>
      </c>
      <c r="B78" s="151" t="s">
        <v>268</v>
      </c>
      <c r="C78" s="151"/>
      <c r="D78" s="430" t="s">
        <v>3744</v>
      </c>
      <c r="E78" s="436">
        <v>9</v>
      </c>
      <c r="F78" s="439" t="s">
        <v>3987</v>
      </c>
      <c r="G78" s="436">
        <v>14</v>
      </c>
      <c r="H78" s="437" t="s">
        <v>3988</v>
      </c>
      <c r="I78" s="442">
        <v>-5</v>
      </c>
      <c r="J78" s="442"/>
      <c r="M78" s="115"/>
      <c r="N78" s="115"/>
      <c r="O78" s="115"/>
      <c r="P78" s="115"/>
      <c r="Q78" s="115"/>
      <c r="R78" s="115"/>
      <c r="S78" s="115"/>
      <c r="T78" s="115"/>
      <c r="U78" s="115"/>
      <c r="V78" s="115"/>
    </row>
    <row r="79" spans="1:22" x14ac:dyDescent="0.25">
      <c r="A79" s="534" t="s">
        <v>808</v>
      </c>
      <c r="B79" s="534"/>
      <c r="C79" s="53"/>
      <c r="D79" s="53" t="s">
        <v>3746</v>
      </c>
      <c r="E79" s="53">
        <v>74</v>
      </c>
      <c r="F79" s="53" t="s">
        <v>3989</v>
      </c>
      <c r="G79" s="53">
        <v>76</v>
      </c>
      <c r="H79" s="440" t="s">
        <v>3990</v>
      </c>
      <c r="I79" s="446">
        <v>-2</v>
      </c>
      <c r="J79" s="446"/>
      <c r="M79" s="115"/>
      <c r="N79" s="115"/>
      <c r="O79" s="115"/>
      <c r="P79" s="115"/>
      <c r="Q79" s="115"/>
      <c r="R79" s="115"/>
      <c r="S79" s="115"/>
      <c r="T79" s="115"/>
      <c r="U79" s="115"/>
      <c r="V79" s="115"/>
    </row>
    <row r="80" spans="1:22" ht="60" x14ac:dyDescent="0.25">
      <c r="A80" s="95">
        <v>1</v>
      </c>
      <c r="B80" s="151" t="s">
        <v>272</v>
      </c>
      <c r="C80" s="151" t="str">
        <f>"Sufficient water with antiseptic soap and liquid antiseptic in delivery room"&amp;J80</f>
        <v>Sufficient water with antiseptic soap and liquid antiseptic in delivery room</v>
      </c>
      <c r="D80" s="430" t="s">
        <v>1589</v>
      </c>
      <c r="E80" s="436">
        <v>84</v>
      </c>
      <c r="F80" s="439" t="s">
        <v>3991</v>
      </c>
      <c r="G80" s="436">
        <v>84</v>
      </c>
      <c r="H80" s="437" t="s">
        <v>3750</v>
      </c>
      <c r="I80" s="442">
        <v>0</v>
      </c>
      <c r="J80" s="442"/>
      <c r="M80" s="115"/>
      <c r="N80" s="115"/>
      <c r="O80" s="115"/>
      <c r="P80" s="115"/>
      <c r="Q80" s="115"/>
      <c r="R80" s="115"/>
      <c r="S80" s="115"/>
      <c r="T80" s="115"/>
      <c r="U80" s="115"/>
      <c r="V80" s="115"/>
    </row>
    <row r="81" spans="1:22" ht="30" x14ac:dyDescent="0.25">
      <c r="A81" s="96">
        <v>2</v>
      </c>
      <c r="B81" s="152" t="s">
        <v>275</v>
      </c>
      <c r="C81" s="152" t="str">
        <f>"Light and heating in delivery room 24 hours"&amp;J81</f>
        <v>Light and heating in delivery room 24 hours</v>
      </c>
      <c r="D81" s="439" t="s">
        <v>1590</v>
      </c>
      <c r="E81" s="428">
        <v>88</v>
      </c>
      <c r="F81" s="430" t="s">
        <v>3918</v>
      </c>
      <c r="G81" s="428">
        <v>90</v>
      </c>
      <c r="H81" s="434" t="s">
        <v>3992</v>
      </c>
      <c r="I81" s="441">
        <v>-2</v>
      </c>
      <c r="J81" s="441"/>
      <c r="M81" s="115"/>
      <c r="N81" s="115"/>
      <c r="O81" s="115"/>
      <c r="P81" s="115"/>
      <c r="Q81" s="115"/>
      <c r="R81" s="115"/>
      <c r="S81" s="115"/>
      <c r="T81" s="115"/>
      <c r="U81" s="115"/>
      <c r="V81" s="115"/>
    </row>
    <row r="82" spans="1:22" ht="30" x14ac:dyDescent="0.25">
      <c r="A82" s="95">
        <v>3</v>
      </c>
      <c r="B82" s="151" t="s">
        <v>278</v>
      </c>
      <c r="C82" s="151" t="str">
        <f>"Waste from Maternity correctly handled"&amp;J82</f>
        <v>Waste from Maternity correctly handled</v>
      </c>
      <c r="D82" s="430" t="s">
        <v>1591</v>
      </c>
      <c r="E82" s="436">
        <v>30</v>
      </c>
      <c r="F82" s="439" t="s">
        <v>3637</v>
      </c>
      <c r="G82" s="436">
        <v>45</v>
      </c>
      <c r="H82" s="437" t="s">
        <v>3993</v>
      </c>
      <c r="I82" s="442">
        <v>-15</v>
      </c>
      <c r="J82" s="442"/>
      <c r="M82" s="115"/>
      <c r="N82" s="115"/>
      <c r="O82" s="115"/>
      <c r="P82" s="115"/>
      <c r="Q82" s="115"/>
      <c r="R82" s="115"/>
      <c r="S82" s="115"/>
      <c r="T82" s="115"/>
      <c r="U82" s="115"/>
      <c r="V82" s="115"/>
    </row>
    <row r="83" spans="1:22" ht="30" x14ac:dyDescent="0.3">
      <c r="A83" s="96">
        <v>4</v>
      </c>
      <c r="B83" s="152" t="s">
        <v>281</v>
      </c>
      <c r="C83" s="152" t="str">
        <f>"Delivery room is well-maintained"&amp;J83</f>
        <v>Delivery room is well-maintained</v>
      </c>
      <c r="D83" s="439" t="s">
        <v>1592</v>
      </c>
      <c r="E83" s="428">
        <v>73</v>
      </c>
      <c r="F83" s="430" t="s">
        <v>3994</v>
      </c>
      <c r="G83" s="428">
        <v>70</v>
      </c>
      <c r="H83" s="434" t="s">
        <v>3995</v>
      </c>
      <c r="I83" s="441">
        <v>3</v>
      </c>
      <c r="J83" s="441"/>
      <c r="M83" s="115"/>
      <c r="N83" s="447" t="s">
        <v>3748</v>
      </c>
      <c r="O83" s="115"/>
      <c r="P83" s="115"/>
      <c r="Q83" s="115"/>
      <c r="R83" s="115"/>
      <c r="S83" s="115"/>
      <c r="T83" s="115"/>
      <c r="U83" s="115"/>
      <c r="V83" s="115"/>
    </row>
    <row r="84" spans="1:22" ht="30" x14ac:dyDescent="0.25">
      <c r="A84" s="95">
        <v>5</v>
      </c>
      <c r="B84" s="151" t="s">
        <v>289</v>
      </c>
      <c r="C84" s="151" t="str">
        <f>"Availability and use of the partograph"&amp;J84</f>
        <v>Availability and use of the partograph</v>
      </c>
      <c r="D84" s="430" t="s">
        <v>1593</v>
      </c>
      <c r="E84" s="436">
        <v>95</v>
      </c>
      <c r="F84" s="439" t="s">
        <v>3749</v>
      </c>
      <c r="G84" s="436">
        <v>100</v>
      </c>
      <c r="H84" s="437" t="s">
        <v>3572</v>
      </c>
      <c r="I84" s="442">
        <v>-5</v>
      </c>
      <c r="J84" s="442"/>
      <c r="M84" s="115"/>
      <c r="N84" s="115"/>
      <c r="O84" s="115"/>
      <c r="P84" s="115"/>
      <c r="Q84" s="115"/>
      <c r="R84" s="115"/>
      <c r="S84" s="115"/>
      <c r="T84" s="115"/>
      <c r="U84" s="115"/>
      <c r="V84" s="115"/>
    </row>
    <row r="85" spans="1:22" ht="30" x14ac:dyDescent="0.25">
      <c r="A85" s="96">
        <v>6</v>
      </c>
      <c r="B85" s="152" t="s">
        <v>291</v>
      </c>
      <c r="C85" s="152" t="str">
        <f>"Deliveries performed by skilled personnel"&amp;J85</f>
        <v>Deliveries performed by skilled personnel</v>
      </c>
      <c r="D85" s="439" t="s">
        <v>1594</v>
      </c>
      <c r="E85" s="428">
        <v>92</v>
      </c>
      <c r="F85" s="430" t="s">
        <v>3996</v>
      </c>
      <c r="G85" s="428">
        <v>97</v>
      </c>
      <c r="H85" s="434" t="s">
        <v>3997</v>
      </c>
      <c r="I85" s="441">
        <v>-5</v>
      </c>
      <c r="J85" s="441"/>
      <c r="M85" s="115"/>
      <c r="N85" s="115"/>
      <c r="O85" s="115"/>
      <c r="P85" s="115"/>
      <c r="Q85" s="115"/>
      <c r="R85" s="115"/>
      <c r="S85" s="115"/>
      <c r="T85" s="115"/>
      <c r="U85" s="115"/>
      <c r="V85" s="115"/>
    </row>
    <row r="86" spans="1:22" ht="60" x14ac:dyDescent="0.25">
      <c r="A86" s="95">
        <v>7</v>
      </c>
      <c r="B86" s="151" t="s">
        <v>295</v>
      </c>
      <c r="C86" s="151" t="str">
        <f>"Availability of scales for weight/length, and obstrectical stethoscope"&amp;J86</f>
        <v>Availability of scales for weight/length, and obstrectical stethoscope</v>
      </c>
      <c r="D86" s="430" t="s">
        <v>1595</v>
      </c>
      <c r="E86" s="428">
        <v>82</v>
      </c>
      <c r="F86" s="430" t="s">
        <v>3998</v>
      </c>
      <c r="G86" s="428">
        <v>83</v>
      </c>
      <c r="H86" s="434" t="s">
        <v>3999</v>
      </c>
      <c r="I86" s="441">
        <v>-1</v>
      </c>
      <c r="J86" s="441"/>
      <c r="M86" s="115"/>
      <c r="N86" s="115"/>
      <c r="O86" s="115"/>
      <c r="P86" s="115"/>
      <c r="Q86" s="115"/>
      <c r="R86" s="115"/>
      <c r="S86" s="115"/>
      <c r="T86" s="115"/>
      <c r="U86" s="115"/>
      <c r="V86" s="115"/>
    </row>
    <row r="87" spans="1:22" ht="60" x14ac:dyDescent="0.25">
      <c r="A87" s="96">
        <v>8</v>
      </c>
      <c r="B87" s="152" t="s">
        <v>304</v>
      </c>
      <c r="C87" s="152" t="str">
        <f>"Availability of at least one episiotomy/perineal repair box"&amp;J87</f>
        <v>Availability of at least one episiotomy/perineal repair box</v>
      </c>
      <c r="D87" s="439" t="s">
        <v>1596</v>
      </c>
      <c r="E87" s="436">
        <v>84</v>
      </c>
      <c r="F87" s="439" t="s">
        <v>4000</v>
      </c>
      <c r="G87" s="436">
        <v>71</v>
      </c>
      <c r="H87" s="437" t="s">
        <v>3614</v>
      </c>
      <c r="I87" s="442">
        <v>13</v>
      </c>
      <c r="J87" s="442"/>
      <c r="M87" s="115"/>
      <c r="N87" s="115"/>
      <c r="O87" s="115"/>
      <c r="P87" s="115"/>
      <c r="Q87" s="115"/>
      <c r="R87" s="115"/>
      <c r="S87" s="115"/>
      <c r="T87" s="115"/>
      <c r="U87" s="115"/>
      <c r="V87" s="115"/>
    </row>
    <row r="88" spans="1:22" ht="30" x14ac:dyDescent="0.25">
      <c r="A88" s="95">
        <v>9</v>
      </c>
      <c r="B88" s="151" t="s">
        <v>307</v>
      </c>
      <c r="C88" s="151" t="str">
        <f>"Delivery table in good state"&amp;J88</f>
        <v>Delivery table in good state</v>
      </c>
      <c r="D88" s="430" t="s">
        <v>1597</v>
      </c>
      <c r="E88" s="428">
        <v>77</v>
      </c>
      <c r="F88" s="430" t="s">
        <v>3742</v>
      </c>
      <c r="G88" s="428">
        <v>84</v>
      </c>
      <c r="H88" s="434" t="s">
        <v>4001</v>
      </c>
      <c r="I88" s="441">
        <v>-7</v>
      </c>
      <c r="J88" s="441"/>
      <c r="M88" s="115"/>
      <c r="N88" s="115"/>
      <c r="O88" s="115"/>
      <c r="P88" s="115"/>
      <c r="Q88" s="115"/>
      <c r="R88" s="115"/>
      <c r="S88" s="115"/>
      <c r="T88" s="115"/>
      <c r="U88" s="115"/>
      <c r="V88" s="115"/>
    </row>
    <row r="89" spans="1:22" ht="30" x14ac:dyDescent="0.25">
      <c r="A89" s="96">
        <v>10</v>
      </c>
      <c r="B89" s="152" t="s">
        <v>310</v>
      </c>
      <c r="C89" s="152" t="str">
        <f>"Available equipment for care of the newborn"&amp;J89</f>
        <v>Available equipment for care of the newborn</v>
      </c>
      <c r="D89" s="439" t="s">
        <v>1598</v>
      </c>
      <c r="E89" s="436">
        <v>21</v>
      </c>
      <c r="F89" s="439" t="s">
        <v>3751</v>
      </c>
      <c r="G89" s="436">
        <v>24</v>
      </c>
      <c r="H89" s="437" t="s">
        <v>4002</v>
      </c>
      <c r="I89" s="442">
        <v>-3</v>
      </c>
      <c r="J89" s="442"/>
      <c r="M89" s="115"/>
      <c r="N89" s="115"/>
      <c r="O89" s="115"/>
      <c r="P89" s="115"/>
      <c r="Q89" s="115"/>
      <c r="R89" s="115"/>
      <c r="S89" s="115"/>
      <c r="T89" s="115"/>
      <c r="U89" s="115"/>
      <c r="V89" s="115"/>
    </row>
    <row r="90" spans="1:22" ht="30" x14ac:dyDescent="0.25">
      <c r="A90" s="95">
        <v>11</v>
      </c>
      <c r="B90" s="151" t="s">
        <v>313</v>
      </c>
      <c r="C90" s="151" t="str">
        <f>"Adequate in-patient rooms"&amp;J90</f>
        <v>Adequate in-patient rooms***</v>
      </c>
      <c r="D90" s="430" t="s">
        <v>1599</v>
      </c>
      <c r="E90" s="428">
        <v>21</v>
      </c>
      <c r="F90" s="430" t="s">
        <v>3751</v>
      </c>
      <c r="G90" s="428">
        <v>47</v>
      </c>
      <c r="H90" s="434" t="s">
        <v>4003</v>
      </c>
      <c r="I90" s="441">
        <v>-26</v>
      </c>
      <c r="J90" s="441" t="s">
        <v>3510</v>
      </c>
      <c r="M90" s="115"/>
      <c r="N90" s="115"/>
      <c r="O90" s="115"/>
      <c r="P90" s="115"/>
      <c r="Q90" s="115"/>
      <c r="R90" s="115"/>
      <c r="S90" s="115"/>
      <c r="T90" s="115"/>
      <c r="U90" s="115"/>
      <c r="V90" s="115"/>
    </row>
    <row r="91" spans="1:22" x14ac:dyDescent="0.25">
      <c r="A91" s="534" t="s">
        <v>809</v>
      </c>
      <c r="B91" s="534"/>
      <c r="C91" s="53"/>
      <c r="D91" s="53" t="s">
        <v>3752</v>
      </c>
      <c r="E91" s="53">
        <v>87</v>
      </c>
      <c r="F91" s="53" t="s">
        <v>4004</v>
      </c>
      <c r="G91" s="53">
        <v>89</v>
      </c>
      <c r="H91" s="440" t="s">
        <v>4005</v>
      </c>
      <c r="I91" s="446">
        <v>-2</v>
      </c>
      <c r="J91" s="446"/>
      <c r="M91" s="115"/>
      <c r="N91" s="115"/>
      <c r="O91" s="115"/>
      <c r="P91" s="115"/>
      <c r="Q91" s="115"/>
      <c r="R91" s="115"/>
      <c r="S91" s="115"/>
      <c r="T91" s="115"/>
      <c r="U91" s="115"/>
      <c r="V91" s="115"/>
    </row>
    <row r="92" spans="1:22" ht="30" x14ac:dyDescent="0.25">
      <c r="A92" s="95">
        <v>1</v>
      </c>
      <c r="B92" s="151" t="s">
        <v>317</v>
      </c>
      <c r="C92" s="151"/>
      <c r="D92" s="430" t="s">
        <v>1605</v>
      </c>
      <c r="E92" s="428">
        <v>63</v>
      </c>
      <c r="F92" s="430" t="s">
        <v>4006</v>
      </c>
      <c r="G92" s="428">
        <v>81</v>
      </c>
      <c r="H92" s="434" t="s">
        <v>4007</v>
      </c>
      <c r="I92" s="441">
        <v>-18</v>
      </c>
      <c r="J92" s="441" t="s">
        <v>3501</v>
      </c>
      <c r="M92" s="115"/>
      <c r="N92" s="115"/>
      <c r="O92" s="115"/>
      <c r="P92" s="115"/>
      <c r="Q92" s="115"/>
      <c r="R92" s="115"/>
      <c r="S92" s="115"/>
      <c r="T92" s="115"/>
      <c r="U92" s="115"/>
      <c r="V92" s="115"/>
    </row>
    <row r="93" spans="1:22" x14ac:dyDescent="0.25">
      <c r="A93" s="96">
        <v>2</v>
      </c>
      <c r="B93" s="152" t="s">
        <v>320</v>
      </c>
      <c r="C93" s="152"/>
      <c r="D93" s="439" t="s">
        <v>1606</v>
      </c>
      <c r="E93" s="436">
        <v>93</v>
      </c>
      <c r="F93" s="439" t="s">
        <v>3528</v>
      </c>
      <c r="G93" s="436">
        <v>94</v>
      </c>
      <c r="H93" s="437" t="s">
        <v>3754</v>
      </c>
      <c r="I93" s="442">
        <v>-1</v>
      </c>
      <c r="J93" s="442"/>
      <c r="M93" s="115"/>
      <c r="N93" s="115"/>
      <c r="O93" s="115"/>
      <c r="P93" s="115"/>
      <c r="Q93" s="115"/>
      <c r="R93" s="115"/>
      <c r="S93" s="115"/>
      <c r="T93" s="115"/>
      <c r="U93" s="115"/>
      <c r="V93" s="115"/>
    </row>
    <row r="94" spans="1:22" x14ac:dyDescent="0.25">
      <c r="A94" s="95">
        <v>3</v>
      </c>
      <c r="B94" s="151" t="s">
        <v>323</v>
      </c>
      <c r="C94" s="151"/>
      <c r="D94" s="430" t="s">
        <v>1607</v>
      </c>
      <c r="E94" s="428">
        <v>98</v>
      </c>
      <c r="F94" s="430" t="s">
        <v>3658</v>
      </c>
      <c r="G94" s="428">
        <v>94</v>
      </c>
      <c r="H94" s="434" t="s">
        <v>3754</v>
      </c>
      <c r="I94" s="441">
        <v>4</v>
      </c>
      <c r="J94" s="441"/>
      <c r="M94" s="115"/>
      <c r="N94" s="115"/>
      <c r="O94" s="115"/>
      <c r="P94" s="115"/>
      <c r="Q94" s="115"/>
      <c r="R94" s="115"/>
      <c r="S94" s="115"/>
      <c r="T94" s="115"/>
      <c r="U94" s="115"/>
      <c r="V94" s="115"/>
    </row>
    <row r="95" spans="1:22" x14ac:dyDescent="0.25">
      <c r="A95" s="96">
        <v>4</v>
      </c>
      <c r="B95" s="152" t="s">
        <v>326</v>
      </c>
      <c r="C95" s="152"/>
      <c r="D95" s="439" t="s">
        <v>1608</v>
      </c>
      <c r="E95" s="428">
        <v>91</v>
      </c>
      <c r="F95" s="430" t="s">
        <v>3609</v>
      </c>
      <c r="G95" s="428">
        <v>96</v>
      </c>
      <c r="H95" s="434" t="s">
        <v>4008</v>
      </c>
      <c r="I95" s="441">
        <v>-5</v>
      </c>
      <c r="J95" s="441"/>
      <c r="M95" s="115"/>
      <c r="N95" s="115"/>
      <c r="O95" s="115"/>
      <c r="P95" s="115"/>
      <c r="Q95" s="115"/>
      <c r="R95" s="115"/>
      <c r="S95" s="115"/>
      <c r="T95" s="115"/>
      <c r="U95" s="115"/>
      <c r="V95" s="115"/>
    </row>
    <row r="96" spans="1:22" x14ac:dyDescent="0.25">
      <c r="A96" s="95">
        <v>5</v>
      </c>
      <c r="B96" s="151" t="s">
        <v>329</v>
      </c>
      <c r="C96" s="151"/>
      <c r="D96" s="430" t="s">
        <v>1609</v>
      </c>
      <c r="E96" s="436">
        <v>86</v>
      </c>
      <c r="F96" s="439" t="s">
        <v>3756</v>
      </c>
      <c r="G96" s="436">
        <v>88</v>
      </c>
      <c r="H96" s="437" t="s">
        <v>3757</v>
      </c>
      <c r="I96" s="442">
        <v>-2</v>
      </c>
      <c r="J96" s="442"/>
      <c r="M96" s="115"/>
      <c r="N96" s="115"/>
      <c r="O96" s="115"/>
      <c r="P96" s="115"/>
      <c r="Q96" s="115"/>
      <c r="R96" s="115"/>
      <c r="S96" s="115"/>
      <c r="T96" s="115"/>
      <c r="U96" s="115"/>
      <c r="V96" s="115"/>
    </row>
    <row r="97" spans="1:22" x14ac:dyDescent="0.25">
      <c r="A97" s="96">
        <v>6</v>
      </c>
      <c r="B97" s="152" t="s">
        <v>332</v>
      </c>
      <c r="C97" s="152"/>
      <c r="D97" s="439" t="s">
        <v>1610</v>
      </c>
      <c r="E97" s="428">
        <v>100</v>
      </c>
      <c r="F97" s="430" t="s">
        <v>3572</v>
      </c>
      <c r="G97" s="428">
        <v>98</v>
      </c>
      <c r="H97" s="434" t="s">
        <v>3662</v>
      </c>
      <c r="I97" s="441">
        <v>2</v>
      </c>
      <c r="J97" s="441"/>
      <c r="M97" s="115"/>
      <c r="N97" s="115"/>
      <c r="O97" s="115"/>
      <c r="P97" s="115"/>
      <c r="Q97" s="115"/>
      <c r="R97" s="115"/>
      <c r="S97" s="115"/>
      <c r="T97" s="115"/>
      <c r="U97" s="115"/>
      <c r="V97" s="115"/>
    </row>
    <row r="98" spans="1:22" x14ac:dyDescent="0.25">
      <c r="A98" s="95">
        <v>7</v>
      </c>
      <c r="B98" s="151" t="s">
        <v>335</v>
      </c>
      <c r="C98" s="151"/>
      <c r="D98" s="430" t="s">
        <v>1611</v>
      </c>
      <c r="E98" s="436">
        <v>28</v>
      </c>
      <c r="F98" s="439" t="s">
        <v>3758</v>
      </c>
      <c r="G98" s="436">
        <v>39</v>
      </c>
      <c r="H98" s="437" t="s">
        <v>4009</v>
      </c>
      <c r="I98" s="442">
        <v>-11</v>
      </c>
      <c r="J98" s="442"/>
      <c r="M98" s="115"/>
      <c r="N98" s="115"/>
      <c r="O98" s="115"/>
      <c r="P98" s="115"/>
      <c r="Q98" s="115"/>
      <c r="R98" s="115"/>
      <c r="S98" s="115"/>
      <c r="T98" s="115"/>
      <c r="U98" s="115"/>
      <c r="V98" s="115"/>
    </row>
    <row r="99" spans="1:22" x14ac:dyDescent="0.25">
      <c r="A99" s="96">
        <v>8</v>
      </c>
      <c r="B99" s="152" t="s">
        <v>338</v>
      </c>
      <c r="C99" s="152"/>
      <c r="D99" s="439" t="s">
        <v>1612</v>
      </c>
      <c r="E99" s="428">
        <v>100</v>
      </c>
      <c r="F99" s="430" t="s">
        <v>3572</v>
      </c>
      <c r="G99" s="428">
        <v>100</v>
      </c>
      <c r="H99" s="434" t="s">
        <v>3572</v>
      </c>
      <c r="I99" s="441">
        <v>0</v>
      </c>
      <c r="J99" s="441"/>
      <c r="M99" s="115"/>
      <c r="N99" s="115"/>
      <c r="O99" s="115"/>
      <c r="P99" s="115"/>
      <c r="Q99" s="115"/>
      <c r="R99" s="115"/>
      <c r="S99" s="115"/>
      <c r="T99" s="115"/>
      <c r="U99" s="115"/>
      <c r="V99" s="115"/>
    </row>
    <row r="100" spans="1:22" ht="30" x14ac:dyDescent="0.25">
      <c r="A100" s="95">
        <v>9</v>
      </c>
      <c r="B100" s="151" t="s">
        <v>339</v>
      </c>
      <c r="C100" s="151"/>
      <c r="D100" s="430" t="s">
        <v>1613</v>
      </c>
      <c r="E100" s="436">
        <v>100</v>
      </c>
      <c r="F100" s="439" t="s">
        <v>3572</v>
      </c>
      <c r="G100" s="436">
        <v>99</v>
      </c>
      <c r="H100" s="437" t="s">
        <v>3529</v>
      </c>
      <c r="I100" s="442">
        <v>1</v>
      </c>
      <c r="J100" s="442"/>
      <c r="M100" s="115"/>
      <c r="N100" s="115"/>
      <c r="O100" s="115"/>
      <c r="P100" s="115"/>
      <c r="Q100" s="115"/>
      <c r="R100" s="115"/>
      <c r="S100" s="115"/>
      <c r="T100" s="115"/>
      <c r="U100" s="115"/>
      <c r="V100" s="115"/>
    </row>
    <row r="101" spans="1:22" x14ac:dyDescent="0.25">
      <c r="A101" s="96">
        <v>10</v>
      </c>
      <c r="B101" s="152" t="s">
        <v>343</v>
      </c>
      <c r="C101" s="152"/>
      <c r="D101" s="439" t="s">
        <v>1614</v>
      </c>
      <c r="E101" s="428">
        <v>81</v>
      </c>
      <c r="F101" s="430" t="s">
        <v>3759</v>
      </c>
      <c r="G101" s="428">
        <v>96</v>
      </c>
      <c r="H101" s="434" t="s">
        <v>4008</v>
      </c>
      <c r="I101" s="441">
        <v>-15</v>
      </c>
      <c r="J101" s="441" t="s">
        <v>3501</v>
      </c>
      <c r="M101" s="115"/>
      <c r="N101" s="450" t="s">
        <v>3760</v>
      </c>
      <c r="O101" s="115"/>
      <c r="P101" s="115"/>
      <c r="Q101" s="115"/>
      <c r="R101" s="115"/>
      <c r="S101" s="115"/>
      <c r="T101" s="115"/>
      <c r="U101" s="115"/>
      <c r="V101" s="115"/>
    </row>
    <row r="102" spans="1:22" ht="45" x14ac:dyDescent="0.25">
      <c r="A102" s="95">
        <v>11</v>
      </c>
      <c r="B102" s="151" t="s">
        <v>346</v>
      </c>
      <c r="C102" s="151"/>
      <c r="D102" s="430" t="s">
        <v>1615</v>
      </c>
      <c r="E102" s="436">
        <v>98</v>
      </c>
      <c r="F102" s="439" t="s">
        <v>3658</v>
      </c>
      <c r="G102" s="436">
        <v>91</v>
      </c>
      <c r="H102" s="437" t="s">
        <v>3761</v>
      </c>
      <c r="I102" s="442">
        <v>7</v>
      </c>
      <c r="J102" s="442"/>
      <c r="M102" s="115"/>
      <c r="N102" s="115"/>
      <c r="O102" s="115"/>
      <c r="P102" s="115"/>
      <c r="Q102" s="115"/>
      <c r="R102" s="115"/>
      <c r="S102" s="115"/>
      <c r="T102" s="115"/>
      <c r="U102" s="115"/>
      <c r="V102" s="115"/>
    </row>
    <row r="103" spans="1:22" ht="30" x14ac:dyDescent="0.25">
      <c r="A103" s="96">
        <v>12</v>
      </c>
      <c r="B103" s="152" t="s">
        <v>349</v>
      </c>
      <c r="C103" s="152"/>
      <c r="D103" s="439" t="s">
        <v>1616</v>
      </c>
      <c r="E103" s="428">
        <v>84</v>
      </c>
      <c r="F103" s="430" t="s">
        <v>3747</v>
      </c>
      <c r="G103" s="428">
        <v>81</v>
      </c>
      <c r="H103" s="434" t="s">
        <v>4010</v>
      </c>
      <c r="I103" s="441">
        <v>3</v>
      </c>
      <c r="J103" s="441"/>
      <c r="M103" s="115"/>
      <c r="N103" s="115"/>
      <c r="O103" s="115"/>
      <c r="P103" s="115"/>
      <c r="Q103" s="115"/>
      <c r="R103" s="115"/>
      <c r="S103" s="115"/>
      <c r="T103" s="115"/>
      <c r="U103" s="115"/>
      <c r="V103" s="115"/>
    </row>
    <row r="104" spans="1:22" x14ac:dyDescent="0.25">
      <c r="A104" s="95">
        <v>15</v>
      </c>
      <c r="B104" s="151" t="s">
        <v>352</v>
      </c>
      <c r="C104" s="151"/>
      <c r="D104" s="430" t="s">
        <v>1617</v>
      </c>
      <c r="E104" s="428">
        <v>81</v>
      </c>
      <c r="F104" s="430" t="s">
        <v>3759</v>
      </c>
      <c r="G104" s="428">
        <v>78</v>
      </c>
      <c r="H104" s="434" t="s">
        <v>4011</v>
      </c>
      <c r="I104" s="441">
        <v>3</v>
      </c>
      <c r="J104" s="441"/>
      <c r="M104" s="115"/>
      <c r="N104" s="115"/>
      <c r="O104" s="115"/>
      <c r="P104" s="115"/>
      <c r="Q104" s="115"/>
      <c r="R104" s="115"/>
      <c r="S104" s="115"/>
      <c r="T104" s="115"/>
      <c r="U104" s="115"/>
      <c r="V104" s="115"/>
    </row>
    <row r="105" spans="1:22" x14ac:dyDescent="0.25">
      <c r="A105" s="534" t="s">
        <v>810</v>
      </c>
      <c r="B105" s="534"/>
      <c r="C105" s="53"/>
      <c r="D105" s="53" t="s">
        <v>3762</v>
      </c>
      <c r="E105" s="53">
        <v>64</v>
      </c>
      <c r="F105" s="53" t="s">
        <v>4012</v>
      </c>
      <c r="G105" s="53">
        <v>69</v>
      </c>
      <c r="H105" s="440" t="s">
        <v>4013</v>
      </c>
      <c r="I105" s="446">
        <v>-5</v>
      </c>
      <c r="J105" s="446"/>
      <c r="M105" s="115"/>
      <c r="N105" s="115"/>
      <c r="O105" s="115"/>
      <c r="P105" s="115"/>
      <c r="Q105" s="115"/>
      <c r="R105" s="115"/>
      <c r="S105" s="115"/>
      <c r="T105" s="115"/>
      <c r="U105" s="115"/>
      <c r="V105" s="115"/>
    </row>
    <row r="106" spans="1:22" ht="60" x14ac:dyDescent="0.25">
      <c r="A106" s="95">
        <v>1</v>
      </c>
      <c r="B106" s="151" t="s">
        <v>356</v>
      </c>
      <c r="C106" s="424" t="str">
        <f>"ANC plan for catchment area"&amp;J106</f>
        <v>ANC plan for catchment area</v>
      </c>
      <c r="D106" s="430" t="s">
        <v>1623</v>
      </c>
      <c r="E106" s="428">
        <v>60</v>
      </c>
      <c r="F106" s="430" t="s">
        <v>4014</v>
      </c>
      <c r="G106" s="428">
        <v>55</v>
      </c>
      <c r="H106" s="434" t="s">
        <v>4015</v>
      </c>
      <c r="I106" s="441">
        <v>5</v>
      </c>
      <c r="J106" s="441"/>
      <c r="M106" s="115"/>
      <c r="N106" s="115"/>
      <c r="O106" s="115"/>
      <c r="P106" s="115"/>
      <c r="Q106" s="115"/>
      <c r="R106" s="115"/>
      <c r="S106" s="115"/>
      <c r="T106" s="115"/>
      <c r="U106" s="115"/>
      <c r="V106" s="115"/>
    </row>
    <row r="107" spans="1:22" x14ac:dyDescent="0.25">
      <c r="A107" s="96">
        <v>2</v>
      </c>
      <c r="B107" s="152" t="s">
        <v>359</v>
      </c>
      <c r="C107" s="425" t="str">
        <f>"Essential equipment"&amp;J107</f>
        <v>Essential equipment**</v>
      </c>
      <c r="D107" s="439" t="s">
        <v>1624</v>
      </c>
      <c r="E107" s="436">
        <v>40</v>
      </c>
      <c r="F107" s="439" t="s">
        <v>3764</v>
      </c>
      <c r="G107" s="436">
        <v>67</v>
      </c>
      <c r="H107" s="437" t="s">
        <v>3763</v>
      </c>
      <c r="I107" s="442">
        <v>-27</v>
      </c>
      <c r="J107" s="442" t="s">
        <v>3505</v>
      </c>
      <c r="M107" s="115"/>
      <c r="N107" s="115"/>
      <c r="O107" s="115"/>
      <c r="P107" s="115"/>
      <c r="Q107" s="115"/>
      <c r="R107" s="115"/>
      <c r="S107" s="115"/>
      <c r="T107" s="115"/>
      <c r="U107" s="115"/>
      <c r="V107" s="115"/>
    </row>
    <row r="108" spans="1:22" ht="30" x14ac:dyDescent="0.25">
      <c r="A108" s="95">
        <v>3</v>
      </c>
      <c r="B108" s="151" t="s">
        <v>362</v>
      </c>
      <c r="C108" s="448" t="str">
        <f>"ANC form available"&amp;J108</f>
        <v>ANC form available</v>
      </c>
      <c r="D108" s="430" t="s">
        <v>1625</v>
      </c>
      <c r="E108" s="428">
        <v>42</v>
      </c>
      <c r="F108" s="430" t="s">
        <v>3590</v>
      </c>
      <c r="G108" s="428">
        <v>53</v>
      </c>
      <c r="H108" s="434" t="s">
        <v>4016</v>
      </c>
      <c r="I108" s="441">
        <v>-11</v>
      </c>
      <c r="J108" s="441"/>
      <c r="M108" s="115"/>
      <c r="N108" s="115"/>
      <c r="O108" s="115"/>
      <c r="P108" s="115"/>
      <c r="Q108" s="115"/>
      <c r="R108" s="115"/>
      <c r="S108" s="115"/>
      <c r="T108" s="115"/>
      <c r="U108" s="115"/>
      <c r="V108" s="115"/>
    </row>
    <row r="109" spans="1:22" ht="60" x14ac:dyDescent="0.25">
      <c r="A109" s="96">
        <v>4</v>
      </c>
      <c r="B109" s="152" t="s">
        <v>365</v>
      </c>
      <c r="C109" s="449" t="str">
        <f>"IFA/MNPs and Mebenzale"&amp;J109</f>
        <v>IFA/MNPs and Mebenzale</v>
      </c>
      <c r="D109" s="439" t="s">
        <v>1626</v>
      </c>
      <c r="E109" s="436">
        <v>40</v>
      </c>
      <c r="F109" s="439" t="s">
        <v>3764</v>
      </c>
      <c r="G109" s="436">
        <v>36</v>
      </c>
      <c r="H109" s="437" t="s">
        <v>4017</v>
      </c>
      <c r="I109" s="442">
        <v>4</v>
      </c>
      <c r="J109" s="442"/>
      <c r="M109" s="115"/>
      <c r="N109" s="115"/>
      <c r="O109" s="115"/>
      <c r="P109" s="115"/>
      <c r="Q109" s="115"/>
      <c r="R109" s="115"/>
      <c r="S109" s="115"/>
      <c r="T109" s="115"/>
      <c r="U109" s="115"/>
      <c r="V109" s="115"/>
    </row>
    <row r="110" spans="1:22" x14ac:dyDescent="0.25">
      <c r="A110" s="95">
        <v>5</v>
      </c>
      <c r="B110" s="151" t="s">
        <v>367</v>
      </c>
      <c r="C110" s="448" t="str">
        <f>"MCH-HB cards"&amp;J110</f>
        <v>MCH-HB cards</v>
      </c>
      <c r="D110" s="430" t="s">
        <v>1627</v>
      </c>
      <c r="E110" s="428">
        <v>79</v>
      </c>
      <c r="F110" s="430" t="s">
        <v>3546</v>
      </c>
      <c r="G110" s="428">
        <v>83</v>
      </c>
      <c r="H110" s="434" t="s">
        <v>4018</v>
      </c>
      <c r="I110" s="441">
        <v>-4</v>
      </c>
      <c r="J110" s="441"/>
      <c r="M110" s="115"/>
      <c r="N110" s="115"/>
      <c r="O110" s="115"/>
      <c r="P110" s="115"/>
      <c r="Q110" s="115"/>
      <c r="R110" s="115"/>
      <c r="S110" s="115"/>
      <c r="T110" s="115"/>
      <c r="U110" s="115"/>
      <c r="V110" s="115"/>
    </row>
    <row r="111" spans="1:22" ht="22.5" x14ac:dyDescent="0.25">
      <c r="A111" s="96">
        <v>6</v>
      </c>
      <c r="B111" s="152" t="s">
        <v>370</v>
      </c>
      <c r="C111" s="449" t="str">
        <f>"ANC register available and well filled"&amp;J111</f>
        <v>ANC register available and well filled</v>
      </c>
      <c r="D111" s="439" t="s">
        <v>1628</v>
      </c>
      <c r="E111" s="436">
        <v>84</v>
      </c>
      <c r="F111" s="439" t="s">
        <v>3747</v>
      </c>
      <c r="G111" s="436">
        <v>88</v>
      </c>
      <c r="H111" s="437" t="s">
        <v>3766</v>
      </c>
      <c r="I111" s="442">
        <v>-4</v>
      </c>
      <c r="J111" s="442"/>
      <c r="M111" s="115"/>
      <c r="N111" s="115"/>
      <c r="O111" s="115"/>
      <c r="P111" s="115"/>
      <c r="Q111" s="115"/>
      <c r="R111" s="115"/>
      <c r="S111" s="115"/>
      <c r="T111" s="115"/>
      <c r="U111" s="115"/>
      <c r="V111" s="115"/>
    </row>
    <row r="112" spans="1:22" x14ac:dyDescent="0.25">
      <c r="A112" s="95">
        <v>7</v>
      </c>
      <c r="B112" s="151" t="s">
        <v>373</v>
      </c>
      <c r="C112" s="448" t="str">
        <f>"Qualified personnel"&amp;J112</f>
        <v>Qualified personnel</v>
      </c>
      <c r="D112" s="430" t="s">
        <v>1629</v>
      </c>
      <c r="E112" s="428">
        <v>95</v>
      </c>
      <c r="F112" s="430" t="s">
        <v>3749</v>
      </c>
      <c r="G112" s="428">
        <v>96</v>
      </c>
      <c r="H112" s="434" t="s">
        <v>3755</v>
      </c>
      <c r="I112" s="441">
        <v>-1</v>
      </c>
      <c r="J112" s="441"/>
      <c r="M112" s="115"/>
      <c r="N112" s="115"/>
      <c r="O112" s="115"/>
      <c r="P112" s="115"/>
      <c r="Q112" s="115"/>
      <c r="R112" s="115"/>
      <c r="S112" s="115"/>
      <c r="T112" s="115"/>
      <c r="U112" s="115"/>
      <c r="V112" s="115"/>
    </row>
    <row r="113" spans="1:22" x14ac:dyDescent="0.25">
      <c r="A113" s="96">
        <v>8</v>
      </c>
      <c r="B113" s="152" t="s">
        <v>376</v>
      </c>
      <c r="C113" s="448" t="str">
        <f>"Individual IEC/BCC"&amp;J113</f>
        <v>Individual IEC/BCC</v>
      </c>
      <c r="D113" s="439" t="s">
        <v>1630</v>
      </c>
      <c r="E113" s="428">
        <v>79</v>
      </c>
      <c r="F113" s="430" t="s">
        <v>3517</v>
      </c>
      <c r="G113" s="428">
        <v>74</v>
      </c>
      <c r="H113" s="434" t="s">
        <v>4019</v>
      </c>
      <c r="I113" s="441">
        <v>5</v>
      </c>
      <c r="J113" s="441"/>
      <c r="M113" s="115"/>
      <c r="N113" s="115"/>
      <c r="O113" s="115"/>
      <c r="P113" s="115"/>
      <c r="Q113" s="115"/>
      <c r="R113" s="115"/>
      <c r="S113" s="115"/>
      <c r="T113" s="115"/>
      <c r="U113" s="115"/>
      <c r="V113" s="115"/>
    </row>
    <row r="114" spans="1:22" x14ac:dyDescent="0.25">
      <c r="A114" s="534" t="s">
        <v>1444</v>
      </c>
      <c r="B114" s="534"/>
      <c r="C114" s="53"/>
      <c r="D114" s="53" t="s">
        <v>3767</v>
      </c>
      <c r="E114" s="53">
        <v>49</v>
      </c>
      <c r="F114" s="53" t="s">
        <v>4020</v>
      </c>
      <c r="G114" s="53">
        <v>52</v>
      </c>
      <c r="H114" s="440" t="s">
        <v>4021</v>
      </c>
      <c r="I114" s="446">
        <v>-3</v>
      </c>
      <c r="J114" s="446"/>
      <c r="M114" s="115"/>
      <c r="N114" s="115"/>
      <c r="O114" s="115"/>
      <c r="P114" s="115"/>
      <c r="Q114" s="115"/>
      <c r="R114" s="115"/>
      <c r="S114" s="115"/>
      <c r="T114" s="115"/>
      <c r="U114" s="115"/>
      <c r="V114" s="115"/>
    </row>
    <row r="115" spans="1:22" x14ac:dyDescent="0.25">
      <c r="A115" s="103" t="s">
        <v>1422</v>
      </c>
      <c r="M115" s="115"/>
      <c r="N115" s="115"/>
      <c r="O115" s="115"/>
      <c r="P115" s="115"/>
      <c r="Q115" s="115"/>
      <c r="R115" s="115"/>
      <c r="S115" s="115"/>
      <c r="T115" s="115"/>
      <c r="U115" s="115"/>
      <c r="V115" s="115"/>
    </row>
    <row r="116" spans="1:22" x14ac:dyDescent="0.25">
      <c r="A116" s="103" t="s">
        <v>1423</v>
      </c>
      <c r="M116" s="115"/>
      <c r="N116" s="115"/>
      <c r="O116" s="115"/>
      <c r="P116" s="115"/>
      <c r="Q116" s="115"/>
      <c r="R116" s="115"/>
      <c r="S116" s="115"/>
      <c r="T116" s="115"/>
      <c r="U116" s="115"/>
      <c r="V116" s="115"/>
    </row>
    <row r="117" spans="1:22" x14ac:dyDescent="0.25">
      <c r="A117" s="103" t="s">
        <v>1424</v>
      </c>
      <c r="M117" s="115"/>
      <c r="N117" s="115"/>
      <c r="O117" s="115"/>
      <c r="P117" s="115"/>
      <c r="Q117" s="115"/>
      <c r="R117" s="115"/>
      <c r="S117" s="115"/>
      <c r="T117" s="115"/>
      <c r="U117" s="115"/>
      <c r="V117" s="115"/>
    </row>
    <row r="118" spans="1:22" x14ac:dyDescent="0.25">
      <c r="A118" s="103" t="s">
        <v>1425</v>
      </c>
      <c r="M118" s="115"/>
      <c r="N118" s="115"/>
      <c r="O118" s="115"/>
      <c r="P118" s="115"/>
      <c r="Q118" s="115"/>
      <c r="R118" s="115"/>
      <c r="S118" s="115"/>
      <c r="T118" s="115"/>
      <c r="U118" s="115"/>
      <c r="V118" s="115"/>
    </row>
    <row r="119" spans="1:22" x14ac:dyDescent="0.25">
      <c r="M119" s="115"/>
      <c r="N119" s="115"/>
      <c r="O119" s="115"/>
      <c r="P119" s="115"/>
      <c r="Q119" s="115"/>
      <c r="R119" s="115"/>
      <c r="S119" s="115"/>
      <c r="T119" s="115"/>
      <c r="U119" s="115"/>
      <c r="V119" s="115"/>
    </row>
    <row r="120" spans="1:22" x14ac:dyDescent="0.25">
      <c r="M120" s="115"/>
      <c r="N120" s="115"/>
      <c r="O120" s="115"/>
      <c r="P120" s="115"/>
      <c r="Q120" s="115"/>
      <c r="R120" s="115"/>
      <c r="S120" s="115"/>
      <c r="T120" s="115"/>
      <c r="U120" s="115"/>
      <c r="V120" s="115"/>
    </row>
    <row r="121" spans="1:22" x14ac:dyDescent="0.25">
      <c r="M121" s="115"/>
      <c r="N121" s="115"/>
      <c r="O121" s="115"/>
      <c r="P121" s="115"/>
      <c r="Q121" s="115"/>
      <c r="R121" s="115"/>
      <c r="S121" s="115"/>
      <c r="T121" s="115"/>
      <c r="U121" s="115"/>
      <c r="V121" s="115"/>
    </row>
    <row r="122" spans="1:22" x14ac:dyDescent="0.25">
      <c r="M122" s="115"/>
      <c r="N122" s="115"/>
      <c r="O122" s="115"/>
      <c r="P122" s="115"/>
      <c r="Q122" s="115"/>
      <c r="R122" s="115"/>
      <c r="S122" s="115"/>
      <c r="T122" s="115"/>
      <c r="U122" s="115"/>
      <c r="V122" s="115"/>
    </row>
    <row r="123" spans="1:22" x14ac:dyDescent="0.25">
      <c r="M123" s="115"/>
      <c r="N123" s="115"/>
      <c r="O123" s="115"/>
      <c r="P123" s="115"/>
      <c r="Q123" s="115"/>
      <c r="R123" s="115"/>
      <c r="S123" s="115"/>
      <c r="T123" s="115"/>
      <c r="U123" s="115"/>
      <c r="V123" s="115"/>
    </row>
  </sheetData>
  <mergeCells count="22">
    <mergeCell ref="A114:B114"/>
    <mergeCell ref="E1:F1"/>
    <mergeCell ref="A4:B4"/>
    <mergeCell ref="A14:B14"/>
    <mergeCell ref="A25:B25"/>
    <mergeCell ref="A50:B50"/>
    <mergeCell ref="A58:B58"/>
    <mergeCell ref="A69:B69"/>
    <mergeCell ref="A1:B1"/>
    <mergeCell ref="G1:H1"/>
    <mergeCell ref="A76:B76"/>
    <mergeCell ref="A79:B79"/>
    <mergeCell ref="A91:B91"/>
    <mergeCell ref="A105:B105"/>
    <mergeCell ref="AB1:AC1"/>
    <mergeCell ref="AD1:AE1"/>
    <mergeCell ref="Y4:Z4"/>
    <mergeCell ref="M1:N1"/>
    <mergeCell ref="P1:Q1"/>
    <mergeCell ref="R1:S1"/>
    <mergeCell ref="M4:N4"/>
    <mergeCell ref="Y1:Z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7C93-A708-45AF-ACA6-BCE54F5B41E6}">
  <sheetPr>
    <tabColor theme="7" tint="0.79998168889431442"/>
  </sheetPr>
  <dimension ref="A1:D8"/>
  <sheetViews>
    <sheetView workbookViewId="0">
      <selection activeCell="C11" sqref="C11"/>
    </sheetView>
  </sheetViews>
  <sheetFormatPr defaultRowHeight="15.75" x14ac:dyDescent="0.25"/>
  <cols>
    <col min="1" max="1" width="21.125" customWidth="1"/>
    <col min="2" max="2" width="43.375" customWidth="1"/>
    <col min="3" max="3" width="61.125" customWidth="1"/>
    <col min="4" max="4" width="56.125" customWidth="1"/>
  </cols>
  <sheetData>
    <row r="1" spans="1:4" x14ac:dyDescent="0.25">
      <c r="A1" s="492" t="s">
        <v>3768</v>
      </c>
    </row>
    <row r="3" spans="1:4" ht="18.75" x14ac:dyDescent="0.3">
      <c r="A3" s="470" t="s">
        <v>3769</v>
      </c>
      <c r="B3" s="470" t="s">
        <v>3770</v>
      </c>
      <c r="C3" s="470" t="s">
        <v>3771</v>
      </c>
      <c r="D3" s="470" t="s">
        <v>3772</v>
      </c>
    </row>
    <row r="4" spans="1:4" ht="63" x14ac:dyDescent="0.25">
      <c r="A4" s="473" t="s">
        <v>3773</v>
      </c>
      <c r="B4" s="474" t="s">
        <v>3774</v>
      </c>
      <c r="C4" s="474" t="s">
        <v>3775</v>
      </c>
      <c r="D4" s="474" t="s">
        <v>3776</v>
      </c>
    </row>
    <row r="5" spans="1:4" ht="48.95" customHeight="1" x14ac:dyDescent="0.25">
      <c r="A5" s="471" t="s">
        <v>3777</v>
      </c>
      <c r="B5" s="472" t="s">
        <v>3778</v>
      </c>
      <c r="C5" s="472" t="s">
        <v>3779</v>
      </c>
      <c r="D5" s="472" t="s">
        <v>3780</v>
      </c>
    </row>
    <row r="6" spans="1:4" ht="47.25" x14ac:dyDescent="0.25">
      <c r="A6" s="473" t="s">
        <v>3781</v>
      </c>
      <c r="B6" s="474" t="s">
        <v>3782</v>
      </c>
      <c r="C6" s="474" t="s">
        <v>3783</v>
      </c>
      <c r="D6" s="474" t="s">
        <v>3780</v>
      </c>
    </row>
    <row r="7" spans="1:4" ht="47.25" x14ac:dyDescent="0.25">
      <c r="A7" s="471" t="s">
        <v>3784</v>
      </c>
      <c r="B7" s="472" t="s">
        <v>3785</v>
      </c>
      <c r="C7" s="472" t="s">
        <v>3786</v>
      </c>
      <c r="D7" s="472" t="s">
        <v>3787</v>
      </c>
    </row>
    <row r="8" spans="1:4" ht="63" x14ac:dyDescent="0.25">
      <c r="A8" s="474" t="s">
        <v>3788</v>
      </c>
      <c r="B8" s="474" t="s">
        <v>3789</v>
      </c>
      <c r="C8" s="474" t="s">
        <v>3790</v>
      </c>
      <c r="D8" s="474" t="s">
        <v>3791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77D8-529E-8A40-8725-DE8AF7DA4F4D}">
  <sheetPr>
    <tabColor theme="7" tint="0.79998168889431442"/>
  </sheetPr>
  <dimension ref="C2:O41"/>
  <sheetViews>
    <sheetView zoomScale="70" zoomScaleNormal="70" workbookViewId="0">
      <selection activeCell="H12" sqref="H12"/>
    </sheetView>
  </sheetViews>
  <sheetFormatPr defaultColWidth="8.875" defaultRowHeight="15.75" x14ac:dyDescent="0.25"/>
  <cols>
    <col min="8" max="8" width="18.375" customWidth="1"/>
    <col min="9" max="9" width="15.5" customWidth="1"/>
    <col min="10" max="10" width="20.625" customWidth="1"/>
  </cols>
  <sheetData>
    <row r="2" spans="3:15" ht="25.5" x14ac:dyDescent="0.25">
      <c r="G2" s="383"/>
      <c r="H2" s="383" t="s">
        <v>3792</v>
      </c>
      <c r="I2" s="382" t="s">
        <v>3793</v>
      </c>
      <c r="J2" s="381" t="s">
        <v>3794</v>
      </c>
    </row>
    <row r="3" spans="3:15" x14ac:dyDescent="0.25">
      <c r="G3" s="378" t="s">
        <v>3795</v>
      </c>
      <c r="H3" s="380">
        <v>0.1</v>
      </c>
      <c r="I3" s="380">
        <v>0.3</v>
      </c>
      <c r="J3" s="380">
        <v>0.8</v>
      </c>
    </row>
    <row r="4" spans="3:15" x14ac:dyDescent="0.25">
      <c r="G4" s="378" t="s">
        <v>3796</v>
      </c>
      <c r="H4" s="379">
        <v>0.17427385892116182</v>
      </c>
      <c r="I4" s="379">
        <v>0.21576763485477179</v>
      </c>
      <c r="J4" s="379">
        <v>0.82572614107883813</v>
      </c>
    </row>
    <row r="5" spans="3:15" x14ac:dyDescent="0.25">
      <c r="G5" s="378" t="s">
        <v>3797</v>
      </c>
      <c r="H5" s="379">
        <v>0.23045267489711935</v>
      </c>
      <c r="I5" s="379">
        <v>0.23868312757201646</v>
      </c>
      <c r="J5" s="379">
        <v>0.82304526748971196</v>
      </c>
    </row>
    <row r="6" spans="3:15" x14ac:dyDescent="0.25">
      <c r="G6" s="378" t="s">
        <v>3798</v>
      </c>
      <c r="H6" s="379">
        <v>0.19313304721030042</v>
      </c>
      <c r="I6" s="379">
        <v>0.30472103004291845</v>
      </c>
      <c r="J6" s="379">
        <v>0.87553648068669532</v>
      </c>
    </row>
    <row r="7" spans="3:15" x14ac:dyDescent="0.25">
      <c r="G7" s="378" t="s">
        <v>3799</v>
      </c>
      <c r="H7" s="377">
        <v>0.1875</v>
      </c>
      <c r="I7" s="377">
        <v>0.17083333333333334</v>
      </c>
      <c r="J7" s="377">
        <v>0.57499999999999996</v>
      </c>
    </row>
    <row r="8" spans="3:15" x14ac:dyDescent="0.25">
      <c r="G8" s="378" t="s">
        <v>3800</v>
      </c>
      <c r="H8" s="377">
        <v>0.13930348258706468</v>
      </c>
      <c r="I8" s="377">
        <v>0.2153846153846154</v>
      </c>
      <c r="J8" s="377">
        <v>0.70256410256410251</v>
      </c>
    </row>
    <row r="9" spans="3:15" x14ac:dyDescent="0.25">
      <c r="G9" s="378" t="s">
        <v>3801</v>
      </c>
      <c r="H9" s="377">
        <v>0.2</v>
      </c>
      <c r="I9" s="377">
        <v>0.1751412429378531</v>
      </c>
      <c r="J9" s="377">
        <v>0.65536723163841804</v>
      </c>
    </row>
    <row r="10" spans="3:15" x14ac:dyDescent="0.25">
      <c r="G10" s="378" t="s">
        <v>3802</v>
      </c>
      <c r="H10" s="377">
        <f>COUNTIF('Annex 4b-MSS - FAC'!Q5:'Annex 4b-MSS - FAC'!Q204,"Yes")/COUNTIF('Annex 4b-MSS - FAC'!Q5:'Annex 4b-MSS - FAC'!Q204,"*")</f>
        <v>0.1388888888888889</v>
      </c>
      <c r="I10" s="377">
        <f>COUNTIF('Annex 4b-MSS - FAC'!AZ5:'Annex 4b-MSS - FAC'!AZ204,"Yes")/COUNTIF('Annex 4b-MSS - FAC'!AZ5:'Annex 4b-MSS - FAC'!AZ204,"*")</f>
        <v>0.1875</v>
      </c>
      <c r="J10" s="377">
        <f>COUNTIF('Annex 4b-MSS - FAC'!BV5:'Annex 4b-MSS - FAC'!BV204,"Yes")/COUNTIF('Annex 4b-MSS - FAC'!BV5:'Annex 4b-MSS - FAC'!BV204,"*")</f>
        <v>0.70833333333333337</v>
      </c>
    </row>
    <row r="15" spans="3:15" x14ac:dyDescent="0.25">
      <c r="C15" s="115"/>
      <c r="D15" s="115"/>
      <c r="E15" s="115"/>
      <c r="F15" s="115"/>
      <c r="G15" s="115"/>
      <c r="H15" s="115"/>
      <c r="I15" s="115"/>
      <c r="J15" s="115"/>
      <c r="K15" s="115"/>
      <c r="L15" s="115"/>
      <c r="M15" s="115"/>
      <c r="N15" s="115"/>
      <c r="O15" s="115"/>
    </row>
    <row r="16" spans="3:15" x14ac:dyDescent="0.25">
      <c r="C16" s="115"/>
      <c r="D16" s="115"/>
      <c r="E16" s="115"/>
      <c r="F16" s="115"/>
      <c r="G16" s="115"/>
      <c r="H16" s="115"/>
      <c r="I16" s="115"/>
      <c r="J16" s="115"/>
      <c r="K16" s="115"/>
      <c r="L16" s="115"/>
      <c r="M16" s="115"/>
      <c r="N16" s="115"/>
      <c r="O16" s="115"/>
    </row>
    <row r="17" spans="3:15" x14ac:dyDescent="0.25">
      <c r="C17" s="115"/>
      <c r="D17" s="115"/>
      <c r="E17" s="115"/>
      <c r="F17" s="115"/>
      <c r="G17" s="115"/>
      <c r="H17" s="115"/>
      <c r="I17" s="115"/>
      <c r="J17" s="115"/>
      <c r="K17" s="115"/>
      <c r="L17" s="115"/>
      <c r="M17" s="115"/>
      <c r="N17" s="115"/>
      <c r="O17" s="115"/>
    </row>
    <row r="18" spans="3:15" x14ac:dyDescent="0.25">
      <c r="C18" s="115"/>
      <c r="D18" s="115"/>
      <c r="E18" s="115"/>
      <c r="F18" s="115"/>
      <c r="G18" s="115"/>
      <c r="H18" s="115"/>
      <c r="I18" s="115"/>
      <c r="J18" s="115"/>
      <c r="K18" s="115"/>
      <c r="L18" s="115"/>
      <c r="M18" s="115"/>
      <c r="N18" s="115"/>
      <c r="O18" s="115"/>
    </row>
    <row r="19" spans="3:15" x14ac:dyDescent="0.25">
      <c r="C19" s="115"/>
      <c r="D19" s="115"/>
      <c r="E19" s="115"/>
      <c r="F19" s="115"/>
      <c r="G19" s="115"/>
      <c r="H19" s="115"/>
      <c r="I19" s="115"/>
      <c r="J19" s="115"/>
      <c r="K19" s="115"/>
      <c r="L19" s="115"/>
      <c r="M19" s="115"/>
      <c r="N19" s="115"/>
      <c r="O19" s="115"/>
    </row>
    <row r="20" spans="3:15" x14ac:dyDescent="0.25">
      <c r="C20" s="115"/>
      <c r="D20" s="115"/>
      <c r="E20" s="115"/>
      <c r="F20" s="115"/>
      <c r="G20" s="115"/>
      <c r="H20" s="115"/>
      <c r="I20" s="115"/>
      <c r="J20" s="115"/>
      <c r="K20" s="115"/>
      <c r="L20" s="115"/>
      <c r="M20" s="115"/>
      <c r="N20" s="115"/>
      <c r="O20" s="115"/>
    </row>
    <row r="21" spans="3:15" x14ac:dyDescent="0.25">
      <c r="C21" s="115"/>
      <c r="D21" s="115"/>
      <c r="E21" s="115"/>
      <c r="F21" s="115"/>
      <c r="G21" s="115"/>
      <c r="H21" s="115"/>
      <c r="I21" s="115"/>
      <c r="J21" s="115"/>
      <c r="K21" s="115"/>
      <c r="L21" s="115"/>
      <c r="M21" s="115"/>
      <c r="N21" s="115"/>
      <c r="O21" s="115"/>
    </row>
    <row r="22" spans="3:15" x14ac:dyDescent="0.25">
      <c r="C22" s="115"/>
      <c r="D22" s="115"/>
      <c r="E22" s="115"/>
      <c r="F22" s="115"/>
      <c r="G22" s="115"/>
      <c r="H22" s="115"/>
      <c r="I22" s="115"/>
      <c r="J22" s="115"/>
      <c r="K22" s="115"/>
      <c r="L22" s="115"/>
      <c r="M22" s="115"/>
      <c r="N22" s="115"/>
      <c r="O22" s="115"/>
    </row>
    <row r="23" spans="3:15" x14ac:dyDescent="0.25">
      <c r="C23" s="115"/>
      <c r="D23" s="115"/>
      <c r="E23" s="115"/>
      <c r="F23" s="115"/>
      <c r="G23" s="115"/>
      <c r="H23" s="115"/>
      <c r="I23" s="115"/>
      <c r="J23" s="115"/>
      <c r="K23" s="115"/>
      <c r="L23" s="115"/>
      <c r="M23" s="115"/>
      <c r="N23" s="115"/>
      <c r="O23" s="115"/>
    </row>
    <row r="24" spans="3:15" x14ac:dyDescent="0.25">
      <c r="C24" s="115"/>
      <c r="D24" s="115"/>
      <c r="E24" s="115"/>
      <c r="F24" s="115"/>
      <c r="G24" s="115"/>
      <c r="H24" s="115"/>
      <c r="I24" s="115"/>
      <c r="J24" s="115"/>
      <c r="K24" s="115"/>
      <c r="L24" s="115"/>
      <c r="M24" s="115"/>
      <c r="N24" s="115"/>
      <c r="O24" s="115"/>
    </row>
    <row r="25" spans="3:15" x14ac:dyDescent="0.25">
      <c r="C25" s="115"/>
      <c r="D25" s="115"/>
      <c r="E25" s="115"/>
      <c r="F25" s="115"/>
      <c r="G25" s="115"/>
      <c r="H25" s="115"/>
      <c r="I25" s="115"/>
      <c r="J25" s="115"/>
      <c r="K25" s="115"/>
      <c r="L25" s="115"/>
      <c r="M25" s="115"/>
      <c r="N25" s="115"/>
      <c r="O25" s="115"/>
    </row>
    <row r="26" spans="3:15" x14ac:dyDescent="0.25">
      <c r="C26" s="115"/>
      <c r="D26" s="115"/>
      <c r="E26" s="115"/>
      <c r="F26" s="115"/>
      <c r="G26" s="115"/>
      <c r="H26" s="115"/>
      <c r="I26" s="115"/>
      <c r="J26" s="115"/>
      <c r="K26" s="115"/>
      <c r="L26" s="115"/>
      <c r="M26" s="115"/>
      <c r="N26" s="115"/>
      <c r="O26" s="115"/>
    </row>
    <row r="27" spans="3:15" x14ac:dyDescent="0.25">
      <c r="C27" s="115"/>
      <c r="D27" s="115"/>
      <c r="E27" s="115"/>
      <c r="F27" s="115"/>
      <c r="G27" s="115"/>
      <c r="H27" s="115"/>
      <c r="I27" s="115"/>
      <c r="J27" s="115"/>
      <c r="K27" s="115"/>
      <c r="L27" s="115"/>
      <c r="M27" s="115"/>
      <c r="N27" s="115"/>
      <c r="O27" s="115"/>
    </row>
    <row r="28" spans="3:15" x14ac:dyDescent="0.25">
      <c r="C28" s="115"/>
      <c r="D28" s="115"/>
      <c r="E28" s="115"/>
      <c r="F28" s="115"/>
      <c r="G28" s="115"/>
      <c r="H28" s="115"/>
      <c r="I28" s="115"/>
      <c r="J28" s="115"/>
      <c r="K28" s="115"/>
      <c r="L28" s="115"/>
      <c r="M28" s="115"/>
      <c r="N28" s="115"/>
      <c r="O28" s="115"/>
    </row>
    <row r="29" spans="3:15" x14ac:dyDescent="0.25">
      <c r="C29" s="115"/>
      <c r="D29" s="115"/>
      <c r="E29" s="115"/>
      <c r="F29" s="115"/>
      <c r="G29" s="115"/>
      <c r="H29" s="115"/>
      <c r="I29" s="115"/>
      <c r="J29" s="115"/>
      <c r="K29" s="115"/>
      <c r="L29" s="115"/>
      <c r="M29" s="115"/>
      <c r="N29" s="115"/>
      <c r="O29" s="115"/>
    </row>
    <row r="30" spans="3:15" x14ac:dyDescent="0.25">
      <c r="C30" s="115"/>
      <c r="D30" s="115"/>
      <c r="E30" s="115"/>
      <c r="F30" s="115"/>
      <c r="G30" s="115"/>
      <c r="H30" s="115"/>
      <c r="I30" s="115"/>
      <c r="J30" s="115"/>
      <c r="K30" s="115"/>
      <c r="L30" s="115"/>
      <c r="M30" s="115"/>
      <c r="N30" s="115"/>
      <c r="O30" s="115"/>
    </row>
    <row r="31" spans="3:15" x14ac:dyDescent="0.25">
      <c r="C31" s="115"/>
      <c r="D31" s="115"/>
      <c r="E31" s="115"/>
      <c r="F31" s="115"/>
      <c r="G31" s="115"/>
      <c r="H31" s="115"/>
      <c r="I31" s="115"/>
      <c r="J31" s="115"/>
      <c r="K31" s="115"/>
      <c r="L31" s="115"/>
      <c r="M31" s="115"/>
      <c r="N31" s="115"/>
      <c r="O31" s="115"/>
    </row>
    <row r="32" spans="3:15" x14ac:dyDescent="0.25">
      <c r="C32" s="115"/>
      <c r="D32" s="115"/>
      <c r="E32" s="115"/>
      <c r="F32" s="115"/>
      <c r="G32" s="115"/>
      <c r="H32" s="115"/>
      <c r="I32" s="115"/>
      <c r="J32" s="115"/>
      <c r="K32" s="115"/>
      <c r="L32" s="115"/>
      <c r="M32" s="115"/>
      <c r="N32" s="115"/>
      <c r="O32" s="115"/>
    </row>
    <row r="33" spans="3:15" x14ac:dyDescent="0.25">
      <c r="C33" s="115"/>
      <c r="D33" s="115"/>
      <c r="E33" s="115"/>
      <c r="F33" s="115"/>
      <c r="G33" s="115"/>
      <c r="H33" s="115"/>
      <c r="I33" s="115"/>
      <c r="J33" s="115"/>
      <c r="K33" s="115"/>
      <c r="L33" s="115"/>
      <c r="M33" s="115"/>
      <c r="N33" s="115"/>
      <c r="O33" s="115"/>
    </row>
    <row r="34" spans="3:15" x14ac:dyDescent="0.25">
      <c r="C34" s="115"/>
      <c r="D34" s="115"/>
      <c r="E34" s="115"/>
      <c r="F34" s="115"/>
      <c r="G34" s="115"/>
      <c r="H34" s="115"/>
      <c r="I34" s="115"/>
      <c r="J34" s="115"/>
      <c r="K34" s="115"/>
      <c r="L34" s="115"/>
      <c r="M34" s="115"/>
      <c r="N34" s="115"/>
      <c r="O34" s="115"/>
    </row>
    <row r="35" spans="3:15" x14ac:dyDescent="0.25">
      <c r="C35" s="115"/>
      <c r="D35" s="115"/>
      <c r="E35" s="115"/>
      <c r="F35" s="115"/>
      <c r="G35" s="115"/>
      <c r="H35" s="115"/>
      <c r="I35" s="115"/>
      <c r="J35" s="115"/>
      <c r="K35" s="115"/>
      <c r="L35" s="115"/>
      <c r="M35" s="115"/>
      <c r="N35" s="115"/>
      <c r="O35" s="115"/>
    </row>
    <row r="36" spans="3:15" x14ac:dyDescent="0.25">
      <c r="C36" s="115"/>
      <c r="D36" s="115"/>
      <c r="E36" s="115"/>
      <c r="F36" s="115"/>
      <c r="G36" s="115"/>
      <c r="H36" s="115"/>
      <c r="I36" s="115"/>
      <c r="J36" s="115"/>
      <c r="K36" s="115"/>
      <c r="L36" s="115"/>
      <c r="M36" s="115"/>
      <c r="N36" s="115"/>
      <c r="O36" s="115"/>
    </row>
    <row r="37" spans="3:15" x14ac:dyDescent="0.25">
      <c r="C37" s="115"/>
      <c r="D37" s="115"/>
      <c r="E37" s="115"/>
      <c r="F37" s="115"/>
      <c r="G37" s="115"/>
      <c r="H37" s="115"/>
      <c r="I37" s="115"/>
      <c r="J37" s="115"/>
      <c r="K37" s="115"/>
      <c r="L37" s="115"/>
      <c r="M37" s="115"/>
      <c r="N37" s="115"/>
      <c r="O37" s="115"/>
    </row>
    <row r="38" spans="3:15" x14ac:dyDescent="0.25">
      <c r="C38" s="115"/>
      <c r="D38" s="115"/>
      <c r="E38" s="115"/>
      <c r="F38" s="115"/>
      <c r="G38" s="115"/>
      <c r="H38" s="115"/>
      <c r="I38" s="115"/>
      <c r="J38" s="115"/>
      <c r="K38" s="115"/>
      <c r="L38" s="115"/>
      <c r="M38" s="115"/>
      <c r="N38" s="115"/>
      <c r="O38" s="115"/>
    </row>
    <row r="39" spans="3:15" x14ac:dyDescent="0.25">
      <c r="C39" s="115"/>
      <c r="D39" s="115"/>
      <c r="E39" s="115"/>
      <c r="F39" s="115"/>
      <c r="G39" s="115"/>
      <c r="H39" s="115"/>
      <c r="I39" s="115"/>
      <c r="J39" s="115"/>
      <c r="K39" s="115"/>
      <c r="L39" s="115"/>
      <c r="M39" s="115"/>
      <c r="N39" s="115"/>
      <c r="O39" s="115"/>
    </row>
    <row r="40" spans="3:15" x14ac:dyDescent="0.25">
      <c r="C40" s="115"/>
      <c r="D40" s="115"/>
      <c r="E40" s="115"/>
      <c r="F40" s="115"/>
      <c r="G40" s="115"/>
      <c r="H40" s="115"/>
      <c r="I40" s="115"/>
      <c r="J40" s="115"/>
      <c r="K40" s="115"/>
      <c r="L40" s="115"/>
      <c r="M40" s="115"/>
      <c r="N40" s="115"/>
      <c r="O40" s="115"/>
    </row>
    <row r="41" spans="3:15" x14ac:dyDescent="0.25">
      <c r="C41" s="115"/>
      <c r="D41" s="115"/>
      <c r="E41" s="115"/>
      <c r="F41" s="115"/>
      <c r="G41" s="115"/>
      <c r="H41" s="115"/>
      <c r="I41" s="115"/>
      <c r="J41" s="115"/>
      <c r="K41" s="115"/>
      <c r="L41" s="115"/>
      <c r="M41" s="115"/>
      <c r="N41" s="115"/>
      <c r="O41" s="115"/>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16"/>
  <sheetViews>
    <sheetView workbookViewId="0">
      <selection sqref="A1:B1"/>
    </sheetView>
  </sheetViews>
  <sheetFormatPr defaultColWidth="10.875" defaultRowHeight="15.75" x14ac:dyDescent="0.25"/>
  <cols>
    <col min="1" max="1" width="6" customWidth="1"/>
    <col min="2" max="2" width="48" customWidth="1"/>
  </cols>
  <sheetData>
    <row r="1" spans="1:39" s="7" customFormat="1" ht="24.95" customHeight="1" thickBot="1" x14ac:dyDescent="0.3">
      <c r="A1" s="560" t="s">
        <v>3803</v>
      </c>
      <c r="B1" s="560"/>
      <c r="C1" s="584" t="s">
        <v>2999</v>
      </c>
      <c r="D1" s="585"/>
      <c r="E1" s="585"/>
      <c r="F1" s="586"/>
      <c r="G1" s="38" t="s">
        <v>885</v>
      </c>
      <c r="H1" s="38" t="s">
        <v>759</v>
      </c>
      <c r="I1" s="38" t="s">
        <v>760</v>
      </c>
      <c r="J1" s="38" t="s">
        <v>762</v>
      </c>
      <c r="K1" s="38" t="s">
        <v>948</v>
      </c>
      <c r="L1" s="38" t="s">
        <v>963</v>
      </c>
      <c r="M1" s="38" t="s">
        <v>763</v>
      </c>
      <c r="N1" s="38" t="s">
        <v>765</v>
      </c>
      <c r="O1" s="38" t="s">
        <v>767</v>
      </c>
      <c r="P1" s="38" t="s">
        <v>769</v>
      </c>
      <c r="Q1" s="38" t="s">
        <v>771</v>
      </c>
      <c r="R1" s="38" t="s">
        <v>773</v>
      </c>
      <c r="S1" s="38" t="s">
        <v>774</v>
      </c>
      <c r="T1" s="38" t="s">
        <v>775</v>
      </c>
      <c r="U1" s="38" t="s">
        <v>1101</v>
      </c>
      <c r="V1" s="38" t="s">
        <v>1116</v>
      </c>
      <c r="W1" s="38" t="s">
        <v>776</v>
      </c>
      <c r="X1" s="38" t="s">
        <v>778</v>
      </c>
      <c r="Y1" s="38" t="s">
        <v>1162</v>
      </c>
      <c r="Z1" s="38" t="s">
        <v>779</v>
      </c>
      <c r="AA1" s="38" t="s">
        <v>3000</v>
      </c>
      <c r="AB1" s="38" t="s">
        <v>781</v>
      </c>
      <c r="AC1" s="38" t="s">
        <v>783</v>
      </c>
      <c r="AD1" s="38" t="s">
        <v>784</v>
      </c>
      <c r="AE1" s="38" t="s">
        <v>785</v>
      </c>
      <c r="AF1" s="38" t="s">
        <v>786</v>
      </c>
      <c r="AG1" s="38" t="s">
        <v>788</v>
      </c>
      <c r="AH1" s="38" t="s">
        <v>789</v>
      </c>
      <c r="AI1" s="38" t="s">
        <v>3001</v>
      </c>
      <c r="AJ1" s="38" t="s">
        <v>792</v>
      </c>
      <c r="AK1" s="38" t="s">
        <v>793</v>
      </c>
      <c r="AL1" s="38" t="s">
        <v>795</v>
      </c>
      <c r="AM1" s="38" t="s">
        <v>1386</v>
      </c>
    </row>
    <row r="2" spans="1:39" s="7" customFormat="1" ht="24.95" customHeight="1" thickBot="1" x14ac:dyDescent="0.3">
      <c r="A2" s="8" t="s">
        <v>3804</v>
      </c>
      <c r="B2" s="49"/>
      <c r="C2" s="51" t="s">
        <v>3805</v>
      </c>
      <c r="D2" s="51" t="s">
        <v>3806</v>
      </c>
      <c r="E2" s="51" t="s">
        <v>3807</v>
      </c>
      <c r="F2" s="51" t="s">
        <v>3808</v>
      </c>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row>
    <row r="3" spans="1:39" s="7" customFormat="1" ht="24.95" customHeight="1" thickBot="1" x14ac:dyDescent="0.3">
      <c r="A3" s="43"/>
      <c r="B3" s="43" t="s">
        <v>801</v>
      </c>
      <c r="C3" s="3"/>
      <c r="D3" s="3"/>
      <c r="E3" s="3"/>
      <c r="F3" s="3"/>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s="7" customFormat="1" ht="24.95" customHeight="1" thickBot="1" x14ac:dyDescent="0.3">
      <c r="A4" s="43"/>
      <c r="B4" s="43" t="s">
        <v>802</v>
      </c>
      <c r="C4" s="3"/>
      <c r="D4" s="3"/>
      <c r="E4" s="3"/>
      <c r="F4" s="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s="7" customFormat="1" ht="24.95" customHeight="1" thickBot="1" x14ac:dyDescent="0.3">
      <c r="A5" s="43"/>
      <c r="B5" s="43" t="s">
        <v>803</v>
      </c>
      <c r="C5" s="3"/>
      <c r="D5" s="3"/>
      <c r="E5" s="3"/>
      <c r="F5" s="3"/>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s="7" customFormat="1" ht="24.95" customHeight="1" thickBot="1" x14ac:dyDescent="0.3">
      <c r="A6" s="43"/>
      <c r="B6" s="43" t="s">
        <v>804</v>
      </c>
      <c r="C6" s="3"/>
      <c r="D6" s="3"/>
      <c r="E6" s="3"/>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spans="1:39" s="7" customFormat="1" ht="24.95" customHeight="1" thickBot="1" x14ac:dyDescent="0.3">
      <c r="A7" s="43"/>
      <c r="B7" s="43" t="s">
        <v>805</v>
      </c>
      <c r="C7" s="3"/>
      <c r="D7" s="3"/>
      <c r="E7" s="3"/>
      <c r="F7" s="3"/>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spans="1:39" s="7" customFormat="1" ht="24.95" customHeight="1" thickBot="1" x14ac:dyDescent="0.3">
      <c r="A8" s="43"/>
      <c r="B8" s="43" t="s">
        <v>806</v>
      </c>
      <c r="C8" s="3"/>
      <c r="D8" s="3"/>
      <c r="E8" s="3"/>
      <c r="F8" s="3"/>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spans="1:39" s="7" customFormat="1" ht="24.95" customHeight="1" thickBot="1" x14ac:dyDescent="0.3">
      <c r="A9" s="43"/>
      <c r="B9" s="43" t="s">
        <v>807</v>
      </c>
      <c r="C9" s="3"/>
      <c r="D9" s="3"/>
      <c r="E9" s="3"/>
      <c r="F9" s="3"/>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spans="1:39" s="7" customFormat="1" ht="24.95" customHeight="1" thickBot="1" x14ac:dyDescent="0.3">
      <c r="A10" s="43"/>
      <c r="B10" s="43" t="s">
        <v>808</v>
      </c>
      <c r="C10" s="3"/>
      <c r="D10" s="3"/>
      <c r="E10" s="3"/>
      <c r="F10" s="3"/>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s="7" customFormat="1" ht="24.95" customHeight="1" thickBot="1" x14ac:dyDescent="0.3">
      <c r="A11" s="43"/>
      <c r="B11" s="43" t="s">
        <v>809</v>
      </c>
      <c r="C11" s="3"/>
      <c r="D11" s="3"/>
      <c r="E11" s="3"/>
      <c r="F11" s="3"/>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s="7" customFormat="1" ht="24.95" customHeight="1" thickBot="1" x14ac:dyDescent="0.3">
      <c r="A12" s="43"/>
      <c r="B12" s="43" t="s">
        <v>810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s="7" customFormat="1" ht="24" customHeight="1" thickBot="1" x14ac:dyDescent="0.3">
      <c r="A13" s="8" t="s">
        <v>3809</v>
      </c>
      <c r="B13" s="49"/>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row>
    <row r="14" spans="1:39" s="7" customFormat="1" ht="24.95" customHeight="1" thickBot="1" x14ac:dyDescent="0.3">
      <c r="A14" s="43"/>
      <c r="B14" s="50" t="s">
        <v>3040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spans="1:39" s="7" customFormat="1" ht="24.95" customHeight="1" thickBot="1" x14ac:dyDescent="0.3">
      <c r="A15" s="43"/>
      <c r="B15" s="50" t="s">
        <v>813</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spans="1:39" s="7" customFormat="1" ht="24.95" customHeight="1" thickBot="1" x14ac:dyDescent="0.3">
      <c r="A16" s="43"/>
      <c r="B16" s="50" t="s">
        <v>3043</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sheetData>
  <mergeCells count="2">
    <mergeCell ref="A1:B1"/>
    <mergeCell ref="C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7038a4a-92bf-4169-bcfb-d8faef309e5c">
      <Terms xmlns="http://schemas.microsoft.com/office/infopath/2007/PartnerControls"/>
    </lcf76f155ced4ddcb4097134ff3c332f>
    <TaxCatchAll xmlns="a110dc4f-40bb-407a-9b53-6ca31b8ea68c"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EA97F7373EFD429BFDEDDB185823E2" ma:contentTypeVersion="19" ma:contentTypeDescription="Create a new document." ma:contentTypeScope="" ma:versionID="92e15d1851fb2c2d4ef834f93d10dc9e">
  <xsd:schema xmlns:xsd="http://www.w3.org/2001/XMLSchema" xmlns:xs="http://www.w3.org/2001/XMLSchema" xmlns:p="http://schemas.microsoft.com/office/2006/metadata/properties" xmlns:ns1="http://schemas.microsoft.com/sharepoint/v3" xmlns:ns2="a7038a4a-92bf-4169-bcfb-d8faef309e5c" xmlns:ns3="14ea3c35-9b07-485c-a081-68e8ca934ce3" xmlns:ns4="a110dc4f-40bb-407a-9b53-6ca31b8ea68c" targetNamespace="http://schemas.microsoft.com/office/2006/metadata/properties" ma:root="true" ma:fieldsID="090fd3d5ca8028c62b549f5b54b160f7" ns1:_="" ns2:_="" ns3:_="" ns4:_="">
    <xsd:import namespace="http://schemas.microsoft.com/sharepoint/v3"/>
    <xsd:import namespace="a7038a4a-92bf-4169-bcfb-d8faef309e5c"/>
    <xsd:import namespace="14ea3c35-9b07-485c-a081-68e8ca934ce3"/>
    <xsd:import namespace="a110dc4f-40bb-407a-9b53-6ca31b8ea6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038a4a-92bf-4169-bcfb-d8faef309e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9e6daf-d12b-42e1-8c22-1710989d6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a3c35-9b07-485c-a081-68e8ca934ce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10dc4f-40bb-407a-9b53-6ca31b8ea68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db35fa2-fca2-4f3e-b1bd-74610ba01adc}" ma:internalName="TaxCatchAll" ma:showField="CatchAllData" ma:web="14ea3c35-9b07-485c-a081-68e8ca934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15A003-8165-4556-AE80-2D096D83141A}">
  <ds:schemaRefs>
    <ds:schemaRef ds:uri="http://schemas.microsoft.com/office/2006/metadata/properties"/>
    <ds:schemaRef ds:uri="http://schemas.microsoft.com/office/infopath/2007/PartnerControls"/>
    <ds:schemaRef ds:uri="http://schemas.microsoft.com/sharepoint/v3"/>
    <ds:schemaRef ds:uri="a7038a4a-92bf-4169-bcfb-d8faef309e5c"/>
    <ds:schemaRef ds:uri="a110dc4f-40bb-407a-9b53-6ca31b8ea68c"/>
  </ds:schemaRefs>
</ds:datastoreItem>
</file>

<file path=customXml/itemProps2.xml><?xml version="1.0" encoding="utf-8"?>
<ds:datastoreItem xmlns:ds="http://schemas.openxmlformats.org/officeDocument/2006/customXml" ds:itemID="{BB7C82C8-A3A9-421B-B833-43697864E62A}">
  <ds:schemaRefs>
    <ds:schemaRef ds:uri="http://schemas.microsoft.com/sharepoint/v3/contenttype/forms"/>
  </ds:schemaRefs>
</ds:datastoreItem>
</file>

<file path=customXml/itemProps3.xml><?xml version="1.0" encoding="utf-8"?>
<ds:datastoreItem xmlns:ds="http://schemas.openxmlformats.org/officeDocument/2006/customXml" ds:itemID="{67D54DF5-645D-47A2-9F44-DAB86B7D1C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7038a4a-92bf-4169-bcfb-d8faef309e5c"/>
    <ds:schemaRef ds:uri="14ea3c35-9b07-485c-a081-68e8ca934ce3"/>
    <ds:schemaRef ds:uri="a110dc4f-40bb-407a-9b53-6ca31b8ea6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Overview</vt:lpstr>
      <vt:lpstr>Indicator list</vt:lpstr>
      <vt:lpstr>1-SAMPLE</vt:lpstr>
      <vt:lpstr>2-QQM_SUMMARY_SHEET</vt:lpstr>
      <vt:lpstr>3-QQM_BY ROUND</vt:lpstr>
      <vt:lpstr>Annex 1a - Structural_PROV</vt:lpstr>
      <vt:lpstr>Annex1b-Structural_FAC</vt:lpstr>
      <vt:lpstr>Annex1c-Tracerdrugs_PROV</vt:lpstr>
      <vt:lpstr>QQC_SI_PROV_LONG</vt:lpstr>
      <vt:lpstr>QQC_SI_FAC_WIDE</vt:lpstr>
      <vt:lpstr>QCC_SI_PROV</vt:lpstr>
      <vt:lpstr>QCC_EXIT&amp;VIGNETTES_FACILITY</vt:lpstr>
      <vt:lpstr>QQC_EXIT&amp;VIGNETTES_PROV_LONG</vt:lpstr>
      <vt:lpstr>QQC_EXIT&amp;VIGNETTES_FAC_WIDE</vt:lpstr>
      <vt:lpstr>QQC_SUMMARY_SHEET</vt:lpstr>
      <vt:lpstr>Annex2a-QQM_EXIT&amp;VIGNETTES_PROV</vt:lpstr>
      <vt:lpstr>Annex 2b-QQC_EXIT&amp;VIGNETTES_FAC</vt:lpstr>
      <vt:lpstr>Annex 3a-HEALTHWORKFORCE - PROV</vt:lpstr>
      <vt:lpstr>Annex 3b-HEALTHWORKFORCE - FAC</vt:lpstr>
      <vt:lpstr>Annex 4a-MSS - PROV</vt:lpstr>
      <vt:lpstr>Annex 4b-MSS - FAC</vt:lpstr>
      <vt:lpstr>0 - GRAPHS </vt:lpstr>
      <vt:lpstr>GRAPHS -SI - ADB non ADB</vt:lpstr>
      <vt:lpstr>GRAPHS -Exit - ADB non ADB</vt:lpstr>
      <vt:lpstr>GRAPHS -Vignettes - ADB non ADB</vt:lpstr>
      <vt:lpstr>Significances_ADB-nonADB</vt:lpstr>
      <vt:lpstr>Interpretation_CI_significances</vt:lpstr>
      <vt:lpstr>MSS Graph</vt:lpstr>
      <vt:lpstr>SUMMARY_SHEET_MULTIPLEROUNDS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Maida</dc:creator>
  <cp:keywords/>
  <dc:description/>
  <cp:lastModifiedBy>Asghari,Ahmad Khalid</cp:lastModifiedBy>
  <cp:revision/>
  <dcterms:created xsi:type="dcterms:W3CDTF">2023-07-13T09:58:48Z</dcterms:created>
  <dcterms:modified xsi:type="dcterms:W3CDTF">2026-04-26T10:49:28Z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0x010100C3EA97F7373EFD429BFDEDDB185823E2</vt:lpwstr>
  </property>
  <property fmtid="{D5CDD505-2E9C-101B-9397-08002B2CF9AE}" pid="3" name="MediaServiceImageTags">
    <vt:lpwstr/>
  </property>
</Properties>
</file>